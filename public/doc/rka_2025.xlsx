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D:\Data 2\DATA FEBRI\PERENCANAAN DAN PENGEMBANGAN\RKA 2025\"/>
    </mc:Choice>
  </mc:AlternateContent>
  <xr:revisionPtr revIDLastSave="0" documentId="8_{DD7F3423-DAF4-47DD-BB78-7FFA332A04D1}" xr6:coauthVersionLast="45" xr6:coauthVersionMax="45" xr10:uidLastSave="{00000000-0000-0000-0000-000000000000}"/>
  <bookViews>
    <workbookView xWindow="-120" yWindow="-120" windowWidth="20730" windowHeight="11160" activeTab="1" xr2:uid="{00000000-000D-0000-FFFF-FFFF00000000}"/>
  </bookViews>
  <sheets>
    <sheet name="TARGET" sheetId="1" r:id="rId1"/>
    <sheet name="PROGRAM KEGIATAN" sheetId="4" r:id="rId2"/>
    <sheet name="PERALATAN MEDIS" sheetId="5" r:id="rId3"/>
    <sheet name="LINEN" sheetId="6" r:id="rId4"/>
    <sheet name="INSTRUMEN MEDIS" sheetId="7" r:id="rId5"/>
    <sheet name="PERALATAN NON MEDIS" sheetId="8" r:id="rId6"/>
    <sheet name="PELATIHAN" sheetId="9" r:id="rId7"/>
    <sheet name="PERAWATAN SARPRAS" sheetId="10" r:id="rId8"/>
    <sheet name="PEMELIHARAAN GEDUNG" sheetId="11" r:id="rId9"/>
    <sheet name="PEMELIHARAAN KENDARAAN" sheetId="12" r:id="rId10"/>
    <sheet name="KEGIATAN RUTIN (OPERASIONAL)" sheetId="13" r:id="rId11"/>
    <sheet name="AKREDITASI" sheetId="14" r:id="rId12"/>
    <sheet name="Copy of CETAK" sheetId="15" r:id="rId13"/>
    <sheet name="Copy of BHP Rumah tanggaa" sheetId="16" r:id="rId14"/>
    <sheet name="Copy of KALIBRASI" sheetId="20" r:id="rId15"/>
    <sheet name="Copy of INVESTASI" sheetId="21" r:id="rId16"/>
    <sheet name="Copy of BAHAN MAKANAN" sheetId="24" r:id="rId17"/>
    <sheet name="Copy of BHP GIZI" sheetId="25" r:id="rId18"/>
    <sheet name="Copy of RINCIAN OBAT DAN BHP" sheetId="26" r:id="rId19"/>
  </sheets>
  <definedNames>
    <definedName name="_xlnm._FilterDatabase" localSheetId="12" hidden="1">'Copy of CETAK'!$A$3:$I$154</definedName>
    <definedName name="_xlnm._FilterDatabase" localSheetId="15" hidden="1">'Copy of INVESTASI'!$A$96:$J$284</definedName>
    <definedName name="_xlnm._FilterDatabase" localSheetId="4" hidden="1">'INSTRUMEN MEDIS'!$A$4:$I$47</definedName>
    <definedName name="_xlnm._FilterDatabase" localSheetId="10" hidden="1">'KEGIATAN RUTIN (OPERASIONAL)'!$A$7:$I$131</definedName>
    <definedName name="_xlnm._FilterDatabase" localSheetId="6" hidden="1">PELATIHAN!$A$5:$J$74</definedName>
    <definedName name="_xlnm._FilterDatabase" localSheetId="8" hidden="1">'PEMELIHARAAN GEDUNG'!$A$4:$G$46</definedName>
    <definedName name="_xlnm._FilterDatabase" localSheetId="2" hidden="1">'PERALATAN MEDIS'!$A$6:$Z$98</definedName>
    <definedName name="_xlnm._FilterDatabase" localSheetId="5" hidden="1">'PERALATAN NON MEDIS'!$A$6:$Z$293</definedName>
    <definedName name="_xlnm._FilterDatabase" localSheetId="7" hidden="1">'PERAWATAN SARPRAS'!$A$2:$H$277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49" i="7" l="1"/>
  <c r="G43" i="6"/>
  <c r="C7" i="26"/>
  <c r="I90" i="4"/>
  <c r="I87" i="4"/>
  <c r="D884" i="26"/>
  <c r="F884" i="26" s="1"/>
  <c r="D883" i="26"/>
  <c r="F883" i="26" s="1"/>
  <c r="D882" i="26"/>
  <c r="F882" i="26" s="1"/>
  <c r="D881" i="26"/>
  <c r="F881" i="26" s="1"/>
  <c r="F880" i="26"/>
  <c r="F879" i="26"/>
  <c r="D878" i="26"/>
  <c r="F878" i="26" s="1"/>
  <c r="F877" i="26"/>
  <c r="F876" i="26"/>
  <c r="D875" i="26"/>
  <c r="F875" i="26" s="1"/>
  <c r="D874" i="26"/>
  <c r="F874" i="26" s="1"/>
  <c r="D873" i="26"/>
  <c r="F873" i="26" s="1"/>
  <c r="F872" i="26"/>
  <c r="F871" i="26"/>
  <c r="F870" i="26"/>
  <c r="D869" i="26"/>
  <c r="F869" i="26" s="1"/>
  <c r="D868" i="26"/>
  <c r="F868" i="26" s="1"/>
  <c r="D867" i="26"/>
  <c r="F867" i="26" s="1"/>
  <c r="D866" i="26"/>
  <c r="F866" i="26" s="1"/>
  <c r="D865" i="26"/>
  <c r="F865" i="26" s="1"/>
  <c r="D864" i="26"/>
  <c r="F864" i="26" s="1"/>
  <c r="D863" i="26"/>
  <c r="F863" i="26" s="1"/>
  <c r="D862" i="26"/>
  <c r="F862" i="26" s="1"/>
  <c r="D861" i="26"/>
  <c r="F861" i="26" s="1"/>
  <c r="D860" i="26"/>
  <c r="F860" i="26" s="1"/>
  <c r="F859" i="26"/>
  <c r="D859" i="26"/>
  <c r="D858" i="26"/>
  <c r="F858" i="26" s="1"/>
  <c r="D857" i="26"/>
  <c r="F857" i="26" s="1"/>
  <c r="D856" i="26"/>
  <c r="F856" i="26" s="1"/>
  <c r="D855" i="26"/>
  <c r="F855" i="26" s="1"/>
  <c r="D854" i="26"/>
  <c r="F854" i="26" s="1"/>
  <c r="D853" i="26"/>
  <c r="F853" i="26" s="1"/>
  <c r="D852" i="26"/>
  <c r="F852" i="26" s="1"/>
  <c r="D851" i="26"/>
  <c r="F851" i="26" s="1"/>
  <c r="D850" i="26"/>
  <c r="F850" i="26" s="1"/>
  <c r="D849" i="26"/>
  <c r="F849" i="26" s="1"/>
  <c r="F842" i="26"/>
  <c r="F841" i="26"/>
  <c r="F840" i="26"/>
  <c r="F839" i="26"/>
  <c r="D838" i="26"/>
  <c r="F838" i="26" s="1"/>
  <c r="D837" i="26"/>
  <c r="F837" i="26" s="1"/>
  <c r="D836" i="26"/>
  <c r="F836" i="26" s="1"/>
  <c r="F831" i="26"/>
  <c r="D830" i="26"/>
  <c r="F830" i="26" s="1"/>
  <c r="D829" i="26"/>
  <c r="F829" i="26" s="1"/>
  <c r="D828" i="26"/>
  <c r="F828" i="26" s="1"/>
  <c r="D827" i="26"/>
  <c r="F827" i="26" s="1"/>
  <c r="D826" i="26"/>
  <c r="F826" i="26" s="1"/>
  <c r="D821" i="26"/>
  <c r="F821" i="26" s="1"/>
  <c r="D820" i="26"/>
  <c r="F820" i="26" s="1"/>
  <c r="D819" i="26"/>
  <c r="F819" i="26" s="1"/>
  <c r="D818" i="26"/>
  <c r="F818" i="26" s="1"/>
  <c r="F817" i="26"/>
  <c r="F816" i="26"/>
  <c r="F815" i="26"/>
  <c r="D815" i="26"/>
  <c r="D814" i="26"/>
  <c r="F814" i="26" s="1"/>
  <c r="D809" i="26"/>
  <c r="F809" i="26" s="1"/>
  <c r="F808" i="26"/>
  <c r="D808" i="26"/>
  <c r="D807" i="26"/>
  <c r="F807" i="26" s="1"/>
  <c r="D806" i="26"/>
  <c r="F806" i="26" s="1"/>
  <c r="D805" i="26"/>
  <c r="F805" i="26" s="1"/>
  <c r="D804" i="26"/>
  <c r="F804" i="26" s="1"/>
  <c r="D803" i="26"/>
  <c r="F803" i="26" s="1"/>
  <c r="D802" i="26"/>
  <c r="F802" i="26" s="1"/>
  <c r="D801" i="26"/>
  <c r="F801" i="26" s="1"/>
  <c r="D800" i="26"/>
  <c r="F800" i="26" s="1"/>
  <c r="D799" i="26"/>
  <c r="F799" i="26" s="1"/>
  <c r="D798" i="26"/>
  <c r="F798" i="26" s="1"/>
  <c r="D797" i="26"/>
  <c r="F797" i="26" s="1"/>
  <c r="F796" i="26"/>
  <c r="D796" i="26"/>
  <c r="D795" i="26"/>
  <c r="F795" i="26" s="1"/>
  <c r="D794" i="26"/>
  <c r="F794" i="26" s="1"/>
  <c r="D793" i="26"/>
  <c r="F793" i="26" s="1"/>
  <c r="D792" i="26"/>
  <c r="F792" i="26" s="1"/>
  <c r="D791" i="26"/>
  <c r="F791" i="26" s="1"/>
  <c r="F790" i="26"/>
  <c r="D790" i="26"/>
  <c r="D789" i="26"/>
  <c r="F789" i="26" s="1"/>
  <c r="D788" i="26"/>
  <c r="F788" i="26" s="1"/>
  <c r="D787" i="26"/>
  <c r="F787" i="26" s="1"/>
  <c r="D786" i="26"/>
  <c r="F786" i="26" s="1"/>
  <c r="D785" i="26"/>
  <c r="F785" i="26" s="1"/>
  <c r="F784" i="26"/>
  <c r="D784" i="26"/>
  <c r="D783" i="26"/>
  <c r="F783" i="26" s="1"/>
  <c r="D782" i="26"/>
  <c r="F782" i="26" s="1"/>
  <c r="D781" i="26"/>
  <c r="F781" i="26" s="1"/>
  <c r="D780" i="26"/>
  <c r="F780" i="26" s="1"/>
  <c r="D779" i="26"/>
  <c r="F779" i="26" s="1"/>
  <c r="D778" i="26"/>
  <c r="F778" i="26" s="1"/>
  <c r="D777" i="26"/>
  <c r="F777" i="26" s="1"/>
  <c r="D776" i="26"/>
  <c r="F776" i="26" s="1"/>
  <c r="D775" i="26"/>
  <c r="F775" i="26" s="1"/>
  <c r="D774" i="26"/>
  <c r="F774" i="26" s="1"/>
  <c r="D773" i="26"/>
  <c r="F773" i="26" s="1"/>
  <c r="D772" i="26"/>
  <c r="F772" i="26" s="1"/>
  <c r="D771" i="26"/>
  <c r="F771" i="26" s="1"/>
  <c r="D770" i="26"/>
  <c r="F770" i="26" s="1"/>
  <c r="F764" i="26"/>
  <c r="G764" i="26" s="1"/>
  <c r="D764" i="26"/>
  <c r="F763" i="26"/>
  <c r="G763" i="26" s="1"/>
  <c r="D763" i="26"/>
  <c r="F762" i="26"/>
  <c r="G762" i="26" s="1"/>
  <c r="D762" i="26"/>
  <c r="F761" i="26"/>
  <c r="G761" i="26" s="1"/>
  <c r="D761" i="26"/>
  <c r="F760" i="26"/>
  <c r="G760" i="26" s="1"/>
  <c r="D760" i="26"/>
  <c r="F759" i="26"/>
  <c r="G759" i="26" s="1"/>
  <c r="D759" i="26"/>
  <c r="F758" i="26"/>
  <c r="G758" i="26" s="1"/>
  <c r="D758" i="26"/>
  <c r="F757" i="26"/>
  <c r="G757" i="26" s="1"/>
  <c r="D757" i="26"/>
  <c r="F756" i="26"/>
  <c r="G756" i="26" s="1"/>
  <c r="D756" i="26"/>
  <c r="F755" i="26"/>
  <c r="G755" i="26" s="1"/>
  <c r="D755" i="26"/>
  <c r="F754" i="26"/>
  <c r="G754" i="26" s="1"/>
  <c r="D754" i="26"/>
  <c r="F753" i="26"/>
  <c r="G753" i="26" s="1"/>
  <c r="D753" i="26"/>
  <c r="F752" i="26"/>
  <c r="G752" i="26" s="1"/>
  <c r="D752" i="26"/>
  <c r="F751" i="26"/>
  <c r="G751" i="26" s="1"/>
  <c r="D751" i="26"/>
  <c r="F750" i="26"/>
  <c r="G750" i="26" s="1"/>
  <c r="D750" i="26"/>
  <c r="G749" i="26"/>
  <c r="F749" i="26"/>
  <c r="D749" i="26"/>
  <c r="F748" i="26"/>
  <c r="G748" i="26" s="1"/>
  <c r="D748" i="26"/>
  <c r="F747" i="26"/>
  <c r="G747" i="26" s="1"/>
  <c r="D747" i="26"/>
  <c r="F746" i="26"/>
  <c r="G746" i="26" s="1"/>
  <c r="D746" i="26"/>
  <c r="F745" i="26"/>
  <c r="G745" i="26" s="1"/>
  <c r="D745" i="26"/>
  <c r="F744" i="26"/>
  <c r="G744" i="26" s="1"/>
  <c r="D744" i="26"/>
  <c r="F743" i="26"/>
  <c r="G743" i="26" s="1"/>
  <c r="D743" i="26"/>
  <c r="F742" i="26"/>
  <c r="G742" i="26" s="1"/>
  <c r="D742" i="26"/>
  <c r="F741" i="26"/>
  <c r="G741" i="26" s="1"/>
  <c r="D741" i="26"/>
  <c r="F740" i="26"/>
  <c r="G740" i="26" s="1"/>
  <c r="D740" i="26"/>
  <c r="F739" i="26"/>
  <c r="G739" i="26" s="1"/>
  <c r="D739" i="26"/>
  <c r="F738" i="26"/>
  <c r="G738" i="26" s="1"/>
  <c r="D738" i="26"/>
  <c r="F737" i="26"/>
  <c r="G737" i="26" s="1"/>
  <c r="D737" i="26"/>
  <c r="F736" i="26"/>
  <c r="G736" i="26" s="1"/>
  <c r="D736" i="26"/>
  <c r="F735" i="26"/>
  <c r="G735" i="26" s="1"/>
  <c r="D735" i="26"/>
  <c r="F734" i="26"/>
  <c r="G734" i="26" s="1"/>
  <c r="D734" i="26"/>
  <c r="F733" i="26"/>
  <c r="G733" i="26" s="1"/>
  <c r="D733" i="26"/>
  <c r="F732" i="26"/>
  <c r="G732" i="26" s="1"/>
  <c r="D732" i="26"/>
  <c r="F731" i="26"/>
  <c r="G731" i="26" s="1"/>
  <c r="D731" i="26"/>
  <c r="F730" i="26"/>
  <c r="G730" i="26" s="1"/>
  <c r="D730" i="26"/>
  <c r="F729" i="26"/>
  <c r="G729" i="26" s="1"/>
  <c r="D729" i="26"/>
  <c r="F728" i="26"/>
  <c r="G728" i="26" s="1"/>
  <c r="D728" i="26"/>
  <c r="F727" i="26"/>
  <c r="G727" i="26" s="1"/>
  <c r="D727" i="26"/>
  <c r="F726" i="26"/>
  <c r="G726" i="26" s="1"/>
  <c r="D726" i="26"/>
  <c r="F725" i="26"/>
  <c r="G725" i="26" s="1"/>
  <c r="D725" i="26"/>
  <c r="F724" i="26"/>
  <c r="G724" i="26" s="1"/>
  <c r="D724" i="26"/>
  <c r="F723" i="26"/>
  <c r="G723" i="26" s="1"/>
  <c r="D723" i="26"/>
  <c r="F722" i="26"/>
  <c r="G722" i="26" s="1"/>
  <c r="D722" i="26"/>
  <c r="F721" i="26"/>
  <c r="G721" i="26" s="1"/>
  <c r="D721" i="26"/>
  <c r="F720" i="26"/>
  <c r="G720" i="26" s="1"/>
  <c r="D720" i="26"/>
  <c r="F719" i="26"/>
  <c r="G719" i="26" s="1"/>
  <c r="D719" i="26"/>
  <c r="F718" i="26"/>
  <c r="G718" i="26" s="1"/>
  <c r="D718" i="26"/>
  <c r="F717" i="26"/>
  <c r="G717" i="26" s="1"/>
  <c r="D717" i="26"/>
  <c r="F716" i="26"/>
  <c r="G716" i="26" s="1"/>
  <c r="D716" i="26"/>
  <c r="F715" i="26"/>
  <c r="G715" i="26" s="1"/>
  <c r="D715" i="26"/>
  <c r="F714" i="26"/>
  <c r="G714" i="26" s="1"/>
  <c r="D714" i="26"/>
  <c r="F713" i="26"/>
  <c r="G713" i="26" s="1"/>
  <c r="D713" i="26"/>
  <c r="F712" i="26"/>
  <c r="G712" i="26" s="1"/>
  <c r="D712" i="26"/>
  <c r="F711" i="26"/>
  <c r="G711" i="26" s="1"/>
  <c r="D711" i="26"/>
  <c r="F710" i="26"/>
  <c r="G710" i="26" s="1"/>
  <c r="D710" i="26"/>
  <c r="F709" i="26"/>
  <c r="G709" i="26" s="1"/>
  <c r="D709" i="26"/>
  <c r="F708" i="26"/>
  <c r="G708" i="26" s="1"/>
  <c r="D708" i="26"/>
  <c r="F707" i="26"/>
  <c r="G707" i="26" s="1"/>
  <c r="D707" i="26"/>
  <c r="F706" i="26"/>
  <c r="G706" i="26" s="1"/>
  <c r="D706" i="26"/>
  <c r="F705" i="26"/>
  <c r="G705" i="26" s="1"/>
  <c r="D705" i="26"/>
  <c r="F704" i="26"/>
  <c r="G704" i="26" s="1"/>
  <c r="D704" i="26"/>
  <c r="F703" i="26"/>
  <c r="G703" i="26" s="1"/>
  <c r="D703" i="26"/>
  <c r="F702" i="26"/>
  <c r="G702" i="26" s="1"/>
  <c r="D702" i="26"/>
  <c r="F701" i="26"/>
  <c r="G701" i="26" s="1"/>
  <c r="D701" i="26"/>
  <c r="F700" i="26"/>
  <c r="G700" i="26" s="1"/>
  <c r="D700" i="26"/>
  <c r="F699" i="26"/>
  <c r="G699" i="26" s="1"/>
  <c r="D699" i="26"/>
  <c r="F698" i="26"/>
  <c r="G698" i="26" s="1"/>
  <c r="D698" i="26"/>
  <c r="F697" i="26"/>
  <c r="G697" i="26" s="1"/>
  <c r="D697" i="26"/>
  <c r="F696" i="26"/>
  <c r="G696" i="26" s="1"/>
  <c r="D696" i="26"/>
  <c r="F695" i="26"/>
  <c r="G695" i="26" s="1"/>
  <c r="D695" i="26"/>
  <c r="F694" i="26"/>
  <c r="G694" i="26" s="1"/>
  <c r="D694" i="26"/>
  <c r="F693" i="26"/>
  <c r="G693" i="26" s="1"/>
  <c r="D693" i="26"/>
  <c r="F692" i="26"/>
  <c r="G692" i="26" s="1"/>
  <c r="D692" i="26"/>
  <c r="F691" i="26"/>
  <c r="G691" i="26" s="1"/>
  <c r="D691" i="26"/>
  <c r="F690" i="26"/>
  <c r="G690" i="26" s="1"/>
  <c r="D690" i="26"/>
  <c r="F689" i="26"/>
  <c r="G689" i="26" s="1"/>
  <c r="D689" i="26"/>
  <c r="F688" i="26"/>
  <c r="G688" i="26" s="1"/>
  <c r="D688" i="26"/>
  <c r="F687" i="26"/>
  <c r="G687" i="26" s="1"/>
  <c r="D687" i="26"/>
  <c r="F686" i="26"/>
  <c r="G686" i="26" s="1"/>
  <c r="D686" i="26"/>
  <c r="F685" i="26"/>
  <c r="G685" i="26" s="1"/>
  <c r="D685" i="26"/>
  <c r="F684" i="26"/>
  <c r="G684" i="26" s="1"/>
  <c r="D684" i="26"/>
  <c r="F683" i="26"/>
  <c r="G683" i="26" s="1"/>
  <c r="D683" i="26"/>
  <c r="F682" i="26"/>
  <c r="G682" i="26" s="1"/>
  <c r="D682" i="26"/>
  <c r="G681" i="26"/>
  <c r="F681" i="26"/>
  <c r="D681" i="26"/>
  <c r="F680" i="26"/>
  <c r="G680" i="26" s="1"/>
  <c r="D680" i="26"/>
  <c r="F679" i="26"/>
  <c r="G679" i="26" s="1"/>
  <c r="D679" i="26"/>
  <c r="F678" i="26"/>
  <c r="G678" i="26" s="1"/>
  <c r="D678" i="26"/>
  <c r="F677" i="26"/>
  <c r="G677" i="26" s="1"/>
  <c r="D677" i="26"/>
  <c r="F676" i="26"/>
  <c r="G676" i="26" s="1"/>
  <c r="D676" i="26"/>
  <c r="F675" i="26"/>
  <c r="G675" i="26" s="1"/>
  <c r="D675" i="26"/>
  <c r="F674" i="26"/>
  <c r="G674" i="26" s="1"/>
  <c r="D674" i="26"/>
  <c r="F673" i="26"/>
  <c r="G673" i="26" s="1"/>
  <c r="D673" i="26"/>
  <c r="F672" i="26"/>
  <c r="G672" i="26" s="1"/>
  <c r="D672" i="26"/>
  <c r="F671" i="26"/>
  <c r="G671" i="26" s="1"/>
  <c r="D671" i="26"/>
  <c r="F670" i="26"/>
  <c r="G670" i="26" s="1"/>
  <c r="D670" i="26"/>
  <c r="F669" i="26"/>
  <c r="G669" i="26" s="1"/>
  <c r="D669" i="26"/>
  <c r="F668" i="26"/>
  <c r="G668" i="26" s="1"/>
  <c r="D668" i="26"/>
  <c r="F667" i="26"/>
  <c r="G667" i="26" s="1"/>
  <c r="D667" i="26"/>
  <c r="F666" i="26"/>
  <c r="G666" i="26" s="1"/>
  <c r="D666" i="26"/>
  <c r="F665" i="26"/>
  <c r="G665" i="26" s="1"/>
  <c r="D665" i="26"/>
  <c r="F664" i="26"/>
  <c r="G664" i="26" s="1"/>
  <c r="D664" i="26"/>
  <c r="F663" i="26"/>
  <c r="G663" i="26" s="1"/>
  <c r="D663" i="26"/>
  <c r="F662" i="26"/>
  <c r="G662" i="26" s="1"/>
  <c r="D662" i="26"/>
  <c r="F661" i="26"/>
  <c r="G661" i="26" s="1"/>
  <c r="D661" i="26"/>
  <c r="F660" i="26"/>
  <c r="G660" i="26" s="1"/>
  <c r="D660" i="26"/>
  <c r="F659" i="26"/>
  <c r="G659" i="26" s="1"/>
  <c r="D659" i="26"/>
  <c r="F658" i="26"/>
  <c r="G658" i="26" s="1"/>
  <c r="D658" i="26"/>
  <c r="G657" i="26"/>
  <c r="F657" i="26"/>
  <c r="D657" i="26"/>
  <c r="F656" i="26"/>
  <c r="G656" i="26" s="1"/>
  <c r="D656" i="26"/>
  <c r="F655" i="26"/>
  <c r="G655" i="26" s="1"/>
  <c r="D655" i="26"/>
  <c r="F654" i="26"/>
  <c r="G654" i="26" s="1"/>
  <c r="D654" i="26"/>
  <c r="F653" i="26"/>
  <c r="G653" i="26" s="1"/>
  <c r="D653" i="26"/>
  <c r="F652" i="26"/>
  <c r="G652" i="26" s="1"/>
  <c r="D652" i="26"/>
  <c r="F651" i="26"/>
  <c r="G651" i="26" s="1"/>
  <c r="D651" i="26"/>
  <c r="F650" i="26"/>
  <c r="G650" i="26" s="1"/>
  <c r="D650" i="26"/>
  <c r="F649" i="26"/>
  <c r="G649" i="26" s="1"/>
  <c r="D649" i="26"/>
  <c r="F648" i="26"/>
  <c r="G648" i="26" s="1"/>
  <c r="D648" i="26"/>
  <c r="F647" i="26"/>
  <c r="G647" i="26" s="1"/>
  <c r="D647" i="26"/>
  <c r="F646" i="26"/>
  <c r="G646" i="26" s="1"/>
  <c r="D646" i="26"/>
  <c r="F645" i="26"/>
  <c r="G645" i="26" s="1"/>
  <c r="D645" i="26"/>
  <c r="F644" i="26"/>
  <c r="G644" i="26" s="1"/>
  <c r="D644" i="26"/>
  <c r="F643" i="26"/>
  <c r="G643" i="26" s="1"/>
  <c r="D643" i="26"/>
  <c r="F642" i="26"/>
  <c r="G642" i="26" s="1"/>
  <c r="D642" i="26"/>
  <c r="F641" i="26"/>
  <c r="G641" i="26" s="1"/>
  <c r="D641" i="26"/>
  <c r="F640" i="26"/>
  <c r="G640" i="26" s="1"/>
  <c r="D640" i="26"/>
  <c r="F639" i="26"/>
  <c r="G639" i="26" s="1"/>
  <c r="D639" i="26"/>
  <c r="F638" i="26"/>
  <c r="G638" i="26" s="1"/>
  <c r="D638" i="26"/>
  <c r="F637" i="26"/>
  <c r="G637" i="26" s="1"/>
  <c r="D637" i="26"/>
  <c r="F636" i="26"/>
  <c r="G636" i="26" s="1"/>
  <c r="D636" i="26"/>
  <c r="F635" i="26"/>
  <c r="G635" i="26" s="1"/>
  <c r="D635" i="26"/>
  <c r="F634" i="26"/>
  <c r="G634" i="26" s="1"/>
  <c r="D634" i="26"/>
  <c r="F633" i="26"/>
  <c r="G633" i="26" s="1"/>
  <c r="D633" i="26"/>
  <c r="F632" i="26"/>
  <c r="G632" i="26" s="1"/>
  <c r="D632" i="26"/>
  <c r="F631" i="26"/>
  <c r="G631" i="26" s="1"/>
  <c r="D631" i="26"/>
  <c r="F630" i="26"/>
  <c r="G630" i="26" s="1"/>
  <c r="D630" i="26"/>
  <c r="G629" i="26"/>
  <c r="F629" i="26"/>
  <c r="D629" i="26"/>
  <c r="F628" i="26"/>
  <c r="G628" i="26" s="1"/>
  <c r="D628" i="26"/>
  <c r="F627" i="26"/>
  <c r="G627" i="26" s="1"/>
  <c r="D627" i="26"/>
  <c r="F626" i="26"/>
  <c r="G626" i="26" s="1"/>
  <c r="D626" i="26"/>
  <c r="F625" i="26"/>
  <c r="G625" i="26" s="1"/>
  <c r="D625" i="26"/>
  <c r="F624" i="26"/>
  <c r="G624" i="26" s="1"/>
  <c r="D624" i="26"/>
  <c r="F623" i="26"/>
  <c r="G623" i="26" s="1"/>
  <c r="D623" i="26"/>
  <c r="F622" i="26"/>
  <c r="G622" i="26" s="1"/>
  <c r="D622" i="26"/>
  <c r="F621" i="26"/>
  <c r="G621" i="26" s="1"/>
  <c r="D621" i="26"/>
  <c r="F620" i="26"/>
  <c r="G620" i="26" s="1"/>
  <c r="D620" i="26"/>
  <c r="F619" i="26"/>
  <c r="G619" i="26" s="1"/>
  <c r="D619" i="26"/>
  <c r="F618" i="26"/>
  <c r="G618" i="26" s="1"/>
  <c r="D618" i="26"/>
  <c r="F617" i="26"/>
  <c r="G617" i="26" s="1"/>
  <c r="D617" i="26"/>
  <c r="G616" i="26"/>
  <c r="F616" i="26"/>
  <c r="D616" i="26"/>
  <c r="F615" i="26"/>
  <c r="G615" i="26" s="1"/>
  <c r="D615" i="26"/>
  <c r="F614" i="26"/>
  <c r="G614" i="26" s="1"/>
  <c r="D614" i="26"/>
  <c r="F613" i="26"/>
  <c r="G613" i="26" s="1"/>
  <c r="D613" i="26"/>
  <c r="F612" i="26"/>
  <c r="G612" i="26" s="1"/>
  <c r="D612" i="26"/>
  <c r="F611" i="26"/>
  <c r="G611" i="26" s="1"/>
  <c r="D611" i="26"/>
  <c r="F610" i="26"/>
  <c r="G610" i="26" s="1"/>
  <c r="D610" i="26"/>
  <c r="F609" i="26"/>
  <c r="G609" i="26" s="1"/>
  <c r="D609" i="26"/>
  <c r="F608" i="26"/>
  <c r="G608" i="26" s="1"/>
  <c r="D608" i="26"/>
  <c r="F607" i="26"/>
  <c r="G607" i="26" s="1"/>
  <c r="D607" i="26"/>
  <c r="F606" i="26"/>
  <c r="G606" i="26" s="1"/>
  <c r="D606" i="26"/>
  <c r="G605" i="26"/>
  <c r="F605" i="26"/>
  <c r="D605" i="26"/>
  <c r="F604" i="26"/>
  <c r="G604" i="26" s="1"/>
  <c r="D604" i="26"/>
  <c r="F603" i="26"/>
  <c r="G603" i="26" s="1"/>
  <c r="D603" i="26"/>
  <c r="F602" i="26"/>
  <c r="G602" i="26" s="1"/>
  <c r="D602" i="26"/>
  <c r="F601" i="26"/>
  <c r="G601" i="26" s="1"/>
  <c r="D601" i="26"/>
  <c r="F600" i="26"/>
  <c r="G600" i="26" s="1"/>
  <c r="D600" i="26"/>
  <c r="F599" i="26"/>
  <c r="G599" i="26" s="1"/>
  <c r="D599" i="26"/>
  <c r="F598" i="26"/>
  <c r="G598" i="26" s="1"/>
  <c r="D598" i="26"/>
  <c r="F597" i="26"/>
  <c r="G597" i="26" s="1"/>
  <c r="D597" i="26"/>
  <c r="F596" i="26"/>
  <c r="G596" i="26" s="1"/>
  <c r="D596" i="26"/>
  <c r="F595" i="26"/>
  <c r="G595" i="26" s="1"/>
  <c r="D595" i="26"/>
  <c r="F594" i="26"/>
  <c r="G594" i="26" s="1"/>
  <c r="D594" i="26"/>
  <c r="F593" i="26"/>
  <c r="G593" i="26" s="1"/>
  <c r="D593" i="26"/>
  <c r="F592" i="26"/>
  <c r="G592" i="26" s="1"/>
  <c r="D592" i="26"/>
  <c r="F591" i="26"/>
  <c r="G591" i="26" s="1"/>
  <c r="D591" i="26"/>
  <c r="F590" i="26"/>
  <c r="G590" i="26" s="1"/>
  <c r="D590" i="26"/>
  <c r="F589" i="26"/>
  <c r="G589" i="26" s="1"/>
  <c r="D589" i="26"/>
  <c r="F588" i="26"/>
  <c r="G588" i="26" s="1"/>
  <c r="D588" i="26"/>
  <c r="F587" i="26"/>
  <c r="G587" i="26" s="1"/>
  <c r="D587" i="26"/>
  <c r="F586" i="26"/>
  <c r="G586" i="26" s="1"/>
  <c r="D586" i="26"/>
  <c r="F585" i="26"/>
  <c r="G585" i="26" s="1"/>
  <c r="D585" i="26"/>
  <c r="F584" i="26"/>
  <c r="G584" i="26" s="1"/>
  <c r="D584" i="26"/>
  <c r="F583" i="26"/>
  <c r="G583" i="26" s="1"/>
  <c r="D583" i="26"/>
  <c r="F582" i="26"/>
  <c r="G582" i="26" s="1"/>
  <c r="D582" i="26"/>
  <c r="F581" i="26"/>
  <c r="G581" i="26" s="1"/>
  <c r="D581" i="26"/>
  <c r="F580" i="26"/>
  <c r="G580" i="26" s="1"/>
  <c r="D580" i="26"/>
  <c r="F579" i="26"/>
  <c r="G579" i="26" s="1"/>
  <c r="D579" i="26"/>
  <c r="F578" i="26"/>
  <c r="G578" i="26" s="1"/>
  <c r="D578" i="26"/>
  <c r="F577" i="26"/>
  <c r="G577" i="26" s="1"/>
  <c r="D577" i="26"/>
  <c r="F576" i="26"/>
  <c r="G576" i="26" s="1"/>
  <c r="D576" i="26"/>
  <c r="F575" i="26"/>
  <c r="G575" i="26" s="1"/>
  <c r="D575" i="26"/>
  <c r="F574" i="26"/>
  <c r="G574" i="26" s="1"/>
  <c r="D574" i="26"/>
  <c r="F573" i="26"/>
  <c r="G573" i="26" s="1"/>
  <c r="D573" i="26"/>
  <c r="F572" i="26"/>
  <c r="G572" i="26" s="1"/>
  <c r="D572" i="26"/>
  <c r="F571" i="26"/>
  <c r="G571" i="26" s="1"/>
  <c r="D571" i="26"/>
  <c r="F570" i="26"/>
  <c r="G570" i="26" s="1"/>
  <c r="D570" i="26"/>
  <c r="F569" i="26"/>
  <c r="G569" i="26" s="1"/>
  <c r="D569" i="26"/>
  <c r="F568" i="26"/>
  <c r="G568" i="26" s="1"/>
  <c r="D568" i="26"/>
  <c r="F567" i="26"/>
  <c r="G567" i="26" s="1"/>
  <c r="D567" i="26"/>
  <c r="F566" i="26"/>
  <c r="G566" i="26" s="1"/>
  <c r="D566" i="26"/>
  <c r="F565" i="26"/>
  <c r="G565" i="26" s="1"/>
  <c r="D565" i="26"/>
  <c r="F564" i="26"/>
  <c r="G564" i="26" s="1"/>
  <c r="D564" i="26"/>
  <c r="F563" i="26"/>
  <c r="G563" i="26" s="1"/>
  <c r="D563" i="26"/>
  <c r="F562" i="26"/>
  <c r="G562" i="26" s="1"/>
  <c r="D562" i="26"/>
  <c r="F561" i="26"/>
  <c r="G561" i="26" s="1"/>
  <c r="D561" i="26"/>
  <c r="F560" i="26"/>
  <c r="G560" i="26" s="1"/>
  <c r="D560" i="26"/>
  <c r="F559" i="26"/>
  <c r="G559" i="26" s="1"/>
  <c r="D559" i="26"/>
  <c r="F558" i="26"/>
  <c r="G558" i="26" s="1"/>
  <c r="D558" i="26"/>
  <c r="F557" i="26"/>
  <c r="G557" i="26" s="1"/>
  <c r="D557" i="26"/>
  <c r="F556" i="26"/>
  <c r="G556" i="26" s="1"/>
  <c r="D556" i="26"/>
  <c r="F555" i="26"/>
  <c r="G555" i="26" s="1"/>
  <c r="D555" i="26"/>
  <c r="F554" i="26"/>
  <c r="G554" i="26" s="1"/>
  <c r="D554" i="26"/>
  <c r="F553" i="26"/>
  <c r="G553" i="26" s="1"/>
  <c r="D553" i="26"/>
  <c r="F552" i="26"/>
  <c r="G552" i="26" s="1"/>
  <c r="D552" i="26"/>
  <c r="F551" i="26"/>
  <c r="G551" i="26" s="1"/>
  <c r="D551" i="26"/>
  <c r="F550" i="26"/>
  <c r="G550" i="26" s="1"/>
  <c r="D550" i="26"/>
  <c r="F549" i="26"/>
  <c r="G549" i="26" s="1"/>
  <c r="D549" i="26"/>
  <c r="F548" i="26"/>
  <c r="G548" i="26" s="1"/>
  <c r="D548" i="26"/>
  <c r="F547" i="26"/>
  <c r="G547" i="26" s="1"/>
  <c r="D547" i="26"/>
  <c r="F546" i="26"/>
  <c r="G546" i="26" s="1"/>
  <c r="D546" i="26"/>
  <c r="F545" i="26"/>
  <c r="G545" i="26" s="1"/>
  <c r="D545" i="26"/>
  <c r="F544" i="26"/>
  <c r="G544" i="26" s="1"/>
  <c r="D544" i="26"/>
  <c r="F543" i="26"/>
  <c r="G543" i="26" s="1"/>
  <c r="D543" i="26"/>
  <c r="F542" i="26"/>
  <c r="G542" i="26" s="1"/>
  <c r="D542" i="26"/>
  <c r="F541" i="26"/>
  <c r="G541" i="26" s="1"/>
  <c r="D541" i="26"/>
  <c r="F540" i="26"/>
  <c r="G540" i="26" s="1"/>
  <c r="D540" i="26"/>
  <c r="F539" i="26"/>
  <c r="G539" i="26" s="1"/>
  <c r="D539" i="26"/>
  <c r="F538" i="26"/>
  <c r="G538" i="26" s="1"/>
  <c r="D538" i="26"/>
  <c r="F537" i="26"/>
  <c r="G537" i="26" s="1"/>
  <c r="D537" i="26"/>
  <c r="F536" i="26"/>
  <c r="G536" i="26" s="1"/>
  <c r="D536" i="26"/>
  <c r="F535" i="26"/>
  <c r="G535" i="26" s="1"/>
  <c r="D535" i="26"/>
  <c r="F534" i="26"/>
  <c r="G534" i="26" s="1"/>
  <c r="D534" i="26"/>
  <c r="F533" i="26"/>
  <c r="G533" i="26" s="1"/>
  <c r="D533" i="26"/>
  <c r="F532" i="26"/>
  <c r="G532" i="26" s="1"/>
  <c r="D532" i="26"/>
  <c r="F531" i="26"/>
  <c r="G531" i="26" s="1"/>
  <c r="D531" i="26"/>
  <c r="F530" i="26"/>
  <c r="G530" i="26" s="1"/>
  <c r="D530" i="26"/>
  <c r="F529" i="26"/>
  <c r="G529" i="26" s="1"/>
  <c r="D529" i="26"/>
  <c r="F528" i="26"/>
  <c r="G528" i="26" s="1"/>
  <c r="D528" i="26"/>
  <c r="F527" i="26"/>
  <c r="G527" i="26" s="1"/>
  <c r="D527" i="26"/>
  <c r="F526" i="26"/>
  <c r="G526" i="26" s="1"/>
  <c r="D526" i="26"/>
  <c r="F525" i="26"/>
  <c r="G525" i="26" s="1"/>
  <c r="D525" i="26"/>
  <c r="F524" i="26"/>
  <c r="G524" i="26" s="1"/>
  <c r="D524" i="26"/>
  <c r="F523" i="26"/>
  <c r="G523" i="26" s="1"/>
  <c r="D523" i="26"/>
  <c r="F522" i="26"/>
  <c r="G522" i="26" s="1"/>
  <c r="D522" i="26"/>
  <c r="F521" i="26"/>
  <c r="G521" i="26" s="1"/>
  <c r="D521" i="26"/>
  <c r="F520" i="26"/>
  <c r="G520" i="26" s="1"/>
  <c r="D520" i="26"/>
  <c r="F519" i="26"/>
  <c r="G519" i="26" s="1"/>
  <c r="D519" i="26"/>
  <c r="F518" i="26"/>
  <c r="G518" i="26" s="1"/>
  <c r="D518" i="26"/>
  <c r="F517" i="26"/>
  <c r="G517" i="26" s="1"/>
  <c r="D517" i="26"/>
  <c r="F516" i="26"/>
  <c r="G516" i="26" s="1"/>
  <c r="D516" i="26"/>
  <c r="F515" i="26"/>
  <c r="G515" i="26" s="1"/>
  <c r="D515" i="26"/>
  <c r="F514" i="26"/>
  <c r="G514" i="26" s="1"/>
  <c r="D514" i="26"/>
  <c r="F513" i="26"/>
  <c r="G513" i="26" s="1"/>
  <c r="D513" i="26"/>
  <c r="F512" i="26"/>
  <c r="G512" i="26" s="1"/>
  <c r="D512" i="26"/>
  <c r="F511" i="26"/>
  <c r="G511" i="26" s="1"/>
  <c r="D511" i="26"/>
  <c r="F510" i="26"/>
  <c r="G510" i="26" s="1"/>
  <c r="D510" i="26"/>
  <c r="F509" i="26"/>
  <c r="G509" i="26" s="1"/>
  <c r="D509" i="26"/>
  <c r="F508" i="26"/>
  <c r="G508" i="26" s="1"/>
  <c r="D508" i="26"/>
  <c r="F507" i="26"/>
  <c r="G507" i="26" s="1"/>
  <c r="D507" i="26"/>
  <c r="F506" i="26"/>
  <c r="G506" i="26" s="1"/>
  <c r="D506" i="26"/>
  <c r="F505" i="26"/>
  <c r="G505" i="26" s="1"/>
  <c r="D505" i="26"/>
  <c r="F504" i="26"/>
  <c r="G504" i="26" s="1"/>
  <c r="D504" i="26"/>
  <c r="F503" i="26"/>
  <c r="G503" i="26" s="1"/>
  <c r="D503" i="26"/>
  <c r="F502" i="26"/>
  <c r="G502" i="26" s="1"/>
  <c r="D502" i="26"/>
  <c r="F501" i="26"/>
  <c r="G501" i="26" s="1"/>
  <c r="D501" i="26"/>
  <c r="F500" i="26"/>
  <c r="G500" i="26" s="1"/>
  <c r="D500" i="26"/>
  <c r="F499" i="26"/>
  <c r="G499" i="26" s="1"/>
  <c r="D499" i="26"/>
  <c r="F498" i="26"/>
  <c r="G498" i="26" s="1"/>
  <c r="D498" i="26"/>
  <c r="G497" i="26"/>
  <c r="F497" i="26"/>
  <c r="D497" i="26"/>
  <c r="F496" i="26"/>
  <c r="G496" i="26" s="1"/>
  <c r="D496" i="26"/>
  <c r="F495" i="26"/>
  <c r="G495" i="26" s="1"/>
  <c r="D495" i="26"/>
  <c r="F494" i="26"/>
  <c r="G494" i="26" s="1"/>
  <c r="D494" i="26"/>
  <c r="F493" i="26"/>
  <c r="G493" i="26" s="1"/>
  <c r="D493" i="26"/>
  <c r="G492" i="26"/>
  <c r="F492" i="26"/>
  <c r="D492" i="26"/>
  <c r="F491" i="26"/>
  <c r="G491" i="26" s="1"/>
  <c r="D491" i="26"/>
  <c r="F490" i="26"/>
  <c r="G490" i="26" s="1"/>
  <c r="D490" i="26"/>
  <c r="F489" i="26"/>
  <c r="G489" i="26" s="1"/>
  <c r="D489" i="26"/>
  <c r="F488" i="26"/>
  <c r="G488" i="26" s="1"/>
  <c r="D488" i="26"/>
  <c r="F487" i="26"/>
  <c r="G487" i="26" s="1"/>
  <c r="D487" i="26"/>
  <c r="F486" i="26"/>
  <c r="G486" i="26" s="1"/>
  <c r="D486" i="26"/>
  <c r="F485" i="26"/>
  <c r="G485" i="26" s="1"/>
  <c r="D485" i="26"/>
  <c r="F484" i="26"/>
  <c r="G484" i="26" s="1"/>
  <c r="D484" i="26"/>
  <c r="F483" i="26"/>
  <c r="G483" i="26" s="1"/>
  <c r="D483" i="26"/>
  <c r="F482" i="26"/>
  <c r="G482" i="26" s="1"/>
  <c r="D482" i="26"/>
  <c r="F481" i="26"/>
  <c r="G481" i="26" s="1"/>
  <c r="D481" i="26"/>
  <c r="F480" i="26"/>
  <c r="G480" i="26" s="1"/>
  <c r="D480" i="26"/>
  <c r="F479" i="26"/>
  <c r="G479" i="26" s="1"/>
  <c r="D479" i="26"/>
  <c r="F478" i="26"/>
  <c r="G478" i="26" s="1"/>
  <c r="D478" i="26"/>
  <c r="F477" i="26"/>
  <c r="G477" i="26" s="1"/>
  <c r="D477" i="26"/>
  <c r="F476" i="26"/>
  <c r="G476" i="26" s="1"/>
  <c r="D476" i="26"/>
  <c r="F475" i="26"/>
  <c r="G475" i="26" s="1"/>
  <c r="D475" i="26"/>
  <c r="F474" i="26"/>
  <c r="G474" i="26" s="1"/>
  <c r="D474" i="26"/>
  <c r="F473" i="26"/>
  <c r="G473" i="26" s="1"/>
  <c r="D473" i="26"/>
  <c r="F472" i="26"/>
  <c r="G472" i="26" s="1"/>
  <c r="D472" i="26"/>
  <c r="F471" i="26"/>
  <c r="G471" i="26" s="1"/>
  <c r="D471" i="26"/>
  <c r="F470" i="26"/>
  <c r="G470" i="26" s="1"/>
  <c r="D470" i="26"/>
  <c r="F469" i="26"/>
  <c r="G469" i="26" s="1"/>
  <c r="D469" i="26"/>
  <c r="F468" i="26"/>
  <c r="G468" i="26" s="1"/>
  <c r="D468" i="26"/>
  <c r="F467" i="26"/>
  <c r="G467" i="26" s="1"/>
  <c r="D467" i="26"/>
  <c r="F466" i="26"/>
  <c r="G466" i="26" s="1"/>
  <c r="D466" i="26"/>
  <c r="F465" i="26"/>
  <c r="G465" i="26" s="1"/>
  <c r="D465" i="26"/>
  <c r="F464" i="26"/>
  <c r="G464" i="26" s="1"/>
  <c r="D464" i="26"/>
  <c r="F463" i="26"/>
  <c r="G463" i="26" s="1"/>
  <c r="D463" i="26"/>
  <c r="F462" i="26"/>
  <c r="G462" i="26" s="1"/>
  <c r="D462" i="26"/>
  <c r="F461" i="26"/>
  <c r="G461" i="26" s="1"/>
  <c r="D461" i="26"/>
  <c r="F460" i="26"/>
  <c r="G460" i="26" s="1"/>
  <c r="D460" i="26"/>
  <c r="F459" i="26"/>
  <c r="G459" i="26" s="1"/>
  <c r="D459" i="26"/>
  <c r="F458" i="26"/>
  <c r="G458" i="26" s="1"/>
  <c r="D458" i="26"/>
  <c r="F457" i="26"/>
  <c r="G457" i="26" s="1"/>
  <c r="D457" i="26"/>
  <c r="F456" i="26"/>
  <c r="G456" i="26" s="1"/>
  <c r="D456" i="26"/>
  <c r="F455" i="26"/>
  <c r="G455" i="26" s="1"/>
  <c r="D455" i="26"/>
  <c r="F454" i="26"/>
  <c r="G454" i="26" s="1"/>
  <c r="D454" i="26"/>
  <c r="F453" i="26"/>
  <c r="G453" i="26" s="1"/>
  <c r="D453" i="26"/>
  <c r="F452" i="26"/>
  <c r="G452" i="26" s="1"/>
  <c r="D452" i="26"/>
  <c r="F451" i="26"/>
  <c r="G451" i="26" s="1"/>
  <c r="D451" i="26"/>
  <c r="F450" i="26"/>
  <c r="G450" i="26" s="1"/>
  <c r="D450" i="26"/>
  <c r="F449" i="26"/>
  <c r="G449" i="26" s="1"/>
  <c r="D449" i="26"/>
  <c r="F448" i="26"/>
  <c r="G448" i="26" s="1"/>
  <c r="D448" i="26"/>
  <c r="F447" i="26"/>
  <c r="G447" i="26" s="1"/>
  <c r="D447" i="26"/>
  <c r="F446" i="26"/>
  <c r="G446" i="26" s="1"/>
  <c r="D446" i="26"/>
  <c r="F445" i="26"/>
  <c r="G445" i="26" s="1"/>
  <c r="D445" i="26"/>
  <c r="F444" i="26"/>
  <c r="G444" i="26" s="1"/>
  <c r="D444" i="26"/>
  <c r="F443" i="26"/>
  <c r="G443" i="26" s="1"/>
  <c r="D443" i="26"/>
  <c r="F442" i="26"/>
  <c r="G442" i="26" s="1"/>
  <c r="D442" i="26"/>
  <c r="F441" i="26"/>
  <c r="G441" i="26" s="1"/>
  <c r="D441" i="26"/>
  <c r="F440" i="26"/>
  <c r="G440" i="26" s="1"/>
  <c r="D440" i="26"/>
  <c r="F439" i="26"/>
  <c r="G439" i="26" s="1"/>
  <c r="D439" i="26"/>
  <c r="F438" i="26"/>
  <c r="G438" i="26" s="1"/>
  <c r="D438" i="26"/>
  <c r="F437" i="26"/>
  <c r="G437" i="26" s="1"/>
  <c r="D437" i="26"/>
  <c r="F436" i="26"/>
  <c r="G436" i="26" s="1"/>
  <c r="D436" i="26"/>
  <c r="G435" i="26"/>
  <c r="F435" i="26"/>
  <c r="D435" i="26"/>
  <c r="F434" i="26"/>
  <c r="G434" i="26" s="1"/>
  <c r="D434" i="26"/>
  <c r="F433" i="26"/>
  <c r="G433" i="26" s="1"/>
  <c r="D433" i="26"/>
  <c r="F432" i="26"/>
  <c r="G432" i="26" s="1"/>
  <c r="D432" i="26"/>
  <c r="F431" i="26"/>
  <c r="G431" i="26" s="1"/>
  <c r="D431" i="26"/>
  <c r="F430" i="26"/>
  <c r="G430" i="26" s="1"/>
  <c r="D430" i="26"/>
  <c r="F429" i="26"/>
  <c r="G429" i="26" s="1"/>
  <c r="D429" i="26"/>
  <c r="F428" i="26"/>
  <c r="G428" i="26" s="1"/>
  <c r="D428" i="26"/>
  <c r="F427" i="26"/>
  <c r="G427" i="26" s="1"/>
  <c r="D427" i="26"/>
  <c r="F426" i="26"/>
  <c r="G426" i="26" s="1"/>
  <c r="D426" i="26"/>
  <c r="F425" i="26"/>
  <c r="G425" i="26" s="1"/>
  <c r="D425" i="26"/>
  <c r="F424" i="26"/>
  <c r="G424" i="26" s="1"/>
  <c r="D424" i="26"/>
  <c r="F423" i="26"/>
  <c r="G423" i="26" s="1"/>
  <c r="D423" i="26"/>
  <c r="F422" i="26"/>
  <c r="G422" i="26" s="1"/>
  <c r="D422" i="26"/>
  <c r="F421" i="26"/>
  <c r="G421" i="26" s="1"/>
  <c r="D421" i="26"/>
  <c r="F420" i="26"/>
  <c r="G420" i="26" s="1"/>
  <c r="D420" i="26"/>
  <c r="G419" i="26"/>
  <c r="F419" i="26"/>
  <c r="D419" i="26"/>
  <c r="F418" i="26"/>
  <c r="G418" i="26" s="1"/>
  <c r="D418" i="26"/>
  <c r="F417" i="26"/>
  <c r="G417" i="26" s="1"/>
  <c r="D417" i="26"/>
  <c r="F416" i="26"/>
  <c r="G416" i="26" s="1"/>
  <c r="D416" i="26"/>
  <c r="F415" i="26"/>
  <c r="G415" i="26" s="1"/>
  <c r="D415" i="26"/>
  <c r="F414" i="26"/>
  <c r="G414" i="26" s="1"/>
  <c r="D414" i="26"/>
  <c r="F413" i="26"/>
  <c r="G413" i="26" s="1"/>
  <c r="D413" i="26"/>
  <c r="F412" i="26"/>
  <c r="G412" i="26" s="1"/>
  <c r="D412" i="26"/>
  <c r="F411" i="26"/>
  <c r="G411" i="26" s="1"/>
  <c r="D411" i="26"/>
  <c r="F410" i="26"/>
  <c r="G410" i="26" s="1"/>
  <c r="D410" i="26"/>
  <c r="F409" i="26"/>
  <c r="G409" i="26" s="1"/>
  <c r="D409" i="26"/>
  <c r="F408" i="26"/>
  <c r="G408" i="26" s="1"/>
  <c r="D408" i="26"/>
  <c r="F407" i="26"/>
  <c r="G407" i="26" s="1"/>
  <c r="D407" i="26"/>
  <c r="F406" i="26"/>
  <c r="G406" i="26" s="1"/>
  <c r="D406" i="26"/>
  <c r="F405" i="26"/>
  <c r="G405" i="26" s="1"/>
  <c r="D405" i="26"/>
  <c r="F404" i="26"/>
  <c r="G404" i="26" s="1"/>
  <c r="D404" i="26"/>
  <c r="F403" i="26"/>
  <c r="G403" i="26" s="1"/>
  <c r="D403" i="26"/>
  <c r="F402" i="26"/>
  <c r="G402" i="26" s="1"/>
  <c r="D402" i="26"/>
  <c r="F401" i="26"/>
  <c r="G401" i="26" s="1"/>
  <c r="D401" i="26"/>
  <c r="F400" i="26"/>
  <c r="G400" i="26" s="1"/>
  <c r="D400" i="26"/>
  <c r="F399" i="26"/>
  <c r="G399" i="26" s="1"/>
  <c r="D399" i="26"/>
  <c r="F398" i="26"/>
  <c r="G398" i="26" s="1"/>
  <c r="D398" i="26"/>
  <c r="F397" i="26"/>
  <c r="G397" i="26" s="1"/>
  <c r="D397" i="26"/>
  <c r="F396" i="26"/>
  <c r="G396" i="26" s="1"/>
  <c r="D396" i="26"/>
  <c r="F395" i="26"/>
  <c r="G395" i="26" s="1"/>
  <c r="D395" i="26"/>
  <c r="F394" i="26"/>
  <c r="G394" i="26" s="1"/>
  <c r="D394" i="26"/>
  <c r="F393" i="26"/>
  <c r="G393" i="26" s="1"/>
  <c r="D393" i="26"/>
  <c r="F392" i="26"/>
  <c r="G392" i="26" s="1"/>
  <c r="D392" i="26"/>
  <c r="F391" i="26"/>
  <c r="G391" i="26" s="1"/>
  <c r="D391" i="26"/>
  <c r="F390" i="26"/>
  <c r="G390" i="26" s="1"/>
  <c r="D390" i="26"/>
  <c r="F389" i="26"/>
  <c r="G389" i="26" s="1"/>
  <c r="D389" i="26"/>
  <c r="F388" i="26"/>
  <c r="G388" i="26" s="1"/>
  <c r="D388" i="26"/>
  <c r="F387" i="26"/>
  <c r="G387" i="26" s="1"/>
  <c r="D387" i="26"/>
  <c r="F386" i="26"/>
  <c r="G386" i="26" s="1"/>
  <c r="D386" i="26"/>
  <c r="F385" i="26"/>
  <c r="G385" i="26" s="1"/>
  <c r="D385" i="26"/>
  <c r="F384" i="26"/>
  <c r="G384" i="26" s="1"/>
  <c r="D384" i="26"/>
  <c r="F383" i="26"/>
  <c r="G383" i="26" s="1"/>
  <c r="D383" i="26"/>
  <c r="G382" i="26"/>
  <c r="F382" i="26"/>
  <c r="D382" i="26"/>
  <c r="F381" i="26"/>
  <c r="G381" i="26" s="1"/>
  <c r="D381" i="26"/>
  <c r="F380" i="26"/>
  <c r="G380" i="26" s="1"/>
  <c r="D380" i="26"/>
  <c r="F379" i="26"/>
  <c r="G379" i="26" s="1"/>
  <c r="D379" i="26"/>
  <c r="F378" i="26"/>
  <c r="G378" i="26" s="1"/>
  <c r="D378" i="26"/>
  <c r="F377" i="26"/>
  <c r="G377" i="26" s="1"/>
  <c r="D377" i="26"/>
  <c r="F376" i="26"/>
  <c r="G376" i="26" s="1"/>
  <c r="D376" i="26"/>
  <c r="F375" i="26"/>
  <c r="G375" i="26" s="1"/>
  <c r="D375" i="26"/>
  <c r="F374" i="26"/>
  <c r="G374" i="26" s="1"/>
  <c r="D374" i="26"/>
  <c r="F373" i="26"/>
  <c r="G373" i="26" s="1"/>
  <c r="D373" i="26"/>
  <c r="F372" i="26"/>
  <c r="G372" i="26" s="1"/>
  <c r="D372" i="26"/>
  <c r="G371" i="26"/>
  <c r="F371" i="26"/>
  <c r="D371" i="26"/>
  <c r="F370" i="26"/>
  <c r="G370" i="26" s="1"/>
  <c r="D370" i="26"/>
  <c r="F369" i="26"/>
  <c r="G369" i="26" s="1"/>
  <c r="D369" i="26"/>
  <c r="F368" i="26"/>
  <c r="G368" i="26" s="1"/>
  <c r="D368" i="26"/>
  <c r="F367" i="26"/>
  <c r="G367" i="26" s="1"/>
  <c r="D367" i="26"/>
  <c r="F366" i="26"/>
  <c r="G366" i="26" s="1"/>
  <c r="D366" i="26"/>
  <c r="F365" i="26"/>
  <c r="G365" i="26" s="1"/>
  <c r="D365" i="26"/>
  <c r="F364" i="26"/>
  <c r="G364" i="26" s="1"/>
  <c r="D364" i="26"/>
  <c r="F363" i="26"/>
  <c r="G363" i="26" s="1"/>
  <c r="D363" i="26"/>
  <c r="F362" i="26"/>
  <c r="G362" i="26" s="1"/>
  <c r="D362" i="26"/>
  <c r="F361" i="26"/>
  <c r="G361" i="26" s="1"/>
  <c r="D361" i="26"/>
  <c r="F360" i="26"/>
  <c r="G360" i="26" s="1"/>
  <c r="D360" i="26"/>
  <c r="F359" i="26"/>
  <c r="G359" i="26" s="1"/>
  <c r="D359" i="26"/>
  <c r="F358" i="26"/>
  <c r="G358" i="26" s="1"/>
  <c r="D358" i="26"/>
  <c r="F357" i="26"/>
  <c r="G357" i="26" s="1"/>
  <c r="D357" i="26"/>
  <c r="F356" i="26"/>
  <c r="G356" i="26" s="1"/>
  <c r="D356" i="26"/>
  <c r="F355" i="26"/>
  <c r="G355" i="26" s="1"/>
  <c r="D355" i="26"/>
  <c r="F354" i="26"/>
  <c r="G354" i="26" s="1"/>
  <c r="D354" i="26"/>
  <c r="F353" i="26"/>
  <c r="G353" i="26" s="1"/>
  <c r="D353" i="26"/>
  <c r="F352" i="26"/>
  <c r="G352" i="26" s="1"/>
  <c r="D352" i="26"/>
  <c r="F351" i="26"/>
  <c r="G351" i="26" s="1"/>
  <c r="D351" i="26"/>
  <c r="F350" i="26"/>
  <c r="G350" i="26" s="1"/>
  <c r="D350" i="26"/>
  <c r="F349" i="26"/>
  <c r="G349" i="26" s="1"/>
  <c r="D349" i="26"/>
  <c r="F348" i="26"/>
  <c r="G348" i="26" s="1"/>
  <c r="D348" i="26"/>
  <c r="F347" i="26"/>
  <c r="G347" i="26" s="1"/>
  <c r="D347" i="26"/>
  <c r="F346" i="26"/>
  <c r="G346" i="26" s="1"/>
  <c r="D346" i="26"/>
  <c r="F345" i="26"/>
  <c r="G345" i="26" s="1"/>
  <c r="D345" i="26"/>
  <c r="F344" i="26"/>
  <c r="G344" i="26" s="1"/>
  <c r="D344" i="26"/>
  <c r="F343" i="26"/>
  <c r="G343" i="26" s="1"/>
  <c r="D343" i="26"/>
  <c r="F342" i="26"/>
  <c r="G342" i="26" s="1"/>
  <c r="D342" i="26"/>
  <c r="F341" i="26"/>
  <c r="G341" i="26" s="1"/>
  <c r="D341" i="26"/>
  <c r="F340" i="26"/>
  <c r="G340" i="26" s="1"/>
  <c r="D340" i="26"/>
  <c r="F339" i="26"/>
  <c r="G339" i="26" s="1"/>
  <c r="D339" i="26"/>
  <c r="F338" i="26"/>
  <c r="G338" i="26" s="1"/>
  <c r="D338" i="26"/>
  <c r="F337" i="26"/>
  <c r="G337" i="26" s="1"/>
  <c r="D337" i="26"/>
  <c r="F336" i="26"/>
  <c r="G336" i="26" s="1"/>
  <c r="D336" i="26"/>
  <c r="G335" i="26"/>
  <c r="F335" i="26"/>
  <c r="D335" i="26"/>
  <c r="F334" i="26"/>
  <c r="G334" i="26" s="1"/>
  <c r="D334" i="26"/>
  <c r="F333" i="26"/>
  <c r="G333" i="26" s="1"/>
  <c r="D333" i="26"/>
  <c r="F332" i="26"/>
  <c r="G332" i="26" s="1"/>
  <c r="D332" i="26"/>
  <c r="F331" i="26"/>
  <c r="G331" i="26" s="1"/>
  <c r="D331" i="26"/>
  <c r="F330" i="26"/>
  <c r="G330" i="26" s="1"/>
  <c r="D330" i="26"/>
  <c r="F329" i="26"/>
  <c r="G329" i="26" s="1"/>
  <c r="D329" i="26"/>
  <c r="F328" i="26"/>
  <c r="G328" i="26" s="1"/>
  <c r="D328" i="26"/>
  <c r="F327" i="26"/>
  <c r="G327" i="26" s="1"/>
  <c r="D327" i="26"/>
  <c r="F326" i="26"/>
  <c r="G326" i="26" s="1"/>
  <c r="D326" i="26"/>
  <c r="F325" i="26"/>
  <c r="G325" i="26" s="1"/>
  <c r="D325" i="26"/>
  <c r="F324" i="26"/>
  <c r="G324" i="26" s="1"/>
  <c r="D324" i="26"/>
  <c r="F323" i="26"/>
  <c r="G323" i="26" s="1"/>
  <c r="D323" i="26"/>
  <c r="F322" i="26"/>
  <c r="G322" i="26" s="1"/>
  <c r="D322" i="26"/>
  <c r="F321" i="26"/>
  <c r="G321" i="26" s="1"/>
  <c r="D321" i="26"/>
  <c r="F320" i="26"/>
  <c r="G320" i="26" s="1"/>
  <c r="D320" i="26"/>
  <c r="F319" i="26"/>
  <c r="G319" i="26" s="1"/>
  <c r="D319" i="26"/>
  <c r="F318" i="26"/>
  <c r="G318" i="26" s="1"/>
  <c r="D318" i="26"/>
  <c r="F317" i="26"/>
  <c r="G317" i="26" s="1"/>
  <c r="D317" i="26"/>
  <c r="F316" i="26"/>
  <c r="G316" i="26" s="1"/>
  <c r="D316" i="26"/>
  <c r="F315" i="26"/>
  <c r="G315" i="26" s="1"/>
  <c r="D315" i="26"/>
  <c r="F314" i="26"/>
  <c r="G314" i="26" s="1"/>
  <c r="D314" i="26"/>
  <c r="F313" i="26"/>
  <c r="G313" i="26" s="1"/>
  <c r="D313" i="26"/>
  <c r="F312" i="26"/>
  <c r="G312" i="26" s="1"/>
  <c r="D312" i="26"/>
  <c r="F311" i="26"/>
  <c r="G311" i="26" s="1"/>
  <c r="D311" i="26"/>
  <c r="G310" i="26"/>
  <c r="F310" i="26"/>
  <c r="D310" i="26"/>
  <c r="F309" i="26"/>
  <c r="G309" i="26" s="1"/>
  <c r="D309" i="26"/>
  <c r="F308" i="26"/>
  <c r="G308" i="26" s="1"/>
  <c r="D308" i="26"/>
  <c r="F307" i="26"/>
  <c r="G307" i="26" s="1"/>
  <c r="D307" i="26"/>
  <c r="F306" i="26"/>
  <c r="G306" i="26" s="1"/>
  <c r="D306" i="26"/>
  <c r="F305" i="26"/>
  <c r="G305" i="26" s="1"/>
  <c r="D305" i="26"/>
  <c r="F304" i="26"/>
  <c r="G304" i="26" s="1"/>
  <c r="D304" i="26"/>
  <c r="F303" i="26"/>
  <c r="G303" i="26" s="1"/>
  <c r="D303" i="26"/>
  <c r="F302" i="26"/>
  <c r="G302" i="26" s="1"/>
  <c r="D302" i="26"/>
  <c r="F301" i="26"/>
  <c r="G301" i="26" s="1"/>
  <c r="D301" i="26"/>
  <c r="F300" i="26"/>
  <c r="G300" i="26" s="1"/>
  <c r="D300" i="26"/>
  <c r="F299" i="26"/>
  <c r="G299" i="26" s="1"/>
  <c r="D299" i="26"/>
  <c r="F298" i="26"/>
  <c r="G298" i="26" s="1"/>
  <c r="D298" i="26"/>
  <c r="G297" i="26"/>
  <c r="F297" i="26"/>
  <c r="D297" i="26"/>
  <c r="F296" i="26"/>
  <c r="G296" i="26" s="1"/>
  <c r="D296" i="26"/>
  <c r="F295" i="26"/>
  <c r="G295" i="26" s="1"/>
  <c r="D295" i="26"/>
  <c r="F294" i="26"/>
  <c r="G294" i="26" s="1"/>
  <c r="D294" i="26"/>
  <c r="F293" i="26"/>
  <c r="G293" i="26" s="1"/>
  <c r="D293" i="26"/>
  <c r="F292" i="26"/>
  <c r="G292" i="26" s="1"/>
  <c r="D292" i="26"/>
  <c r="F291" i="26"/>
  <c r="G291" i="26" s="1"/>
  <c r="D291" i="26"/>
  <c r="F290" i="26"/>
  <c r="G290" i="26" s="1"/>
  <c r="D290" i="26"/>
  <c r="F289" i="26"/>
  <c r="G289" i="26" s="1"/>
  <c r="D289" i="26"/>
  <c r="F288" i="26"/>
  <c r="G288" i="26" s="1"/>
  <c r="D288" i="26"/>
  <c r="F287" i="26"/>
  <c r="G287" i="26" s="1"/>
  <c r="D287" i="26"/>
  <c r="F286" i="26"/>
  <c r="G286" i="26" s="1"/>
  <c r="D286" i="26"/>
  <c r="F285" i="26"/>
  <c r="G285" i="26" s="1"/>
  <c r="D285" i="26"/>
  <c r="F284" i="26"/>
  <c r="G284" i="26" s="1"/>
  <c r="D284" i="26"/>
  <c r="F283" i="26"/>
  <c r="G283" i="26" s="1"/>
  <c r="D283" i="26"/>
  <c r="F282" i="26"/>
  <c r="G282" i="26" s="1"/>
  <c r="D282" i="26"/>
  <c r="F281" i="26"/>
  <c r="G281" i="26" s="1"/>
  <c r="D281" i="26"/>
  <c r="F280" i="26"/>
  <c r="G280" i="26" s="1"/>
  <c r="D280" i="26"/>
  <c r="F279" i="26"/>
  <c r="G279" i="26" s="1"/>
  <c r="D279" i="26"/>
  <c r="F278" i="26"/>
  <c r="G278" i="26" s="1"/>
  <c r="D278" i="26"/>
  <c r="F277" i="26"/>
  <c r="G277" i="26" s="1"/>
  <c r="D277" i="26"/>
  <c r="F276" i="26"/>
  <c r="G276" i="26" s="1"/>
  <c r="D276" i="26"/>
  <c r="F275" i="26"/>
  <c r="G275" i="26" s="1"/>
  <c r="D275" i="26"/>
  <c r="F274" i="26"/>
  <c r="G274" i="26" s="1"/>
  <c r="D274" i="26"/>
  <c r="F273" i="26"/>
  <c r="G273" i="26" s="1"/>
  <c r="D273" i="26"/>
  <c r="F272" i="26"/>
  <c r="G272" i="26" s="1"/>
  <c r="D272" i="26"/>
  <c r="G271" i="26"/>
  <c r="F271" i="26"/>
  <c r="D271" i="26"/>
  <c r="F270" i="26"/>
  <c r="G270" i="26" s="1"/>
  <c r="D270" i="26"/>
  <c r="F269" i="26"/>
  <c r="G269" i="26" s="1"/>
  <c r="D269" i="26"/>
  <c r="F268" i="26"/>
  <c r="G268" i="26" s="1"/>
  <c r="D268" i="26"/>
  <c r="F267" i="26"/>
  <c r="G267" i="26" s="1"/>
  <c r="D267" i="26"/>
  <c r="F266" i="26"/>
  <c r="G266" i="26" s="1"/>
  <c r="D266" i="26"/>
  <c r="F265" i="26"/>
  <c r="G265" i="26" s="1"/>
  <c r="D265" i="26"/>
  <c r="F264" i="26"/>
  <c r="G264" i="26" s="1"/>
  <c r="D264" i="26"/>
  <c r="F263" i="26"/>
  <c r="G263" i="26" s="1"/>
  <c r="D263" i="26"/>
  <c r="F262" i="26"/>
  <c r="G262" i="26" s="1"/>
  <c r="D262" i="26"/>
  <c r="F261" i="26"/>
  <c r="G261" i="26" s="1"/>
  <c r="D261" i="26"/>
  <c r="G260" i="26"/>
  <c r="F260" i="26"/>
  <c r="D260" i="26"/>
  <c r="F259" i="26"/>
  <c r="G259" i="26" s="1"/>
  <c r="D259" i="26"/>
  <c r="F258" i="26"/>
  <c r="G258" i="26" s="1"/>
  <c r="D258" i="26"/>
  <c r="F257" i="26"/>
  <c r="G257" i="26" s="1"/>
  <c r="D257" i="26"/>
  <c r="F256" i="26"/>
  <c r="G256" i="26" s="1"/>
  <c r="D256" i="26"/>
  <c r="F255" i="26"/>
  <c r="G255" i="26" s="1"/>
  <c r="D255" i="26"/>
  <c r="F254" i="26"/>
  <c r="G254" i="26" s="1"/>
  <c r="D254" i="26"/>
  <c r="F253" i="26"/>
  <c r="G253" i="26" s="1"/>
  <c r="D253" i="26"/>
  <c r="F252" i="26"/>
  <c r="G252" i="26" s="1"/>
  <c r="D252" i="26"/>
  <c r="F251" i="26"/>
  <c r="G251" i="26" s="1"/>
  <c r="D251" i="26"/>
  <c r="F250" i="26"/>
  <c r="G250" i="26" s="1"/>
  <c r="D250" i="26"/>
  <c r="G249" i="26"/>
  <c r="F249" i="26"/>
  <c r="D249" i="26"/>
  <c r="F248" i="26"/>
  <c r="G248" i="26" s="1"/>
  <c r="D248" i="26"/>
  <c r="F247" i="26"/>
  <c r="G247" i="26" s="1"/>
  <c r="D247" i="26"/>
  <c r="F246" i="26"/>
  <c r="G246" i="26" s="1"/>
  <c r="D246" i="26"/>
  <c r="F245" i="26"/>
  <c r="G245" i="26" s="1"/>
  <c r="D245" i="26"/>
  <c r="F244" i="26"/>
  <c r="G244" i="26" s="1"/>
  <c r="D244" i="26"/>
  <c r="F243" i="26"/>
  <c r="G243" i="26" s="1"/>
  <c r="D243" i="26"/>
  <c r="F242" i="26"/>
  <c r="G242" i="26" s="1"/>
  <c r="D242" i="26"/>
  <c r="F241" i="26"/>
  <c r="G241" i="26" s="1"/>
  <c r="D241" i="26"/>
  <c r="F240" i="26"/>
  <c r="G240" i="26" s="1"/>
  <c r="D240" i="26"/>
  <c r="F239" i="26"/>
  <c r="G239" i="26" s="1"/>
  <c r="D239" i="26"/>
  <c r="F238" i="26"/>
  <c r="G238" i="26" s="1"/>
  <c r="D238" i="26"/>
  <c r="F237" i="26"/>
  <c r="G237" i="26" s="1"/>
  <c r="D237" i="26"/>
  <c r="F236" i="26"/>
  <c r="G236" i="26" s="1"/>
  <c r="D236" i="26"/>
  <c r="F235" i="26"/>
  <c r="G235" i="26" s="1"/>
  <c r="D235" i="26"/>
  <c r="F234" i="26"/>
  <c r="G234" i="26" s="1"/>
  <c r="D234" i="26"/>
  <c r="F233" i="26"/>
  <c r="G233" i="26" s="1"/>
  <c r="D233" i="26"/>
  <c r="F232" i="26"/>
  <c r="G232" i="26" s="1"/>
  <c r="D232" i="26"/>
  <c r="F231" i="26"/>
  <c r="G231" i="26" s="1"/>
  <c r="D231" i="26"/>
  <c r="F230" i="26"/>
  <c r="G230" i="26" s="1"/>
  <c r="D230" i="26"/>
  <c r="F229" i="26"/>
  <c r="G229" i="26" s="1"/>
  <c r="D229" i="26"/>
  <c r="F228" i="26"/>
  <c r="G228" i="26" s="1"/>
  <c r="D228" i="26"/>
  <c r="F227" i="26"/>
  <c r="G227" i="26" s="1"/>
  <c r="D227" i="26"/>
  <c r="F226" i="26"/>
  <c r="G226" i="26" s="1"/>
  <c r="D226" i="26"/>
  <c r="F225" i="26"/>
  <c r="G225" i="26" s="1"/>
  <c r="D225" i="26"/>
  <c r="F224" i="26"/>
  <c r="G224" i="26" s="1"/>
  <c r="D224" i="26"/>
  <c r="F223" i="26"/>
  <c r="G223" i="26" s="1"/>
  <c r="D223" i="26"/>
  <c r="F222" i="26"/>
  <c r="G222" i="26" s="1"/>
  <c r="D222" i="26"/>
  <c r="F221" i="26"/>
  <c r="G221" i="26" s="1"/>
  <c r="D221" i="26"/>
  <c r="F220" i="26"/>
  <c r="G220" i="26" s="1"/>
  <c r="D220" i="26"/>
  <c r="F219" i="26"/>
  <c r="G219" i="26" s="1"/>
  <c r="D219" i="26"/>
  <c r="F218" i="26"/>
  <c r="G218" i="26" s="1"/>
  <c r="D218" i="26"/>
  <c r="F217" i="26"/>
  <c r="G217" i="26" s="1"/>
  <c r="D217" i="26"/>
  <c r="F216" i="26"/>
  <c r="G216" i="26" s="1"/>
  <c r="D216" i="26"/>
  <c r="F215" i="26"/>
  <c r="G215" i="26" s="1"/>
  <c r="D215" i="26"/>
  <c r="F214" i="26"/>
  <c r="G214" i="26" s="1"/>
  <c r="D214" i="26"/>
  <c r="F213" i="26"/>
  <c r="G213" i="26" s="1"/>
  <c r="D213" i="26"/>
  <c r="F212" i="26"/>
  <c r="G212" i="26" s="1"/>
  <c r="D212" i="26"/>
  <c r="F211" i="26"/>
  <c r="G211" i="26" s="1"/>
  <c r="D211" i="26"/>
  <c r="F210" i="26"/>
  <c r="G210" i="26" s="1"/>
  <c r="D210" i="26"/>
  <c r="F209" i="26"/>
  <c r="G209" i="26" s="1"/>
  <c r="D209" i="26"/>
  <c r="F208" i="26"/>
  <c r="G208" i="26" s="1"/>
  <c r="D208" i="26"/>
  <c r="F207" i="26"/>
  <c r="G207" i="26" s="1"/>
  <c r="D207" i="26"/>
  <c r="F206" i="26"/>
  <c r="G206" i="26" s="1"/>
  <c r="D206" i="26"/>
  <c r="F205" i="26"/>
  <c r="G205" i="26" s="1"/>
  <c r="D205" i="26"/>
  <c r="F204" i="26"/>
  <c r="G204" i="26" s="1"/>
  <c r="D204" i="26"/>
  <c r="F203" i="26"/>
  <c r="G203" i="26" s="1"/>
  <c r="D203" i="26"/>
  <c r="F202" i="26"/>
  <c r="G202" i="26" s="1"/>
  <c r="D202" i="26"/>
  <c r="F201" i="26"/>
  <c r="G201" i="26" s="1"/>
  <c r="D201" i="26"/>
  <c r="F200" i="26"/>
  <c r="G200" i="26" s="1"/>
  <c r="D200" i="26"/>
  <c r="F199" i="26"/>
  <c r="G199" i="26" s="1"/>
  <c r="D199" i="26"/>
  <c r="F198" i="26"/>
  <c r="G198" i="26" s="1"/>
  <c r="D198" i="26"/>
  <c r="F197" i="26"/>
  <c r="G197" i="26" s="1"/>
  <c r="D197" i="26"/>
  <c r="F196" i="26"/>
  <c r="G196" i="26" s="1"/>
  <c r="D196" i="26"/>
  <c r="F195" i="26"/>
  <c r="G195" i="26" s="1"/>
  <c r="D195" i="26"/>
  <c r="F194" i="26"/>
  <c r="G194" i="26" s="1"/>
  <c r="D194" i="26"/>
  <c r="F193" i="26"/>
  <c r="G193" i="26" s="1"/>
  <c r="D193" i="26"/>
  <c r="F192" i="26"/>
  <c r="G192" i="26" s="1"/>
  <c r="D192" i="26"/>
  <c r="F191" i="26"/>
  <c r="G191" i="26" s="1"/>
  <c r="D191" i="26"/>
  <c r="F190" i="26"/>
  <c r="G190" i="26" s="1"/>
  <c r="D190" i="26"/>
  <c r="F189" i="26"/>
  <c r="G189" i="26" s="1"/>
  <c r="D189" i="26"/>
  <c r="F188" i="26"/>
  <c r="G188" i="26" s="1"/>
  <c r="D188" i="26"/>
  <c r="F187" i="26"/>
  <c r="G187" i="26" s="1"/>
  <c r="D187" i="26"/>
  <c r="F186" i="26"/>
  <c r="G186" i="26" s="1"/>
  <c r="D186" i="26"/>
  <c r="F185" i="26"/>
  <c r="G185" i="26" s="1"/>
  <c r="D185" i="26"/>
  <c r="F184" i="26"/>
  <c r="G184" i="26" s="1"/>
  <c r="D184" i="26"/>
  <c r="F183" i="26"/>
  <c r="G183" i="26" s="1"/>
  <c r="D183" i="26"/>
  <c r="F182" i="26"/>
  <c r="G182" i="26" s="1"/>
  <c r="D182" i="26"/>
  <c r="F181" i="26"/>
  <c r="G181" i="26" s="1"/>
  <c r="D181" i="26"/>
  <c r="F180" i="26"/>
  <c r="G180" i="26" s="1"/>
  <c r="D180" i="26"/>
  <c r="F179" i="26"/>
  <c r="G179" i="26" s="1"/>
  <c r="D179" i="26"/>
  <c r="F178" i="26"/>
  <c r="G178" i="26" s="1"/>
  <c r="D178" i="26"/>
  <c r="F177" i="26"/>
  <c r="G177" i="26" s="1"/>
  <c r="D177" i="26"/>
  <c r="F176" i="26"/>
  <c r="G176" i="26" s="1"/>
  <c r="D176" i="26"/>
  <c r="F175" i="26"/>
  <c r="G175" i="26" s="1"/>
  <c r="D175" i="26"/>
  <c r="F174" i="26"/>
  <c r="G174" i="26" s="1"/>
  <c r="D174" i="26"/>
  <c r="F173" i="26"/>
  <c r="G173" i="26" s="1"/>
  <c r="D173" i="26"/>
  <c r="F172" i="26"/>
  <c r="G172" i="26" s="1"/>
  <c r="D172" i="26"/>
  <c r="F171" i="26"/>
  <c r="G171" i="26" s="1"/>
  <c r="D171" i="26"/>
  <c r="F170" i="26"/>
  <c r="G170" i="26" s="1"/>
  <c r="D170" i="26"/>
  <c r="F169" i="26"/>
  <c r="G169" i="26" s="1"/>
  <c r="D169" i="26"/>
  <c r="F168" i="26"/>
  <c r="G168" i="26" s="1"/>
  <c r="D168" i="26"/>
  <c r="F167" i="26"/>
  <c r="G167" i="26" s="1"/>
  <c r="D167" i="26"/>
  <c r="F166" i="26"/>
  <c r="G166" i="26" s="1"/>
  <c r="D166" i="26"/>
  <c r="F165" i="26"/>
  <c r="G165" i="26" s="1"/>
  <c r="D165" i="26"/>
  <c r="F164" i="26"/>
  <c r="G164" i="26" s="1"/>
  <c r="D164" i="26"/>
  <c r="F163" i="26"/>
  <c r="G163" i="26" s="1"/>
  <c r="D163" i="26"/>
  <c r="F162" i="26"/>
  <c r="G162" i="26" s="1"/>
  <c r="D162" i="26"/>
  <c r="F161" i="26"/>
  <c r="G161" i="26" s="1"/>
  <c r="D161" i="26"/>
  <c r="F160" i="26"/>
  <c r="G160" i="26" s="1"/>
  <c r="D160" i="26"/>
  <c r="F159" i="26"/>
  <c r="G159" i="26" s="1"/>
  <c r="D159" i="26"/>
  <c r="F158" i="26"/>
  <c r="G158" i="26" s="1"/>
  <c r="D158" i="26"/>
  <c r="F157" i="26"/>
  <c r="G157" i="26" s="1"/>
  <c r="D157" i="26"/>
  <c r="F156" i="26"/>
  <c r="G156" i="26" s="1"/>
  <c r="D156" i="26"/>
  <c r="F155" i="26"/>
  <c r="G155" i="26" s="1"/>
  <c r="D155" i="26"/>
  <c r="F154" i="26"/>
  <c r="G154" i="26" s="1"/>
  <c r="D154" i="26"/>
  <c r="F153" i="26"/>
  <c r="G153" i="26" s="1"/>
  <c r="D153" i="26"/>
  <c r="F152" i="26"/>
  <c r="G152" i="26" s="1"/>
  <c r="D152" i="26"/>
  <c r="F151" i="26"/>
  <c r="G151" i="26" s="1"/>
  <c r="D151" i="26"/>
  <c r="F150" i="26"/>
  <c r="G150" i="26" s="1"/>
  <c r="D150" i="26"/>
  <c r="F149" i="26"/>
  <c r="G149" i="26" s="1"/>
  <c r="D149" i="26"/>
  <c r="F148" i="26"/>
  <c r="G148" i="26" s="1"/>
  <c r="D148" i="26"/>
  <c r="F147" i="26"/>
  <c r="G147" i="26" s="1"/>
  <c r="D147" i="26"/>
  <c r="F146" i="26"/>
  <c r="G146" i="26" s="1"/>
  <c r="D146" i="26"/>
  <c r="F145" i="26"/>
  <c r="G145" i="26" s="1"/>
  <c r="D145" i="26"/>
  <c r="F144" i="26"/>
  <c r="G144" i="26" s="1"/>
  <c r="D144" i="26"/>
  <c r="F143" i="26"/>
  <c r="G143" i="26" s="1"/>
  <c r="D143" i="26"/>
  <c r="F142" i="26"/>
  <c r="G142" i="26" s="1"/>
  <c r="D142" i="26"/>
  <c r="F141" i="26"/>
  <c r="G141" i="26" s="1"/>
  <c r="D141" i="26"/>
  <c r="F140" i="26"/>
  <c r="G140" i="26" s="1"/>
  <c r="D140" i="26"/>
  <c r="F139" i="26"/>
  <c r="G139" i="26" s="1"/>
  <c r="D139" i="26"/>
  <c r="F138" i="26"/>
  <c r="G138" i="26" s="1"/>
  <c r="D138" i="26"/>
  <c r="F137" i="26"/>
  <c r="G137" i="26" s="1"/>
  <c r="D137" i="26"/>
  <c r="F136" i="26"/>
  <c r="G136" i="26" s="1"/>
  <c r="D136" i="26"/>
  <c r="G135" i="26"/>
  <c r="F135" i="26"/>
  <c r="D135" i="26"/>
  <c r="F134" i="26"/>
  <c r="G134" i="26" s="1"/>
  <c r="D134" i="26"/>
  <c r="F133" i="26"/>
  <c r="G133" i="26" s="1"/>
  <c r="D133" i="26"/>
  <c r="F132" i="26"/>
  <c r="G132" i="26" s="1"/>
  <c r="D132" i="26"/>
  <c r="F131" i="26"/>
  <c r="G131" i="26" s="1"/>
  <c r="D131" i="26"/>
  <c r="F130" i="26"/>
  <c r="G130" i="26" s="1"/>
  <c r="D130" i="26"/>
  <c r="F129" i="26"/>
  <c r="G129" i="26" s="1"/>
  <c r="D129" i="26"/>
  <c r="F128" i="26"/>
  <c r="G128" i="26" s="1"/>
  <c r="D128" i="26"/>
  <c r="F127" i="26"/>
  <c r="G127" i="26" s="1"/>
  <c r="D127" i="26"/>
  <c r="F126" i="26"/>
  <c r="G126" i="26" s="1"/>
  <c r="D126" i="26"/>
  <c r="F125" i="26"/>
  <c r="G125" i="26" s="1"/>
  <c r="D125" i="26"/>
  <c r="F124" i="26"/>
  <c r="G124" i="26" s="1"/>
  <c r="D124" i="26"/>
  <c r="F123" i="26"/>
  <c r="G123" i="26" s="1"/>
  <c r="D123" i="26"/>
  <c r="F122" i="26"/>
  <c r="G122" i="26" s="1"/>
  <c r="D122" i="26"/>
  <c r="F121" i="26"/>
  <c r="G121" i="26" s="1"/>
  <c r="D121" i="26"/>
  <c r="F120" i="26"/>
  <c r="G120" i="26" s="1"/>
  <c r="D120" i="26"/>
  <c r="F119" i="26"/>
  <c r="G119" i="26" s="1"/>
  <c r="D119" i="26"/>
  <c r="F118" i="26"/>
  <c r="G118" i="26" s="1"/>
  <c r="D118" i="26"/>
  <c r="F117" i="26"/>
  <c r="G117" i="26" s="1"/>
  <c r="D117" i="26"/>
  <c r="G116" i="26"/>
  <c r="F116" i="26"/>
  <c r="D116" i="26"/>
  <c r="F115" i="26"/>
  <c r="G115" i="26" s="1"/>
  <c r="D115" i="26"/>
  <c r="F114" i="26"/>
  <c r="G114" i="26" s="1"/>
  <c r="D114" i="26"/>
  <c r="F113" i="26"/>
  <c r="G113" i="26" s="1"/>
  <c r="D113" i="26"/>
  <c r="F112" i="26"/>
  <c r="G112" i="26" s="1"/>
  <c r="D112" i="26"/>
  <c r="F111" i="26"/>
  <c r="G111" i="26" s="1"/>
  <c r="D111" i="26"/>
  <c r="F110" i="26"/>
  <c r="G110" i="26" s="1"/>
  <c r="D110" i="26"/>
  <c r="F109" i="26"/>
  <c r="G109" i="26" s="1"/>
  <c r="D109" i="26"/>
  <c r="F108" i="26"/>
  <c r="G108" i="26" s="1"/>
  <c r="D108" i="26"/>
  <c r="F107" i="26"/>
  <c r="G107" i="26" s="1"/>
  <c r="D107" i="26"/>
  <c r="F106" i="26"/>
  <c r="G106" i="26" s="1"/>
  <c r="D106" i="26"/>
  <c r="F105" i="26"/>
  <c r="G105" i="26" s="1"/>
  <c r="D105" i="26"/>
  <c r="F104" i="26"/>
  <c r="G104" i="26" s="1"/>
  <c r="D104" i="26"/>
  <c r="G103" i="26"/>
  <c r="F103" i="26"/>
  <c r="D103" i="26"/>
  <c r="F102" i="26"/>
  <c r="G102" i="26" s="1"/>
  <c r="D102" i="26"/>
  <c r="F101" i="26"/>
  <c r="G101" i="26" s="1"/>
  <c r="D101" i="26"/>
  <c r="F100" i="26"/>
  <c r="G100" i="26" s="1"/>
  <c r="D100" i="26"/>
  <c r="F99" i="26"/>
  <c r="G99" i="26" s="1"/>
  <c r="D99" i="26"/>
  <c r="F98" i="26"/>
  <c r="G98" i="26" s="1"/>
  <c r="D98" i="26"/>
  <c r="F97" i="26"/>
  <c r="G97" i="26" s="1"/>
  <c r="D97" i="26"/>
  <c r="F96" i="26"/>
  <c r="G96" i="26" s="1"/>
  <c r="D96" i="26"/>
  <c r="F95" i="26"/>
  <c r="G95" i="26" s="1"/>
  <c r="D95" i="26"/>
  <c r="F94" i="26"/>
  <c r="G94" i="26" s="1"/>
  <c r="D94" i="26"/>
  <c r="F93" i="26"/>
  <c r="G93" i="26" s="1"/>
  <c r="D93" i="26"/>
  <c r="F92" i="26"/>
  <c r="G92" i="26" s="1"/>
  <c r="D92" i="26"/>
  <c r="F91" i="26"/>
  <c r="G91" i="26" s="1"/>
  <c r="D91" i="26"/>
  <c r="F90" i="26"/>
  <c r="G90" i="26" s="1"/>
  <c r="D90" i="26"/>
  <c r="F89" i="26"/>
  <c r="G89" i="26" s="1"/>
  <c r="D89" i="26"/>
  <c r="F88" i="26"/>
  <c r="G88" i="26" s="1"/>
  <c r="D88" i="26"/>
  <c r="F87" i="26"/>
  <c r="G87" i="26" s="1"/>
  <c r="D87" i="26"/>
  <c r="F86" i="26"/>
  <c r="G86" i="26" s="1"/>
  <c r="D86" i="26"/>
  <c r="F85" i="26"/>
  <c r="G85" i="26" s="1"/>
  <c r="D85" i="26"/>
  <c r="F84" i="26"/>
  <c r="G84" i="26" s="1"/>
  <c r="D84" i="26"/>
  <c r="F83" i="26"/>
  <c r="G83" i="26" s="1"/>
  <c r="D83" i="26"/>
  <c r="F82" i="26"/>
  <c r="G82" i="26" s="1"/>
  <c r="D82" i="26"/>
  <c r="F81" i="26"/>
  <c r="G81" i="26" s="1"/>
  <c r="D81" i="26"/>
  <c r="F80" i="26"/>
  <c r="G80" i="26" s="1"/>
  <c r="D80" i="26"/>
  <c r="F79" i="26"/>
  <c r="G79" i="26" s="1"/>
  <c r="D79" i="26"/>
  <c r="F78" i="26"/>
  <c r="G78" i="26" s="1"/>
  <c r="D78" i="26"/>
  <c r="F77" i="26"/>
  <c r="G77" i="26" s="1"/>
  <c r="D77" i="26"/>
  <c r="F76" i="26"/>
  <c r="G76" i="26" s="1"/>
  <c r="D76" i="26"/>
  <c r="F75" i="26"/>
  <c r="G75" i="26" s="1"/>
  <c r="D75" i="26"/>
  <c r="F74" i="26"/>
  <c r="G74" i="26" s="1"/>
  <c r="D74" i="26"/>
  <c r="F73" i="26"/>
  <c r="G73" i="26" s="1"/>
  <c r="D73" i="26"/>
  <c r="F72" i="26"/>
  <c r="G72" i="26" s="1"/>
  <c r="D72" i="26"/>
  <c r="F71" i="26"/>
  <c r="G71" i="26" s="1"/>
  <c r="D71" i="26"/>
  <c r="F70" i="26"/>
  <c r="G70" i="26" s="1"/>
  <c r="D70" i="26"/>
  <c r="F69" i="26"/>
  <c r="G69" i="26" s="1"/>
  <c r="D69" i="26"/>
  <c r="F68" i="26"/>
  <c r="G68" i="26" s="1"/>
  <c r="D68" i="26"/>
  <c r="F67" i="26"/>
  <c r="G67" i="26" s="1"/>
  <c r="D67" i="26"/>
  <c r="F66" i="26"/>
  <c r="G66" i="26" s="1"/>
  <c r="D66" i="26"/>
  <c r="F65" i="26"/>
  <c r="G65" i="26" s="1"/>
  <c r="D65" i="26"/>
  <c r="F64" i="26"/>
  <c r="G64" i="26" s="1"/>
  <c r="D64" i="26"/>
  <c r="F63" i="26"/>
  <c r="G63" i="26" s="1"/>
  <c r="D63" i="26"/>
  <c r="F62" i="26"/>
  <c r="G62" i="26" s="1"/>
  <c r="D62" i="26"/>
  <c r="F61" i="26"/>
  <c r="G61" i="26" s="1"/>
  <c r="D61" i="26"/>
  <c r="F60" i="26"/>
  <c r="G60" i="26" s="1"/>
  <c r="D60" i="26"/>
  <c r="F59" i="26"/>
  <c r="G59" i="26" s="1"/>
  <c r="D59" i="26"/>
  <c r="F58" i="26"/>
  <c r="G58" i="26" s="1"/>
  <c r="D58" i="26"/>
  <c r="F57" i="26"/>
  <c r="G57" i="26" s="1"/>
  <c r="D57" i="26"/>
  <c r="F56" i="26"/>
  <c r="G56" i="26" s="1"/>
  <c r="D56" i="26"/>
  <c r="F55" i="26"/>
  <c r="G55" i="26" s="1"/>
  <c r="D55" i="26"/>
  <c r="F54" i="26"/>
  <c r="G54" i="26" s="1"/>
  <c r="D54" i="26"/>
  <c r="F53" i="26"/>
  <c r="G53" i="26" s="1"/>
  <c r="D53" i="26"/>
  <c r="F52" i="26"/>
  <c r="G52" i="26" s="1"/>
  <c r="D52" i="26"/>
  <c r="F51" i="26"/>
  <c r="G51" i="26" s="1"/>
  <c r="D51" i="26"/>
  <c r="F50" i="26"/>
  <c r="G50" i="26" s="1"/>
  <c r="D50" i="26"/>
  <c r="F49" i="26"/>
  <c r="G49" i="26" s="1"/>
  <c r="D49" i="26"/>
  <c r="F48" i="26"/>
  <c r="G48" i="26" s="1"/>
  <c r="D48" i="26"/>
  <c r="F47" i="26"/>
  <c r="G47" i="26" s="1"/>
  <c r="D47" i="26"/>
  <c r="F46" i="26"/>
  <c r="G46" i="26" s="1"/>
  <c r="D46" i="26"/>
  <c r="F45" i="26"/>
  <c r="G45" i="26" s="1"/>
  <c r="D45" i="26"/>
  <c r="F44" i="26"/>
  <c r="G44" i="26" s="1"/>
  <c r="D44" i="26"/>
  <c r="F43" i="26"/>
  <c r="G43" i="26" s="1"/>
  <c r="D43" i="26"/>
  <c r="F42" i="26"/>
  <c r="G42" i="26" s="1"/>
  <c r="D42" i="26"/>
  <c r="F41" i="26"/>
  <c r="G41" i="26" s="1"/>
  <c r="D41" i="26"/>
  <c r="F40" i="26"/>
  <c r="G40" i="26" s="1"/>
  <c r="D40" i="26"/>
  <c r="G39" i="26"/>
  <c r="F39" i="26"/>
  <c r="D39" i="26"/>
  <c r="F38" i="26"/>
  <c r="G38" i="26" s="1"/>
  <c r="D38" i="26"/>
  <c r="F37" i="26"/>
  <c r="G37" i="26" s="1"/>
  <c r="D37" i="26"/>
  <c r="F36" i="26"/>
  <c r="G36" i="26" s="1"/>
  <c r="D36" i="26"/>
  <c r="F35" i="26"/>
  <c r="G35" i="26" s="1"/>
  <c r="D35" i="26"/>
  <c r="F34" i="26"/>
  <c r="G34" i="26" s="1"/>
  <c r="D34" i="26"/>
  <c r="F33" i="26"/>
  <c r="G33" i="26" s="1"/>
  <c r="D33" i="26"/>
  <c r="F32" i="26"/>
  <c r="G32" i="26" s="1"/>
  <c r="D32" i="26"/>
  <c r="F31" i="26"/>
  <c r="G31" i="26" s="1"/>
  <c r="D31" i="26"/>
  <c r="F30" i="26"/>
  <c r="G30" i="26" s="1"/>
  <c r="D30" i="26"/>
  <c r="F29" i="26"/>
  <c r="G29" i="26" s="1"/>
  <c r="D29" i="26"/>
  <c r="F28" i="26"/>
  <c r="G28" i="26" s="1"/>
  <c r="D28" i="26"/>
  <c r="F27" i="26"/>
  <c r="G27" i="26" s="1"/>
  <c r="D27" i="26"/>
  <c r="F26" i="26"/>
  <c r="G26" i="26" s="1"/>
  <c r="D26" i="26"/>
  <c r="F25" i="26"/>
  <c r="G25" i="26" s="1"/>
  <c r="D25" i="26"/>
  <c r="F24" i="26"/>
  <c r="G24" i="26" s="1"/>
  <c r="D24" i="26"/>
  <c r="F23" i="26"/>
  <c r="G23" i="26" s="1"/>
  <c r="D23" i="26"/>
  <c r="F22" i="26"/>
  <c r="G22" i="26" s="1"/>
  <c r="D22" i="26"/>
  <c r="F21" i="26"/>
  <c r="G21" i="26" s="1"/>
  <c r="D21" i="26"/>
  <c r="F20" i="26"/>
  <c r="G20" i="26" s="1"/>
  <c r="D20" i="26"/>
  <c r="F19" i="26"/>
  <c r="G19" i="26" s="1"/>
  <c r="D19" i="26"/>
  <c r="F18" i="26"/>
  <c r="G18" i="26" s="1"/>
  <c r="D18" i="26"/>
  <c r="F17" i="26"/>
  <c r="G17" i="26" s="1"/>
  <c r="D17" i="26"/>
  <c r="F16" i="26"/>
  <c r="G16" i="26" s="1"/>
  <c r="D16" i="26"/>
  <c r="F15" i="26"/>
  <c r="G15" i="26" s="1"/>
  <c r="D15" i="26"/>
  <c r="G14" i="26"/>
  <c r="F14" i="26"/>
  <c r="D14" i="26"/>
  <c r="F13" i="26"/>
  <c r="G13" i="26" s="1"/>
  <c r="D13" i="26"/>
  <c r="F12" i="26"/>
  <c r="G12" i="26" s="1"/>
  <c r="D12" i="26"/>
  <c r="I54" i="25"/>
  <c r="G54" i="25"/>
  <c r="J54" i="25" s="1"/>
  <c r="I53" i="25"/>
  <c r="G53" i="25"/>
  <c r="J53" i="25" s="1"/>
  <c r="J52" i="25"/>
  <c r="I52" i="25"/>
  <c r="G52" i="25"/>
  <c r="J51" i="25"/>
  <c r="I51" i="25"/>
  <c r="G51" i="25"/>
  <c r="I50" i="25"/>
  <c r="G50" i="25"/>
  <c r="J50" i="25" s="1"/>
  <c r="I49" i="25"/>
  <c r="G49" i="25"/>
  <c r="J49" i="25" s="1"/>
  <c r="J48" i="25"/>
  <c r="I48" i="25"/>
  <c r="G48" i="25"/>
  <c r="J47" i="25"/>
  <c r="I47" i="25"/>
  <c r="G47" i="25"/>
  <c r="I46" i="25"/>
  <c r="G46" i="25"/>
  <c r="J46" i="25" s="1"/>
  <c r="I45" i="25"/>
  <c r="G45" i="25"/>
  <c r="J45" i="25" s="1"/>
  <c r="J44" i="25"/>
  <c r="I44" i="25"/>
  <c r="G44" i="25"/>
  <c r="J43" i="25"/>
  <c r="I43" i="25"/>
  <c r="G43" i="25"/>
  <c r="I42" i="25"/>
  <c r="G42" i="25"/>
  <c r="J42" i="25" s="1"/>
  <c r="I41" i="25"/>
  <c r="G41" i="25"/>
  <c r="J41" i="25" s="1"/>
  <c r="J40" i="25"/>
  <c r="I40" i="25"/>
  <c r="G40" i="25"/>
  <c r="J39" i="25"/>
  <c r="I39" i="25"/>
  <c r="G39" i="25"/>
  <c r="I38" i="25"/>
  <c r="G38" i="25"/>
  <c r="J38" i="25" s="1"/>
  <c r="I37" i="25"/>
  <c r="G37" i="25"/>
  <c r="J37" i="25" s="1"/>
  <c r="J36" i="25"/>
  <c r="I36" i="25"/>
  <c r="G36" i="25"/>
  <c r="J35" i="25"/>
  <c r="I35" i="25"/>
  <c r="G35" i="25"/>
  <c r="I34" i="25"/>
  <c r="G34" i="25"/>
  <c r="J34" i="25" s="1"/>
  <c r="I33" i="25"/>
  <c r="G33" i="25"/>
  <c r="J33" i="25" s="1"/>
  <c r="J32" i="25"/>
  <c r="I32" i="25"/>
  <c r="G32" i="25"/>
  <c r="J31" i="25"/>
  <c r="I31" i="25"/>
  <c r="G31" i="25"/>
  <c r="I30" i="25"/>
  <c r="G30" i="25"/>
  <c r="J30" i="25" s="1"/>
  <c r="I29" i="25"/>
  <c r="G29" i="25"/>
  <c r="J29" i="25" s="1"/>
  <c r="J28" i="25"/>
  <c r="I28" i="25"/>
  <c r="G28" i="25"/>
  <c r="J27" i="25"/>
  <c r="I27" i="25"/>
  <c r="G27" i="25"/>
  <c r="I26" i="25"/>
  <c r="G26" i="25"/>
  <c r="J26" i="25" s="1"/>
  <c r="I25" i="25"/>
  <c r="G25" i="25"/>
  <c r="J25" i="25" s="1"/>
  <c r="J24" i="25"/>
  <c r="I24" i="25"/>
  <c r="G24" i="25"/>
  <c r="J23" i="25"/>
  <c r="I23" i="25"/>
  <c r="G23" i="25"/>
  <c r="I22" i="25"/>
  <c r="G22" i="25"/>
  <c r="J22" i="25" s="1"/>
  <c r="I21" i="25"/>
  <c r="G21" i="25"/>
  <c r="J21" i="25" s="1"/>
  <c r="J20" i="25"/>
  <c r="I20" i="25"/>
  <c r="G20" i="25"/>
  <c r="J19" i="25"/>
  <c r="I19" i="25"/>
  <c r="G19" i="25"/>
  <c r="I18" i="25"/>
  <c r="G18" i="25"/>
  <c r="J18" i="25" s="1"/>
  <c r="I17" i="25"/>
  <c r="G17" i="25"/>
  <c r="J17" i="25" s="1"/>
  <c r="J16" i="25"/>
  <c r="I16" i="25"/>
  <c r="G16" i="25"/>
  <c r="J15" i="25"/>
  <c r="I15" i="25"/>
  <c r="G15" i="25"/>
  <c r="I14" i="25"/>
  <c r="G14" i="25"/>
  <c r="J14" i="25" s="1"/>
  <c r="I13" i="25"/>
  <c r="G13" i="25"/>
  <c r="J13" i="25" s="1"/>
  <c r="J12" i="25"/>
  <c r="I12" i="25"/>
  <c r="G12" i="25"/>
  <c r="J11" i="25"/>
  <c r="I11" i="25"/>
  <c r="G11" i="25"/>
  <c r="I10" i="25"/>
  <c r="G10" i="25"/>
  <c r="J10" i="25" s="1"/>
  <c r="J57" i="25" s="1"/>
  <c r="I9" i="25"/>
  <c r="G9" i="25"/>
  <c r="J9" i="25" s="1"/>
  <c r="J8" i="25"/>
  <c r="I8" i="25"/>
  <c r="G8" i="25"/>
  <c r="J7" i="25"/>
  <c r="I7" i="25"/>
  <c r="G7" i="25"/>
  <c r="I6" i="25"/>
  <c r="I57" i="25" s="1"/>
  <c r="G6" i="25"/>
  <c r="J6" i="25" s="1"/>
  <c r="K205" i="24"/>
  <c r="L205" i="24" s="1"/>
  <c r="I205" i="24"/>
  <c r="J205" i="24" s="1"/>
  <c r="I202" i="24"/>
  <c r="K202" i="24" s="1"/>
  <c r="L202" i="24" s="1"/>
  <c r="I201" i="24"/>
  <c r="J201" i="24" s="1"/>
  <c r="M201" i="24" s="1"/>
  <c r="I200" i="24"/>
  <c r="I199" i="24"/>
  <c r="K199" i="24" s="1"/>
  <c r="L199" i="24" s="1"/>
  <c r="K198" i="24"/>
  <c r="L198" i="24" s="1"/>
  <c r="J198" i="24"/>
  <c r="M198" i="24" s="1"/>
  <c r="I198" i="24"/>
  <c r="I197" i="24"/>
  <c r="J197" i="24" s="1"/>
  <c r="M197" i="24" s="1"/>
  <c r="I196" i="24"/>
  <c r="I192" i="24"/>
  <c r="J192" i="24" s="1"/>
  <c r="J189" i="24"/>
  <c r="M189" i="24" s="1"/>
  <c r="I189" i="24"/>
  <c r="K189" i="24" s="1"/>
  <c r="L189" i="24" s="1"/>
  <c r="I188" i="24"/>
  <c r="J188" i="24" s="1"/>
  <c r="M188" i="24" s="1"/>
  <c r="M190" i="24" s="1"/>
  <c r="I185" i="24"/>
  <c r="K185" i="24" s="1"/>
  <c r="L185" i="24" s="1"/>
  <c r="I184" i="24"/>
  <c r="K184" i="24" s="1"/>
  <c r="L184" i="24" s="1"/>
  <c r="I183" i="24"/>
  <c r="I182" i="24"/>
  <c r="K182" i="24" s="1"/>
  <c r="L182" i="24" s="1"/>
  <c r="J181" i="24"/>
  <c r="M181" i="24" s="1"/>
  <c r="I181" i="24"/>
  <c r="K181" i="24" s="1"/>
  <c r="L181" i="24" s="1"/>
  <c r="I180" i="24"/>
  <c r="J180" i="24" s="1"/>
  <c r="M180" i="24" s="1"/>
  <c r="I179" i="24"/>
  <c r="J178" i="24"/>
  <c r="M178" i="24" s="1"/>
  <c r="I178" i="24"/>
  <c r="K178" i="24" s="1"/>
  <c r="L178" i="24" s="1"/>
  <c r="K177" i="24"/>
  <c r="L177" i="24" s="1"/>
  <c r="I177" i="24"/>
  <c r="J177" i="24" s="1"/>
  <c r="M177" i="24" s="1"/>
  <c r="K176" i="24"/>
  <c r="L176" i="24" s="1"/>
  <c r="I176" i="24"/>
  <c r="J176" i="24" s="1"/>
  <c r="M176" i="24" s="1"/>
  <c r="I175" i="24"/>
  <c r="I174" i="24"/>
  <c r="K174" i="24" s="1"/>
  <c r="L174" i="24" s="1"/>
  <c r="I171" i="24"/>
  <c r="I170" i="24"/>
  <c r="K170" i="24" s="1"/>
  <c r="L170" i="24" s="1"/>
  <c r="J169" i="24"/>
  <c r="M169" i="24" s="1"/>
  <c r="I169" i="24"/>
  <c r="K169" i="24" s="1"/>
  <c r="L169" i="24" s="1"/>
  <c r="K168" i="24"/>
  <c r="L168" i="24" s="1"/>
  <c r="I168" i="24"/>
  <c r="J168" i="24" s="1"/>
  <c r="M168" i="24" s="1"/>
  <c r="I167" i="24"/>
  <c r="I166" i="24"/>
  <c r="K166" i="24" s="1"/>
  <c r="L166" i="24" s="1"/>
  <c r="I165" i="24"/>
  <c r="K165" i="24" s="1"/>
  <c r="L165" i="24" s="1"/>
  <c r="I164" i="24"/>
  <c r="J164" i="24" s="1"/>
  <c r="M164" i="24" s="1"/>
  <c r="I163" i="24"/>
  <c r="I162" i="24"/>
  <c r="K162" i="24" s="1"/>
  <c r="L162" i="24" s="1"/>
  <c r="I161" i="24"/>
  <c r="K161" i="24" s="1"/>
  <c r="L161" i="24" s="1"/>
  <c r="K160" i="24"/>
  <c r="L160" i="24" s="1"/>
  <c r="I160" i="24"/>
  <c r="J160" i="24" s="1"/>
  <c r="I157" i="24"/>
  <c r="K157" i="24" s="1"/>
  <c r="L157" i="24" s="1"/>
  <c r="I156" i="24"/>
  <c r="J156" i="24" s="1"/>
  <c r="M156" i="24" s="1"/>
  <c r="I155" i="24"/>
  <c r="I154" i="24"/>
  <c r="K154" i="24" s="1"/>
  <c r="L154" i="24" s="1"/>
  <c r="I153" i="24"/>
  <c r="K153" i="24" s="1"/>
  <c r="L153" i="24" s="1"/>
  <c r="K152" i="24"/>
  <c r="L152" i="24" s="1"/>
  <c r="I152" i="24"/>
  <c r="J152" i="24" s="1"/>
  <c r="M152" i="24" s="1"/>
  <c r="I151" i="24"/>
  <c r="I150" i="24"/>
  <c r="K150" i="24" s="1"/>
  <c r="L150" i="24" s="1"/>
  <c r="K149" i="24"/>
  <c r="L149" i="24" s="1"/>
  <c r="I149" i="24"/>
  <c r="J149" i="24" s="1"/>
  <c r="M149" i="24" s="1"/>
  <c r="I148" i="24"/>
  <c r="J148" i="24" s="1"/>
  <c r="M148" i="24" s="1"/>
  <c r="I147" i="24"/>
  <c r="I146" i="24"/>
  <c r="K146" i="24" s="1"/>
  <c r="L146" i="24" s="1"/>
  <c r="K145" i="24"/>
  <c r="L145" i="24" s="1"/>
  <c r="J145" i="24"/>
  <c r="M145" i="24" s="1"/>
  <c r="I145" i="24"/>
  <c r="I144" i="24"/>
  <c r="J144" i="24" s="1"/>
  <c r="M144" i="24" s="1"/>
  <c r="I143" i="24"/>
  <c r="I142" i="24"/>
  <c r="K142" i="24" s="1"/>
  <c r="L142" i="24" s="1"/>
  <c r="I141" i="24"/>
  <c r="K141" i="24" s="1"/>
  <c r="L141" i="24" s="1"/>
  <c r="K140" i="24"/>
  <c r="L140" i="24" s="1"/>
  <c r="I140" i="24"/>
  <c r="J140" i="24" s="1"/>
  <c r="M140" i="24" s="1"/>
  <c r="I139" i="24"/>
  <c r="I138" i="24"/>
  <c r="K138" i="24" s="1"/>
  <c r="L138" i="24" s="1"/>
  <c r="I137" i="24"/>
  <c r="K137" i="24" s="1"/>
  <c r="L137" i="24" s="1"/>
  <c r="K136" i="24"/>
  <c r="L136" i="24" s="1"/>
  <c r="I136" i="24"/>
  <c r="J136" i="24" s="1"/>
  <c r="M136" i="24" s="1"/>
  <c r="I135" i="24"/>
  <c r="I134" i="24"/>
  <c r="K134" i="24" s="1"/>
  <c r="L134" i="24" s="1"/>
  <c r="K133" i="24"/>
  <c r="L133" i="24" s="1"/>
  <c r="I133" i="24"/>
  <c r="J133" i="24" s="1"/>
  <c r="M133" i="24" s="1"/>
  <c r="I132" i="24"/>
  <c r="J132" i="24" s="1"/>
  <c r="M132" i="24" s="1"/>
  <c r="I131" i="24"/>
  <c r="I130" i="24"/>
  <c r="K130" i="24" s="1"/>
  <c r="L130" i="24" s="1"/>
  <c r="J129" i="24"/>
  <c r="M129" i="24" s="1"/>
  <c r="I129" i="24"/>
  <c r="K129" i="24" s="1"/>
  <c r="L129" i="24" s="1"/>
  <c r="I128" i="24"/>
  <c r="J128" i="24" s="1"/>
  <c r="M128" i="24" s="1"/>
  <c r="I127" i="24"/>
  <c r="I126" i="24"/>
  <c r="K126" i="24" s="1"/>
  <c r="L126" i="24" s="1"/>
  <c r="I125" i="24"/>
  <c r="K125" i="24" s="1"/>
  <c r="L125" i="24" s="1"/>
  <c r="I124" i="24"/>
  <c r="J124" i="24" s="1"/>
  <c r="M124" i="24" s="1"/>
  <c r="J121" i="24"/>
  <c r="M121" i="24" s="1"/>
  <c r="I121" i="24"/>
  <c r="K121" i="24" s="1"/>
  <c r="L121" i="24" s="1"/>
  <c r="I120" i="24"/>
  <c r="K120" i="24" s="1"/>
  <c r="L120" i="24" s="1"/>
  <c r="I119" i="24"/>
  <c r="I116" i="24"/>
  <c r="J116" i="24" s="1"/>
  <c r="M116" i="24" s="1"/>
  <c r="I115" i="24"/>
  <c r="I114" i="24"/>
  <c r="K114" i="24" s="1"/>
  <c r="L114" i="24" s="1"/>
  <c r="I113" i="24"/>
  <c r="K113" i="24" s="1"/>
  <c r="L113" i="24" s="1"/>
  <c r="I112" i="24"/>
  <c r="J112" i="24" s="1"/>
  <c r="M112" i="24" s="1"/>
  <c r="I111" i="24"/>
  <c r="I110" i="24"/>
  <c r="K110" i="24" s="1"/>
  <c r="L110" i="24" s="1"/>
  <c r="I109" i="24"/>
  <c r="K109" i="24" s="1"/>
  <c r="L109" i="24" s="1"/>
  <c r="K108" i="24"/>
  <c r="L108" i="24" s="1"/>
  <c r="I108" i="24"/>
  <c r="J108" i="24" s="1"/>
  <c r="K104" i="24"/>
  <c r="L104" i="24" s="1"/>
  <c r="J104" i="24"/>
  <c r="M104" i="24" s="1"/>
  <c r="I104" i="24"/>
  <c r="K103" i="24"/>
  <c r="L103" i="24" s="1"/>
  <c r="J103" i="24"/>
  <c r="M103" i="24" s="1"/>
  <c r="I103" i="24"/>
  <c r="I102" i="24"/>
  <c r="I101" i="24"/>
  <c r="K101" i="24" s="1"/>
  <c r="L101" i="24" s="1"/>
  <c r="I100" i="24"/>
  <c r="K100" i="24" s="1"/>
  <c r="L100" i="24" s="1"/>
  <c r="I99" i="24"/>
  <c r="J99" i="24" s="1"/>
  <c r="M99" i="24" s="1"/>
  <c r="I98" i="24"/>
  <c r="J97" i="24"/>
  <c r="M97" i="24" s="1"/>
  <c r="I97" i="24"/>
  <c r="K97" i="24" s="1"/>
  <c r="L97" i="24" s="1"/>
  <c r="I96" i="24"/>
  <c r="K96" i="24" s="1"/>
  <c r="L96" i="24" s="1"/>
  <c r="I95" i="24"/>
  <c r="J95" i="24" s="1"/>
  <c r="M95" i="24" s="1"/>
  <c r="I94" i="24"/>
  <c r="I93" i="24"/>
  <c r="K93" i="24" s="1"/>
  <c r="L93" i="24" s="1"/>
  <c r="I90" i="24"/>
  <c r="I89" i="24"/>
  <c r="K89" i="24" s="1"/>
  <c r="L89" i="24" s="1"/>
  <c r="J88" i="24"/>
  <c r="M88" i="24" s="1"/>
  <c r="I88" i="24"/>
  <c r="K88" i="24" s="1"/>
  <c r="L88" i="24" s="1"/>
  <c r="K87" i="24"/>
  <c r="L87" i="24" s="1"/>
  <c r="I87" i="24"/>
  <c r="J87" i="24" s="1"/>
  <c r="M87" i="24" s="1"/>
  <c r="I86" i="24"/>
  <c r="I85" i="24"/>
  <c r="K85" i="24" s="1"/>
  <c r="L85" i="24" s="1"/>
  <c r="K84" i="24"/>
  <c r="L84" i="24" s="1"/>
  <c r="I84" i="24"/>
  <c r="J84" i="24" s="1"/>
  <c r="M84" i="24" s="1"/>
  <c r="I83" i="24"/>
  <c r="J83" i="24" s="1"/>
  <c r="M83" i="24" s="1"/>
  <c r="I82" i="24"/>
  <c r="I81" i="24"/>
  <c r="K81" i="24" s="1"/>
  <c r="L81" i="24" s="1"/>
  <c r="J80" i="24"/>
  <c r="M80" i="24" s="1"/>
  <c r="I80" i="24"/>
  <c r="K80" i="24" s="1"/>
  <c r="L80" i="24" s="1"/>
  <c r="K79" i="24"/>
  <c r="L79" i="24" s="1"/>
  <c r="I79" i="24"/>
  <c r="J79" i="24" s="1"/>
  <c r="M79" i="24" s="1"/>
  <c r="I78" i="24"/>
  <c r="I77" i="24"/>
  <c r="K77" i="24" s="1"/>
  <c r="L77" i="24" s="1"/>
  <c r="I76" i="24"/>
  <c r="J76" i="24" s="1"/>
  <c r="M76" i="24" s="1"/>
  <c r="I75" i="24"/>
  <c r="K75" i="24" s="1"/>
  <c r="L75" i="24" s="1"/>
  <c r="I74" i="24"/>
  <c r="K74" i="24" s="1"/>
  <c r="L74" i="24" s="1"/>
  <c r="K73" i="24"/>
  <c r="L73" i="24" s="1"/>
  <c r="I73" i="24"/>
  <c r="J73" i="24" s="1"/>
  <c r="M73" i="24" s="1"/>
  <c r="K72" i="24"/>
  <c r="L72" i="24" s="1"/>
  <c r="I72" i="24"/>
  <c r="J72" i="24" s="1"/>
  <c r="M72" i="24" s="1"/>
  <c r="I71" i="24"/>
  <c r="K71" i="24" s="1"/>
  <c r="L71" i="24" s="1"/>
  <c r="I70" i="24"/>
  <c r="K70" i="24" s="1"/>
  <c r="L70" i="24" s="1"/>
  <c r="K69" i="24"/>
  <c r="L69" i="24" s="1"/>
  <c r="J69" i="24"/>
  <c r="M69" i="24" s="1"/>
  <c r="I69" i="24"/>
  <c r="I68" i="24"/>
  <c r="J68" i="24" s="1"/>
  <c r="M68" i="24" s="1"/>
  <c r="I67" i="24"/>
  <c r="K67" i="24" s="1"/>
  <c r="L67" i="24" s="1"/>
  <c r="J66" i="24"/>
  <c r="M66" i="24" s="1"/>
  <c r="I66" i="24"/>
  <c r="K66" i="24" s="1"/>
  <c r="L66" i="24" s="1"/>
  <c r="I65" i="24"/>
  <c r="K65" i="24" s="1"/>
  <c r="L65" i="24" s="1"/>
  <c r="K64" i="24"/>
  <c r="L64" i="24" s="1"/>
  <c r="I64" i="24"/>
  <c r="J64" i="24" s="1"/>
  <c r="M64" i="24" s="1"/>
  <c r="I63" i="24"/>
  <c r="K63" i="24" s="1"/>
  <c r="L63" i="24" s="1"/>
  <c r="I62" i="24"/>
  <c r="K62" i="24" s="1"/>
  <c r="L62" i="24" s="1"/>
  <c r="J61" i="24"/>
  <c r="M61" i="24" s="1"/>
  <c r="I61" i="24"/>
  <c r="K61" i="24" s="1"/>
  <c r="L61" i="24" s="1"/>
  <c r="I60" i="24"/>
  <c r="J60" i="24" s="1"/>
  <c r="M60" i="24" s="1"/>
  <c r="I59" i="24"/>
  <c r="K59" i="24" s="1"/>
  <c r="L59" i="24" s="1"/>
  <c r="I58" i="24"/>
  <c r="K58" i="24" s="1"/>
  <c r="L58" i="24" s="1"/>
  <c r="K57" i="24"/>
  <c r="L57" i="24" s="1"/>
  <c r="I57" i="24"/>
  <c r="J57" i="24" s="1"/>
  <c r="M57" i="24" s="1"/>
  <c r="K56" i="24"/>
  <c r="L56" i="24" s="1"/>
  <c r="I56" i="24"/>
  <c r="J56" i="24" s="1"/>
  <c r="M56" i="24" s="1"/>
  <c r="I55" i="24"/>
  <c r="K55" i="24" s="1"/>
  <c r="L55" i="24" s="1"/>
  <c r="I54" i="24"/>
  <c r="K54" i="24" s="1"/>
  <c r="L54" i="24" s="1"/>
  <c r="I53" i="24"/>
  <c r="K53" i="24" s="1"/>
  <c r="L53" i="24" s="1"/>
  <c r="I52" i="24"/>
  <c r="J52" i="24" s="1"/>
  <c r="M52" i="24" s="1"/>
  <c r="I51" i="24"/>
  <c r="K51" i="24" s="1"/>
  <c r="L51" i="24" s="1"/>
  <c r="J50" i="24"/>
  <c r="M50" i="24" s="1"/>
  <c r="I50" i="24"/>
  <c r="K50" i="24" s="1"/>
  <c r="L50" i="24" s="1"/>
  <c r="I49" i="24"/>
  <c r="K49" i="24" s="1"/>
  <c r="L49" i="24" s="1"/>
  <c r="I48" i="24"/>
  <c r="J48" i="24" s="1"/>
  <c r="M48" i="24" s="1"/>
  <c r="I47" i="24"/>
  <c r="K47" i="24" s="1"/>
  <c r="L47" i="24" s="1"/>
  <c r="I46" i="24"/>
  <c r="K46" i="24" s="1"/>
  <c r="L46" i="24" s="1"/>
  <c r="J45" i="24"/>
  <c r="M45" i="24" s="1"/>
  <c r="I45" i="24"/>
  <c r="K45" i="24" s="1"/>
  <c r="L45" i="24" s="1"/>
  <c r="I44" i="24"/>
  <c r="J44" i="24" s="1"/>
  <c r="M44" i="24" s="1"/>
  <c r="I43" i="24"/>
  <c r="K43" i="24" s="1"/>
  <c r="L43" i="24" s="1"/>
  <c r="I42" i="24"/>
  <c r="K42" i="24" s="1"/>
  <c r="L42" i="24" s="1"/>
  <c r="K41" i="24"/>
  <c r="L41" i="24" s="1"/>
  <c r="I41" i="24"/>
  <c r="J41" i="24" s="1"/>
  <c r="M41" i="24" s="1"/>
  <c r="K40" i="24"/>
  <c r="L40" i="24" s="1"/>
  <c r="I40" i="24"/>
  <c r="J40" i="24" s="1"/>
  <c r="I37" i="24"/>
  <c r="K37" i="24" s="1"/>
  <c r="L37" i="24" s="1"/>
  <c r="I36" i="24"/>
  <c r="J36" i="24" s="1"/>
  <c r="M36" i="24" s="1"/>
  <c r="I35" i="24"/>
  <c r="K35" i="24" s="1"/>
  <c r="L35" i="24" s="1"/>
  <c r="J34" i="24"/>
  <c r="M34" i="24" s="1"/>
  <c r="I34" i="24"/>
  <c r="K34" i="24" s="1"/>
  <c r="L34" i="24" s="1"/>
  <c r="J33" i="24"/>
  <c r="M33" i="24" s="1"/>
  <c r="I33" i="24"/>
  <c r="K33" i="24" s="1"/>
  <c r="L33" i="24" s="1"/>
  <c r="I32" i="24"/>
  <c r="J32" i="24" s="1"/>
  <c r="M32" i="24" s="1"/>
  <c r="I31" i="24"/>
  <c r="K31" i="24" s="1"/>
  <c r="L31" i="24" s="1"/>
  <c r="I30" i="24"/>
  <c r="K30" i="24" s="1"/>
  <c r="L30" i="24" s="1"/>
  <c r="K29" i="24"/>
  <c r="L29" i="24" s="1"/>
  <c r="I29" i="24"/>
  <c r="J29" i="24" s="1"/>
  <c r="M29" i="24" s="1"/>
  <c r="K28" i="24"/>
  <c r="L28" i="24" s="1"/>
  <c r="I28" i="24"/>
  <c r="J28" i="24" s="1"/>
  <c r="M28" i="24" s="1"/>
  <c r="I27" i="24"/>
  <c r="K27" i="24" s="1"/>
  <c r="L27" i="24" s="1"/>
  <c r="I26" i="24"/>
  <c r="K26" i="24" s="1"/>
  <c r="L26" i="24" s="1"/>
  <c r="I25" i="24"/>
  <c r="K25" i="24" s="1"/>
  <c r="L25" i="24" s="1"/>
  <c r="I24" i="24"/>
  <c r="J24" i="24" s="1"/>
  <c r="M24" i="24" s="1"/>
  <c r="I23" i="24"/>
  <c r="K23" i="24" s="1"/>
  <c r="L23" i="24" s="1"/>
  <c r="J22" i="24"/>
  <c r="I22" i="24"/>
  <c r="K22" i="24" s="1"/>
  <c r="L22" i="24" s="1"/>
  <c r="I19" i="24"/>
  <c r="K19" i="24" s="1"/>
  <c r="L19" i="24" s="1"/>
  <c r="I18" i="24"/>
  <c r="K18" i="24" s="1"/>
  <c r="L18" i="24" s="1"/>
  <c r="J17" i="24"/>
  <c r="M17" i="24" s="1"/>
  <c r="I17" i="24"/>
  <c r="K17" i="24" s="1"/>
  <c r="L17" i="24" s="1"/>
  <c r="I16" i="24"/>
  <c r="J16" i="24" s="1"/>
  <c r="M16" i="24" s="1"/>
  <c r="I15" i="24"/>
  <c r="K15" i="24" s="1"/>
  <c r="L15" i="24" s="1"/>
  <c r="G320" i="21"/>
  <c r="H217" i="21"/>
  <c r="H173" i="21"/>
  <c r="H170" i="21"/>
  <c r="H169" i="21"/>
  <c r="H155" i="21"/>
  <c r="H148" i="21"/>
  <c r="H142" i="21"/>
  <c r="H140" i="21"/>
  <c r="H139" i="21"/>
  <c r="H137" i="21"/>
  <c r="H136" i="21"/>
  <c r="H128" i="21"/>
  <c r="H127" i="21"/>
  <c r="H126" i="21"/>
  <c r="H125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8" i="21"/>
  <c r="H107" i="21"/>
  <c r="H106" i="21"/>
  <c r="H105" i="21"/>
  <c r="H102" i="21"/>
  <c r="H98" i="21"/>
  <c r="H89" i="21"/>
  <c r="H88" i="21"/>
  <c r="H87" i="21"/>
  <c r="H86" i="21"/>
  <c r="H84" i="21"/>
  <c r="H79" i="21"/>
  <c r="H78" i="21"/>
  <c r="H77" i="21"/>
  <c r="H76" i="21"/>
  <c r="H74" i="21"/>
  <c r="H73" i="21"/>
  <c r="H72" i="21"/>
  <c r="H71" i="21"/>
  <c r="H69" i="21"/>
  <c r="H68" i="21"/>
  <c r="H66" i="21"/>
  <c r="H65" i="21"/>
  <c r="H64" i="21"/>
  <c r="H63" i="21"/>
  <c r="H62" i="21"/>
  <c r="H61" i="21"/>
  <c r="H60" i="21"/>
  <c r="H58" i="21"/>
  <c r="H57" i="21"/>
  <c r="H56" i="21"/>
  <c r="H55" i="21"/>
  <c r="H54" i="21"/>
  <c r="H52" i="21"/>
  <c r="H51" i="21"/>
  <c r="H49" i="21"/>
  <c r="H48" i="21"/>
  <c r="H47" i="21"/>
  <c r="H46" i="21"/>
  <c r="H44" i="21"/>
  <c r="H41" i="21"/>
  <c r="H40" i="21"/>
  <c r="H39" i="21"/>
  <c r="H38" i="21"/>
  <c r="H37" i="21"/>
  <c r="H36" i="21"/>
  <c r="H35" i="21"/>
  <c r="H34" i="21"/>
  <c r="H33" i="21"/>
  <c r="H32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7" i="21"/>
  <c r="H15" i="21"/>
  <c r="H14" i="21"/>
  <c r="H13" i="21"/>
  <c r="H12" i="21"/>
  <c r="H11" i="21"/>
  <c r="H10" i="21"/>
  <c r="H9" i="21"/>
  <c r="H8" i="21"/>
  <c r="H7" i="21"/>
  <c r="H6" i="21"/>
  <c r="H5" i="21"/>
  <c r="H94" i="21" s="1"/>
  <c r="E73" i="20"/>
  <c r="C69" i="20"/>
  <c r="E68" i="20"/>
  <c r="E67" i="20"/>
  <c r="E66" i="20"/>
  <c r="E65" i="20"/>
  <c r="E64" i="20"/>
  <c r="E63" i="20"/>
  <c r="E62" i="20"/>
  <c r="E61" i="20"/>
  <c r="E60" i="20"/>
  <c r="E59" i="20"/>
  <c r="E58" i="20"/>
  <c r="E57" i="20"/>
  <c r="E56" i="20"/>
  <c r="E55" i="20"/>
  <c r="E54" i="20"/>
  <c r="E53" i="20"/>
  <c r="E52" i="20"/>
  <c r="E51" i="20"/>
  <c r="E50" i="20"/>
  <c r="E49" i="20"/>
  <c r="E48" i="20"/>
  <c r="E47" i="20"/>
  <c r="E46" i="20"/>
  <c r="E45" i="20"/>
  <c r="E44" i="20"/>
  <c r="E43" i="20"/>
  <c r="E42" i="20"/>
  <c r="E41" i="20"/>
  <c r="E40" i="20"/>
  <c r="E39" i="20"/>
  <c r="E38" i="20"/>
  <c r="E37" i="20"/>
  <c r="E36" i="20"/>
  <c r="E35" i="20"/>
  <c r="E34" i="20"/>
  <c r="E33" i="20"/>
  <c r="E32" i="20"/>
  <c r="E31" i="20"/>
  <c r="E30" i="20"/>
  <c r="E29" i="20"/>
  <c r="E28" i="20"/>
  <c r="E27" i="20"/>
  <c r="E26" i="20"/>
  <c r="E25" i="20"/>
  <c r="E24" i="20"/>
  <c r="E23" i="20"/>
  <c r="E22" i="20"/>
  <c r="E21" i="20"/>
  <c r="E20" i="20"/>
  <c r="E19" i="20"/>
  <c r="E18" i="20"/>
  <c r="E17" i="20"/>
  <c r="E16" i="20"/>
  <c r="E15" i="20"/>
  <c r="E14" i="20"/>
  <c r="E13" i="20"/>
  <c r="E12" i="20"/>
  <c r="E11" i="20"/>
  <c r="E10" i="20"/>
  <c r="E9" i="20"/>
  <c r="E8" i="20"/>
  <c r="E7" i="20"/>
  <c r="E6" i="20"/>
  <c r="E69" i="20" s="1"/>
  <c r="E74" i="20" s="1"/>
  <c r="G190" i="16"/>
  <c r="G189" i="16"/>
  <c r="G188" i="16"/>
  <c r="G187" i="16"/>
  <c r="G185" i="16"/>
  <c r="G184" i="16"/>
  <c r="G183" i="16"/>
  <c r="G181" i="16"/>
  <c r="G180" i="16"/>
  <c r="G179" i="16"/>
  <c r="G178" i="16"/>
  <c r="G177" i="16"/>
  <c r="G176" i="16"/>
  <c r="G175" i="16"/>
  <c r="G174" i="16"/>
  <c r="G173" i="16"/>
  <c r="G172" i="16"/>
  <c r="G171" i="16"/>
  <c r="G169" i="16"/>
  <c r="G168" i="16"/>
  <c r="G167" i="16"/>
  <c r="G166" i="16"/>
  <c r="G165" i="16"/>
  <c r="G164" i="16"/>
  <c r="G163" i="16"/>
  <c r="F163" i="16"/>
  <c r="G160" i="16"/>
  <c r="G159" i="16"/>
  <c r="G157" i="16"/>
  <c r="G156" i="16"/>
  <c r="F156" i="16"/>
  <c r="G155" i="16"/>
  <c r="G154" i="16"/>
  <c r="G153" i="16"/>
  <c r="G152" i="16"/>
  <c r="G151" i="16"/>
  <c r="G150" i="16"/>
  <c r="F150" i="16"/>
  <c r="G149" i="16"/>
  <c r="F149" i="16"/>
  <c r="G148" i="16"/>
  <c r="F148" i="16"/>
  <c r="G147" i="16"/>
  <c r="F147" i="16"/>
  <c r="G146" i="16"/>
  <c r="F146" i="16"/>
  <c r="G145" i="16"/>
  <c r="F145" i="16"/>
  <c r="G144" i="16"/>
  <c r="F144" i="16"/>
  <c r="G143" i="16"/>
  <c r="F143" i="16"/>
  <c r="G142" i="16"/>
  <c r="F142" i="16"/>
  <c r="G141" i="16"/>
  <c r="F141" i="16"/>
  <c r="G140" i="16"/>
  <c r="F140" i="16"/>
  <c r="G139" i="16"/>
  <c r="G137" i="16"/>
  <c r="G136" i="16"/>
  <c r="G135" i="16"/>
  <c r="G134" i="16"/>
  <c r="G133" i="16"/>
  <c r="G132" i="16"/>
  <c r="G130" i="16"/>
  <c r="G129" i="16"/>
  <c r="G128" i="16"/>
  <c r="G127" i="16"/>
  <c r="G126" i="16"/>
  <c r="G125" i="16"/>
  <c r="G123" i="16"/>
  <c r="G122" i="16"/>
  <c r="G121" i="16"/>
  <c r="G119" i="16"/>
  <c r="G118" i="16"/>
  <c r="G117" i="16"/>
  <c r="G116" i="16"/>
  <c r="G115" i="16"/>
  <c r="G114" i="16"/>
  <c r="G113" i="16"/>
  <c r="G112" i="16"/>
  <c r="G111" i="16"/>
  <c r="G110" i="16"/>
  <c r="G109" i="16"/>
  <c r="G108" i="16"/>
  <c r="G107" i="16"/>
  <c r="G106" i="16"/>
  <c r="G105" i="16"/>
  <c r="G104" i="16"/>
  <c r="G103" i="16"/>
  <c r="G101" i="16"/>
  <c r="G99" i="16"/>
  <c r="G98" i="16"/>
  <c r="G97" i="16"/>
  <c r="G96" i="16"/>
  <c r="G95" i="16"/>
  <c r="G94" i="16"/>
  <c r="G93" i="16"/>
  <c r="G92" i="16"/>
  <c r="G91" i="16"/>
  <c r="G90" i="16"/>
  <c r="G89" i="16"/>
  <c r="G87" i="16"/>
  <c r="G86" i="16"/>
  <c r="G85" i="16"/>
  <c r="G84" i="16"/>
  <c r="G83" i="16"/>
  <c r="G82" i="16"/>
  <c r="G81" i="16"/>
  <c r="G80" i="16"/>
  <c r="G79" i="16"/>
  <c r="G78" i="16"/>
  <c r="G77" i="16"/>
  <c r="G76" i="16"/>
  <c r="G75" i="16"/>
  <c r="G74" i="16"/>
  <c r="G73" i="16"/>
  <c r="G72" i="16"/>
  <c r="F72" i="16"/>
  <c r="G69" i="16"/>
  <c r="G68" i="16"/>
  <c r="G66" i="16"/>
  <c r="G65" i="16"/>
  <c r="G64" i="16"/>
  <c r="G63" i="16"/>
  <c r="G62" i="16"/>
  <c r="G61" i="16"/>
  <c r="G60" i="16"/>
  <c r="G59" i="16"/>
  <c r="G57" i="16"/>
  <c r="F57" i="16"/>
  <c r="G56" i="16"/>
  <c r="G55" i="16"/>
  <c r="G54" i="16"/>
  <c r="G53" i="16"/>
  <c r="F53" i="16"/>
  <c r="G52" i="16"/>
  <c r="G51" i="16"/>
  <c r="G49" i="16"/>
  <c r="G48" i="16"/>
  <c r="G47" i="16"/>
  <c r="G46" i="16"/>
  <c r="G45" i="16"/>
  <c r="G44" i="16"/>
  <c r="G43" i="16"/>
  <c r="G42" i="16"/>
  <c r="G41" i="16"/>
  <c r="G39" i="16"/>
  <c r="G38" i="16"/>
  <c r="G37" i="16"/>
  <c r="G36" i="16"/>
  <c r="G35" i="16"/>
  <c r="G34" i="16"/>
  <c r="G33" i="16"/>
  <c r="G32" i="16"/>
  <c r="G31" i="16"/>
  <c r="G30" i="16"/>
  <c r="G29" i="16"/>
  <c r="G28" i="16"/>
  <c r="G27" i="16"/>
  <c r="G26" i="16"/>
  <c r="G25" i="16"/>
  <c r="G24" i="16"/>
  <c r="G23" i="16"/>
  <c r="G22" i="16"/>
  <c r="G21" i="16"/>
  <c r="G20" i="16"/>
  <c r="G19" i="16"/>
  <c r="G18" i="16"/>
  <c r="G17" i="16"/>
  <c r="G16" i="16"/>
  <c r="G15" i="16"/>
  <c r="G14" i="16"/>
  <c r="G13" i="16"/>
  <c r="G12" i="16"/>
  <c r="G11" i="16"/>
  <c r="G10" i="16"/>
  <c r="G9" i="16"/>
  <c r="G8" i="16"/>
  <c r="G7" i="16"/>
  <c r="G6" i="16"/>
  <c r="G5" i="16"/>
  <c r="G193" i="16" s="1"/>
  <c r="G153" i="15"/>
  <c r="G152" i="15"/>
  <c r="G150" i="15"/>
  <c r="G149" i="15"/>
  <c r="G147" i="15"/>
  <c r="G146" i="15"/>
  <c r="G145" i="15"/>
  <c r="G144" i="15"/>
  <c r="G143" i="15"/>
  <c r="G142" i="15"/>
  <c r="G141" i="15"/>
  <c r="G140" i="15"/>
  <c r="G139" i="15"/>
  <c r="G138" i="15"/>
  <c r="G137" i="15"/>
  <c r="G136" i="15"/>
  <c r="G135" i="15"/>
  <c r="G134" i="15"/>
  <c r="G133" i="15"/>
  <c r="G132" i="15"/>
  <c r="G131" i="15"/>
  <c r="G130" i="15"/>
  <c r="G129" i="15"/>
  <c r="G128" i="15"/>
  <c r="G127" i="15"/>
  <c r="G126" i="15"/>
  <c r="G125" i="15"/>
  <c r="G124" i="15"/>
  <c r="G123" i="15"/>
  <c r="G122" i="15"/>
  <c r="G121" i="15"/>
  <c r="G120" i="15"/>
  <c r="G119" i="15"/>
  <c r="G118" i="15"/>
  <c r="G117" i="15"/>
  <c r="G116" i="15"/>
  <c r="G115" i="15"/>
  <c r="G114" i="15"/>
  <c r="G113" i="15"/>
  <c r="G112" i="15"/>
  <c r="G111" i="15"/>
  <c r="G110" i="15"/>
  <c r="G109" i="15"/>
  <c r="G108" i="15"/>
  <c r="G107" i="15"/>
  <c r="G106" i="15"/>
  <c r="G105" i="15"/>
  <c r="G104" i="15"/>
  <c r="G103" i="15"/>
  <c r="G102" i="15"/>
  <c r="G101" i="15"/>
  <c r="G100" i="15"/>
  <c r="G99" i="15"/>
  <c r="G98" i="15"/>
  <c r="G97" i="15"/>
  <c r="G96" i="15"/>
  <c r="G95" i="15"/>
  <c r="G94" i="15"/>
  <c r="G93" i="15"/>
  <c r="G92" i="15"/>
  <c r="G91" i="15"/>
  <c r="G90" i="15"/>
  <c r="G89" i="15"/>
  <c r="G88" i="15"/>
  <c r="G87" i="15"/>
  <c r="G86" i="15"/>
  <c r="G85" i="15"/>
  <c r="G84" i="15"/>
  <c r="G83" i="15"/>
  <c r="G82" i="15"/>
  <c r="G81" i="15"/>
  <c r="G80" i="15"/>
  <c r="G79" i="15"/>
  <c r="G78" i="15"/>
  <c r="G77" i="15"/>
  <c r="G76" i="15"/>
  <c r="G75" i="15"/>
  <c r="G74" i="15"/>
  <c r="G73" i="15"/>
  <c r="G72" i="15"/>
  <c r="G71" i="15"/>
  <c r="G70" i="15"/>
  <c r="G69" i="15"/>
  <c r="G68" i="15"/>
  <c r="G67" i="15"/>
  <c r="G66" i="15"/>
  <c r="G65" i="15"/>
  <c r="G64" i="15"/>
  <c r="G63" i="15"/>
  <c r="G62" i="15"/>
  <c r="G61" i="15"/>
  <c r="G60" i="15"/>
  <c r="G59" i="15"/>
  <c r="G58" i="15"/>
  <c r="G57" i="15"/>
  <c r="G56" i="15"/>
  <c r="G55" i="15"/>
  <c r="G54" i="15"/>
  <c r="G53" i="15"/>
  <c r="G52" i="15"/>
  <c r="G51" i="15"/>
  <c r="G50" i="15"/>
  <c r="G49" i="15"/>
  <c r="G48" i="15"/>
  <c r="G47" i="15"/>
  <c r="G46" i="15"/>
  <c r="G45" i="15"/>
  <c r="G44" i="15"/>
  <c r="G43" i="15"/>
  <c r="G42" i="15"/>
  <c r="G41" i="15"/>
  <c r="G40" i="15"/>
  <c r="G39" i="15"/>
  <c r="G38" i="15"/>
  <c r="G37" i="15"/>
  <c r="G36" i="15"/>
  <c r="G35" i="15"/>
  <c r="G34" i="15"/>
  <c r="G33" i="15"/>
  <c r="G32" i="15"/>
  <c r="G31" i="15"/>
  <c r="G30" i="15"/>
  <c r="G29" i="15"/>
  <c r="G28" i="15"/>
  <c r="G27" i="15"/>
  <c r="G26" i="15"/>
  <c r="G25" i="15"/>
  <c r="G24" i="15"/>
  <c r="G23" i="15"/>
  <c r="G22" i="15"/>
  <c r="G21" i="15"/>
  <c r="G20" i="15"/>
  <c r="G19" i="15"/>
  <c r="G18" i="15"/>
  <c r="G17" i="15"/>
  <c r="G16" i="15"/>
  <c r="G15" i="15"/>
  <c r="G14" i="15"/>
  <c r="G13" i="15"/>
  <c r="G11" i="15"/>
  <c r="G8" i="15"/>
  <c r="G7" i="15"/>
  <c r="G6" i="15"/>
  <c r="G5" i="15"/>
  <c r="G154" i="15" s="1"/>
  <c r="G4" i="15"/>
  <c r="XFC36" i="14"/>
  <c r="XEU36" i="14"/>
  <c r="XEM36" i="14"/>
  <c r="XEE36" i="14"/>
  <c r="XDW36" i="14"/>
  <c r="XDO36" i="14"/>
  <c r="XDG36" i="14"/>
  <c r="XCY36" i="14"/>
  <c r="XCQ36" i="14"/>
  <c r="XCI36" i="14"/>
  <c r="XCA36" i="14"/>
  <c r="XBS36" i="14"/>
  <c r="XBK36" i="14"/>
  <c r="XBC36" i="14"/>
  <c r="XAU36" i="14"/>
  <c r="XAM36" i="14"/>
  <c r="XAE36" i="14"/>
  <c r="WZW36" i="14"/>
  <c r="WZO36" i="14"/>
  <c r="WZG36" i="14"/>
  <c r="WYY36" i="14"/>
  <c r="WYQ36" i="14"/>
  <c r="WYI36" i="14"/>
  <c r="WYA36" i="14"/>
  <c r="WXS36" i="14"/>
  <c r="WXK36" i="14"/>
  <c r="WXC36" i="14"/>
  <c r="WWU36" i="14"/>
  <c r="WWM36" i="14"/>
  <c r="WWE36" i="14"/>
  <c r="WVW36" i="14"/>
  <c r="WVO36" i="14"/>
  <c r="WVG36" i="14"/>
  <c r="WUY36" i="14"/>
  <c r="WUQ36" i="14"/>
  <c r="WUI36" i="14"/>
  <c r="WUA36" i="14"/>
  <c r="WTS36" i="14"/>
  <c r="WTK36" i="14"/>
  <c r="WTC36" i="14"/>
  <c r="WSU36" i="14"/>
  <c r="WSM36" i="14"/>
  <c r="WSE36" i="14"/>
  <c r="WRW36" i="14"/>
  <c r="WRO36" i="14"/>
  <c r="WRG36" i="14"/>
  <c r="WQY36" i="14"/>
  <c r="WQQ36" i="14"/>
  <c r="WQI36" i="14"/>
  <c r="WQA36" i="14"/>
  <c r="WPS36" i="14"/>
  <c r="WPK36" i="14"/>
  <c r="WPC36" i="14"/>
  <c r="WOU36" i="14"/>
  <c r="WOM36" i="14"/>
  <c r="WOE36" i="14"/>
  <c r="WNW36" i="14"/>
  <c r="WNO36" i="14"/>
  <c r="WNG36" i="14"/>
  <c r="WMY36" i="14"/>
  <c r="WMQ36" i="14"/>
  <c r="WMI36" i="14"/>
  <c r="WMA36" i="14"/>
  <c r="WLS36" i="14"/>
  <c r="WLK36" i="14"/>
  <c r="WLC36" i="14"/>
  <c r="WKU36" i="14"/>
  <c r="WKM36" i="14"/>
  <c r="WKE36" i="14"/>
  <c r="WJW36" i="14"/>
  <c r="WJO36" i="14"/>
  <c r="WJG36" i="14"/>
  <c r="WIY36" i="14"/>
  <c r="WIQ36" i="14"/>
  <c r="WII36" i="14"/>
  <c r="WIA36" i="14"/>
  <c r="WHS36" i="14"/>
  <c r="WHK36" i="14"/>
  <c r="WHC36" i="14"/>
  <c r="WGU36" i="14"/>
  <c r="WGM36" i="14"/>
  <c r="WGE36" i="14"/>
  <c r="WFW36" i="14"/>
  <c r="WFO36" i="14"/>
  <c r="WFG36" i="14"/>
  <c r="WEY36" i="14"/>
  <c r="WEQ36" i="14"/>
  <c r="WEI36" i="14"/>
  <c r="WEA36" i="14"/>
  <c r="WDS36" i="14"/>
  <c r="WDK36" i="14"/>
  <c r="WDC36" i="14"/>
  <c r="WCU36" i="14"/>
  <c r="WCM36" i="14"/>
  <c r="WCE36" i="14"/>
  <c r="WBW36" i="14"/>
  <c r="WBO36" i="14"/>
  <c r="WBG36" i="14"/>
  <c r="WAY36" i="14"/>
  <c r="WAQ36" i="14"/>
  <c r="WAI36" i="14"/>
  <c r="WAA36" i="14"/>
  <c r="VZS36" i="14"/>
  <c r="VZK36" i="14"/>
  <c r="VZC36" i="14"/>
  <c r="VYU36" i="14"/>
  <c r="VYM36" i="14"/>
  <c r="VYE36" i="14"/>
  <c r="VXW36" i="14"/>
  <c r="VXO36" i="14"/>
  <c r="VXG36" i="14"/>
  <c r="VWY36" i="14"/>
  <c r="VWQ36" i="14"/>
  <c r="VWI36" i="14"/>
  <c r="VWA36" i="14"/>
  <c r="VVS36" i="14"/>
  <c r="VVK36" i="14"/>
  <c r="VVC36" i="14"/>
  <c r="VUU36" i="14"/>
  <c r="VUM36" i="14"/>
  <c r="VUE36" i="14"/>
  <c r="VTW36" i="14"/>
  <c r="VTO36" i="14"/>
  <c r="VTG36" i="14"/>
  <c r="VSY36" i="14"/>
  <c r="VSQ36" i="14"/>
  <c r="VSI36" i="14"/>
  <c r="VSA36" i="14"/>
  <c r="VRS36" i="14"/>
  <c r="VRK36" i="14"/>
  <c r="VRC36" i="14"/>
  <c r="VQU36" i="14"/>
  <c r="VQM36" i="14"/>
  <c r="VQE36" i="14"/>
  <c r="VPW36" i="14"/>
  <c r="VPO36" i="14"/>
  <c r="VPG36" i="14"/>
  <c r="VOY36" i="14"/>
  <c r="VOQ36" i="14"/>
  <c r="VOI36" i="14"/>
  <c r="VOA36" i="14"/>
  <c r="VNS36" i="14"/>
  <c r="VNK36" i="14"/>
  <c r="VNC36" i="14"/>
  <c r="VMU36" i="14"/>
  <c r="VMM36" i="14"/>
  <c r="VME36" i="14"/>
  <c r="VLW36" i="14"/>
  <c r="VLO36" i="14"/>
  <c r="VLG36" i="14"/>
  <c r="VKY36" i="14"/>
  <c r="VKQ36" i="14"/>
  <c r="VKI36" i="14"/>
  <c r="VKA36" i="14"/>
  <c r="VJS36" i="14"/>
  <c r="VJK36" i="14"/>
  <c r="VJC36" i="14"/>
  <c r="VIU36" i="14"/>
  <c r="VIM36" i="14"/>
  <c r="VIE36" i="14"/>
  <c r="VHW36" i="14"/>
  <c r="VHO36" i="14"/>
  <c r="VHG36" i="14"/>
  <c r="VGY36" i="14"/>
  <c r="VGQ36" i="14"/>
  <c r="VGI36" i="14"/>
  <c r="VGA36" i="14"/>
  <c r="VFS36" i="14"/>
  <c r="VFK36" i="14"/>
  <c r="VFC36" i="14"/>
  <c r="VEU36" i="14"/>
  <c r="VEM36" i="14"/>
  <c r="VEE36" i="14"/>
  <c r="VDW36" i="14"/>
  <c r="VDO36" i="14"/>
  <c r="VDG36" i="14"/>
  <c r="VCY36" i="14"/>
  <c r="VCQ36" i="14"/>
  <c r="VCI36" i="14"/>
  <c r="VCA36" i="14"/>
  <c r="VBS36" i="14"/>
  <c r="VBK36" i="14"/>
  <c r="VBC36" i="14"/>
  <c r="VAU36" i="14"/>
  <c r="VAM36" i="14"/>
  <c r="VAE36" i="14"/>
  <c r="UZW36" i="14"/>
  <c r="UZO36" i="14"/>
  <c r="UZG36" i="14"/>
  <c r="UYY36" i="14"/>
  <c r="UYQ36" i="14"/>
  <c r="UYI36" i="14"/>
  <c r="UYA36" i="14"/>
  <c r="UXS36" i="14"/>
  <c r="UXK36" i="14"/>
  <c r="UXC36" i="14"/>
  <c r="UWU36" i="14"/>
  <c r="UWM36" i="14"/>
  <c r="UWE36" i="14"/>
  <c r="UVW36" i="14"/>
  <c r="UVO36" i="14"/>
  <c r="UVG36" i="14"/>
  <c r="UUY36" i="14"/>
  <c r="UUQ36" i="14"/>
  <c r="UUI36" i="14"/>
  <c r="UUA36" i="14"/>
  <c r="UTS36" i="14"/>
  <c r="UTK36" i="14"/>
  <c r="UTC36" i="14"/>
  <c r="USU36" i="14"/>
  <c r="USM36" i="14"/>
  <c r="USE36" i="14"/>
  <c r="URW36" i="14"/>
  <c r="URO36" i="14"/>
  <c r="URG36" i="14"/>
  <c r="UQY36" i="14"/>
  <c r="UQQ36" i="14"/>
  <c r="UQI36" i="14"/>
  <c r="UQA36" i="14"/>
  <c r="UPS36" i="14"/>
  <c r="UPK36" i="14"/>
  <c r="UPC36" i="14"/>
  <c r="UOU36" i="14"/>
  <c r="UOM36" i="14"/>
  <c r="UOE36" i="14"/>
  <c r="UNW36" i="14"/>
  <c r="UNO36" i="14"/>
  <c r="UNG36" i="14"/>
  <c r="UMY36" i="14"/>
  <c r="UMQ36" i="14"/>
  <c r="UMI36" i="14"/>
  <c r="UMA36" i="14"/>
  <c r="ULS36" i="14"/>
  <c r="ULK36" i="14"/>
  <c r="ULC36" i="14"/>
  <c r="UKU36" i="14"/>
  <c r="UKM36" i="14"/>
  <c r="UKE36" i="14"/>
  <c r="UJW36" i="14"/>
  <c r="UJO36" i="14"/>
  <c r="UJG36" i="14"/>
  <c r="UIY36" i="14"/>
  <c r="UIQ36" i="14"/>
  <c r="UII36" i="14"/>
  <c r="UIA36" i="14"/>
  <c r="UHS36" i="14"/>
  <c r="UHK36" i="14"/>
  <c r="UHC36" i="14"/>
  <c r="UGU36" i="14"/>
  <c r="UGM36" i="14"/>
  <c r="UGE36" i="14"/>
  <c r="UFW36" i="14"/>
  <c r="UFO36" i="14"/>
  <c r="UFG36" i="14"/>
  <c r="UEY36" i="14"/>
  <c r="UEQ36" i="14"/>
  <c r="UEI36" i="14"/>
  <c r="UEA36" i="14"/>
  <c r="UDS36" i="14"/>
  <c r="UDK36" i="14"/>
  <c r="UDC36" i="14"/>
  <c r="UCU36" i="14"/>
  <c r="UCM36" i="14"/>
  <c r="UCE36" i="14"/>
  <c r="UBW36" i="14"/>
  <c r="UBO36" i="14"/>
  <c r="UBG36" i="14"/>
  <c r="UAY36" i="14"/>
  <c r="UAQ36" i="14"/>
  <c r="UAI36" i="14"/>
  <c r="UAA36" i="14"/>
  <c r="TZS36" i="14"/>
  <c r="TZK36" i="14"/>
  <c r="TZC36" i="14"/>
  <c r="TYU36" i="14"/>
  <c r="TYM36" i="14"/>
  <c r="TYE36" i="14"/>
  <c r="TXW36" i="14"/>
  <c r="TXO36" i="14"/>
  <c r="TXG36" i="14"/>
  <c r="TWY36" i="14"/>
  <c r="TWQ36" i="14"/>
  <c r="TWI36" i="14"/>
  <c r="TWA36" i="14"/>
  <c r="TVS36" i="14"/>
  <c r="TVK36" i="14"/>
  <c r="TVC36" i="14"/>
  <c r="TUU36" i="14"/>
  <c r="TUM36" i="14"/>
  <c r="TUE36" i="14"/>
  <c r="TTW36" i="14"/>
  <c r="TTO36" i="14"/>
  <c r="TTG36" i="14"/>
  <c r="TSY36" i="14"/>
  <c r="TSQ36" i="14"/>
  <c r="TSI36" i="14"/>
  <c r="TSA36" i="14"/>
  <c r="TRS36" i="14"/>
  <c r="TRK36" i="14"/>
  <c r="TRC36" i="14"/>
  <c r="TQU36" i="14"/>
  <c r="TQM36" i="14"/>
  <c r="TQE36" i="14"/>
  <c r="TPW36" i="14"/>
  <c r="TPO36" i="14"/>
  <c r="TPG36" i="14"/>
  <c r="TOY36" i="14"/>
  <c r="TOQ36" i="14"/>
  <c r="TOI36" i="14"/>
  <c r="TOA36" i="14"/>
  <c r="TNS36" i="14"/>
  <c r="TNK36" i="14"/>
  <c r="TNC36" i="14"/>
  <c r="TMU36" i="14"/>
  <c r="TMM36" i="14"/>
  <c r="TME36" i="14"/>
  <c r="TLW36" i="14"/>
  <c r="TLO36" i="14"/>
  <c r="TLG36" i="14"/>
  <c r="TKY36" i="14"/>
  <c r="TKQ36" i="14"/>
  <c r="TKI36" i="14"/>
  <c r="TKA36" i="14"/>
  <c r="TJS36" i="14"/>
  <c r="TJK36" i="14"/>
  <c r="TJC36" i="14"/>
  <c r="TIU36" i="14"/>
  <c r="TIM36" i="14"/>
  <c r="TIE36" i="14"/>
  <c r="THW36" i="14"/>
  <c r="THO36" i="14"/>
  <c r="THG36" i="14"/>
  <c r="TGY36" i="14"/>
  <c r="TGQ36" i="14"/>
  <c r="TGI36" i="14"/>
  <c r="TGA36" i="14"/>
  <c r="TFS36" i="14"/>
  <c r="TFK36" i="14"/>
  <c r="TFC36" i="14"/>
  <c r="TEU36" i="14"/>
  <c r="TEM36" i="14"/>
  <c r="TEE36" i="14"/>
  <c r="TDW36" i="14"/>
  <c r="TDO36" i="14"/>
  <c r="TDG36" i="14"/>
  <c r="TCY36" i="14"/>
  <c r="TCQ36" i="14"/>
  <c r="TCI36" i="14"/>
  <c r="TCA36" i="14"/>
  <c r="TBS36" i="14"/>
  <c r="TBK36" i="14"/>
  <c r="TBC36" i="14"/>
  <c r="TAU36" i="14"/>
  <c r="TAM36" i="14"/>
  <c r="TAE36" i="14"/>
  <c r="SZW36" i="14"/>
  <c r="SZO36" i="14"/>
  <c r="SZG36" i="14"/>
  <c r="SYY36" i="14"/>
  <c r="SYQ36" i="14"/>
  <c r="SYI36" i="14"/>
  <c r="SYA36" i="14"/>
  <c r="SXS36" i="14"/>
  <c r="SXK36" i="14"/>
  <c r="SXC36" i="14"/>
  <c r="SWU36" i="14"/>
  <c r="SWM36" i="14"/>
  <c r="SWE36" i="14"/>
  <c r="SVW36" i="14"/>
  <c r="SVO36" i="14"/>
  <c r="SVG36" i="14"/>
  <c r="SUY36" i="14"/>
  <c r="SUQ36" i="14"/>
  <c r="SUI36" i="14"/>
  <c r="SUA36" i="14"/>
  <c r="STS36" i="14"/>
  <c r="STK36" i="14"/>
  <c r="STC36" i="14"/>
  <c r="SSU36" i="14"/>
  <c r="SSM36" i="14"/>
  <c r="SSE36" i="14"/>
  <c r="SRW36" i="14"/>
  <c r="SRO36" i="14"/>
  <c r="SRG36" i="14"/>
  <c r="SQY36" i="14"/>
  <c r="SQQ36" i="14"/>
  <c r="SQI36" i="14"/>
  <c r="SQA36" i="14"/>
  <c r="SPS36" i="14"/>
  <c r="SPK36" i="14"/>
  <c r="SPC36" i="14"/>
  <c r="SOU36" i="14"/>
  <c r="SOM36" i="14"/>
  <c r="SOE36" i="14"/>
  <c r="SNW36" i="14"/>
  <c r="SNO36" i="14"/>
  <c r="SNG36" i="14"/>
  <c r="SMY36" i="14"/>
  <c r="SMQ36" i="14"/>
  <c r="SMI36" i="14"/>
  <c r="SMA36" i="14"/>
  <c r="SLS36" i="14"/>
  <c r="SLK36" i="14"/>
  <c r="SLC36" i="14"/>
  <c r="SKU36" i="14"/>
  <c r="SKM36" i="14"/>
  <c r="SKE36" i="14"/>
  <c r="SJW36" i="14"/>
  <c r="SJO36" i="14"/>
  <c r="SJG36" i="14"/>
  <c r="SIY36" i="14"/>
  <c r="SIQ36" i="14"/>
  <c r="SII36" i="14"/>
  <c r="SIA36" i="14"/>
  <c r="SHS36" i="14"/>
  <c r="SHK36" i="14"/>
  <c r="SHC36" i="14"/>
  <c r="SGU36" i="14"/>
  <c r="SGM36" i="14"/>
  <c r="SGE36" i="14"/>
  <c r="SFW36" i="14"/>
  <c r="SFO36" i="14"/>
  <c r="SFG36" i="14"/>
  <c r="SEY36" i="14"/>
  <c r="SEQ36" i="14"/>
  <c r="SEI36" i="14"/>
  <c r="SEA36" i="14"/>
  <c r="SDS36" i="14"/>
  <c r="SDK36" i="14"/>
  <c r="SDC36" i="14"/>
  <c r="SCU36" i="14"/>
  <c r="SCM36" i="14"/>
  <c r="SCE36" i="14"/>
  <c r="SBW36" i="14"/>
  <c r="SBO36" i="14"/>
  <c r="SBG36" i="14"/>
  <c r="SAY36" i="14"/>
  <c r="SAQ36" i="14"/>
  <c r="SAI36" i="14"/>
  <c r="SAA36" i="14"/>
  <c r="RZS36" i="14"/>
  <c r="RZK36" i="14"/>
  <c r="RZC36" i="14"/>
  <c r="RYU36" i="14"/>
  <c r="RYM36" i="14"/>
  <c r="RYE36" i="14"/>
  <c r="RXW36" i="14"/>
  <c r="RXO36" i="14"/>
  <c r="RXG36" i="14"/>
  <c r="RWY36" i="14"/>
  <c r="RWQ36" i="14"/>
  <c r="RWI36" i="14"/>
  <c r="RWA36" i="14"/>
  <c r="RVS36" i="14"/>
  <c r="RVK36" i="14"/>
  <c r="RVC36" i="14"/>
  <c r="RUU36" i="14"/>
  <c r="RUM36" i="14"/>
  <c r="RUE36" i="14"/>
  <c r="RTW36" i="14"/>
  <c r="RTO36" i="14"/>
  <c r="RTG36" i="14"/>
  <c r="RSY36" i="14"/>
  <c r="RSQ36" i="14"/>
  <c r="RSI36" i="14"/>
  <c r="RSA36" i="14"/>
  <c r="RRS36" i="14"/>
  <c r="RRK36" i="14"/>
  <c r="RRC36" i="14"/>
  <c r="RQU36" i="14"/>
  <c r="RQM36" i="14"/>
  <c r="RQE36" i="14"/>
  <c r="RPW36" i="14"/>
  <c r="RPO36" i="14"/>
  <c r="RPG36" i="14"/>
  <c r="ROY36" i="14"/>
  <c r="ROQ36" i="14"/>
  <c r="ROI36" i="14"/>
  <c r="ROA36" i="14"/>
  <c r="RNS36" i="14"/>
  <c r="RNK36" i="14"/>
  <c r="RNC36" i="14"/>
  <c r="RMU36" i="14"/>
  <c r="RMM36" i="14"/>
  <c r="RME36" i="14"/>
  <c r="RLW36" i="14"/>
  <c r="RLO36" i="14"/>
  <c r="RLG36" i="14"/>
  <c r="RKY36" i="14"/>
  <c r="RKQ36" i="14"/>
  <c r="RKI36" i="14"/>
  <c r="RKA36" i="14"/>
  <c r="RJS36" i="14"/>
  <c r="RJK36" i="14"/>
  <c r="RJC36" i="14"/>
  <c r="RIU36" i="14"/>
  <c r="RIM36" i="14"/>
  <c r="RIE36" i="14"/>
  <c r="RHW36" i="14"/>
  <c r="RHO36" i="14"/>
  <c r="RHG36" i="14"/>
  <c r="RGY36" i="14"/>
  <c r="RGQ36" i="14"/>
  <c r="RGI36" i="14"/>
  <c r="RGA36" i="14"/>
  <c r="RFS36" i="14"/>
  <c r="RFK36" i="14"/>
  <c r="RFC36" i="14"/>
  <c r="REU36" i="14"/>
  <c r="REM36" i="14"/>
  <c r="REE36" i="14"/>
  <c r="RDW36" i="14"/>
  <c r="RDO36" i="14"/>
  <c r="RDG36" i="14"/>
  <c r="RCY36" i="14"/>
  <c r="RCQ36" i="14"/>
  <c r="RCI36" i="14"/>
  <c r="RCA36" i="14"/>
  <c r="RBS36" i="14"/>
  <c r="RBK36" i="14"/>
  <c r="RBC36" i="14"/>
  <c r="RAU36" i="14"/>
  <c r="RAM36" i="14"/>
  <c r="RAE36" i="14"/>
  <c r="QZW36" i="14"/>
  <c r="QZO36" i="14"/>
  <c r="QZG36" i="14"/>
  <c r="QYY36" i="14"/>
  <c r="QYQ36" i="14"/>
  <c r="QYI36" i="14"/>
  <c r="QYA36" i="14"/>
  <c r="QXS36" i="14"/>
  <c r="QXK36" i="14"/>
  <c r="QXC36" i="14"/>
  <c r="QWU36" i="14"/>
  <c r="QWM36" i="14"/>
  <c r="QWE36" i="14"/>
  <c r="QVW36" i="14"/>
  <c r="QVO36" i="14"/>
  <c r="QVG36" i="14"/>
  <c r="QUY36" i="14"/>
  <c r="QUQ36" i="14"/>
  <c r="QUI36" i="14"/>
  <c r="QUA36" i="14"/>
  <c r="QTS36" i="14"/>
  <c r="QTK36" i="14"/>
  <c r="QTC36" i="14"/>
  <c r="QSU36" i="14"/>
  <c r="QSM36" i="14"/>
  <c r="QSE36" i="14"/>
  <c r="QRW36" i="14"/>
  <c r="QRO36" i="14"/>
  <c r="QRG36" i="14"/>
  <c r="QQY36" i="14"/>
  <c r="QQQ36" i="14"/>
  <c r="QQI36" i="14"/>
  <c r="QQA36" i="14"/>
  <c r="QPS36" i="14"/>
  <c r="QPK36" i="14"/>
  <c r="QPC36" i="14"/>
  <c r="QOU36" i="14"/>
  <c r="QOM36" i="14"/>
  <c r="QOE36" i="14"/>
  <c r="QNW36" i="14"/>
  <c r="QNO36" i="14"/>
  <c r="QNG36" i="14"/>
  <c r="QMY36" i="14"/>
  <c r="QMQ36" i="14"/>
  <c r="QMI36" i="14"/>
  <c r="QMA36" i="14"/>
  <c r="QLS36" i="14"/>
  <c r="QLK36" i="14"/>
  <c r="QLC36" i="14"/>
  <c r="QKU36" i="14"/>
  <c r="QKM36" i="14"/>
  <c r="QKE36" i="14"/>
  <c r="QJW36" i="14"/>
  <c r="QJO36" i="14"/>
  <c r="QJG36" i="14"/>
  <c r="QIY36" i="14"/>
  <c r="QIQ36" i="14"/>
  <c r="QII36" i="14"/>
  <c r="QIA36" i="14"/>
  <c r="QHS36" i="14"/>
  <c r="QHK36" i="14"/>
  <c r="QHC36" i="14"/>
  <c r="QGU36" i="14"/>
  <c r="QGM36" i="14"/>
  <c r="QGE36" i="14"/>
  <c r="QFW36" i="14"/>
  <c r="QFO36" i="14"/>
  <c r="QFG36" i="14"/>
  <c r="QEY36" i="14"/>
  <c r="QEQ36" i="14"/>
  <c r="QEI36" i="14"/>
  <c r="QEA36" i="14"/>
  <c r="QDS36" i="14"/>
  <c r="QDK36" i="14"/>
  <c r="QDC36" i="14"/>
  <c r="QCU36" i="14"/>
  <c r="QCM36" i="14"/>
  <c r="QCE36" i="14"/>
  <c r="QBW36" i="14"/>
  <c r="QBO36" i="14"/>
  <c r="QBG36" i="14"/>
  <c r="QAY36" i="14"/>
  <c r="QAQ36" i="14"/>
  <c r="QAI36" i="14"/>
  <c r="QAA36" i="14"/>
  <c r="PZS36" i="14"/>
  <c r="PZK36" i="14"/>
  <c r="PZC36" i="14"/>
  <c r="PYU36" i="14"/>
  <c r="PYM36" i="14"/>
  <c r="PYE36" i="14"/>
  <c r="PXW36" i="14"/>
  <c r="PXO36" i="14"/>
  <c r="PXG36" i="14"/>
  <c r="PWY36" i="14"/>
  <c r="PWQ36" i="14"/>
  <c r="PWI36" i="14"/>
  <c r="PWA36" i="14"/>
  <c r="PVS36" i="14"/>
  <c r="PVK36" i="14"/>
  <c r="PVC36" i="14"/>
  <c r="PUU36" i="14"/>
  <c r="PUM36" i="14"/>
  <c r="PUE36" i="14"/>
  <c r="PTW36" i="14"/>
  <c r="PTO36" i="14"/>
  <c r="PTG36" i="14"/>
  <c r="PSY36" i="14"/>
  <c r="PSQ36" i="14"/>
  <c r="PSI36" i="14"/>
  <c r="PSA36" i="14"/>
  <c r="PRS36" i="14"/>
  <c r="PRK36" i="14"/>
  <c r="PRC36" i="14"/>
  <c r="PQU36" i="14"/>
  <c r="PQM36" i="14"/>
  <c r="PQE36" i="14"/>
  <c r="PPW36" i="14"/>
  <c r="PPO36" i="14"/>
  <c r="PPG36" i="14"/>
  <c r="POY36" i="14"/>
  <c r="POQ36" i="14"/>
  <c r="POI36" i="14"/>
  <c r="POA36" i="14"/>
  <c r="PNS36" i="14"/>
  <c r="PNK36" i="14"/>
  <c r="PNC36" i="14"/>
  <c r="PMU36" i="14"/>
  <c r="PMM36" i="14"/>
  <c r="PME36" i="14"/>
  <c r="PLW36" i="14"/>
  <c r="PLO36" i="14"/>
  <c r="PLG36" i="14"/>
  <c r="PKY36" i="14"/>
  <c r="PKQ36" i="14"/>
  <c r="PKI36" i="14"/>
  <c r="PKA36" i="14"/>
  <c r="PJS36" i="14"/>
  <c r="PJK36" i="14"/>
  <c r="PJC36" i="14"/>
  <c r="PIU36" i="14"/>
  <c r="PIM36" i="14"/>
  <c r="PIE36" i="14"/>
  <c r="PHW36" i="14"/>
  <c r="PHO36" i="14"/>
  <c r="PHG36" i="14"/>
  <c r="PGY36" i="14"/>
  <c r="PGQ36" i="14"/>
  <c r="PGI36" i="14"/>
  <c r="PGA36" i="14"/>
  <c r="PFS36" i="14"/>
  <c r="PFK36" i="14"/>
  <c r="PFC36" i="14"/>
  <c r="PEU36" i="14"/>
  <c r="PEM36" i="14"/>
  <c r="PEE36" i="14"/>
  <c r="PDW36" i="14"/>
  <c r="PDO36" i="14"/>
  <c r="PDG36" i="14"/>
  <c r="PCY36" i="14"/>
  <c r="PCQ36" i="14"/>
  <c r="PCI36" i="14"/>
  <c r="PCA36" i="14"/>
  <c r="PBS36" i="14"/>
  <c r="PBK36" i="14"/>
  <c r="PBC36" i="14"/>
  <c r="PAU36" i="14"/>
  <c r="PAM36" i="14"/>
  <c r="PAE36" i="14"/>
  <c r="OZW36" i="14"/>
  <c r="OZO36" i="14"/>
  <c r="OZG36" i="14"/>
  <c r="OYY36" i="14"/>
  <c r="OYQ36" i="14"/>
  <c r="OYI36" i="14"/>
  <c r="OYA36" i="14"/>
  <c r="OXS36" i="14"/>
  <c r="OXK36" i="14"/>
  <c r="OXC36" i="14"/>
  <c r="OWU36" i="14"/>
  <c r="OWM36" i="14"/>
  <c r="OWE36" i="14"/>
  <c r="OVW36" i="14"/>
  <c r="OVO36" i="14"/>
  <c r="OVG36" i="14"/>
  <c r="OUY36" i="14"/>
  <c r="OUQ36" i="14"/>
  <c r="OUI36" i="14"/>
  <c r="OUA36" i="14"/>
  <c r="OTS36" i="14"/>
  <c r="OTK36" i="14"/>
  <c r="OTC36" i="14"/>
  <c r="OSU36" i="14"/>
  <c r="OSM36" i="14"/>
  <c r="OSE36" i="14"/>
  <c r="ORW36" i="14"/>
  <c r="ORO36" i="14"/>
  <c r="ORG36" i="14"/>
  <c r="OQY36" i="14"/>
  <c r="OQQ36" i="14"/>
  <c r="OQI36" i="14"/>
  <c r="OQA36" i="14"/>
  <c r="OPS36" i="14"/>
  <c r="OPK36" i="14"/>
  <c r="OPC36" i="14"/>
  <c r="OOU36" i="14"/>
  <c r="OOM36" i="14"/>
  <c r="OOE36" i="14"/>
  <c r="ONW36" i="14"/>
  <c r="ONO36" i="14"/>
  <c r="ONG36" i="14"/>
  <c r="OMY36" i="14"/>
  <c r="OMQ36" i="14"/>
  <c r="OMI36" i="14"/>
  <c r="OMA36" i="14"/>
  <c r="OLS36" i="14"/>
  <c r="OLK36" i="14"/>
  <c r="OLC36" i="14"/>
  <c r="OKU36" i="14"/>
  <c r="OKM36" i="14"/>
  <c r="OKE36" i="14"/>
  <c r="OJW36" i="14"/>
  <c r="OJO36" i="14"/>
  <c r="OJG36" i="14"/>
  <c r="OIY36" i="14"/>
  <c r="OIQ36" i="14"/>
  <c r="OII36" i="14"/>
  <c r="OIA36" i="14"/>
  <c r="OHS36" i="14"/>
  <c r="OHK36" i="14"/>
  <c r="OHC36" i="14"/>
  <c r="OGU36" i="14"/>
  <c r="OGM36" i="14"/>
  <c r="OGE36" i="14"/>
  <c r="OFW36" i="14"/>
  <c r="OFO36" i="14"/>
  <c r="OFG36" i="14"/>
  <c r="OEY36" i="14"/>
  <c r="OEQ36" i="14"/>
  <c r="OEI36" i="14"/>
  <c r="OEA36" i="14"/>
  <c r="ODS36" i="14"/>
  <c r="ODK36" i="14"/>
  <c r="ODC36" i="14"/>
  <c r="OCU36" i="14"/>
  <c r="OCM36" i="14"/>
  <c r="OCE36" i="14"/>
  <c r="OBW36" i="14"/>
  <c r="OBO36" i="14"/>
  <c r="OBG36" i="14"/>
  <c r="OAY36" i="14"/>
  <c r="OAQ36" i="14"/>
  <c r="OAI36" i="14"/>
  <c r="OAA36" i="14"/>
  <c r="NZS36" i="14"/>
  <c r="NZK36" i="14"/>
  <c r="NZC36" i="14"/>
  <c r="NYU36" i="14"/>
  <c r="NYM36" i="14"/>
  <c r="NYE36" i="14"/>
  <c r="NXW36" i="14"/>
  <c r="NXO36" i="14"/>
  <c r="NXG36" i="14"/>
  <c r="NWY36" i="14"/>
  <c r="NWQ36" i="14"/>
  <c r="NWI36" i="14"/>
  <c r="NWA36" i="14"/>
  <c r="NVS36" i="14"/>
  <c r="NVK36" i="14"/>
  <c r="NVC36" i="14"/>
  <c r="NUU36" i="14"/>
  <c r="NUM36" i="14"/>
  <c r="NUE36" i="14"/>
  <c r="NTW36" i="14"/>
  <c r="NTO36" i="14"/>
  <c r="NTG36" i="14"/>
  <c r="NSY36" i="14"/>
  <c r="NSQ36" i="14"/>
  <c r="NSI36" i="14"/>
  <c r="NSA36" i="14"/>
  <c r="NRS36" i="14"/>
  <c r="NRK36" i="14"/>
  <c r="NRC36" i="14"/>
  <c r="NQU36" i="14"/>
  <c r="NQM36" i="14"/>
  <c r="NQE36" i="14"/>
  <c r="NPW36" i="14"/>
  <c r="NPO36" i="14"/>
  <c r="NPG36" i="14"/>
  <c r="NOY36" i="14"/>
  <c r="NOQ36" i="14"/>
  <c r="NOI36" i="14"/>
  <c r="NOA36" i="14"/>
  <c r="NNS36" i="14"/>
  <c r="NNK36" i="14"/>
  <c r="NNC36" i="14"/>
  <c r="NMU36" i="14"/>
  <c r="NMM36" i="14"/>
  <c r="NME36" i="14"/>
  <c r="NLW36" i="14"/>
  <c r="NLO36" i="14"/>
  <c r="NLG36" i="14"/>
  <c r="NKY36" i="14"/>
  <c r="NKQ36" i="14"/>
  <c r="NKI36" i="14"/>
  <c r="NKA36" i="14"/>
  <c r="NJS36" i="14"/>
  <c r="NJK36" i="14"/>
  <c r="NJC36" i="14"/>
  <c r="NIU36" i="14"/>
  <c r="NIM36" i="14"/>
  <c r="NIE36" i="14"/>
  <c r="NHW36" i="14"/>
  <c r="NHO36" i="14"/>
  <c r="NHG36" i="14"/>
  <c r="NGY36" i="14"/>
  <c r="NGQ36" i="14"/>
  <c r="NGI36" i="14"/>
  <c r="NGA36" i="14"/>
  <c r="NFS36" i="14"/>
  <c r="NFK36" i="14"/>
  <c r="NFC36" i="14"/>
  <c r="NEU36" i="14"/>
  <c r="NEM36" i="14"/>
  <c r="NEE36" i="14"/>
  <c r="NDW36" i="14"/>
  <c r="NDO36" i="14"/>
  <c r="NDG36" i="14"/>
  <c r="NCY36" i="14"/>
  <c r="NCQ36" i="14"/>
  <c r="NCI36" i="14"/>
  <c r="NCA36" i="14"/>
  <c r="NBS36" i="14"/>
  <c r="NBK36" i="14"/>
  <c r="NBC36" i="14"/>
  <c r="NAU36" i="14"/>
  <c r="NAM36" i="14"/>
  <c r="NAE36" i="14"/>
  <c r="MZW36" i="14"/>
  <c r="MZO36" i="14"/>
  <c r="MZG36" i="14"/>
  <c r="MYY36" i="14"/>
  <c r="MYQ36" i="14"/>
  <c r="MYI36" i="14"/>
  <c r="MYA36" i="14"/>
  <c r="MXS36" i="14"/>
  <c r="MXK36" i="14"/>
  <c r="MXC36" i="14"/>
  <c r="MWU36" i="14"/>
  <c r="MWM36" i="14"/>
  <c r="MWE36" i="14"/>
  <c r="MVW36" i="14"/>
  <c r="MVO36" i="14"/>
  <c r="MVG36" i="14"/>
  <c r="MUY36" i="14"/>
  <c r="MUQ36" i="14"/>
  <c r="MUI36" i="14"/>
  <c r="MUA36" i="14"/>
  <c r="MTS36" i="14"/>
  <c r="MTK36" i="14"/>
  <c r="MTC36" i="14"/>
  <c r="MSU36" i="14"/>
  <c r="MSM36" i="14"/>
  <c r="MSE36" i="14"/>
  <c r="MRW36" i="14"/>
  <c r="MRO36" i="14"/>
  <c r="MRG36" i="14"/>
  <c r="MQY36" i="14"/>
  <c r="MQQ36" i="14"/>
  <c r="MQI36" i="14"/>
  <c r="MQA36" i="14"/>
  <c r="MPS36" i="14"/>
  <c r="MPK36" i="14"/>
  <c r="MPC36" i="14"/>
  <c r="MOU36" i="14"/>
  <c r="MOM36" i="14"/>
  <c r="MOE36" i="14"/>
  <c r="MNW36" i="14"/>
  <c r="MNO36" i="14"/>
  <c r="MNG36" i="14"/>
  <c r="MMY36" i="14"/>
  <c r="MMQ36" i="14"/>
  <c r="MMI36" i="14"/>
  <c r="MMA36" i="14"/>
  <c r="MLS36" i="14"/>
  <c r="MLK36" i="14"/>
  <c r="MLC36" i="14"/>
  <c r="MKU36" i="14"/>
  <c r="MKM36" i="14"/>
  <c r="MKE36" i="14"/>
  <c r="MJW36" i="14"/>
  <c r="MJO36" i="14"/>
  <c r="MJG36" i="14"/>
  <c r="MIY36" i="14"/>
  <c r="MIQ36" i="14"/>
  <c r="MII36" i="14"/>
  <c r="MIA36" i="14"/>
  <c r="MHS36" i="14"/>
  <c r="MHK36" i="14"/>
  <c r="MHC36" i="14"/>
  <c r="MGU36" i="14"/>
  <c r="MGM36" i="14"/>
  <c r="MGE36" i="14"/>
  <c r="MFW36" i="14"/>
  <c r="MFO36" i="14"/>
  <c r="MFG36" i="14"/>
  <c r="MEY36" i="14"/>
  <c r="MEQ36" i="14"/>
  <c r="MEI36" i="14"/>
  <c r="MEA36" i="14"/>
  <c r="MDS36" i="14"/>
  <c r="MDK36" i="14"/>
  <c r="MDC36" i="14"/>
  <c r="MCU36" i="14"/>
  <c r="MCM36" i="14"/>
  <c r="MCE36" i="14"/>
  <c r="MBW36" i="14"/>
  <c r="MBO36" i="14"/>
  <c r="MBG36" i="14"/>
  <c r="MAY36" i="14"/>
  <c r="MAQ36" i="14"/>
  <c r="MAI36" i="14"/>
  <c r="MAA36" i="14"/>
  <c r="LZS36" i="14"/>
  <c r="LZK36" i="14"/>
  <c r="LZC36" i="14"/>
  <c r="LYU36" i="14"/>
  <c r="LYM36" i="14"/>
  <c r="LYE36" i="14"/>
  <c r="LXW36" i="14"/>
  <c r="LXO36" i="14"/>
  <c r="LXG36" i="14"/>
  <c r="LWY36" i="14"/>
  <c r="LWQ36" i="14"/>
  <c r="LWI36" i="14"/>
  <c r="LWA36" i="14"/>
  <c r="LVS36" i="14"/>
  <c r="LVK36" i="14"/>
  <c r="LVC36" i="14"/>
  <c r="LUU36" i="14"/>
  <c r="LUM36" i="14"/>
  <c r="LUE36" i="14"/>
  <c r="LTW36" i="14"/>
  <c r="LTO36" i="14"/>
  <c r="LTG36" i="14"/>
  <c r="LSY36" i="14"/>
  <c r="LSQ36" i="14"/>
  <c r="LSI36" i="14"/>
  <c r="LSA36" i="14"/>
  <c r="LRS36" i="14"/>
  <c r="LRK36" i="14"/>
  <c r="LRC36" i="14"/>
  <c r="LQU36" i="14"/>
  <c r="LQM36" i="14"/>
  <c r="LQE36" i="14"/>
  <c r="LPW36" i="14"/>
  <c r="LPO36" i="14"/>
  <c r="LPG36" i="14"/>
  <c r="LOY36" i="14"/>
  <c r="LOQ36" i="14"/>
  <c r="LOI36" i="14"/>
  <c r="LOA36" i="14"/>
  <c r="LNS36" i="14"/>
  <c r="LNK36" i="14"/>
  <c r="LNC36" i="14"/>
  <c r="LMU36" i="14"/>
  <c r="LMM36" i="14"/>
  <c r="LME36" i="14"/>
  <c r="LLW36" i="14"/>
  <c r="LLO36" i="14"/>
  <c r="LLG36" i="14"/>
  <c r="LKY36" i="14"/>
  <c r="LKQ36" i="14"/>
  <c r="LKI36" i="14"/>
  <c r="LKA36" i="14"/>
  <c r="LJS36" i="14"/>
  <c r="LJK36" i="14"/>
  <c r="LJC36" i="14"/>
  <c r="LIU36" i="14"/>
  <c r="LIM36" i="14"/>
  <c r="LIE36" i="14"/>
  <c r="LHW36" i="14"/>
  <c r="LHO36" i="14"/>
  <c r="LHG36" i="14"/>
  <c r="LGY36" i="14"/>
  <c r="LGQ36" i="14"/>
  <c r="LGI36" i="14"/>
  <c r="LGA36" i="14"/>
  <c r="LFS36" i="14"/>
  <c r="LFK36" i="14"/>
  <c r="LFC36" i="14"/>
  <c r="LEU36" i="14"/>
  <c r="LEM36" i="14"/>
  <c r="LEE36" i="14"/>
  <c r="LDW36" i="14"/>
  <c r="LDO36" i="14"/>
  <c r="LDG36" i="14"/>
  <c r="LCY36" i="14"/>
  <c r="LCQ36" i="14"/>
  <c r="LCI36" i="14"/>
  <c r="LCA36" i="14"/>
  <c r="LBS36" i="14"/>
  <c r="LBK36" i="14"/>
  <c r="LBC36" i="14"/>
  <c r="LAU36" i="14"/>
  <c r="LAM36" i="14"/>
  <c r="LAE36" i="14"/>
  <c r="KZW36" i="14"/>
  <c r="KZO36" i="14"/>
  <c r="KZG36" i="14"/>
  <c r="KYY36" i="14"/>
  <c r="KYQ36" i="14"/>
  <c r="KYI36" i="14"/>
  <c r="KYA36" i="14"/>
  <c r="KXS36" i="14"/>
  <c r="KXK36" i="14"/>
  <c r="KXC36" i="14"/>
  <c r="KWU36" i="14"/>
  <c r="KWM36" i="14"/>
  <c r="KWE36" i="14"/>
  <c r="KVW36" i="14"/>
  <c r="KVO36" i="14"/>
  <c r="KVG36" i="14"/>
  <c r="KUY36" i="14"/>
  <c r="KUQ36" i="14"/>
  <c r="KUI36" i="14"/>
  <c r="KUA36" i="14"/>
  <c r="KTS36" i="14"/>
  <c r="KTK36" i="14"/>
  <c r="KTC36" i="14"/>
  <c r="KSU36" i="14"/>
  <c r="KSM36" i="14"/>
  <c r="KSE36" i="14"/>
  <c r="KRW36" i="14"/>
  <c r="KRO36" i="14"/>
  <c r="KRG36" i="14"/>
  <c r="KQY36" i="14"/>
  <c r="KQQ36" i="14"/>
  <c r="KQI36" i="14"/>
  <c r="KQA36" i="14"/>
  <c r="KPS36" i="14"/>
  <c r="KPK36" i="14"/>
  <c r="KPC36" i="14"/>
  <c r="KOU36" i="14"/>
  <c r="KOM36" i="14"/>
  <c r="KOE36" i="14"/>
  <c r="KNW36" i="14"/>
  <c r="KNO36" i="14"/>
  <c r="KNG36" i="14"/>
  <c r="KMY36" i="14"/>
  <c r="KMQ36" i="14"/>
  <c r="KMI36" i="14"/>
  <c r="KMA36" i="14"/>
  <c r="KLS36" i="14"/>
  <c r="KLK36" i="14"/>
  <c r="KLC36" i="14"/>
  <c r="KKU36" i="14"/>
  <c r="KKM36" i="14"/>
  <c r="KKE36" i="14"/>
  <c r="KJW36" i="14"/>
  <c r="KJO36" i="14"/>
  <c r="KJG36" i="14"/>
  <c r="KIY36" i="14"/>
  <c r="KIQ36" i="14"/>
  <c r="KII36" i="14"/>
  <c r="KIA36" i="14"/>
  <c r="KHS36" i="14"/>
  <c r="KHK36" i="14"/>
  <c r="KHC36" i="14"/>
  <c r="KGU36" i="14"/>
  <c r="KGM36" i="14"/>
  <c r="KGE36" i="14"/>
  <c r="KFW36" i="14"/>
  <c r="KFO36" i="14"/>
  <c r="KFG36" i="14"/>
  <c r="KEY36" i="14"/>
  <c r="KEQ36" i="14"/>
  <c r="KEI36" i="14"/>
  <c r="KEA36" i="14"/>
  <c r="KDS36" i="14"/>
  <c r="KDK36" i="14"/>
  <c r="KDC36" i="14"/>
  <c r="KCU36" i="14"/>
  <c r="KCM36" i="14"/>
  <c r="KCE36" i="14"/>
  <c r="KBW36" i="14"/>
  <c r="KBO36" i="14"/>
  <c r="KBG36" i="14"/>
  <c r="KAY36" i="14"/>
  <c r="KAQ36" i="14"/>
  <c r="KAI36" i="14"/>
  <c r="KAA36" i="14"/>
  <c r="JZS36" i="14"/>
  <c r="JZK36" i="14"/>
  <c r="JZC36" i="14"/>
  <c r="JYU36" i="14"/>
  <c r="JYM36" i="14"/>
  <c r="JYE36" i="14"/>
  <c r="JXW36" i="14"/>
  <c r="JXO36" i="14"/>
  <c r="JXG36" i="14"/>
  <c r="JWY36" i="14"/>
  <c r="JWQ36" i="14"/>
  <c r="JWI36" i="14"/>
  <c r="JWA36" i="14"/>
  <c r="JVS36" i="14"/>
  <c r="JVK36" i="14"/>
  <c r="JVC36" i="14"/>
  <c r="JUU36" i="14"/>
  <c r="JUM36" i="14"/>
  <c r="JUE36" i="14"/>
  <c r="JTW36" i="14"/>
  <c r="JTO36" i="14"/>
  <c r="JTG36" i="14"/>
  <c r="JSY36" i="14"/>
  <c r="JSQ36" i="14"/>
  <c r="JSI36" i="14"/>
  <c r="JSA36" i="14"/>
  <c r="JRS36" i="14"/>
  <c r="JRK36" i="14"/>
  <c r="JRC36" i="14"/>
  <c r="JQU36" i="14"/>
  <c r="JQM36" i="14"/>
  <c r="JQE36" i="14"/>
  <c r="JPW36" i="14"/>
  <c r="JPO36" i="14"/>
  <c r="JPG36" i="14"/>
  <c r="JOY36" i="14"/>
  <c r="JOQ36" i="14"/>
  <c r="JOI36" i="14"/>
  <c r="JOA36" i="14"/>
  <c r="JNS36" i="14"/>
  <c r="JNK36" i="14"/>
  <c r="JNC36" i="14"/>
  <c r="JMU36" i="14"/>
  <c r="JMM36" i="14"/>
  <c r="JME36" i="14"/>
  <c r="JLW36" i="14"/>
  <c r="JLO36" i="14"/>
  <c r="JLG36" i="14"/>
  <c r="JKY36" i="14"/>
  <c r="JKQ36" i="14"/>
  <c r="JKI36" i="14"/>
  <c r="JKA36" i="14"/>
  <c r="JJS36" i="14"/>
  <c r="JJK36" i="14"/>
  <c r="JJC36" i="14"/>
  <c r="JIU36" i="14"/>
  <c r="JIM36" i="14"/>
  <c r="JIE36" i="14"/>
  <c r="JHW36" i="14"/>
  <c r="JHO36" i="14"/>
  <c r="JHG36" i="14"/>
  <c r="JGY36" i="14"/>
  <c r="JGQ36" i="14"/>
  <c r="JGI36" i="14"/>
  <c r="JGA36" i="14"/>
  <c r="JFS36" i="14"/>
  <c r="JFK36" i="14"/>
  <c r="JFC36" i="14"/>
  <c r="JEU36" i="14"/>
  <c r="JEM36" i="14"/>
  <c r="JEE36" i="14"/>
  <c r="JDW36" i="14"/>
  <c r="JDO36" i="14"/>
  <c r="JDG36" i="14"/>
  <c r="JCY36" i="14"/>
  <c r="JCQ36" i="14"/>
  <c r="JCI36" i="14"/>
  <c r="JCA36" i="14"/>
  <c r="JBS36" i="14"/>
  <c r="JBK36" i="14"/>
  <c r="JBC36" i="14"/>
  <c r="JAU36" i="14"/>
  <c r="JAM36" i="14"/>
  <c r="JAE36" i="14"/>
  <c r="IZW36" i="14"/>
  <c r="IZO36" i="14"/>
  <c r="IZG36" i="14"/>
  <c r="IYY36" i="14"/>
  <c r="IYQ36" i="14"/>
  <c r="IYI36" i="14"/>
  <c r="IYA36" i="14"/>
  <c r="IXS36" i="14"/>
  <c r="IXK36" i="14"/>
  <c r="IXC36" i="14"/>
  <c r="IWU36" i="14"/>
  <c r="IWM36" i="14"/>
  <c r="IWE36" i="14"/>
  <c r="IVW36" i="14"/>
  <c r="IVO36" i="14"/>
  <c r="IVG36" i="14"/>
  <c r="IUY36" i="14"/>
  <c r="IUQ36" i="14"/>
  <c r="IUI36" i="14"/>
  <c r="IUA36" i="14"/>
  <c r="ITS36" i="14"/>
  <c r="ITK36" i="14"/>
  <c r="ITC36" i="14"/>
  <c r="ISU36" i="14"/>
  <c r="ISM36" i="14"/>
  <c r="ISE36" i="14"/>
  <c r="IRW36" i="14"/>
  <c r="IRO36" i="14"/>
  <c r="IRG36" i="14"/>
  <c r="IQY36" i="14"/>
  <c r="IQQ36" i="14"/>
  <c r="IQI36" i="14"/>
  <c r="IQA36" i="14"/>
  <c r="IPS36" i="14"/>
  <c r="IPK36" i="14"/>
  <c r="IPC36" i="14"/>
  <c r="IOU36" i="14"/>
  <c r="IOM36" i="14"/>
  <c r="IOE36" i="14"/>
  <c r="INW36" i="14"/>
  <c r="INO36" i="14"/>
  <c r="ING36" i="14"/>
  <c r="IMY36" i="14"/>
  <c r="IMQ36" i="14"/>
  <c r="IMI36" i="14"/>
  <c r="IMA36" i="14"/>
  <c r="ILS36" i="14"/>
  <c r="ILK36" i="14"/>
  <c r="ILC36" i="14"/>
  <c r="IKU36" i="14"/>
  <c r="IKM36" i="14"/>
  <c r="IKE36" i="14"/>
  <c r="IJW36" i="14"/>
  <c r="IJO36" i="14"/>
  <c r="IJG36" i="14"/>
  <c r="IIY36" i="14"/>
  <c r="IIQ36" i="14"/>
  <c r="III36" i="14"/>
  <c r="IIA36" i="14"/>
  <c r="IHS36" i="14"/>
  <c r="IHK36" i="14"/>
  <c r="IHC36" i="14"/>
  <c r="IGU36" i="14"/>
  <c r="IGM36" i="14"/>
  <c r="IGE36" i="14"/>
  <c r="IFW36" i="14"/>
  <c r="IFO36" i="14"/>
  <c r="IFG36" i="14"/>
  <c r="IEY36" i="14"/>
  <c r="IEQ36" i="14"/>
  <c r="IEI36" i="14"/>
  <c r="IEA36" i="14"/>
  <c r="IDS36" i="14"/>
  <c r="IDK36" i="14"/>
  <c r="IDC36" i="14"/>
  <c r="ICU36" i="14"/>
  <c r="ICM36" i="14"/>
  <c r="ICE36" i="14"/>
  <c r="IBW36" i="14"/>
  <c r="IBO36" i="14"/>
  <c r="IBG36" i="14"/>
  <c r="IAY36" i="14"/>
  <c r="IAQ36" i="14"/>
  <c r="IAI36" i="14"/>
  <c r="IAA36" i="14"/>
  <c r="HZS36" i="14"/>
  <c r="HZK36" i="14"/>
  <c r="HZC36" i="14"/>
  <c r="HYU36" i="14"/>
  <c r="HYM36" i="14"/>
  <c r="HYE36" i="14"/>
  <c r="HXW36" i="14"/>
  <c r="HXO36" i="14"/>
  <c r="HXG36" i="14"/>
  <c r="HWY36" i="14"/>
  <c r="HWQ36" i="14"/>
  <c r="HWI36" i="14"/>
  <c r="HWA36" i="14"/>
  <c r="HVS36" i="14"/>
  <c r="HVK36" i="14"/>
  <c r="HVC36" i="14"/>
  <c r="HUU36" i="14"/>
  <c r="HUM36" i="14"/>
  <c r="HUE36" i="14"/>
  <c r="HTW36" i="14"/>
  <c r="HTO36" i="14"/>
  <c r="HTG36" i="14"/>
  <c r="HSY36" i="14"/>
  <c r="HSQ36" i="14"/>
  <c r="HSI36" i="14"/>
  <c r="HSA36" i="14"/>
  <c r="HRS36" i="14"/>
  <c r="HRK36" i="14"/>
  <c r="HRC36" i="14"/>
  <c r="HQU36" i="14"/>
  <c r="HQM36" i="14"/>
  <c r="HQE36" i="14"/>
  <c r="HPW36" i="14"/>
  <c r="HPO36" i="14"/>
  <c r="HPG36" i="14"/>
  <c r="HOY36" i="14"/>
  <c r="HOQ36" i="14"/>
  <c r="HOI36" i="14"/>
  <c r="HOA36" i="14"/>
  <c r="HNS36" i="14"/>
  <c r="HNK36" i="14"/>
  <c r="HNC36" i="14"/>
  <c r="HMU36" i="14"/>
  <c r="HMM36" i="14"/>
  <c r="HME36" i="14"/>
  <c r="HLW36" i="14"/>
  <c r="HLO36" i="14"/>
  <c r="HLG36" i="14"/>
  <c r="HKY36" i="14"/>
  <c r="HKQ36" i="14"/>
  <c r="HKI36" i="14"/>
  <c r="HKA36" i="14"/>
  <c r="HJS36" i="14"/>
  <c r="HJK36" i="14"/>
  <c r="HJC36" i="14"/>
  <c r="HIU36" i="14"/>
  <c r="HIM36" i="14"/>
  <c r="HIE36" i="14"/>
  <c r="HHW36" i="14"/>
  <c r="HHO36" i="14"/>
  <c r="HHG36" i="14"/>
  <c r="HGY36" i="14"/>
  <c r="HGQ36" i="14"/>
  <c r="HGI36" i="14"/>
  <c r="HGA36" i="14"/>
  <c r="HFS36" i="14"/>
  <c r="HFK36" i="14"/>
  <c r="HFC36" i="14"/>
  <c r="HEU36" i="14"/>
  <c r="HEM36" i="14"/>
  <c r="HEE36" i="14"/>
  <c r="HDW36" i="14"/>
  <c r="HDO36" i="14"/>
  <c r="HDG36" i="14"/>
  <c r="HCY36" i="14"/>
  <c r="HCQ36" i="14"/>
  <c r="HCI36" i="14"/>
  <c r="HCA36" i="14"/>
  <c r="HBS36" i="14"/>
  <c r="HBK36" i="14"/>
  <c r="HBC36" i="14"/>
  <c r="HAU36" i="14"/>
  <c r="HAM36" i="14"/>
  <c r="HAE36" i="14"/>
  <c r="GZW36" i="14"/>
  <c r="GZO36" i="14"/>
  <c r="GZG36" i="14"/>
  <c r="GYY36" i="14"/>
  <c r="GYQ36" i="14"/>
  <c r="GYI36" i="14"/>
  <c r="GYA36" i="14"/>
  <c r="GXS36" i="14"/>
  <c r="GXK36" i="14"/>
  <c r="GXC36" i="14"/>
  <c r="GWU36" i="14"/>
  <c r="GWM36" i="14"/>
  <c r="GWE36" i="14"/>
  <c r="GVW36" i="14"/>
  <c r="GVO36" i="14"/>
  <c r="GVG36" i="14"/>
  <c r="GUY36" i="14"/>
  <c r="GUQ36" i="14"/>
  <c r="GUI36" i="14"/>
  <c r="GUA36" i="14"/>
  <c r="GTS36" i="14"/>
  <c r="GTK36" i="14"/>
  <c r="GTC36" i="14"/>
  <c r="GSU36" i="14"/>
  <c r="GSM36" i="14"/>
  <c r="GSE36" i="14"/>
  <c r="GRW36" i="14"/>
  <c r="GRO36" i="14"/>
  <c r="GRG36" i="14"/>
  <c r="GQY36" i="14"/>
  <c r="GQQ36" i="14"/>
  <c r="GQI36" i="14"/>
  <c r="GQA36" i="14"/>
  <c r="GPS36" i="14"/>
  <c r="GPK36" i="14"/>
  <c r="GPC36" i="14"/>
  <c r="GOU36" i="14"/>
  <c r="GOM36" i="14"/>
  <c r="GOE36" i="14"/>
  <c r="GNW36" i="14"/>
  <c r="GNO36" i="14"/>
  <c r="GNG36" i="14"/>
  <c r="GMY36" i="14"/>
  <c r="GMQ36" i="14"/>
  <c r="GMI36" i="14"/>
  <c r="GMA36" i="14"/>
  <c r="GLS36" i="14"/>
  <c r="GLK36" i="14"/>
  <c r="GLC36" i="14"/>
  <c r="GKU36" i="14"/>
  <c r="GKM36" i="14"/>
  <c r="GKE36" i="14"/>
  <c r="GJW36" i="14"/>
  <c r="GJO36" i="14"/>
  <c r="GJG36" i="14"/>
  <c r="GIY36" i="14"/>
  <c r="GIQ36" i="14"/>
  <c r="GII36" i="14"/>
  <c r="GIA36" i="14"/>
  <c r="GHS36" i="14"/>
  <c r="GHK36" i="14"/>
  <c r="GHC36" i="14"/>
  <c r="GGU36" i="14"/>
  <c r="GGM36" i="14"/>
  <c r="GGE36" i="14"/>
  <c r="GFW36" i="14"/>
  <c r="GFO36" i="14"/>
  <c r="GFG36" i="14"/>
  <c r="GEY36" i="14"/>
  <c r="GEQ36" i="14"/>
  <c r="GEI36" i="14"/>
  <c r="GEA36" i="14"/>
  <c r="GDS36" i="14"/>
  <c r="GDK36" i="14"/>
  <c r="GDC36" i="14"/>
  <c r="GCU36" i="14"/>
  <c r="GCM36" i="14"/>
  <c r="GCE36" i="14"/>
  <c r="GBW36" i="14"/>
  <c r="GBO36" i="14"/>
  <c r="GBG36" i="14"/>
  <c r="GAY36" i="14"/>
  <c r="GAQ36" i="14"/>
  <c r="GAI36" i="14"/>
  <c r="GAA36" i="14"/>
  <c r="FZS36" i="14"/>
  <c r="FZK36" i="14"/>
  <c r="FZC36" i="14"/>
  <c r="FYU36" i="14"/>
  <c r="FYM36" i="14"/>
  <c r="FYE36" i="14"/>
  <c r="FXW36" i="14"/>
  <c r="FXO36" i="14"/>
  <c r="FXG36" i="14"/>
  <c r="FWY36" i="14"/>
  <c r="FWQ36" i="14"/>
  <c r="FWI36" i="14"/>
  <c r="FWA36" i="14"/>
  <c r="FVS36" i="14"/>
  <c r="FVK36" i="14"/>
  <c r="FVC36" i="14"/>
  <c r="FUU36" i="14"/>
  <c r="FUM36" i="14"/>
  <c r="FUE36" i="14"/>
  <c r="FTW36" i="14"/>
  <c r="FTO36" i="14"/>
  <c r="FTG36" i="14"/>
  <c r="FSY36" i="14"/>
  <c r="FSQ36" i="14"/>
  <c r="FSI36" i="14"/>
  <c r="FSA36" i="14"/>
  <c r="FRS36" i="14"/>
  <c r="FRK36" i="14"/>
  <c r="FRC36" i="14"/>
  <c r="FQU36" i="14"/>
  <c r="FQM36" i="14"/>
  <c r="FQE36" i="14"/>
  <c r="FPW36" i="14"/>
  <c r="FPO36" i="14"/>
  <c r="FPG36" i="14"/>
  <c r="FOY36" i="14"/>
  <c r="FOQ36" i="14"/>
  <c r="FOI36" i="14"/>
  <c r="FOA36" i="14"/>
  <c r="FNS36" i="14"/>
  <c r="FNK36" i="14"/>
  <c r="FNC36" i="14"/>
  <c r="FMU36" i="14"/>
  <c r="FMM36" i="14"/>
  <c r="FME36" i="14"/>
  <c r="FLW36" i="14"/>
  <c r="FLO36" i="14"/>
  <c r="FLG36" i="14"/>
  <c r="FKY36" i="14"/>
  <c r="FKQ36" i="14"/>
  <c r="FKI36" i="14"/>
  <c r="FKA36" i="14"/>
  <c r="FJS36" i="14"/>
  <c r="FJK36" i="14"/>
  <c r="FJC36" i="14"/>
  <c r="FIU36" i="14"/>
  <c r="FIM36" i="14"/>
  <c r="FIE36" i="14"/>
  <c r="FHW36" i="14"/>
  <c r="FHO36" i="14"/>
  <c r="FHG36" i="14"/>
  <c r="FGY36" i="14"/>
  <c r="FGQ36" i="14"/>
  <c r="FGI36" i="14"/>
  <c r="FGA36" i="14"/>
  <c r="FFS36" i="14"/>
  <c r="FFK36" i="14"/>
  <c r="FFC36" i="14"/>
  <c r="FEU36" i="14"/>
  <c r="FEM36" i="14"/>
  <c r="FEE36" i="14"/>
  <c r="FDW36" i="14"/>
  <c r="FDO36" i="14"/>
  <c r="FDG36" i="14"/>
  <c r="FCY36" i="14"/>
  <c r="FCQ36" i="14"/>
  <c r="FCI36" i="14"/>
  <c r="FCA36" i="14"/>
  <c r="FBS36" i="14"/>
  <c r="FBK36" i="14"/>
  <c r="FBC36" i="14"/>
  <c r="FAU36" i="14"/>
  <c r="FAM36" i="14"/>
  <c r="FAE36" i="14"/>
  <c r="EZW36" i="14"/>
  <c r="EZO36" i="14"/>
  <c r="EZG36" i="14"/>
  <c r="EYY36" i="14"/>
  <c r="EYQ36" i="14"/>
  <c r="EYI36" i="14"/>
  <c r="EYA36" i="14"/>
  <c r="EXS36" i="14"/>
  <c r="EXK36" i="14"/>
  <c r="EXC36" i="14"/>
  <c r="EWU36" i="14"/>
  <c r="EWM36" i="14"/>
  <c r="EWE36" i="14"/>
  <c r="EVW36" i="14"/>
  <c r="EVO36" i="14"/>
  <c r="EVG36" i="14"/>
  <c r="EUY36" i="14"/>
  <c r="EUQ36" i="14"/>
  <c r="EUI36" i="14"/>
  <c r="EUA36" i="14"/>
  <c r="ETS36" i="14"/>
  <c r="ETK36" i="14"/>
  <c r="ETC36" i="14"/>
  <c r="ESU36" i="14"/>
  <c r="ESM36" i="14"/>
  <c r="ESE36" i="14"/>
  <c r="ERW36" i="14"/>
  <c r="ERO36" i="14"/>
  <c r="ERG36" i="14"/>
  <c r="EQY36" i="14"/>
  <c r="EQQ36" i="14"/>
  <c r="EQI36" i="14"/>
  <c r="EQA36" i="14"/>
  <c r="EPS36" i="14"/>
  <c r="EPK36" i="14"/>
  <c r="EPC36" i="14"/>
  <c r="EOU36" i="14"/>
  <c r="EOM36" i="14"/>
  <c r="EOE36" i="14"/>
  <c r="ENW36" i="14"/>
  <c r="ENO36" i="14"/>
  <c r="ENG36" i="14"/>
  <c r="EMY36" i="14"/>
  <c r="EMQ36" i="14"/>
  <c r="EMI36" i="14"/>
  <c r="EMA36" i="14"/>
  <c r="ELS36" i="14"/>
  <c r="ELK36" i="14"/>
  <c r="ELC36" i="14"/>
  <c r="EKU36" i="14"/>
  <c r="EKM36" i="14"/>
  <c r="EKE36" i="14"/>
  <c r="EJW36" i="14"/>
  <c r="EJO36" i="14"/>
  <c r="EJG36" i="14"/>
  <c r="EIY36" i="14"/>
  <c r="EIQ36" i="14"/>
  <c r="EII36" i="14"/>
  <c r="EIA36" i="14"/>
  <c r="EHS36" i="14"/>
  <c r="EHK36" i="14"/>
  <c r="EHC36" i="14"/>
  <c r="EGU36" i="14"/>
  <c r="EGM36" i="14"/>
  <c r="EGE36" i="14"/>
  <c r="EFW36" i="14"/>
  <c r="EFO36" i="14"/>
  <c r="EFG36" i="14"/>
  <c r="EEY36" i="14"/>
  <c r="EEQ36" i="14"/>
  <c r="EEI36" i="14"/>
  <c r="EEA36" i="14"/>
  <c r="EDS36" i="14"/>
  <c r="EDK36" i="14"/>
  <c r="EDC36" i="14"/>
  <c r="ECU36" i="14"/>
  <c r="ECM36" i="14"/>
  <c r="ECE36" i="14"/>
  <c r="EBW36" i="14"/>
  <c r="EBO36" i="14"/>
  <c r="EBG36" i="14"/>
  <c r="EAY36" i="14"/>
  <c r="EAQ36" i="14"/>
  <c r="EAI36" i="14"/>
  <c r="EAA36" i="14"/>
  <c r="DZS36" i="14"/>
  <c r="DZK36" i="14"/>
  <c r="DZC36" i="14"/>
  <c r="DYU36" i="14"/>
  <c r="DYM36" i="14"/>
  <c r="DYE36" i="14"/>
  <c r="DXW36" i="14"/>
  <c r="DXO36" i="14"/>
  <c r="DXG36" i="14"/>
  <c r="DWY36" i="14"/>
  <c r="DWQ36" i="14"/>
  <c r="DWI36" i="14"/>
  <c r="DWA36" i="14"/>
  <c r="DVS36" i="14"/>
  <c r="DVK36" i="14"/>
  <c r="DVC36" i="14"/>
  <c r="DUU36" i="14"/>
  <c r="DUM36" i="14"/>
  <c r="DUE36" i="14"/>
  <c r="DTW36" i="14"/>
  <c r="DTO36" i="14"/>
  <c r="DTG36" i="14"/>
  <c r="DSY36" i="14"/>
  <c r="DSQ36" i="14"/>
  <c r="DSI36" i="14"/>
  <c r="DSA36" i="14"/>
  <c r="DRS36" i="14"/>
  <c r="DRK36" i="14"/>
  <c r="DRC36" i="14"/>
  <c r="DQU36" i="14"/>
  <c r="DQM36" i="14"/>
  <c r="DQE36" i="14"/>
  <c r="DPW36" i="14"/>
  <c r="DPO36" i="14"/>
  <c r="DPG36" i="14"/>
  <c r="DOY36" i="14"/>
  <c r="DOQ36" i="14"/>
  <c r="DOI36" i="14"/>
  <c r="DOA36" i="14"/>
  <c r="DNS36" i="14"/>
  <c r="DNK36" i="14"/>
  <c r="DNC36" i="14"/>
  <c r="DMU36" i="14"/>
  <c r="DMM36" i="14"/>
  <c r="DME36" i="14"/>
  <c r="DLW36" i="14"/>
  <c r="DLO36" i="14"/>
  <c r="DLG36" i="14"/>
  <c r="DKY36" i="14"/>
  <c r="DKQ36" i="14"/>
  <c r="DKI36" i="14"/>
  <c r="DKA36" i="14"/>
  <c r="DJS36" i="14"/>
  <c r="DJK36" i="14"/>
  <c r="DJC36" i="14"/>
  <c r="DIU36" i="14"/>
  <c r="DIM36" i="14"/>
  <c r="DIE36" i="14"/>
  <c r="DHW36" i="14"/>
  <c r="DHO36" i="14"/>
  <c r="DHG36" i="14"/>
  <c r="DGY36" i="14"/>
  <c r="DGQ36" i="14"/>
  <c r="DGI36" i="14"/>
  <c r="DGA36" i="14"/>
  <c r="DFS36" i="14"/>
  <c r="DFK36" i="14"/>
  <c r="DFC36" i="14"/>
  <c r="DEU36" i="14"/>
  <c r="DEM36" i="14"/>
  <c r="DEE36" i="14"/>
  <c r="DDW36" i="14"/>
  <c r="DDO36" i="14"/>
  <c r="DDG36" i="14"/>
  <c r="DCY36" i="14"/>
  <c r="DCQ36" i="14"/>
  <c r="DCI36" i="14"/>
  <c r="DCA36" i="14"/>
  <c r="DBS36" i="14"/>
  <c r="DBK36" i="14"/>
  <c r="DBC36" i="14"/>
  <c r="DAU36" i="14"/>
  <c r="DAM36" i="14"/>
  <c r="DAE36" i="14"/>
  <c r="CZW36" i="14"/>
  <c r="CZO36" i="14"/>
  <c r="CZG36" i="14"/>
  <c r="CYY36" i="14"/>
  <c r="CYQ36" i="14"/>
  <c r="CYI36" i="14"/>
  <c r="CYA36" i="14"/>
  <c r="CXS36" i="14"/>
  <c r="CXK36" i="14"/>
  <c r="CXC36" i="14"/>
  <c r="CWU36" i="14"/>
  <c r="CWM36" i="14"/>
  <c r="CWE36" i="14"/>
  <c r="CVW36" i="14"/>
  <c r="CVO36" i="14"/>
  <c r="CVG36" i="14"/>
  <c r="CUY36" i="14"/>
  <c r="CUQ36" i="14"/>
  <c r="CUI36" i="14"/>
  <c r="CUA36" i="14"/>
  <c r="CTS36" i="14"/>
  <c r="CTK36" i="14"/>
  <c r="CTC36" i="14"/>
  <c r="CSU36" i="14"/>
  <c r="CSM36" i="14"/>
  <c r="CSE36" i="14"/>
  <c r="CRW36" i="14"/>
  <c r="CRO36" i="14"/>
  <c r="CRG36" i="14"/>
  <c r="CQY36" i="14"/>
  <c r="CQQ36" i="14"/>
  <c r="CQI36" i="14"/>
  <c r="CQA36" i="14"/>
  <c r="CPS36" i="14"/>
  <c r="CPK36" i="14"/>
  <c r="CPC36" i="14"/>
  <c r="COU36" i="14"/>
  <c r="COM36" i="14"/>
  <c r="COE36" i="14"/>
  <c r="CNW36" i="14"/>
  <c r="CNO36" i="14"/>
  <c r="CNG36" i="14"/>
  <c r="CMY36" i="14"/>
  <c r="CMQ36" i="14"/>
  <c r="CMI36" i="14"/>
  <c r="CMA36" i="14"/>
  <c r="CLS36" i="14"/>
  <c r="CLK36" i="14"/>
  <c r="CLC36" i="14"/>
  <c r="CKU36" i="14"/>
  <c r="CKM36" i="14"/>
  <c r="CKE36" i="14"/>
  <c r="CJW36" i="14"/>
  <c r="CJO36" i="14"/>
  <c r="CJG36" i="14"/>
  <c r="CIY36" i="14"/>
  <c r="CIQ36" i="14"/>
  <c r="CII36" i="14"/>
  <c r="CIA36" i="14"/>
  <c r="CHS36" i="14"/>
  <c r="CHK36" i="14"/>
  <c r="CHC36" i="14"/>
  <c r="CGU36" i="14"/>
  <c r="CGM36" i="14"/>
  <c r="CGE36" i="14"/>
  <c r="CFW36" i="14"/>
  <c r="CFO36" i="14"/>
  <c r="CFG36" i="14"/>
  <c r="CEY36" i="14"/>
  <c r="CEQ36" i="14"/>
  <c r="CEI36" i="14"/>
  <c r="CEA36" i="14"/>
  <c r="CDS36" i="14"/>
  <c r="CDK36" i="14"/>
  <c r="CDC36" i="14"/>
  <c r="CCU36" i="14"/>
  <c r="CCM36" i="14"/>
  <c r="CCE36" i="14"/>
  <c r="CBW36" i="14"/>
  <c r="CBO36" i="14"/>
  <c r="CBG36" i="14"/>
  <c r="CAY36" i="14"/>
  <c r="CAQ36" i="14"/>
  <c r="CAI36" i="14"/>
  <c r="CAA36" i="14"/>
  <c r="BZS36" i="14"/>
  <c r="BZK36" i="14"/>
  <c r="BZC36" i="14"/>
  <c r="BYU36" i="14"/>
  <c r="BYM36" i="14"/>
  <c r="BYE36" i="14"/>
  <c r="BXW36" i="14"/>
  <c r="BXO36" i="14"/>
  <c r="BXG36" i="14"/>
  <c r="BWY36" i="14"/>
  <c r="BWQ36" i="14"/>
  <c r="BWI36" i="14"/>
  <c r="BWA36" i="14"/>
  <c r="BVS36" i="14"/>
  <c r="BVK36" i="14"/>
  <c r="BVC36" i="14"/>
  <c r="BUU36" i="14"/>
  <c r="BUM36" i="14"/>
  <c r="BUE36" i="14"/>
  <c r="BTW36" i="14"/>
  <c r="BTO36" i="14"/>
  <c r="BTG36" i="14"/>
  <c r="BSY36" i="14"/>
  <c r="BSQ36" i="14"/>
  <c r="BSI36" i="14"/>
  <c r="BSA36" i="14"/>
  <c r="BRS36" i="14"/>
  <c r="BRK36" i="14"/>
  <c r="BRC36" i="14"/>
  <c r="BQU36" i="14"/>
  <c r="BQM36" i="14"/>
  <c r="BQE36" i="14"/>
  <c r="BPW36" i="14"/>
  <c r="BPO36" i="14"/>
  <c r="BPG36" i="14"/>
  <c r="BOY36" i="14"/>
  <c r="BOQ36" i="14"/>
  <c r="BOI36" i="14"/>
  <c r="BOA36" i="14"/>
  <c r="BNS36" i="14"/>
  <c r="BNK36" i="14"/>
  <c r="BNC36" i="14"/>
  <c r="BMU36" i="14"/>
  <c r="BMM36" i="14"/>
  <c r="BME36" i="14"/>
  <c r="BLW36" i="14"/>
  <c r="BLO36" i="14"/>
  <c r="BLG36" i="14"/>
  <c r="BKY36" i="14"/>
  <c r="BKQ36" i="14"/>
  <c r="BKI36" i="14"/>
  <c r="BKA36" i="14"/>
  <c r="BJS36" i="14"/>
  <c r="BJK36" i="14"/>
  <c r="BJC36" i="14"/>
  <c r="BIU36" i="14"/>
  <c r="BIM36" i="14"/>
  <c r="BIE36" i="14"/>
  <c r="BHW36" i="14"/>
  <c r="BHO36" i="14"/>
  <c r="BHG36" i="14"/>
  <c r="BGY36" i="14"/>
  <c r="BGQ36" i="14"/>
  <c r="BGI36" i="14"/>
  <c r="BGA36" i="14"/>
  <c r="BFS36" i="14"/>
  <c r="BFK36" i="14"/>
  <c r="BFC36" i="14"/>
  <c r="BEU36" i="14"/>
  <c r="BEM36" i="14"/>
  <c r="BEE36" i="14"/>
  <c r="BDW36" i="14"/>
  <c r="BDO36" i="14"/>
  <c r="BDG36" i="14"/>
  <c r="BCY36" i="14"/>
  <c r="BCQ36" i="14"/>
  <c r="BCI36" i="14"/>
  <c r="BCA36" i="14"/>
  <c r="BBS36" i="14"/>
  <c r="BBK36" i="14"/>
  <c r="BBC36" i="14"/>
  <c r="BAU36" i="14"/>
  <c r="BAM36" i="14"/>
  <c r="BAE36" i="14"/>
  <c r="AZW36" i="14"/>
  <c r="AZO36" i="14"/>
  <c r="AZG36" i="14"/>
  <c r="AYY36" i="14"/>
  <c r="AYQ36" i="14"/>
  <c r="AYI36" i="14"/>
  <c r="AYA36" i="14"/>
  <c r="AXS36" i="14"/>
  <c r="AXK36" i="14"/>
  <c r="AXC36" i="14"/>
  <c r="AWU36" i="14"/>
  <c r="AWM36" i="14"/>
  <c r="AWE36" i="14"/>
  <c r="AVW36" i="14"/>
  <c r="AVO36" i="14"/>
  <c r="AVG36" i="14"/>
  <c r="AUY36" i="14"/>
  <c r="AUQ36" i="14"/>
  <c r="AUI36" i="14"/>
  <c r="AUA36" i="14"/>
  <c r="ATS36" i="14"/>
  <c r="ATK36" i="14"/>
  <c r="ATC36" i="14"/>
  <c r="ASU36" i="14"/>
  <c r="ASM36" i="14"/>
  <c r="ASE36" i="14"/>
  <c r="ARW36" i="14"/>
  <c r="ARO36" i="14"/>
  <c r="ARG36" i="14"/>
  <c r="AQY36" i="14"/>
  <c r="AQQ36" i="14"/>
  <c r="AQI36" i="14"/>
  <c r="AQA36" i="14"/>
  <c r="APS36" i="14"/>
  <c r="APK36" i="14"/>
  <c r="APC36" i="14"/>
  <c r="AOU36" i="14"/>
  <c r="AOM36" i="14"/>
  <c r="AOE36" i="14"/>
  <c r="ANW36" i="14"/>
  <c r="ANO36" i="14"/>
  <c r="ANG36" i="14"/>
  <c r="AMY36" i="14"/>
  <c r="AMQ36" i="14"/>
  <c r="AMI36" i="14"/>
  <c r="AMA36" i="14"/>
  <c r="ALS36" i="14"/>
  <c r="ALK36" i="14"/>
  <c r="ALC36" i="14"/>
  <c r="AKU36" i="14"/>
  <c r="AKM36" i="14"/>
  <c r="AKE36" i="14"/>
  <c r="AJW36" i="14"/>
  <c r="AJO36" i="14"/>
  <c r="AJG36" i="14"/>
  <c r="AIY36" i="14"/>
  <c r="AIQ36" i="14"/>
  <c r="AII36" i="14"/>
  <c r="AIA36" i="14"/>
  <c r="AHS36" i="14"/>
  <c r="AHK36" i="14"/>
  <c r="AHC36" i="14"/>
  <c r="AGU36" i="14"/>
  <c r="AGM36" i="14"/>
  <c r="AGE36" i="14"/>
  <c r="AFW36" i="14"/>
  <c r="AFO36" i="14"/>
  <c r="AFG36" i="14"/>
  <c r="AEY36" i="14"/>
  <c r="AEQ36" i="14"/>
  <c r="AEI36" i="14"/>
  <c r="AEA36" i="14"/>
  <c r="ADS36" i="14"/>
  <c r="ADK36" i="14"/>
  <c r="ADC36" i="14"/>
  <c r="ACU36" i="14"/>
  <c r="ACM36" i="14"/>
  <c r="ACE36" i="14"/>
  <c r="ABW36" i="14"/>
  <c r="ABO36" i="14"/>
  <c r="ABG36" i="14"/>
  <c r="AAY36" i="14"/>
  <c r="AAQ36" i="14"/>
  <c r="AAI36" i="14"/>
  <c r="AAA36" i="14"/>
  <c r="ZS36" i="14"/>
  <c r="ZK36" i="14"/>
  <c r="ZC36" i="14"/>
  <c r="YU36" i="14"/>
  <c r="YM36" i="14"/>
  <c r="YE36" i="14"/>
  <c r="XW36" i="14"/>
  <c r="XO36" i="14"/>
  <c r="XG36" i="14"/>
  <c r="WY36" i="14"/>
  <c r="WQ36" i="14"/>
  <c r="WI36" i="14"/>
  <c r="WA36" i="14"/>
  <c r="VS36" i="14"/>
  <c r="VK36" i="14"/>
  <c r="VC36" i="14"/>
  <c r="UU36" i="14"/>
  <c r="UM36" i="14"/>
  <c r="UE36" i="14"/>
  <c r="TW36" i="14"/>
  <c r="TO36" i="14"/>
  <c r="TG36" i="14"/>
  <c r="SY36" i="14"/>
  <c r="SQ36" i="14"/>
  <c r="SI36" i="14"/>
  <c r="SA36" i="14"/>
  <c r="RS36" i="14"/>
  <c r="RK36" i="14"/>
  <c r="RC36" i="14"/>
  <c r="QU36" i="14"/>
  <c r="QM36" i="14"/>
  <c r="QE36" i="14"/>
  <c r="PW36" i="14"/>
  <c r="PO36" i="14"/>
  <c r="PG36" i="14"/>
  <c r="OY36" i="14"/>
  <c r="OQ36" i="14"/>
  <c r="OI36" i="14"/>
  <c r="OA36" i="14"/>
  <c r="NS36" i="14"/>
  <c r="NK36" i="14"/>
  <c r="NC36" i="14"/>
  <c r="MU36" i="14"/>
  <c r="MM36" i="14"/>
  <c r="ME36" i="14"/>
  <c r="LW36" i="14"/>
  <c r="LO36" i="14"/>
  <c r="LG36" i="14"/>
  <c r="KY36" i="14"/>
  <c r="KQ36" i="14"/>
  <c r="KI36" i="14"/>
  <c r="KA36" i="14"/>
  <c r="JS36" i="14"/>
  <c r="JK36" i="14"/>
  <c r="JC36" i="14"/>
  <c r="IU36" i="14"/>
  <c r="IM36" i="14"/>
  <c r="IE36" i="14"/>
  <c r="HW36" i="14"/>
  <c r="HO36" i="14"/>
  <c r="HG36" i="14"/>
  <c r="GY36" i="14"/>
  <c r="GQ36" i="14"/>
  <c r="GI36" i="14"/>
  <c r="GA36" i="14"/>
  <c r="FS36" i="14"/>
  <c r="FK36" i="14"/>
  <c r="FC36" i="14"/>
  <c r="EU36" i="14"/>
  <c r="EM36" i="14"/>
  <c r="EE36" i="14"/>
  <c r="DW36" i="14"/>
  <c r="DO36" i="14"/>
  <c r="DG36" i="14"/>
  <c r="CY36" i="14"/>
  <c r="CQ36" i="14"/>
  <c r="CI36" i="14"/>
  <c r="CA36" i="14"/>
  <c r="BS36" i="14"/>
  <c r="BK36" i="14"/>
  <c r="BC36" i="14"/>
  <c r="AU36" i="14"/>
  <c r="AM36" i="14"/>
  <c r="AE36" i="14"/>
  <c r="W36" i="14"/>
  <c r="O36" i="14"/>
  <c r="G36" i="14"/>
  <c r="G35" i="14"/>
  <c r="G34" i="14"/>
  <c r="G33" i="14"/>
  <c r="G32" i="14"/>
  <c r="G31" i="14"/>
  <c r="G30" i="14"/>
  <c r="G29" i="14"/>
  <c r="G28" i="14"/>
  <c r="G25" i="14"/>
  <c r="G9" i="14"/>
  <c r="G7" i="14"/>
  <c r="G6" i="14"/>
  <c r="G5" i="14"/>
  <c r="G38" i="14" s="1"/>
  <c r="M150" i="13"/>
  <c r="G131" i="13"/>
  <c r="G130" i="13"/>
  <c r="G129" i="13"/>
  <c r="G128" i="13"/>
  <c r="G127" i="13"/>
  <c r="G126" i="13"/>
  <c r="G125" i="13"/>
  <c r="G124" i="13"/>
  <c r="G123" i="13"/>
  <c r="G121" i="13"/>
  <c r="G120" i="13"/>
  <c r="G119" i="13"/>
  <c r="G118" i="13"/>
  <c r="G117" i="13"/>
  <c r="G116" i="13"/>
  <c r="G115" i="13"/>
  <c r="G114" i="13"/>
  <c r="G112" i="13"/>
  <c r="G111" i="13"/>
  <c r="G109" i="13"/>
  <c r="G108" i="13"/>
  <c r="G107" i="13"/>
  <c r="G106" i="13"/>
  <c r="G105" i="13"/>
  <c r="G104" i="13"/>
  <c r="G101" i="13"/>
  <c r="G100" i="13"/>
  <c r="G98" i="13"/>
  <c r="G97" i="13"/>
  <c r="G96" i="13"/>
  <c r="G95" i="13"/>
  <c r="G94" i="13"/>
  <c r="G93" i="13"/>
  <c r="G92" i="13"/>
  <c r="G91" i="13"/>
  <c r="G90" i="13"/>
  <c r="G89" i="13"/>
  <c r="G88" i="13"/>
  <c r="G86" i="13"/>
  <c r="G85" i="13"/>
  <c r="G84" i="13"/>
  <c r="G83" i="13"/>
  <c r="G81" i="13"/>
  <c r="G80" i="13"/>
  <c r="G79" i="13"/>
  <c r="G78" i="13"/>
  <c r="G77" i="13"/>
  <c r="G76" i="13"/>
  <c r="G75" i="13"/>
  <c r="G74" i="13"/>
  <c r="G73" i="13"/>
  <c r="G72" i="13"/>
  <c r="G71" i="13"/>
  <c r="G69" i="13"/>
  <c r="G65" i="13"/>
  <c r="G62" i="13"/>
  <c r="G61" i="13"/>
  <c r="G60" i="13"/>
  <c r="G59" i="13"/>
  <c r="G58" i="13"/>
  <c r="G57" i="13"/>
  <c r="G56" i="13"/>
  <c r="G55" i="13"/>
  <c r="G54" i="13"/>
  <c r="G53" i="13"/>
  <c r="G52" i="13"/>
  <c r="G51" i="13"/>
  <c r="G50" i="13"/>
  <c r="G49" i="13"/>
  <c r="G48" i="13"/>
  <c r="G47" i="13"/>
  <c r="G46" i="13"/>
  <c r="G45" i="13"/>
  <c r="G14" i="13"/>
  <c r="G13" i="13"/>
  <c r="G12" i="13"/>
  <c r="G11" i="13"/>
  <c r="G10" i="13"/>
  <c r="G9" i="13"/>
  <c r="G8" i="13"/>
  <c r="G137" i="13" s="1"/>
  <c r="H137" i="13" s="1"/>
  <c r="E13" i="12"/>
  <c r="E8" i="12"/>
  <c r="E7" i="12"/>
  <c r="E6" i="12"/>
  <c r="E5" i="12"/>
  <c r="E10" i="12" s="1"/>
  <c r="E49" i="11"/>
  <c r="F277" i="10"/>
  <c r="F276" i="10"/>
  <c r="F275" i="10"/>
  <c r="F274" i="10"/>
  <c r="F273" i="10"/>
  <c r="F272" i="10"/>
  <c r="F271" i="10"/>
  <c r="F270" i="10"/>
  <c r="F269" i="10"/>
  <c r="F267" i="10"/>
  <c r="F266" i="10"/>
  <c r="F265" i="10"/>
  <c r="F264" i="10"/>
  <c r="F263" i="10"/>
  <c r="F262" i="10"/>
  <c r="F261" i="10"/>
  <c r="F260" i="10"/>
  <c r="F259" i="10"/>
  <c r="F258" i="10"/>
  <c r="F256" i="10"/>
  <c r="F255" i="10"/>
  <c r="F254" i="10"/>
  <c r="F253" i="10"/>
  <c r="F252" i="10"/>
  <c r="F251" i="10"/>
  <c r="F250" i="10"/>
  <c r="F249" i="10"/>
  <c r="F248" i="10"/>
  <c r="F247" i="10"/>
  <c r="F246" i="10"/>
  <c r="F245" i="10"/>
  <c r="F244" i="10"/>
  <c r="F243" i="10"/>
  <c r="F242" i="10"/>
  <c r="F241" i="10"/>
  <c r="F240" i="10"/>
  <c r="F239" i="10"/>
  <c r="F238" i="10"/>
  <c r="F237" i="10"/>
  <c r="F236" i="10"/>
  <c r="F235" i="10"/>
  <c r="F234" i="10"/>
  <c r="F233" i="10"/>
  <c r="F232" i="10"/>
  <c r="F231" i="10"/>
  <c r="F230" i="10"/>
  <c r="F229" i="10"/>
  <c r="F228" i="10"/>
  <c r="F227" i="10"/>
  <c r="F226" i="10"/>
  <c r="F225" i="10"/>
  <c r="F224" i="10"/>
  <c r="F223" i="10"/>
  <c r="F222" i="10"/>
  <c r="F221" i="10"/>
  <c r="F220" i="10"/>
  <c r="F219" i="10"/>
  <c r="F218" i="10"/>
  <c r="F217" i="10"/>
  <c r="F216" i="10"/>
  <c r="F215" i="10"/>
  <c r="F214" i="10"/>
  <c r="F213" i="10"/>
  <c r="F212" i="10"/>
  <c r="F211" i="10"/>
  <c r="F210" i="10"/>
  <c r="F209" i="10"/>
  <c r="F208" i="10"/>
  <c r="F207" i="10"/>
  <c r="F206" i="10"/>
  <c r="F205" i="10"/>
  <c r="F204" i="10"/>
  <c r="F203" i="10"/>
  <c r="F202" i="10"/>
  <c r="F201" i="10"/>
  <c r="F200" i="10"/>
  <c r="F199" i="10"/>
  <c r="F143" i="10"/>
  <c r="F142" i="10"/>
  <c r="F141" i="10"/>
  <c r="F140" i="10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26" i="10"/>
  <c r="F125" i="10"/>
  <c r="F124" i="10"/>
  <c r="F123" i="10"/>
  <c r="F122" i="10"/>
  <c r="F121" i="10"/>
  <c r="F120" i="10"/>
  <c r="F119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8" i="10"/>
  <c r="F7" i="10"/>
  <c r="F6" i="10"/>
  <c r="F5" i="10"/>
  <c r="F4" i="10"/>
  <c r="F3" i="10"/>
  <c r="F279" i="10" s="1"/>
  <c r="H74" i="9"/>
  <c r="H293" i="8"/>
  <c r="H292" i="8"/>
  <c r="H291" i="8"/>
  <c r="H290" i="8"/>
  <c r="H289" i="8"/>
  <c r="H288" i="8"/>
  <c r="H285" i="8"/>
  <c r="H284" i="8"/>
  <c r="H283" i="8"/>
  <c r="H282" i="8"/>
  <c r="H281" i="8"/>
  <c r="H280" i="8"/>
  <c r="H276" i="8"/>
  <c r="H269" i="8"/>
  <c r="H268" i="8"/>
  <c r="H266" i="8"/>
  <c r="H265" i="8"/>
  <c r="H264" i="8"/>
  <c r="H263" i="8"/>
  <c r="H262" i="8"/>
  <c r="H261" i="8"/>
  <c r="H260" i="8"/>
  <c r="H259" i="8"/>
  <c r="H258" i="8"/>
  <c r="H257" i="8"/>
  <c r="H256" i="8"/>
  <c r="H255" i="8"/>
  <c r="H254" i="8"/>
  <c r="H253" i="8"/>
  <c r="H252" i="8"/>
  <c r="H251" i="8"/>
  <c r="H250" i="8"/>
  <c r="H249" i="8"/>
  <c r="H248" i="8"/>
  <c r="H246" i="8"/>
  <c r="H244" i="8"/>
  <c r="H242" i="8"/>
  <c r="H241" i="8"/>
  <c r="H240" i="8"/>
  <c r="H237" i="8"/>
  <c r="H234" i="8"/>
  <c r="H233" i="8"/>
  <c r="H232" i="8"/>
  <c r="H231" i="8"/>
  <c r="H230" i="8"/>
  <c r="H229" i="8"/>
  <c r="H227" i="8"/>
  <c r="H226" i="8"/>
  <c r="H225" i="8"/>
  <c r="H224" i="8"/>
  <c r="H223" i="8"/>
  <c r="H222" i="8"/>
  <c r="H215" i="8"/>
  <c r="H214" i="8"/>
  <c r="H213" i="8"/>
  <c r="H212" i="8"/>
  <c r="H211" i="8"/>
  <c r="H210" i="8"/>
  <c r="H209" i="8"/>
  <c r="H207" i="8"/>
  <c r="H206" i="8"/>
  <c r="H205" i="8"/>
  <c r="H204" i="8"/>
  <c r="H203" i="8"/>
  <c r="H202" i="8"/>
  <c r="H201" i="8"/>
  <c r="H200" i="8"/>
  <c r="H199" i="8"/>
  <c r="H198" i="8"/>
  <c r="H197" i="8"/>
  <c r="H196" i="8"/>
  <c r="H187" i="8"/>
  <c r="H186" i="8"/>
  <c r="H184" i="8"/>
  <c r="H183" i="8"/>
  <c r="H182" i="8"/>
  <c r="H181" i="8"/>
  <c r="H180" i="8"/>
  <c r="H179" i="8"/>
  <c r="H178" i="8"/>
  <c r="H177" i="8"/>
  <c r="H176" i="8"/>
  <c r="H175" i="8"/>
  <c r="H174" i="8"/>
  <c r="H173" i="8"/>
  <c r="H172" i="8"/>
  <c r="H156" i="8"/>
  <c r="H155" i="8"/>
  <c r="H154" i="8"/>
  <c r="H153" i="8"/>
  <c r="H152" i="8"/>
  <c r="H151" i="8"/>
  <c r="H150" i="8"/>
  <c r="F149" i="8"/>
  <c r="H149" i="8" s="1"/>
  <c r="H148" i="8"/>
  <c r="H147" i="8"/>
  <c r="H146" i="8"/>
  <c r="H145" i="8"/>
  <c r="H142" i="8"/>
  <c r="H141" i="8"/>
  <c r="H140" i="8"/>
  <c r="H139" i="8"/>
  <c r="H138" i="8"/>
  <c r="H137" i="8"/>
  <c r="H136" i="8"/>
  <c r="H135" i="8"/>
  <c r="H134" i="8"/>
  <c r="H133" i="8"/>
  <c r="H132" i="8"/>
  <c r="H131" i="8"/>
  <c r="H130" i="8"/>
  <c r="H129" i="8"/>
  <c r="H128" i="8"/>
  <c r="H127" i="8"/>
  <c r="H126" i="8"/>
  <c r="H125" i="8"/>
  <c r="H124" i="8"/>
  <c r="H123" i="8"/>
  <c r="H122" i="8"/>
  <c r="H121" i="8"/>
  <c r="H120" i="8"/>
  <c r="H119" i="8"/>
  <c r="H118" i="8"/>
  <c r="H117" i="8"/>
  <c r="H116" i="8"/>
  <c r="H115" i="8"/>
  <c r="H114" i="8"/>
  <c r="H113" i="8"/>
  <c r="H112" i="8"/>
  <c r="H111" i="8"/>
  <c r="H110" i="8"/>
  <c r="H109" i="8"/>
  <c r="H97" i="8"/>
  <c r="H95" i="8"/>
  <c r="H88" i="8"/>
  <c r="H87" i="8"/>
  <c r="H86" i="8"/>
  <c r="H85" i="8"/>
  <c r="H81" i="8"/>
  <c r="H80" i="8"/>
  <c r="H79" i="8"/>
  <c r="H78" i="8"/>
  <c r="H77" i="8"/>
  <c r="H76" i="8"/>
  <c r="H75" i="8"/>
  <c r="H74" i="8"/>
  <c r="H73" i="8"/>
  <c r="H72" i="8"/>
  <c r="H71" i="8"/>
  <c r="H69" i="8"/>
  <c r="H68" i="8"/>
  <c r="H66" i="8"/>
  <c r="H65" i="8"/>
  <c r="H64" i="8"/>
  <c r="H63" i="8"/>
  <c r="H62" i="8"/>
  <c r="H61" i="8"/>
  <c r="H60" i="8"/>
  <c r="H59" i="8"/>
  <c r="H58" i="8"/>
  <c r="H57" i="8"/>
  <c r="H56" i="8"/>
  <c r="H55" i="8"/>
  <c r="H54" i="8"/>
  <c r="H53" i="8"/>
  <c r="H52" i="8"/>
  <c r="H51" i="8"/>
  <c r="H50" i="8"/>
  <c r="H49" i="8"/>
  <c r="H48" i="8"/>
  <c r="H47" i="8"/>
  <c r="H46" i="8"/>
  <c r="H45" i="8"/>
  <c r="H44" i="8"/>
  <c r="H43" i="8"/>
  <c r="H42" i="8"/>
  <c r="H41" i="8"/>
  <c r="H40" i="8"/>
  <c r="H39" i="8"/>
  <c r="H38" i="8"/>
  <c r="H37" i="8"/>
  <c r="H36" i="8"/>
  <c r="H35" i="8"/>
  <c r="H22" i="8"/>
  <c r="H19" i="8"/>
  <c r="H16" i="8"/>
  <c r="H15" i="8"/>
  <c r="H14" i="8"/>
  <c r="H13" i="8"/>
  <c r="H12" i="8"/>
  <c r="H11" i="8"/>
  <c r="H10" i="8"/>
  <c r="H9" i="8"/>
  <c r="H8" i="8"/>
  <c r="H7" i="8"/>
  <c r="H295" i="8" s="1"/>
  <c r="G47" i="7"/>
  <c r="G46" i="7"/>
  <c r="G45" i="7"/>
  <c r="G44" i="7"/>
  <c r="G42" i="7"/>
  <c r="G40" i="7"/>
  <c r="G39" i="7"/>
  <c r="G36" i="7"/>
  <c r="G32" i="7"/>
  <c r="G30" i="7"/>
  <c r="G28" i="7"/>
  <c r="G27" i="7"/>
  <c r="G26" i="7"/>
  <c r="G25" i="7"/>
  <c r="G22" i="7"/>
  <c r="G21" i="7"/>
  <c r="G20" i="7"/>
  <c r="G19" i="7"/>
  <c r="G10" i="7"/>
  <c r="G5" i="7"/>
  <c r="H2" i="6"/>
  <c r="H97" i="5"/>
  <c r="H96" i="5"/>
  <c r="H93" i="5"/>
  <c r="H92" i="5"/>
  <c r="H91" i="5"/>
  <c r="H90" i="5"/>
  <c r="H89" i="5"/>
  <c r="H88" i="5"/>
  <c r="H87" i="5"/>
  <c r="H86" i="5"/>
  <c r="H84" i="5"/>
  <c r="H83" i="5"/>
  <c r="H82" i="5"/>
  <c r="H81" i="5"/>
  <c r="H80" i="5"/>
  <c r="H79" i="5"/>
  <c r="H78" i="5"/>
  <c r="H77" i="5"/>
  <c r="H76" i="5"/>
  <c r="H74" i="5"/>
  <c r="H72" i="5"/>
  <c r="H71" i="5"/>
  <c r="H70" i="5"/>
  <c r="H69" i="5"/>
  <c r="H68" i="5"/>
  <c r="H65" i="5"/>
  <c r="H64" i="5"/>
  <c r="H62" i="5"/>
  <c r="H61" i="5"/>
  <c r="H60" i="5"/>
  <c r="H59" i="5"/>
  <c r="H57" i="5"/>
  <c r="H55" i="5"/>
  <c r="H54" i="5"/>
  <c r="H53" i="5"/>
  <c r="H52" i="5"/>
  <c r="H49" i="5"/>
  <c r="H48" i="5"/>
  <c r="H46" i="5"/>
  <c r="H44" i="5"/>
  <c r="H43" i="5"/>
  <c r="H42" i="5"/>
  <c r="H39" i="5"/>
  <c r="H37" i="5"/>
  <c r="H36" i="5"/>
  <c r="H34" i="5"/>
  <c r="H33" i="5"/>
  <c r="H29" i="5"/>
  <c r="H28" i="5"/>
  <c r="H27" i="5"/>
  <c r="H26" i="5"/>
  <c r="H25" i="5"/>
  <c r="H24" i="5"/>
  <c r="H21" i="5"/>
  <c r="H20" i="5"/>
  <c r="H19" i="5"/>
  <c r="H18" i="5"/>
  <c r="H17" i="5"/>
  <c r="H14" i="5"/>
  <c r="H13" i="5"/>
  <c r="H11" i="5"/>
  <c r="H9" i="5"/>
  <c r="H8" i="5"/>
  <c r="H7" i="5"/>
  <c r="I316" i="4"/>
  <c r="I210" i="4"/>
  <c r="I205" i="4"/>
  <c r="I126" i="4"/>
  <c r="I124" i="4"/>
  <c r="I121" i="4"/>
  <c r="I118" i="4"/>
  <c r="I99" i="4"/>
  <c r="I92" i="4"/>
  <c r="I139" i="4"/>
  <c r="I80" i="4"/>
  <c r="I35" i="4"/>
  <c r="AB19" i="4"/>
  <c r="AB18" i="4"/>
  <c r="AB17" i="4"/>
  <c r="H284" i="21" l="1"/>
  <c r="F810" i="26"/>
  <c r="F832" i="26"/>
  <c r="J18" i="24"/>
  <c r="M18" i="24" s="1"/>
  <c r="J26" i="24"/>
  <c r="M26" i="24" s="1"/>
  <c r="K32" i="24"/>
  <c r="L32" i="24" s="1"/>
  <c r="J37" i="24"/>
  <c r="M37" i="24" s="1"/>
  <c r="K44" i="24"/>
  <c r="L44" i="24" s="1"/>
  <c r="J49" i="24"/>
  <c r="M49" i="24" s="1"/>
  <c r="J54" i="24"/>
  <c r="M54" i="24" s="1"/>
  <c r="K60" i="24"/>
  <c r="L60" i="24" s="1"/>
  <c r="J65" i="24"/>
  <c r="M65" i="24" s="1"/>
  <c r="J70" i="24"/>
  <c r="M70" i="24" s="1"/>
  <c r="K76" i="24"/>
  <c r="L76" i="24" s="1"/>
  <c r="K83" i="24"/>
  <c r="L83" i="24" s="1"/>
  <c r="J96" i="24"/>
  <c r="M96" i="24" s="1"/>
  <c r="J101" i="24"/>
  <c r="M101" i="24" s="1"/>
  <c r="J113" i="24"/>
  <c r="M113" i="24" s="1"/>
  <c r="J120" i="24"/>
  <c r="M120" i="24" s="1"/>
  <c r="J125" i="24"/>
  <c r="M125" i="24" s="1"/>
  <c r="K132" i="24"/>
  <c r="L132" i="24" s="1"/>
  <c r="J141" i="24"/>
  <c r="M141" i="24" s="1"/>
  <c r="K148" i="24"/>
  <c r="L148" i="24" s="1"/>
  <c r="J157" i="24"/>
  <c r="M157" i="24" s="1"/>
  <c r="J165" i="24"/>
  <c r="M165" i="24" s="1"/>
  <c r="J174" i="24"/>
  <c r="M174" i="24" s="1"/>
  <c r="K180" i="24"/>
  <c r="L180" i="24" s="1"/>
  <c r="K188" i="24"/>
  <c r="L188" i="24" s="1"/>
  <c r="K192" i="24"/>
  <c r="L192" i="24" s="1"/>
  <c r="K197" i="24"/>
  <c r="L197" i="24" s="1"/>
  <c r="J202" i="24"/>
  <c r="M202" i="24" s="1"/>
  <c r="J25" i="24"/>
  <c r="M25" i="24" s="1"/>
  <c r="J30" i="24"/>
  <c r="M30" i="24" s="1"/>
  <c r="K36" i="24"/>
  <c r="L36" i="24" s="1"/>
  <c r="J42" i="24"/>
  <c r="M42" i="24" s="1"/>
  <c r="K48" i="24"/>
  <c r="L48" i="24" s="1"/>
  <c r="J53" i="24"/>
  <c r="M53" i="24" s="1"/>
  <c r="J58" i="24"/>
  <c r="M58" i="24" s="1"/>
  <c r="J74" i="24"/>
  <c r="M74" i="24" s="1"/>
  <c r="K95" i="24"/>
  <c r="L95" i="24" s="1"/>
  <c r="J100" i="24"/>
  <c r="M100" i="24" s="1"/>
  <c r="J109" i="24"/>
  <c r="M109" i="24" s="1"/>
  <c r="K116" i="24"/>
  <c r="L116" i="24" s="1"/>
  <c r="K128" i="24"/>
  <c r="L128" i="24" s="1"/>
  <c r="J137" i="24"/>
  <c r="M137" i="24" s="1"/>
  <c r="K144" i="24"/>
  <c r="L144" i="24" s="1"/>
  <c r="J153" i="24"/>
  <c r="M153" i="24" s="1"/>
  <c r="J161" i="24"/>
  <c r="M161" i="24" s="1"/>
  <c r="J184" i="24"/>
  <c r="M184" i="24" s="1"/>
  <c r="J185" i="24"/>
  <c r="M185" i="24" s="1"/>
  <c r="J190" i="24"/>
  <c r="K201" i="24"/>
  <c r="L201" i="24" s="1"/>
  <c r="K16" i="24"/>
  <c r="L16" i="24" s="1"/>
  <c r="K24" i="24"/>
  <c r="L24" i="24" s="1"/>
  <c r="J46" i="24"/>
  <c r="M46" i="24" s="1"/>
  <c r="K52" i="24"/>
  <c r="L52" i="24" s="1"/>
  <c r="J62" i="24"/>
  <c r="M62" i="24" s="1"/>
  <c r="K68" i="24"/>
  <c r="L68" i="24" s="1"/>
  <c r="J93" i="24"/>
  <c r="M93" i="24" s="1"/>
  <c r="K99" i="24"/>
  <c r="L99" i="24" s="1"/>
  <c r="K112" i="24"/>
  <c r="L112" i="24" s="1"/>
  <c r="K124" i="24"/>
  <c r="L124" i="24" s="1"/>
  <c r="K156" i="24"/>
  <c r="L156" i="24" s="1"/>
  <c r="K164" i="24"/>
  <c r="L164" i="24" s="1"/>
  <c r="J182" i="24"/>
  <c r="M182" i="24" s="1"/>
  <c r="J199" i="24"/>
  <c r="M199" i="24" s="1"/>
  <c r="I321" i="4"/>
  <c r="M40" i="24"/>
  <c r="M22" i="24"/>
  <c r="K119" i="24"/>
  <c r="L119" i="24" s="1"/>
  <c r="J119" i="24"/>
  <c r="M160" i="24"/>
  <c r="G134" i="13"/>
  <c r="K78" i="24"/>
  <c r="L78" i="24" s="1"/>
  <c r="J78" i="24"/>
  <c r="M78" i="24" s="1"/>
  <c r="K82" i="24"/>
  <c r="L82" i="24" s="1"/>
  <c r="J82" i="24"/>
  <c r="M82" i="24" s="1"/>
  <c r="K86" i="24"/>
  <c r="L86" i="24" s="1"/>
  <c r="J86" i="24"/>
  <c r="M86" i="24" s="1"/>
  <c r="K90" i="24"/>
  <c r="L90" i="24" s="1"/>
  <c r="J90" i="24"/>
  <c r="M90" i="24" s="1"/>
  <c r="K111" i="24"/>
  <c r="L111" i="24" s="1"/>
  <c r="J111" i="24"/>
  <c r="M111" i="24" s="1"/>
  <c r="K115" i="24"/>
  <c r="L115" i="24" s="1"/>
  <c r="J115" i="24"/>
  <c r="M115" i="24" s="1"/>
  <c r="K127" i="24"/>
  <c r="L127" i="24" s="1"/>
  <c r="J127" i="24"/>
  <c r="M127" i="24" s="1"/>
  <c r="K131" i="24"/>
  <c r="L131" i="24" s="1"/>
  <c r="J131" i="24"/>
  <c r="M131" i="24" s="1"/>
  <c r="K135" i="24"/>
  <c r="L135" i="24" s="1"/>
  <c r="J135" i="24"/>
  <c r="M135" i="24" s="1"/>
  <c r="K139" i="24"/>
  <c r="L139" i="24" s="1"/>
  <c r="J139" i="24"/>
  <c r="M139" i="24" s="1"/>
  <c r="K143" i="24"/>
  <c r="L143" i="24" s="1"/>
  <c r="J143" i="24"/>
  <c r="M143" i="24" s="1"/>
  <c r="K147" i="24"/>
  <c r="L147" i="24" s="1"/>
  <c r="J147" i="24"/>
  <c r="M147" i="24" s="1"/>
  <c r="K151" i="24"/>
  <c r="L151" i="24" s="1"/>
  <c r="J151" i="24"/>
  <c r="M151" i="24" s="1"/>
  <c r="K155" i="24"/>
  <c r="L155" i="24" s="1"/>
  <c r="J155" i="24"/>
  <c r="M155" i="24" s="1"/>
  <c r="K163" i="24"/>
  <c r="L163" i="24" s="1"/>
  <c r="J163" i="24"/>
  <c r="M163" i="24" s="1"/>
  <c r="K167" i="24"/>
  <c r="L167" i="24" s="1"/>
  <c r="J167" i="24"/>
  <c r="M167" i="24" s="1"/>
  <c r="K171" i="24"/>
  <c r="L171" i="24" s="1"/>
  <c r="J171" i="24"/>
  <c r="M171" i="24" s="1"/>
  <c r="F843" i="26"/>
  <c r="H98" i="5"/>
  <c r="J15" i="24"/>
  <c r="J19" i="24"/>
  <c r="M19" i="24" s="1"/>
  <c r="J23" i="24"/>
  <c r="M23" i="24" s="1"/>
  <c r="J27" i="24"/>
  <c r="M27" i="24" s="1"/>
  <c r="J31" i="24"/>
  <c r="M31" i="24" s="1"/>
  <c r="J35" i="24"/>
  <c r="M35" i="24" s="1"/>
  <c r="J43" i="24"/>
  <c r="M43" i="24" s="1"/>
  <c r="J47" i="24"/>
  <c r="M47" i="24" s="1"/>
  <c r="J51" i="24"/>
  <c r="M51" i="24" s="1"/>
  <c r="J55" i="24"/>
  <c r="M55" i="24" s="1"/>
  <c r="J59" i="24"/>
  <c r="M59" i="24" s="1"/>
  <c r="J63" i="24"/>
  <c r="M63" i="24" s="1"/>
  <c r="J67" i="24"/>
  <c r="M67" i="24" s="1"/>
  <c r="J71" i="24"/>
  <c r="M71" i="24" s="1"/>
  <c r="J75" i="24"/>
  <c r="M75" i="24" s="1"/>
  <c r="J206" i="24"/>
  <c r="M205" i="24"/>
  <c r="M206" i="24" s="1"/>
  <c r="J77" i="24"/>
  <c r="M77" i="24" s="1"/>
  <c r="J81" i="24"/>
  <c r="M81" i="24" s="1"/>
  <c r="J85" i="24"/>
  <c r="M85" i="24" s="1"/>
  <c r="J89" i="24"/>
  <c r="M89" i="24" s="1"/>
  <c r="K94" i="24"/>
  <c r="L94" i="24" s="1"/>
  <c r="J94" i="24"/>
  <c r="M94" i="24" s="1"/>
  <c r="K98" i="24"/>
  <c r="L98" i="24" s="1"/>
  <c r="J98" i="24"/>
  <c r="M98" i="24" s="1"/>
  <c r="K102" i="24"/>
  <c r="L102" i="24" s="1"/>
  <c r="J102" i="24"/>
  <c r="M102" i="24" s="1"/>
  <c r="J110" i="24"/>
  <c r="M110" i="24" s="1"/>
  <c r="J114" i="24"/>
  <c r="M114" i="24" s="1"/>
  <c r="J126" i="24"/>
  <c r="M126" i="24" s="1"/>
  <c r="J130" i="24"/>
  <c r="M130" i="24" s="1"/>
  <c r="J134" i="24"/>
  <c r="M134" i="24" s="1"/>
  <c r="J138" i="24"/>
  <c r="M138" i="24" s="1"/>
  <c r="J142" i="24"/>
  <c r="M142" i="24" s="1"/>
  <c r="J146" i="24"/>
  <c r="M146" i="24" s="1"/>
  <c r="J150" i="24"/>
  <c r="M150" i="24" s="1"/>
  <c r="J154" i="24"/>
  <c r="M154" i="24" s="1"/>
  <c r="J162" i="24"/>
  <c r="M162" i="24" s="1"/>
  <c r="J166" i="24"/>
  <c r="M166" i="24" s="1"/>
  <c r="J170" i="24"/>
  <c r="M170" i="24" s="1"/>
  <c r="K175" i="24"/>
  <c r="L175" i="24" s="1"/>
  <c r="J175" i="24"/>
  <c r="M175" i="24" s="1"/>
  <c r="K179" i="24"/>
  <c r="L179" i="24" s="1"/>
  <c r="J179" i="24"/>
  <c r="M179" i="24" s="1"/>
  <c r="K183" i="24"/>
  <c r="L183" i="24" s="1"/>
  <c r="J183" i="24"/>
  <c r="M183" i="24" s="1"/>
  <c r="J194" i="24"/>
  <c r="M192" i="24"/>
  <c r="M194" i="24" s="1"/>
  <c r="K196" i="24"/>
  <c r="L196" i="24" s="1"/>
  <c r="J196" i="24"/>
  <c r="K200" i="24"/>
  <c r="L200" i="24" s="1"/>
  <c r="J200" i="24"/>
  <c r="M200" i="24" s="1"/>
  <c r="M108" i="24"/>
  <c r="F765" i="26"/>
  <c r="G765" i="26"/>
  <c r="F885" i="26"/>
  <c r="F822" i="26"/>
  <c r="M158" i="24" l="1"/>
  <c r="J186" i="24"/>
  <c r="M186" i="24" s="1"/>
  <c r="J38" i="24"/>
  <c r="M38" i="24" s="1"/>
  <c r="H265" i="5"/>
  <c r="J20" i="24"/>
  <c r="M15" i="24"/>
  <c r="J117" i="24"/>
  <c r="M117" i="24" s="1"/>
  <c r="J158" i="24"/>
  <c r="J172" i="24"/>
  <c r="M172" i="24" s="1"/>
  <c r="J91" i="24"/>
  <c r="M91" i="24" s="1"/>
  <c r="M196" i="24"/>
  <c r="J203" i="24"/>
  <c r="M203" i="24" s="1"/>
  <c r="J105" i="24"/>
  <c r="M105" i="24" s="1"/>
  <c r="J122" i="24"/>
  <c r="M119" i="24"/>
  <c r="M122" i="24" s="1"/>
  <c r="M20" i="24" l="1"/>
  <c r="M208" i="24" s="1"/>
  <c r="M211" i="24" s="1"/>
  <c r="J208" i="2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229" authorId="0" shapeId="0" xr:uid="{00000000-0006-0000-0300-000001000000}">
      <text>
        <r>
          <rPr>
            <sz val="11"/>
            <color rgb="FF000000"/>
            <rFont val="Calibri"/>
            <scheme val="minor"/>
          </rPr>
          <t>KABAG UMUM:
memberikan pelayan</t>
        </r>
      </text>
    </comment>
  </commentList>
</comments>
</file>

<file path=xl/sharedStrings.xml><?xml version="1.0" encoding="utf-8"?>
<sst xmlns="http://schemas.openxmlformats.org/spreadsheetml/2006/main" count="16949" uniqueCount="4185">
  <si>
    <t>RKA 2025</t>
  </si>
  <si>
    <t>KEGIATAN</t>
  </si>
  <si>
    <t>Target harian</t>
  </si>
  <si>
    <t>Rawat Jalan Umum</t>
  </si>
  <si>
    <t>Rawat Jalan BPJS</t>
  </si>
  <si>
    <t>Rawat Inap Umum</t>
  </si>
  <si>
    <t>Rawat Inap BPJS</t>
  </si>
  <si>
    <t>TOTAL</t>
  </si>
  <si>
    <t>JUMLAH</t>
  </si>
  <si>
    <t>RINCIAN</t>
  </si>
  <si>
    <t>Obat</t>
  </si>
  <si>
    <t xml:space="preserve">BHP Medis (RAD, CSSD, dll) </t>
  </si>
  <si>
    <t>Implan</t>
  </si>
  <si>
    <t>Pelatihan</t>
  </si>
  <si>
    <t>RENCANA PROGRAM KERJA</t>
  </si>
  <si>
    <t>RUMAH SAKIT PKU MUHAMMADIYAH SUKOHARJO</t>
  </si>
  <si>
    <t>TAHUN 2025</t>
  </si>
  <si>
    <t>BIDANG KEUANGAN</t>
  </si>
  <si>
    <t>BIDANG</t>
  </si>
  <si>
    <t>SASARAN STRATEGIS</t>
  </si>
  <si>
    <t>KPI</t>
  </si>
  <si>
    <t>TARGET</t>
  </si>
  <si>
    <t>PROGRAM KERJA STRATEGIS</t>
  </si>
  <si>
    <t>NAMA KEGIATAN</t>
  </si>
  <si>
    <t>PJ</t>
  </si>
  <si>
    <t>ANGGARAN</t>
  </si>
  <si>
    <t>PELAKSANAAN</t>
  </si>
  <si>
    <t>JAN</t>
  </si>
  <si>
    <t>FEB</t>
  </si>
  <si>
    <t>MAR</t>
  </si>
  <si>
    <t>APR</t>
  </si>
  <si>
    <t>MEI</t>
  </si>
  <si>
    <t>JUN</t>
  </si>
  <si>
    <t>JUL</t>
  </si>
  <si>
    <t>AGT</t>
  </si>
  <si>
    <t>SEPT</t>
  </si>
  <si>
    <t>OKT</t>
  </si>
  <si>
    <t>NOV</t>
  </si>
  <si>
    <t>DES</t>
  </si>
  <si>
    <t>Keuangan</t>
  </si>
  <si>
    <t>Peningkatan Pendapatan</t>
  </si>
  <si>
    <t>Sales Targer (Rp)</t>
  </si>
  <si>
    <t>60M</t>
  </si>
  <si>
    <t>Pemantauan Piutang Pasien umum</t>
  </si>
  <si>
    <t>membuat format pemantauan piutang pasien</t>
  </si>
  <si>
    <t>rapat : 10 x 5.000 x 3 = 150.000</t>
  </si>
  <si>
    <t xml:space="preserve">keuangan </t>
  </si>
  <si>
    <t>melakukan sosialisasi pengisian piutang</t>
  </si>
  <si>
    <t>melakukan verifikasi dan penagihan piutang</t>
  </si>
  <si>
    <t xml:space="preserve">Meningkatkan kualitas klaim asuransi </t>
  </si>
  <si>
    <t>pengiriman berkas</t>
  </si>
  <si>
    <t>40 x Rp 200.000</t>
  </si>
  <si>
    <t>Asuransi</t>
  </si>
  <si>
    <t>intertain</t>
  </si>
  <si>
    <t>6 x Rp 500.000</t>
  </si>
  <si>
    <t>Meningkatkan service excellence</t>
  </si>
  <si>
    <t xml:space="preserve">Pemenuhan sarpras kerja </t>
  </si>
  <si>
    <t>Kursi 2 x Rp 460.000 = Rp 920.000
Meja 1 x Rp 862.500
Lemari untuk form pasien 1 x Rp 460.000</t>
  </si>
  <si>
    <t xml:space="preserve">Kasir </t>
  </si>
  <si>
    <t xml:space="preserve">Loker berkas </t>
  </si>
  <si>
    <t xml:space="preserve">Keuangan </t>
  </si>
  <si>
    <t>pertemuan PIC JKN</t>
  </si>
  <si>
    <t>Sales Growth (%)</t>
  </si>
  <si>
    <t>Akurasi pelaporan pendapatan &amp; penerimaan Kasir</t>
  </si>
  <si>
    <t>update laporan pendapatan dan penerimaan</t>
  </si>
  <si>
    <t>sosialisasi laporan kepada kasir</t>
  </si>
  <si>
    <t>kursi</t>
  </si>
  <si>
    <t>melakukan verifikasi berkas dan laporan penerimaan</t>
  </si>
  <si>
    <t>masuk anggaran ATK (HVS)</t>
  </si>
  <si>
    <t>meja</t>
  </si>
  <si>
    <t>Efisiensi</t>
  </si>
  <si>
    <t>BO/PO Rasio</t>
  </si>
  <si>
    <t>&lt;90%</t>
  </si>
  <si>
    <t>pembuatan laporan BO PO</t>
  </si>
  <si>
    <t>menyusun rencana pendapatan dan biaya mingguan</t>
  </si>
  <si>
    <t>lemari loker untuk form pasien</t>
  </si>
  <si>
    <t>menyusun laporan pendapatan dan biaya mingguan</t>
  </si>
  <si>
    <t>melakukan analisis bulanan</t>
  </si>
  <si>
    <t xml:space="preserve">snack rapat </t>
  </si>
  <si>
    <t>implementasi kebijakan efisiensi</t>
  </si>
  <si>
    <t>membuat kebijakan direktur mengenai lean menggunakan kartu ide visual</t>
  </si>
  <si>
    <t>perencanaan</t>
  </si>
  <si>
    <t>implementasi hasil lean dari ide visual</t>
  </si>
  <si>
    <t>apresiasi di adakan 3 bulan sekali 4 X 500.000 = 2.000.000
  pembiayaan yang di butuhkan untuk penerapan ide visual jika membutuhkan peralatan 5.000.000
container box untuk tempat penyimpanan pengajuan 300.000</t>
  </si>
  <si>
    <t xml:space="preserve">Kerja Bakti Asuransi 3 bulan sekali </t>
  </si>
  <si>
    <t>Sanck dan makan siang 60 x Rp 20.000</t>
  </si>
  <si>
    <t>COGS Rasio</t>
  </si>
  <si>
    <t>&lt;35%</t>
  </si>
  <si>
    <t>akurasi nominal pembelian obat, lab dan implan</t>
  </si>
  <si>
    <t>membuat laporan pembelian obat berdasar faktur masuk</t>
  </si>
  <si>
    <t>rapat : 10 x 5.000 x 4 = 200.000</t>
  </si>
  <si>
    <t>keuangan</t>
  </si>
  <si>
    <t>melakukan akurasi data laporan di bagian keuangan dan laporan di farmasi</t>
  </si>
  <si>
    <t>Laverage Operasional</t>
  </si>
  <si>
    <t>&lt;1</t>
  </si>
  <si>
    <t>pemantauan realisasi pengadaan</t>
  </si>
  <si>
    <t>membuat format realisasi pengadaan</t>
  </si>
  <si>
    <t>melakukan pengisian realisasi pengadaan sesuai dengan uang keluar</t>
  </si>
  <si>
    <t>Terwujudnya Pertumbuhan Laba</t>
  </si>
  <si>
    <t>Net Profit Margin (RP)</t>
  </si>
  <si>
    <t>3,6M</t>
  </si>
  <si>
    <t>penyusunan laporan keuangan max 15</t>
  </si>
  <si>
    <t>melakukan verifikasi kelengkapan berkas pengeluaran</t>
  </si>
  <si>
    <t>laporan harian soft file (hardisk : Rp. 1.000.000) dan hard file (HVS - anggaran ATK)
fotokopi laporan 1.000.000</t>
  </si>
  <si>
    <t>melakukan verifikasi sisa hutang</t>
  </si>
  <si>
    <t>melakukan verifikasi sisa piutang</t>
  </si>
  <si>
    <t>melakukan update data aset di laporan keuangan</t>
  </si>
  <si>
    <t>Net Profit Margin (%)</t>
  </si>
  <si>
    <t>pelaporan dan pembayaran pajak tepar waktu</t>
  </si>
  <si>
    <t>melakukan rekap pajak dokter</t>
  </si>
  <si>
    <t>melakukan rekap pajak karyawan</t>
  </si>
  <si>
    <t>BIDANG PELANGGAN</t>
  </si>
  <si>
    <t>Pelanggan</t>
  </si>
  <si>
    <t>Terwujudnya loyalitas pelanggan</t>
  </si>
  <si>
    <t>Prosentase jumlah pasien baru (berdasarkan geografis fungsional)</t>
  </si>
  <si>
    <t>kerjasama dengan driver ambulan di daerah berdasarkan geografis fungsional (bendosari, tawangsari, nguter,weru, polokarto)</t>
  </si>
  <si>
    <t>1. mengadakan pertemuan dengan driver ambulan</t>
  </si>
  <si>
    <t>makan siang,snack dan tempat 40 orang X 120.000 = 4.800.000
 souvenir tempat minum Rp 20.000 X 40 orang = 800.000
karpet 5.000.000
 narasumber 200.000</t>
  </si>
  <si>
    <t>marketing dan team</t>
  </si>
  <si>
    <t>kerjasama dengan PCM,PCA,</t>
  </si>
  <si>
    <t>1. mengadakan pertemuan dengan perwakilan PCM, PCA sekabupaten sukoharjo</t>
  </si>
  <si>
    <t>makan siang 50X 25.000 =1.250.000
 snack 50 X 10.000 = 500.000
 souvenir gelas Rp 8.000 X 50 orang = 400.000
 transport 50.000 X 50 = 2.500.000
 cetak form pemeriksaan 300.000</t>
  </si>
  <si>
    <t>kerjasama dengan faskes faskes</t>
  </si>
  <si>
    <t>mengadakan pertemuan dengan faskes faskes sekabupaten sukoharjo</t>
  </si>
  <si>
    <t>acara 8.650.000 dan fee untuk faskes 35.000.000
goodie bag 600.000</t>
  </si>
  <si>
    <t>Prosentasi jumlah pasien lama (berdasarkan geografis fungsional)</t>
  </si>
  <si>
    <t>pemberian apresiasi pasien ranap maupun rajal</t>
  </si>
  <si>
    <t>1. pengiriman ucapan terimakasih dan mengingatkan waktu kontrol melalui WA blast tim apresiasi</t>
  </si>
  <si>
    <t>tim apresisasi</t>
  </si>
  <si>
    <t>2. utilisasi pasien komplain</t>
  </si>
  <si>
    <t>gift 30.000 X 10 pcs =300.000
 50.000 X 20 pcs = 1.000.000</t>
  </si>
  <si>
    <t>Terwujudnya kepuasan pelanggan</t>
  </si>
  <si>
    <t>Indeks kepuasan pelanggan</t>
  </si>
  <si>
    <t>survey kepuasan</t>
  </si>
  <si>
    <t>1. kunjungan tim tilik ke pasien ranap dan rajal</t>
  </si>
  <si>
    <t>tim tilik</t>
  </si>
  <si>
    <t>2. pemberian hadian untuk pasien yang berulang tahun</t>
  </si>
  <si>
    <t>gift 18.000 X 24 =432.000</t>
  </si>
  <si>
    <t>Good review</t>
  </si>
  <si>
    <t>percepatan handling complain</t>
  </si>
  <si>
    <t>1. penanganan komplain kurang dari 24 jam 
 2. pembuatan laporan penyelesaian komplain</t>
  </si>
  <si>
    <t>humas dan tim mutu</t>
  </si>
  <si>
    <t>pemberian give away dalam rangka hari besar</t>
  </si>
  <si>
    <t>membuat give away di sosial media RS</t>
  </si>
  <si>
    <t>e wallet 50.000 X 3 pemenang X 3 kali = 450.000 
ewallet 100.000 X 3 pemenang X 3 kali =900.000
 admin 120000</t>
  </si>
  <si>
    <t>pemenuhan fasilitas rawat inap</t>
  </si>
  <si>
    <t>1. pemberian paket alat mandi pada pasien umum dan tas pulang pada seluruh pasien ranap</t>
  </si>
  <si>
    <t>tas pulang pasien 8000 x 6000 = Rp 48.000.000
paket mandi pasien umu.m500x20000= 10.000.000</t>
  </si>
  <si>
    <t>rapat monitoring survey</t>
  </si>
  <si>
    <t>snack rapat 12 kali</t>
  </si>
  <si>
    <t>Terwujudnya peningkatan pelanggan</t>
  </si>
  <si>
    <t>jumlah pasien rajal</t>
  </si>
  <si>
    <t>91800 pertahun</t>
  </si>
  <si>
    <t>mengadakan kegiatan ekternal</t>
  </si>
  <si>
    <t>1. kegiatan penyuluhan kesehatan di posyandu berdasarkan geografis fungsional</t>
  </si>
  <si>
    <t>fee narasumber dokter Rp 300.000 X 4 bulan = 1.200.000
 dana sosial posyandu Rp 100.000 X 4 = Rp 400.000
snack 600.000</t>
  </si>
  <si>
    <t>2. kegiatan edukasi berkelanjtan di prolanis geografis fungsional (bendosari, tawangsari, nguter,weru, polokarto)</t>
  </si>
  <si>
    <t>fee narasumber dokter Rp 300.000 X 4 bulan = 1.200.000
 konsumsi narasumber 50000 X 4 = 200000</t>
  </si>
  <si>
    <t>3. pemeriksaan kesehatan bekerjasama dengan PCM dan laziz</t>
  </si>
  <si>
    <t>bhp laborat Rp 2.000.000
 obat 500.000
 fee petugas dokter Rp 200.000x 4= 800.000 analis Rp 100.000 x 4 = 400.000
 farmasi Rp 100.000 x 4 = 400.000
 perawat Rp 100.000x 4= 400.000
easy touch 3 in 1 1.800.000
transport 200000</t>
  </si>
  <si>
    <t>4. promosi dengan pembuatan kalender 2026</t>
  </si>
  <si>
    <t>dinding 1200X 8000 = 9.600.000
 duduk tebal 75 X 22.000=1.650.000
 duduk tipis 50 x 18.000 = 900.000</t>
  </si>
  <si>
    <t>6. keikutsertaan dalam kegiatan muhammadiyah</t>
  </si>
  <si>
    <t>timkes, doorprise, 3.000.000</t>
  </si>
  <si>
    <t>promosi layanan dengan webinar kesehatan</t>
  </si>
  <si>
    <t>makan ,snack, doorprise</t>
  </si>
  <si>
    <t>jumlah pasien ranap</t>
  </si>
  <si>
    <t>9000 pertahun</t>
  </si>
  <si>
    <t>promosi kegiatan internal</t>
  </si>
  <si>
    <t>1. kegiatan penyuluhan di rawat inap</t>
  </si>
  <si>
    <t>leaflet DM,hipetensi,diet,jantung,rendah lemak,asam urat,stunting,insulin,efeksamping obat,
 antibiotik,penyimpanan obat 14 X 250.000= Rp 3.500.000
akrilik 750.000</t>
  </si>
  <si>
    <t>2. peringatan hari susu nasional</t>
  </si>
  <si>
    <t>susu kedelai 2 galon x 200.000 = 400.000</t>
  </si>
  <si>
    <t>3. peringatan hari anak nasional</t>
  </si>
  <si>
    <t>paket gift makanan dan buku 80 pcs x 20.000 = 1.600.000
 balon 1.200.000</t>
  </si>
  <si>
    <t>4. peringatan hari pelanggan</t>
  </si>
  <si>
    <t>gift gelas 300 pcs x 7000 = 2.100.000
 mmt 300.000
balok pku 1.200.000</t>
  </si>
  <si>
    <t>5. peringatan hari buah nasional</t>
  </si>
  <si>
    <t>buah potong 7000 X 150 pcs = 1.050.000 
 stiker 50.000</t>
  </si>
  <si>
    <t>6. peringatan hari kesehatan nasional</t>
  </si>
  <si>
    <t>kegiatan CFD di alun-alun tenda 3.000.000 
meja lipat booth 500000</t>
  </si>
  <si>
    <t xml:space="preserve">peringatan hari-hari penting </t>
  </si>
  <si>
    <t>MMT 2.000.000
snack 600.000
gift 13.500.000
pernak pernik idul fitri 3.500.000
pernak pernik agustusan 3.500.000
pernak pernik milad 3.500.000</t>
  </si>
  <si>
    <t>BOR</t>
  </si>
  <si>
    <t>kegiatan promosi eksternal</t>
  </si>
  <si>
    <t>promosi layanan baru rumah sakit</t>
  </si>
  <si>
    <t>fee narasumber 600.000
 cetak media promosi layanan baru 5 x 200.000 = 1.000.000</t>
  </si>
  <si>
    <t>pembuatan paket-paket layanan umum</t>
  </si>
  <si>
    <t>promosi dan edukasi melalui media sosial</t>
  </si>
  <si>
    <t>wireles microphone 500.000 
kain greenscree 480.000
batre camera 400.000
MMC 300.000
olor kabel 300.000
fee narasumber 950.000
pembuatan video profil 8.000.000
kursi 200.000</t>
  </si>
  <si>
    <t>LOS</t>
  </si>
  <si>
    <t>2-3 hari</t>
  </si>
  <si>
    <t>kerjasama dengan MPP</t>
  </si>
  <si>
    <t>Terwujudnya peningkatan Kerjasama</t>
  </si>
  <si>
    <t>Jumlah Kerjasama pihak Asuransi</t>
  </si>
  <si>
    <t>perluasan kerjasama asuransi</t>
  </si>
  <si>
    <t>1. menjalin kerjasama dengan BRI life</t>
  </si>
  <si>
    <t>buah tangan Rp 200.000</t>
  </si>
  <si>
    <t>Jumlah kerjasama pihak Perusahaan/pihak ke 3</t>
  </si>
  <si>
    <t>3 pertahun</t>
  </si>
  <si>
    <t>perluasan kerjasama pihak ke 3</t>
  </si>
  <si>
    <t>1. menjalin kerjasama dengan pabrik nguter</t>
  </si>
  <si>
    <t>2. menjalin kerjasama dengan jasa transportasi</t>
  </si>
  <si>
    <t>3. menjalin kerjasama dengan sekolah</t>
  </si>
  <si>
    <t>4. silahturahmi koordinasi dengan faskes terdekat</t>
  </si>
  <si>
    <t>buah tangan Rp 1.200.000</t>
  </si>
  <si>
    <t>Rekap anggaran</t>
  </si>
  <si>
    <t>JULI</t>
  </si>
  <si>
    <t>PELAYANAN</t>
  </si>
  <si>
    <t>Terwujudnya pelayanan service excellent</t>
  </si>
  <si>
    <t>Peningkatan Mutu Nasional</t>
  </si>
  <si>
    <t>Koordinasi dengan Stake Holder terkait</t>
  </si>
  <si>
    <t>Rapat pemahaman Mutu Nasional</t>
  </si>
  <si>
    <t>Monev PDCA tiap 3 bulan</t>
  </si>
  <si>
    <t>Meningkatkan Kualitas Mutu Pelanggan</t>
  </si>
  <si>
    <t>Perumusan Mutu Pelanggan</t>
  </si>
  <si>
    <t>Pelaksanaan pengukuran Mutu</t>
  </si>
  <si>
    <t>Monev</t>
  </si>
  <si>
    <t>Screening Kepuasan Pelanggan</t>
  </si>
  <si>
    <t>Menentukan Alur screening Kepuasan</t>
  </si>
  <si>
    <t>Melakukan Screning</t>
  </si>
  <si>
    <t>Monev hasil screening</t>
  </si>
  <si>
    <t>Tindak Lanjut</t>
  </si>
  <si>
    <t>PDCA Kepuasan dan Screening</t>
  </si>
  <si>
    <t>Waktu tunggu layanan rawat jalan (jam/menit)</t>
  </si>
  <si>
    <t>≤58 menit</t>
  </si>
  <si>
    <t>Meningkatkan kualitas pelayanan di rawat jalan</t>
  </si>
  <si>
    <t>IGD rajal</t>
  </si>
  <si>
    <t>Perbaikan sistem Antrian di Rawat jalan</t>
  </si>
  <si>
    <t>penggunaan secara automatic di pendaftarannya</t>
  </si>
  <si>
    <t>Sosialisasi Alur pelayanan Rawat Jalan</t>
  </si>
  <si>
    <t>kepada pasien</t>
  </si>
  <si>
    <t>Sarana dan Prasarana ready to use</t>
  </si>
  <si>
    <t>alat2 TTV, sarana prasarana yang memadai</t>
  </si>
  <si>
    <t>Evaluasi tiap 3 bulan</t>
  </si>
  <si>
    <t>Waktu tunggu pasien rawat inap (jam/menit)</t>
  </si>
  <si>
    <t>WT : &lt;120 menit</t>
  </si>
  <si>
    <t>Mempercepat proses pemindahan rawat inap pasien</t>
  </si>
  <si>
    <t>sarana prasarana di Unit dalam kondisi ready to use</t>
  </si>
  <si>
    <t>Telpon mobile, penyiapan linen, penyiapan sarpras, penyiapan aksesoris ruangan</t>
  </si>
  <si>
    <t>Tenaga yang kompeten sesuai bidangnya</t>
  </si>
  <si>
    <t>IHT</t>
  </si>
  <si>
    <t>Evaluasi alur dan fasilitas</t>
  </si>
  <si>
    <t>Waktu tunggu layanan farmasi (jam/menit)</t>
  </si>
  <si>
    <t>RJ : &lt;58 menit</t>
  </si>
  <si>
    <t>pasien rawat jalan mengambil antrian obat secara mandiri</t>
  </si>
  <si>
    <t>penyediaan anjungan mandiri untuk pencetakan nomor antrian obat rawat jalan</t>
  </si>
  <si>
    <t>komputer touch screen, Printer Thermal, dan Box Anjungan Mandiri</t>
  </si>
  <si>
    <t>pengurangan waktu pembuatan obat racikan</t>
  </si>
  <si>
    <t>pembuatan racikan obat-obat tertentu dengan dosis tetap yang biasa diresepkan oleh DPJP sebelum poli dimulai</t>
  </si>
  <si>
    <t>memastikan ketersediaan obat di depo Apotek rawat jalan, agar petugas tidak wira-wiri ke gudang mengambil obat yang habis</t>
  </si>
  <si>
    <t>sosialisasi kepada seluruh staf farmasi terkait pentingnya manajemen stock</t>
  </si>
  <si>
    <t>mengubah pembuatan copy resep manual (tulisan tangan) dengan elektronik atau via SIM RS</t>
  </si>
  <si>
    <t>berkoordinasi dengan TIM IT RS untuk bisa memvasilitasi pembuatan copy resep via SIMGOS</t>
  </si>
  <si>
    <t>pengutan pola penjadwalan staff farmasi rawat jalan</t>
  </si>
  <si>
    <t>membuat jadwal jaga sesuai jadwal poliklinik spesialis dan mengatur agar tidak kekurangan staff di hari dan jam-jam sibuk (membuat jadwal P9, P10, Middle, P12, P1, dll)</t>
  </si>
  <si>
    <t>pengaturan jadwal poliklinik spesialis, karena terjadi penumpukan di jam tertentu</t>
  </si>
  <si>
    <t>berkoordiansi dengan bidang pelayanan medik untuk melobi jadwal dokter agar tidak bertumpuk di jam tertentu</t>
  </si>
  <si>
    <t>RI : &lt;100 menit</t>
  </si>
  <si>
    <t>menyingkat waktu penyiapan dan pelabelan obat</t>
  </si>
  <si>
    <t>renovasi ruangan rawat inap agar lebih ergonomis, meja penyiapan dan pelabelan obat dekat dengan rak penyimpanan obat</t>
  </si>
  <si>
    <t>pengaturan cara order obat pasien rawat inap oleh petugas bangsal</t>
  </si>
  <si>
    <t>sosialisasi ulang kepada seluruh petugas bangsal terkait pengisian menu order obat di SIMGOS yang tepat, untuk mengurangi kofirmasi berulang-ulang, petugas farmasi tidak perlu selalu mengedit aturan tambahan pada obat dan pasien yang sama</t>
  </si>
  <si>
    <t>penjadwalan order obat program pasien rawat inap dan penjadwalan jam pengantaran obat ke bangsal agar tidak bertumpuk dengan bangsal lain. Kecuali obat cito dan extra</t>
  </si>
  <si>
    <t>melakukan koordinasi dengan manajer rawat inap dan manajer keperawatan</t>
  </si>
  <si>
    <t>mengatur jadwal staff rawat inap yang terbatas</t>
  </si>
  <si>
    <t>membuat jadwal staff jaga pagi dan siang lebih banyak</t>
  </si>
  <si>
    <t>Waktu tunggu pasien pulang (jam/menit)</t>
  </si>
  <si>
    <t>WP : &lt;100 menit</t>
  </si>
  <si>
    <t>Meningkatkan waktu tunggu pulang pasien dengan Efektif dan Efisien</t>
  </si>
  <si>
    <t>kasir, sistem piutang, farmasi terkait obat pulang</t>
  </si>
  <si>
    <t>kursi roda, linen ready to use, sarpras bisa langsung digunakan kembali</t>
  </si>
  <si>
    <t>Pelatihan yang sesuai</t>
  </si>
  <si>
    <t>Pengantaran pasien pulang</t>
  </si>
  <si>
    <t>pasien pulang diantarkan oleh RS</t>
  </si>
  <si>
    <t>Prosentase pasien readmisi</t>
  </si>
  <si>
    <t>&lt;2%/ bulan</t>
  </si>
  <si>
    <t>Mengurangi kejadian pasien Readmisi Rawat Inap yang tidak Efektif</t>
  </si>
  <si>
    <t>KMKB</t>
  </si>
  <si>
    <t>Perkuat Edukasi dengan pasien</t>
  </si>
  <si>
    <t>perbanyak edukasi pasien terkait kontrol</t>
  </si>
  <si>
    <t>Home care</t>
  </si>
  <si>
    <t>penawaran kegiatan homecare pasien</t>
  </si>
  <si>
    <t>Evaluasi Sarana Prasarana, Evaluasi alur dan edukasi</t>
  </si>
  <si>
    <t>Prosentase tindak lanjut penanganan keluhan dengan baik</t>
  </si>
  <si>
    <t>80% keluhan/bulan</t>
  </si>
  <si>
    <t>meminimalkan terjadinya komplain dan memberikan kesan baik setelah terjadinya komplain</t>
  </si>
  <si>
    <t>Sosialisasi alur komplain</t>
  </si>
  <si>
    <t>Pemenuhan kebutuhan mendadak penyelesaian komplain</t>
  </si>
  <si>
    <t>Evaluasi sarana prasarana/ alur/regulasi</t>
  </si>
  <si>
    <t>Peningkatan tindak lanjut insiden keselamatan pasien (sentinel, KTD, KNC)</t>
  </si>
  <si>
    <t>IS : 5/bulan/unit
 RCA : 3/tahun</t>
  </si>
  <si>
    <t>Meningkatkan EWS dan Monev terkait IKP</t>
  </si>
  <si>
    <t>kesadaran dalam melaporkan kejadian IKP</t>
  </si>
  <si>
    <t>melakukan pembuatan IS</t>
  </si>
  <si>
    <t>dikoordinasi oleh para manager</t>
  </si>
  <si>
    <t>melakukan pembuatan RCA</t>
  </si>
  <si>
    <t>Koordinasi dengan Komite Mutu, evaluasi sarana prasarana / alur/ regulasi</t>
  </si>
  <si>
    <t>Utilisasi Alkes/Sarpras</t>
  </si>
  <si>
    <t>70 jam/ bulan
 BOR kamar VIP &gt; 60%</t>
  </si>
  <si>
    <t>Efektifitas penggunaan Ventilator</t>
  </si>
  <si>
    <t>rapat dengan dokter spesialis, perawat, KMKB</t>
  </si>
  <si>
    <t>Meningkatkan kompetensi</t>
  </si>
  <si>
    <t>Diklat skill pemasangan ET, mekanikal ventilator</t>
  </si>
  <si>
    <t>MOnev</t>
  </si>
  <si>
    <t>Evaluasi Sarana Prasarana / alur dan regulasi</t>
  </si>
  <si>
    <t>Efektifitas penggunaan Kamar VIP</t>
  </si>
  <si>
    <t>pemahaman dengan perawat, dokter jaga, Pendaftaran, Marketing</t>
  </si>
  <si>
    <t>skill komunikasi, attitude, keperawatan</t>
  </si>
  <si>
    <t>kelengkapan sarana prasarana ruang VIP, linen ruang VIP</t>
  </si>
  <si>
    <t>Pengembangan pelayanan</t>
  </si>
  <si>
    <t>Pengembangan pelayanan (jenis pelayanan)</t>
  </si>
  <si>
    <t>Penambahan dokter spesialis</t>
  </si>
  <si>
    <t>menambah jenis pelayanan gigi spesialis anak</t>
  </si>
  <si>
    <t>menambah tambahan dokter spesialis baru</t>
  </si>
  <si>
    <t>sarana prasarana pendukung dokter spesialis</t>
  </si>
  <si>
    <t>meja kursi dll ruang komdik</t>
  </si>
  <si>
    <t>Pelayanan Non-Utama</t>
  </si>
  <si>
    <t>Pelayanan Gizi</t>
  </si>
  <si>
    <t>Catering Gizi</t>
  </si>
  <si>
    <t>Pelayanan Laundry</t>
  </si>
  <si>
    <t>Laundry bersih</t>
  </si>
  <si>
    <t>Pelayanan Rohani dan pemulasaran jenazah</t>
  </si>
  <si>
    <t>Khusnul Khotimah</t>
  </si>
  <si>
    <t>Terwujudnya pelayanan yang Islami</t>
  </si>
  <si>
    <t>NPS berbasis Islami</t>
  </si>
  <si>
    <t>Akreditasi Berbasis Islami / Syariah</t>
  </si>
  <si>
    <t>Self Assestment mandiri dengan nilai &gt;75%</t>
  </si>
  <si>
    <t>Koordinasi dengan Tim</t>
  </si>
  <si>
    <t>Studi banding di RS yang sudah terakreditasi Syariah</t>
  </si>
  <si>
    <t>Penyiapan Sarpras sederhana</t>
  </si>
  <si>
    <t>Monev persiapan Penilaian di tahun 2026</t>
  </si>
  <si>
    <t>Penilaian kepada customer</t>
  </si>
  <si>
    <t>Surveilans Hasil kegiatan RS berbasis Islami</t>
  </si>
  <si>
    <t>Sosialisasi Survey kepada customer</t>
  </si>
  <si>
    <t>Penilaian dengan sasaran customer</t>
  </si>
  <si>
    <t>Monev hasil penilaian</t>
  </si>
  <si>
    <t>Jul</t>
  </si>
  <si>
    <t>SDM</t>
  </si>
  <si>
    <t>Terwujudnya staf yang memiliki kinerja dan pengalaman yang unggul</t>
  </si>
  <si>
    <t>prosentase staf kinerja unggul (terukur)</t>
  </si>
  <si>
    <t>Kredensial &amp; re-Kredensial</t>
  </si>
  <si>
    <t>Melakukan Kredensial &amp; re-Kredensial</t>
  </si>
  <si>
    <t>snack 50 * 10.000 = 500.000
Makan siang 15*15.000 = 225.000</t>
  </si>
  <si>
    <t>Komite keperawatan</t>
  </si>
  <si>
    <t>Asesmen kompetensi</t>
  </si>
  <si>
    <t>Melakukan asesmen kompetensi</t>
  </si>
  <si>
    <t>Kertas HVS 12*55.000 = 660.000</t>
  </si>
  <si>
    <t>Orientasi pegawai baru</t>
  </si>
  <si>
    <t>Melakukan orientasi pada pegawai baru</t>
  </si>
  <si>
    <t>snack narasumber 120 * 10.000 = 1.200.0000</t>
  </si>
  <si>
    <t>Kasubag Diklat</t>
  </si>
  <si>
    <t>Kredensial &amp; re-Kredensial dokter</t>
  </si>
  <si>
    <t>Melakukan Kredensial &amp; re-Kredensial
MPPI dan MCU</t>
  </si>
  <si>
    <t>Kasubag Kepegawaian</t>
  </si>
  <si>
    <t>Presentase staf yang mengikuti pelatihan (20 jam / tahun)</t>
  </si>
  <si>
    <t>Program Pelatihan internal</t>
  </si>
  <si>
    <t xml:space="preserve">Melaksanakan pelatihan internal </t>
  </si>
  <si>
    <t>Sesuai anggaran RKA</t>
  </si>
  <si>
    <t>Nakes bersertifikasi</t>
  </si>
  <si>
    <t>Program Pelatihan eksternal</t>
  </si>
  <si>
    <t>Melaksanakan pelatihan eksternal</t>
  </si>
  <si>
    <t>Rasionalisasi SDM</t>
  </si>
  <si>
    <t>Pengukuran dan pemenuhan sdm sesuai ABK 
 usulan pengukuran dan pemenuhan sdm
 sesuai kebutuhan dan efektivitas sdm</t>
  </si>
  <si>
    <t xml:space="preserve">Program Audit SDM </t>
  </si>
  <si>
    <t xml:space="preserve">
Melakukan Audit SDM setiap 3 bulan sekali dengan kabag/ manajer </t>
  </si>
  <si>
    <t xml:space="preserve">
 snack 20 *4* 10.000 kali dalam setahun</t>
  </si>
  <si>
    <t>Melakukan Pensiun pada pegawai yang telah memasuki usia purna tugas</t>
  </si>
  <si>
    <t>Anggaran uang pesangon dan uang penghargaan masa kerja pegawai</t>
  </si>
  <si>
    <t>Tingkat kepuasan karyawan</t>
  </si>
  <si>
    <t>Survey kepuasan</t>
  </si>
  <si>
    <t>Melakukan survey kepuasan pegawai setiap 1 tahun sekali</t>
  </si>
  <si>
    <t>menggunakan instrument kuesioner melalui g form</t>
  </si>
  <si>
    <t>Pemberian Apresiasi pegawai berprestasi</t>
  </si>
  <si>
    <t>umroh pegawai berprestasi 40.000.000</t>
  </si>
  <si>
    <t>Pegawai Berprestasi 
 (Inovasi baru)(logam mulia 5 gram untuk 2 pegawai)
 1.700.000*5*2 = 17.000.000</t>
  </si>
  <si>
    <t>Pegawai Berprestasi
  (Inovasi baru)(logam mulia 2 gram untuk 3 pegawai) 1.700.000*3*2 = 10.200.000</t>
  </si>
  <si>
    <t>Pegawai Inovasi baru
 (Voucher belanja koperasi seharga 100.000 untuk 30 pegawai)</t>
  </si>
  <si>
    <t>Pemberian Parcel pada pegawai di Hari Raya lebaran</t>
  </si>
  <si>
    <t>Bingkisan lebaran pegawai</t>
  </si>
  <si>
    <t>Bingkisan lebaran dokter  spesialis</t>
  </si>
  <si>
    <t>Bingkisan lebaran dokter umum</t>
  </si>
  <si>
    <t>Turn over karyawan</t>
  </si>
  <si>
    <t>&lt;5%</t>
  </si>
  <si>
    <t xml:space="preserve">Program Pegawai tetap </t>
  </si>
  <si>
    <t>Melakukan  seleksi pegawai tetap</t>
  </si>
  <si>
    <t>Sesuai Anggaran RKA</t>
  </si>
  <si>
    <t>Terwujudnya budaya kinerja rumah sakit</t>
  </si>
  <si>
    <t>Indek Budaya Kerja</t>
  </si>
  <si>
    <t>Program budaya kerja</t>
  </si>
  <si>
    <t xml:space="preserve">Pembuatan regulasi budaya kerja
</t>
  </si>
  <si>
    <t>kenaikan Insentif kehadiran 5.000 * 340*26* 12 bulan MASUK ANGGARAN GAJI</t>
  </si>
  <si>
    <t>Sosialisasi budaya kerja</t>
  </si>
  <si>
    <t>snack 10.000 * 340</t>
  </si>
  <si>
    <t>Melaksanakan kegiatan Capacity Building</t>
  </si>
  <si>
    <t>sewa Bus</t>
  </si>
  <si>
    <t>Snack pagi dan siang</t>
  </si>
  <si>
    <t>Makan siang</t>
  </si>
  <si>
    <t>Tempat wisata</t>
  </si>
  <si>
    <t>Hiburan ditempat wisata</t>
  </si>
  <si>
    <t>Uang Saku</t>
  </si>
  <si>
    <t>Melaksanakan kegiatan Baitul Arqam / perkaderan SDI umum</t>
  </si>
  <si>
    <t>1x Makan siang</t>
  </si>
  <si>
    <t>Kasubag AIK</t>
  </si>
  <si>
    <t>2x Snack</t>
  </si>
  <si>
    <t>Narasumber 4 selama 6 x</t>
  </si>
  <si>
    <t>Sertifikat Peserta</t>
  </si>
  <si>
    <t>Melaksanakan kegiatan Kajian HPT dan PHIWM rutin, Tahsin (1 bulan 2 kali) peserta perwakilan unit</t>
  </si>
  <si>
    <t xml:space="preserve">Snack </t>
  </si>
  <si>
    <t>Pemateri</t>
  </si>
  <si>
    <t>Melaksanakan kegiatan Qur'ban di hari raya Idul Adha</t>
  </si>
  <si>
    <t>Jagal</t>
  </si>
  <si>
    <t>Bumbu</t>
  </si>
  <si>
    <t>Beras</t>
  </si>
  <si>
    <t>Upah memasak daging 360 Porsi @15.000</t>
  </si>
  <si>
    <t>Konsumsi pagi</t>
  </si>
  <si>
    <t>Perlengkapan</t>
  </si>
  <si>
    <t>Sapi qurban</t>
  </si>
  <si>
    <t>Melakukan Pengadaan Kaos pegawai</t>
  </si>
  <si>
    <t xml:space="preserve">Kaos untuk 375 Pegawai </t>
  </si>
  <si>
    <t>Melaksanakan Kegiatan Amaliyah Ramadhan</t>
  </si>
  <si>
    <t>Penyusunan jadwal imam dan penceramah sholat tarawih  @50.000 x 30Hari</t>
  </si>
  <si>
    <t>Jadwal Imsyakiyah 3 RIM x 500.000</t>
  </si>
  <si>
    <t>Takjil @4000 x 100Porsi x 30 Hari</t>
  </si>
  <si>
    <t>Sahur @15.000 x 60 Porsi x 30 Hari</t>
  </si>
  <si>
    <t>Melaksanakan kegiatan Halal bi Halal</t>
  </si>
  <si>
    <t>makan 350* 25.000 = 8.750.000
doorprise 10* 20.000 = 200.000
Pemateri 500.000</t>
  </si>
  <si>
    <t>UMUM</t>
  </si>
  <si>
    <t>Terwujudnya kepuasan pelanggan terhadap pelayan Humas,cleaning service, security dan driver</t>
  </si>
  <si>
    <t>Jumlah komplain dari pelanggan (eksternal) &lt; 5 setiap bulan</t>
  </si>
  <si>
    <t>tersedianya pelayanan humas, cleaning service, security dan driver</t>
  </si>
  <si>
    <t>Humas :</t>
  </si>
  <si>
    <t xml:space="preserve">memberikan informasi yang masuk di media sosial dan kontak humas </t>
  </si>
  <si>
    <t>pelayanan terhadap keluhan pasien dan pengunjung</t>
  </si>
  <si>
    <t>kasubag humas dan hukum</t>
  </si>
  <si>
    <t>√</t>
  </si>
  <si>
    <t>menjalin hubungan dengan rekanan</t>
  </si>
  <si>
    <t>kartu ucapan idul fitri / ultah ke rekanan / kedinasan 5.000 x 30</t>
  </si>
  <si>
    <t>ucapan dikoran = 5 x 600,000</t>
  </si>
  <si>
    <t>karangan bunga / ucapan/ duka/ selamat 35 x 400,000</t>
  </si>
  <si>
    <t>memberikan bingkisan parcel 70 x 350,000</t>
  </si>
  <si>
    <t>buah tangan ke pihak ketiga SOUVENIR 50 x 100,000</t>
  </si>
  <si>
    <t xml:space="preserve">SUPORT PIHAK KETIGA </t>
  </si>
  <si>
    <t>biaya operasional penyerahan fee</t>
  </si>
  <si>
    <t>kontribusi poyandu sekitar RS  = 200,000 x 12</t>
  </si>
  <si>
    <t>Pembelian bingkisa kepada kaum dhuafa dan warga sekitar 50 x 150,000</t>
  </si>
  <si>
    <t>acara internal rumah sakit</t>
  </si>
  <si>
    <t>kegiatan CSR sesuai program pemerintah</t>
  </si>
  <si>
    <t xml:space="preserve">CSR </t>
  </si>
  <si>
    <t>mengikuti kegiatan yang diselenggarakan oleh pemerintah daerah</t>
  </si>
  <si>
    <t>kegiatan milad rumah sakit</t>
  </si>
  <si>
    <t>kegiatan perayaan HUT RI</t>
  </si>
  <si>
    <t>kegiatan perayaan HUT Daerah</t>
  </si>
  <si>
    <t>Kegiatan HKN</t>
  </si>
  <si>
    <t>cleaning service :</t>
  </si>
  <si>
    <t>Melakukan General Cleaning</t>
  </si>
  <si>
    <t>penyediaan alat kebersihan dan melakukan kebersihan rutin</t>
  </si>
  <si>
    <t>karu cleaning service</t>
  </si>
  <si>
    <t>monitoring kegiatan petugas</t>
  </si>
  <si>
    <t>laporan tertulis</t>
  </si>
  <si>
    <t>karu cleaning service dan kabag umum</t>
  </si>
  <si>
    <t>setiap hari jumat</t>
  </si>
  <si>
    <t>evaluasi petugas</t>
  </si>
  <si>
    <t>Coaching dan mentoring Cleaning Service</t>
  </si>
  <si>
    <t>pelatihan di anggaran diklat</t>
  </si>
  <si>
    <t>kabag umum</t>
  </si>
  <si>
    <t>Security :</t>
  </si>
  <si>
    <t>patroli dan penjagaan area rumah sakit</t>
  </si>
  <si>
    <t xml:space="preserve">penyediaan seragam baru security </t>
  </si>
  <si>
    <t>karu security</t>
  </si>
  <si>
    <t>penyediaan sarana pendukung yaitu trafic cone, lampu lalin, sepatu boot dll</t>
  </si>
  <si>
    <t>petugas melakukan pemantauan cctv</t>
  </si>
  <si>
    <t>petugas membuat laporan di setiap shift</t>
  </si>
  <si>
    <t>karu security dan kabag umum</t>
  </si>
  <si>
    <t>Driver :</t>
  </si>
  <si>
    <t>general cleaning pada kendaraan rumah sakit</t>
  </si>
  <si>
    <t>penyediaan kendaraan yang siap pakai</t>
  </si>
  <si>
    <t>karu driver</t>
  </si>
  <si>
    <t xml:space="preserve">driver dan petugas medis membaca doa perjalanan jauh secara bersama-sama ketika akan melakukan perjalanan jauh </t>
  </si>
  <si>
    <t>pelayanan ambulance 24 jam</t>
  </si>
  <si>
    <t>tidak ada kendala dalam proses rujuk</t>
  </si>
  <si>
    <t>Penyediaan BBM, Pajak Kendaraan dan pemeliharaan kendaraan</t>
  </si>
  <si>
    <t>Terwujudnya kepuasan unit terhadap pelayan humas, tata usaha,cleaning service, security dan driver</t>
  </si>
  <si>
    <t>tidak ada komplain dari internal &lt; 5 setiap bulannya terkait dengan pelayanan humas,tata usaha, cleaning service,security dan driver</t>
  </si>
  <si>
    <t>tersedianya pelayanan humas,tata usaha, cleaning service, security dan driver</t>
  </si>
  <si>
    <t>melakukan monitoring terhadap semua SK yang dibuat terdapat perundangan sesuai dan masih berlaku</t>
  </si>
  <si>
    <t>pengecekan tentang kebijakan dan spo baru di rs pembelian flashdisk</t>
  </si>
  <si>
    <t>melakukan monitoring terhadap PKS yang sudah berakhir</t>
  </si>
  <si>
    <t>Kredensial &amp; re-Kredensial BPJS</t>
  </si>
  <si>
    <t>pengiriman berkas MOU / lainnya : POS / ekspedisi = 12 x 15,000</t>
  </si>
  <si>
    <t>Tata Usaha :</t>
  </si>
  <si>
    <t>melakukan monitoring terhadap tata naskah rumah sakit</t>
  </si>
  <si>
    <t>fotocopy tata naskah untuk dibagikan ke unit rs</t>
  </si>
  <si>
    <t>kasubag tata usaha</t>
  </si>
  <si>
    <t>pelayanan protokoler  kegiatan internal maupun eksternal</t>
  </si>
  <si>
    <t>paket prasmanan tamu, kelengkapan sarana aula</t>
  </si>
  <si>
    <t>memberikan pelayanan cleaning service ke unit-unit di rumah sakit</t>
  </si>
  <si>
    <t>respon time petugas cleaning service &lt; 15 menit di wa grup</t>
  </si>
  <si>
    <t>memberikan pelayanan driver ke unit-unit di rumah sakit</t>
  </si>
  <si>
    <t>respon time petugas driver &lt; 15 menit di wa grup</t>
  </si>
  <si>
    <t>memberikan pelayanan security ke unit-unit di rumah sakit</t>
  </si>
  <si>
    <t>penertiban jam besuk pasien</t>
  </si>
  <si>
    <t>IT</t>
  </si>
  <si>
    <t>Terwujudnya Integrasi (HIS) Hospital Information System</t>
  </si>
  <si>
    <t>Downtime server SIMRS dalam setahun ≤ 2 kali</t>
  </si>
  <si>
    <t>Mengurangi Downtime server SIMRS</t>
  </si>
  <si>
    <t>Perbaikan sistem backup kelistrikan</t>
  </si>
  <si>
    <t>UPS 6KVA (masuk inves)</t>
  </si>
  <si>
    <t>staf jaringan IT</t>
  </si>
  <si>
    <t>Pembuatan Server Backup</t>
  </si>
  <si>
    <t>PC Server (masuk inves)</t>
  </si>
  <si>
    <t>Perlindungan data RS dengan Program Keamanan</t>
  </si>
  <si>
    <t>Firewall Fortinet Fortigate FG-100F (with UTM Bundle License And DRMA)</t>
  </si>
  <si>
    <t>Backup Jaringan Utama</t>
  </si>
  <si>
    <t>Router MikroTik CCR2116-12G-4S+ dan Linksys LGS124-AP 24-Port Gigabit Switch</t>
  </si>
  <si>
    <t>Cadangan Penyimpanan Server</t>
  </si>
  <si>
    <t>Hardisk Seagate IronWolf 4 TB</t>
  </si>
  <si>
    <t>Upgrade Server Dell</t>
  </si>
  <si>
    <t>DDR 4 16GB – 3200 Kingston Hynix D ECC CL22</t>
  </si>
  <si>
    <t>Upgrade Server Pengembangan</t>
  </si>
  <si>
    <t>Hardisk Seagate Barracuda 2 TB</t>
  </si>
  <si>
    <t>Pemantauan Server dan Jaringan</t>
  </si>
  <si>
    <t>Samsung LED 24' - LS24C330GAEX</t>
  </si>
  <si>
    <t>Backup Power Supply Server Utama</t>
  </si>
  <si>
    <t>Power Supply</t>
  </si>
  <si>
    <t>Lama waktu terganggunya proses kerja karyawan yang disebabkan kerusakan unit PC, Printer, Scanner, UPS ≤ 2 jam</t>
  </si>
  <si>
    <t>Mengurangi terganggunya kerja kayrawan dikarenakan kerusakan unit PC, Printer, Scanner, UPS</t>
  </si>
  <si>
    <t>Penambahan backup peralatan komputer</t>
  </si>
  <si>
    <t>PC Rakitan Backup,peral</t>
  </si>
  <si>
    <t>Staff hardware IT</t>
  </si>
  <si>
    <t>Penambahan backup printer</t>
  </si>
  <si>
    <t>Brother DCP-T220 Print Scan Copy</t>
  </si>
  <si>
    <t>Penambahan backup scanner</t>
  </si>
  <si>
    <t>Scanner Canon R40</t>
  </si>
  <si>
    <t>Penambahan backup UPS</t>
  </si>
  <si>
    <t>UPS APC BVX700LUI-MS - 700VA</t>
  </si>
  <si>
    <t>Perawatan Sarpras Komputer dan Jaringan</t>
  </si>
  <si>
    <t>Servis dan sparepart untuk perbaikan</t>
  </si>
  <si>
    <t>Pengembangan 12 sistem informasi dalam setahun</t>
  </si>
  <si>
    <t>Pembuatan support sistem yang berorientasi efisiensi dan kemudahan pelayanan</t>
  </si>
  <si>
    <t>Analisa Sistem</t>
  </si>
  <si>
    <t>Jasa pembuatan support system</t>
  </si>
  <si>
    <t>PIC IT</t>
  </si>
  <si>
    <t>Desain Sistem</t>
  </si>
  <si>
    <t>Pembuatan Sistem</t>
  </si>
  <si>
    <t>Testing</t>
  </si>
  <si>
    <t>Develompent</t>
  </si>
  <si>
    <t>Evaluasi dan Maintenance</t>
  </si>
  <si>
    <t>RUMAH TANGGA</t>
  </si>
  <si>
    <t>Terwujudnya fasilitas sarana dan prasarana RS</t>
  </si>
  <si>
    <t>prosentase sarana prasarana sesuai dengan standar MFK</t>
  </si>
  <si>
    <t>Kepemimpinan dan perencanaan</t>
  </si>
  <si>
    <t>1. melengkapi izin-izin dan sertifikasi yang masih berlaku</t>
  </si>
  <si>
    <t>k3</t>
  </si>
  <si>
    <t>2. monitoring pengawasan kepatuhan penyewa lahan pada peraturan RS</t>
  </si>
  <si>
    <t>3. rapat koordinasi</t>
  </si>
  <si>
    <t>1. snack 30 (@10.000x15)</t>
  </si>
  <si>
    <t>ketua MFK</t>
  </si>
  <si>
    <t>4. updating aplikasi sim rs</t>
  </si>
  <si>
    <t>asset dan gudang</t>
  </si>
  <si>
    <t>Program Keselamatan</t>
  </si>
  <si>
    <t>1. melakukan audit fasilitas sesuai jadwal yang ditentukan</t>
  </si>
  <si>
    <t>K3</t>
  </si>
  <si>
    <t>2. Integrasi Program kesehatan dankeselamatan Staf ke dalam program MFK</t>
  </si>
  <si>
    <t>MCU lengkap Karyawan dan
snack petugas</t>
  </si>
  <si>
    <t>3. Pengkajian risiko keselamatan</t>
  </si>
  <si>
    <t>4. Laporan pemantauan keselamatan</t>
  </si>
  <si>
    <t>5. pencegahan kecelakaan kerja</t>
  </si>
  <si>
    <t>Program Keamanan</t>
  </si>
  <si>
    <t>Jaminan lingkungan yang aman ID card</t>
  </si>
  <si>
    <t>Pemeriksaan
dan pemantauan keamanan fasilitas dan lingkungan</t>
  </si>
  <si>
    <t>Satpam, K3</t>
  </si>
  <si>
    <t>Melindungi semua individu dari kejahatan</t>
  </si>
  <si>
    <t>Pengkajian risiko keamanan</t>
  </si>
  <si>
    <t>Laporan pemantauan keamanan</t>
  </si>
  <si>
    <t>PENGELOLAAN BAHAN BERBAHAYA DAN BERACUN SERTA LIMBAHNYA</t>
  </si>
  <si>
    <t>Update daftar inventarisasi bahan berbahaya diRS</t>
  </si>
  <si>
    <t>Kesling,</t>
  </si>
  <si>
    <t>Pelaksanaan pedoman pada pengelolaan B3</t>
  </si>
  <si>
    <t>botol handrub</t>
  </si>
  <si>
    <t>Kesling</t>
  </si>
  <si>
    <t>Pelaporan dan investigasi jika terjadi tumpahan, paparan dan insiden terkait dengan B3 dan limbah B3</t>
  </si>
  <si>
    <t>peralatan b3 dan sampah</t>
  </si>
  <si>
    <t>Kesling, K3</t>
  </si>
  <si>
    <t>Update Pemasangan label pada wadah bahan berbahaya dan limbahnya</t>
  </si>
  <si>
    <t>Pengkajian
risiko pengelolaan B3</t>
  </si>
  <si>
    <t>program Proteksi Kebakaran</t>
  </si>
  <si>
    <t>Dokumen Kajian resiko kebakaran pada saat ada pembangunan di RS atau tempat yang berdekatan dengan RS (FSRA)</t>
  </si>
  <si>
    <t>Pengkajian risiko kebakaran dalam risk register</t>
  </si>
  <si>
    <t>Deteksi dini kebakaran &amp; asap</t>
  </si>
  <si>
    <t>peralatan pemadaman</t>
  </si>
  <si>
    <t>Pembuatan MMT larangan merokok</t>
  </si>
  <si>
    <t>Program Penanggulangan Bencana</t>
  </si>
  <si>
    <t>pembuatan Regulasi proses pengelolaan bencana</t>
  </si>
  <si>
    <t>MFK</t>
  </si>
  <si>
    <t>Simulasi bencana</t>
  </si>
  <si>
    <t>monitoring ruang dekomtaminasi</t>
  </si>
  <si>
    <t>program KONSTRUKSI DAN RENOVASI</t>
  </si>
  <si>
    <t>penilaian risiko prakonstruksi</t>
  </si>
  <si>
    <t>Isedental (jika ada pembangunan)</t>
  </si>
  <si>
    <t>pemeliharaan gedung dan ruangan</t>
  </si>
  <si>
    <t>program maintenance Peralatan Medis</t>
  </si>
  <si>
    <t>Penggantian kerusakan Peralatan Medis</t>
  </si>
  <si>
    <t>Elektromedis</t>
  </si>
  <si>
    <t>Isedental</t>
  </si>
  <si>
    <t>Penarikan alat medis yang rusak dan tidak bisa diperbaiki</t>
  </si>
  <si>
    <t>Elektromedis dan aset gudang</t>
  </si>
  <si>
    <t>Maintenance Peralatan Medis</t>
  </si>
  <si>
    <t>Laporan Maintenance</t>
  </si>
  <si>
    <t>kalibrasi alat medis</t>
  </si>
  <si>
    <t>Pengkajian risiko peralatan medik dalam risk register</t>
  </si>
  <si>
    <t>update inventaris alat medis</t>
  </si>
  <si>
    <t>asset gudang dan elektromedis</t>
  </si>
  <si>
    <t>Pelaporan IKP alat medis</t>
  </si>
  <si>
    <t>program Utilitas</t>
  </si>
  <si>
    <t>Update Inventaris utilitas RS</t>
  </si>
  <si>
    <t>Asset Gudang</t>
  </si>
  <si>
    <t>Audit fasilitas system utilitas RS</t>
  </si>
  <si>
    <t>K3, IPSRS</t>
  </si>
  <si>
    <t>Pengkajian risiko sistem utilitas dalam risk register</t>
  </si>
  <si>
    <t>pemeliharaan alat secara rutin terhadap system utilitas</t>
  </si>
  <si>
    <t>pemetaan area risiko tinggi kegagalan air bersih dan listrik</t>
  </si>
  <si>
    <t>IPSRS dan kesling</t>
  </si>
  <si>
    <t>uji coba alternative air bersih dan listrik</t>
  </si>
  <si>
    <t>peralatan uji coba</t>
  </si>
  <si>
    <t>Dokumen mutu air bersih dan limbah</t>
  </si>
  <si>
    <t>pemantauan air bersih dan limbah</t>
  </si>
  <si>
    <t>Uji tahunan objek K3 (listrik,genset, lift, penangkal petir, alarm)</t>
  </si>
  <si>
    <t>uji ambien dan kualitas udara sesaat dan 24 jam</t>
  </si>
  <si>
    <t>pembayaran pihak bptkl
konsumsi,akomodasi</t>
  </si>
  <si>
    <t>uji mikrobiologi air bersih</t>
  </si>
  <si>
    <t>pembayaran lab kesda,</t>
  </si>
  <si>
    <t>uji fisika-kimia air bersih</t>
  </si>
  <si>
    <t>uji limbah oulet ipal</t>
  </si>
  <si>
    <t>pembayaran DLH, konsumsi, akomodasi</t>
  </si>
  <si>
    <t>uji kualitas sungai</t>
  </si>
  <si>
    <t>uji kualitas mikrobiologi air minum</t>
  </si>
  <si>
    <t>uji kualitas fisika-kimia air minum</t>
  </si>
  <si>
    <t>uji kualitas makanan</t>
  </si>
  <si>
    <t>uji usap alat makan</t>
  </si>
  <si>
    <t xml:space="preserve">uji rectal </t>
  </si>
  <si>
    <t>uji linen bersih</t>
  </si>
  <si>
    <t>uji linen steril</t>
  </si>
  <si>
    <t>uji alat steril</t>
  </si>
  <si>
    <t>uji ruang steril dan semi steril</t>
  </si>
  <si>
    <t>post uji untuk perbaikan</t>
  </si>
  <si>
    <t>perbaikan peralatan non medis</t>
  </si>
  <si>
    <t>pemeliharaan alat</t>
  </si>
  <si>
    <t>program maintenance dan inventarisasi sarpras</t>
  </si>
  <si>
    <t xml:space="preserve">pemeliharaan peralatan medis </t>
  </si>
  <si>
    <t>terinci pada perawatan sarpras</t>
  </si>
  <si>
    <t>elektromedis</t>
  </si>
  <si>
    <t xml:space="preserve">pemeliharaan peralatan non medis </t>
  </si>
  <si>
    <t>penataan gudang peralatan</t>
  </si>
  <si>
    <t>pembuatan rak</t>
  </si>
  <si>
    <t>update inventaris sarpras</t>
  </si>
  <si>
    <t>PENGAJUAN PERALATAN MEDIS</t>
  </si>
  <si>
    <t>NO</t>
  </si>
  <si>
    <t>Unit</t>
  </si>
  <si>
    <t>NAMA KEBUTUHAN BARANG</t>
  </si>
  <si>
    <t xml:space="preserve">JUMLAH  </t>
  </si>
  <si>
    <t>HARGA SATUAN</t>
  </si>
  <si>
    <t xml:space="preserve">ANGGARAN </t>
  </si>
  <si>
    <t>ALASAN PEGAJUAN</t>
  </si>
  <si>
    <t>PRIORITAS</t>
  </si>
  <si>
    <t>ADA</t>
  </si>
  <si>
    <t>KEBUTUHAN</t>
  </si>
  <si>
    <t>KEKURANGAN</t>
  </si>
  <si>
    <t>Bangsal Anak</t>
  </si>
  <si>
    <t>timbangan bayi</t>
  </si>
  <si>
    <t>untuk jaga jaga jika rusak</t>
  </si>
  <si>
    <t>kebutuhan utama</t>
  </si>
  <si>
    <t>kebidanan</t>
  </si>
  <si>
    <t>troli injeksi</t>
  </si>
  <si>
    <t>belum punya</t>
  </si>
  <si>
    <t>troli ctg</t>
  </si>
  <si>
    <t>Bangsal Dewasa</t>
  </si>
  <si>
    <t>Termometer infrared</t>
  </si>
  <si>
    <t>untuk menambah kekurangan</t>
  </si>
  <si>
    <t>termometer infrared</t>
  </si>
  <si>
    <t>mempercepat pelayanan saat ukur suhu pasien</t>
  </si>
  <si>
    <t>manset tensi digital</t>
  </si>
  <si>
    <t>nebu</t>
  </si>
  <si>
    <t>kipas angin Dinding</t>
  </si>
  <si>
    <t>ruangan masih agak panas untuk menambah</t>
  </si>
  <si>
    <t>troli sibin</t>
  </si>
  <si>
    <t>IGD</t>
  </si>
  <si>
    <t xml:space="preserve">timbangan bayi digital </t>
  </si>
  <si>
    <t xml:space="preserve">Bulb tensi aneroid </t>
  </si>
  <si>
    <t xml:space="preserve">unit terkait tensi manual </t>
  </si>
  <si>
    <t xml:space="preserve">kebutuhan sekunder </t>
  </si>
  <si>
    <t xml:space="preserve">Manometer Tensi Aneroid </t>
  </si>
  <si>
    <t xml:space="preserve">Kebutuhan sekunder </t>
  </si>
  <si>
    <t xml:space="preserve">O2 transpot </t>
  </si>
  <si>
    <t>Manset 1 selang Anak tensi digital</t>
  </si>
  <si>
    <t>B. anak</t>
  </si>
  <si>
    <t xml:space="preserve">kebutuhan utama </t>
  </si>
  <si>
    <t>NICU</t>
  </si>
  <si>
    <t>MANSET BAYI</t>
  </si>
  <si>
    <t>PENAMBAHAN</t>
  </si>
  <si>
    <t>SEKUNDER</t>
  </si>
  <si>
    <t>ICU</t>
  </si>
  <si>
    <t>termometer suhu</t>
  </si>
  <si>
    <t>untuk mengukur suhu pasien</t>
  </si>
  <si>
    <t>kebutuhan sekunder</t>
  </si>
  <si>
    <t>hairdryer</t>
  </si>
  <si>
    <t xml:space="preserve">Manset 1 selang Anak </t>
  </si>
  <si>
    <t>B. Anak, IGD</t>
  </si>
  <si>
    <t xml:space="preserve">Manset 2 selang Anak </t>
  </si>
  <si>
    <t xml:space="preserve">B. anak </t>
  </si>
  <si>
    <t>alat saturasi oksigen oxymeter finger</t>
  </si>
  <si>
    <t>untuk jaga jaga jika ada yangrusak</t>
  </si>
  <si>
    <t>busi</t>
  </si>
  <si>
    <t>tensi digital</t>
  </si>
  <si>
    <t>sendok kiret ( 5 macam )</t>
  </si>
  <si>
    <t>Alat cek GDS</t>
  </si>
  <si>
    <t>Exhause</t>
  </si>
  <si>
    <t>untuk area kotor di CSSD</t>
  </si>
  <si>
    <t>juction rise</t>
  </si>
  <si>
    <t>transfer pasien dg ett</t>
  </si>
  <si>
    <t>manset selang 1 monitor</t>
  </si>
  <si>
    <t>kipas angin duduk</t>
  </si>
  <si>
    <t>menambah yang kurang dr kebutuhan</t>
  </si>
  <si>
    <t>baskom</t>
  </si>
  <si>
    <t>farmasi rawat jalan</t>
  </si>
  <si>
    <t>timbangan digital (untuk bahan obat, salep dll)</t>
  </si>
  <si>
    <t>backup yang sudah ada</t>
  </si>
  <si>
    <t>gelas ukur 50 CC bahan platik</t>
  </si>
  <si>
    <t>pengenceran sirup kering antibiotik (yang ada sudah usang)</t>
  </si>
  <si>
    <t>sungkup no 0+00</t>
  </si>
  <si>
    <t>manset selang 1 tensi digital</t>
  </si>
  <si>
    <t>mengganti bila ada yang rusak</t>
  </si>
  <si>
    <t>tang biopsi</t>
  </si>
  <si>
    <t xml:space="preserve">tang buaya </t>
  </si>
  <si>
    <t>set medikasi</t>
  </si>
  <si>
    <t>manset bayi</t>
  </si>
  <si>
    <t>jaga jaga jika manset bayi rusak</t>
  </si>
  <si>
    <t>manset anak</t>
  </si>
  <si>
    <t>jaga jaga jika manset rusak</t>
  </si>
  <si>
    <t>penlight</t>
  </si>
  <si>
    <t>timbangan dewasa (onemed)</t>
  </si>
  <si>
    <t>manset monitor</t>
  </si>
  <si>
    <t>mortir stamper</t>
  </si>
  <si>
    <t xml:space="preserve">pemisahan apotek rawat jalan </t>
  </si>
  <si>
    <t>farmasi rawat jalan, rawat inap, gudang</t>
  </si>
  <si>
    <t>thermohygrometer</t>
  </si>
  <si>
    <t>manset tensi anak</t>
  </si>
  <si>
    <t>kebutuhan pasien anak di icu</t>
  </si>
  <si>
    <t>kebutuhan primer</t>
  </si>
  <si>
    <t>menghitung balance cairan pasien anak</t>
  </si>
  <si>
    <t xml:space="preserve">bengkok </t>
  </si>
  <si>
    <t xml:space="preserve">TIMBANGAN BAYI </t>
  </si>
  <si>
    <t>KURANG</t>
  </si>
  <si>
    <t>UTAMA</t>
  </si>
  <si>
    <t xml:space="preserve">TERMOMETER AXILA </t>
  </si>
  <si>
    <t>saturasi dewasa</t>
  </si>
  <si>
    <t>pulse oksimeter</t>
  </si>
  <si>
    <t>untuk transport pasien icu</t>
  </si>
  <si>
    <t>untuk cadangan bila keursakan</t>
  </si>
  <si>
    <t>timbangan anak/dewasa digital</t>
  </si>
  <si>
    <t>timbangan berat badan digital</t>
  </si>
  <si>
    <t>batang pengaduk stainlistil</t>
  </si>
  <si>
    <t>mengaduk sirup kering yang susah larut, pengaduk racikan salep</t>
  </si>
  <si>
    <t>spatula stainless</t>
  </si>
  <si>
    <t>tata laksana jika ada pasien kejang</t>
  </si>
  <si>
    <t>metline</t>
  </si>
  <si>
    <t>Poliklinik</t>
  </si>
  <si>
    <t>NEBULIZER</t>
  </si>
  <si>
    <t>BELUM PUNYA</t>
  </si>
  <si>
    <t>nebuliser</t>
  </si>
  <si>
    <t>Nebulezer</t>
  </si>
  <si>
    <t>termogun microlife</t>
  </si>
  <si>
    <t>Bulb EKG</t>
  </si>
  <si>
    <t xml:space="preserve">kebutuhan semua unit </t>
  </si>
  <si>
    <t xml:space="preserve">Capit ECG </t>
  </si>
  <si>
    <t>marketing</t>
  </si>
  <si>
    <t>Easy touch 3 indikator cek lab</t>
  </si>
  <si>
    <t>kegiatan PKRS alat cek GDS, AU, Chol</t>
  </si>
  <si>
    <t xml:space="preserve">FLOMETER </t>
  </si>
  <si>
    <t>untuk memenuhi,terkadang pengganti yang trouble</t>
  </si>
  <si>
    <t>tensi meter digital</t>
  </si>
  <si>
    <t>tiang infus portable kaki 5</t>
  </si>
  <si>
    <t>pasien anak banyak yang jalan jalan di bangsal</t>
  </si>
  <si>
    <t>tiang infus</t>
  </si>
  <si>
    <t>Membran stetoskop litman quality dewasa</t>
  </si>
  <si>
    <t xml:space="preserve">unit terkait </t>
  </si>
  <si>
    <t>TIANG INFUS KAKI 5</t>
  </si>
  <si>
    <t>tangga/injakan bed</t>
  </si>
  <si>
    <t>IBS</t>
  </si>
  <si>
    <t>Tiang Infus</t>
  </si>
  <si>
    <t>penambahan</t>
  </si>
  <si>
    <t xml:space="preserve">Manset 1 selang Dewasa (Bed side monitor) </t>
  </si>
  <si>
    <t xml:space="preserve">semua unit </t>
  </si>
  <si>
    <t>tiang infus kaki 5</t>
  </si>
  <si>
    <t>setiap pasien dg syringpump/infuspump perlu lebih dari 2 tiang infus</t>
  </si>
  <si>
    <t>sebagian masih kaki 3 resiko jatoh</t>
  </si>
  <si>
    <t>cutter cup blender racik obat</t>
  </si>
  <si>
    <t>untuk penggantian setiap 3 bulan sekali karena intensitas penggunakan yang tinggi menjadi cepat rusak/aus</t>
  </si>
  <si>
    <t xml:space="preserve">sim panjang </t>
  </si>
  <si>
    <t xml:space="preserve">Manset 1 selang DWS tensimeter Digital </t>
  </si>
  <si>
    <t xml:space="preserve">Membran stetoskop litman quality anak </t>
  </si>
  <si>
    <t xml:space="preserve">Membran stetoskop ABN dewasa </t>
  </si>
  <si>
    <t>unit terkait</t>
  </si>
  <si>
    <t xml:space="preserve">Lampu laringoskop (reister) kuning Besar </t>
  </si>
  <si>
    <t>ICU, IBS, NICU, IGD</t>
  </si>
  <si>
    <t xml:space="preserve">kebtuhuan utama </t>
  </si>
  <si>
    <t xml:space="preserve">Lampu laringoskop (reister) kuning Kecil </t>
  </si>
  <si>
    <t xml:space="preserve">Lampu Laringoskop (putih)  besar </t>
  </si>
  <si>
    <t xml:space="preserve">IBS, IGD </t>
  </si>
  <si>
    <t>Lampu Laringoskop (putih)  kecil</t>
  </si>
  <si>
    <t xml:space="preserve">Manset 2 selang Dewasa </t>
  </si>
  <si>
    <t xml:space="preserve">IGD, B. dewasa, B. Anak, Poli, Bidan </t>
  </si>
  <si>
    <t>Timbangan Digital lantai</t>
  </si>
  <si>
    <t>Tabung Oksigen 0,5 meter</t>
  </si>
  <si>
    <t>Manset 1 selang neonatus (Bed side Monitor)</t>
  </si>
  <si>
    <t xml:space="preserve">NICU </t>
  </si>
  <si>
    <t xml:space="preserve">Troly Oksigen </t>
  </si>
  <si>
    <t>Timbangan berat badan digital (onemed</t>
  </si>
  <si>
    <t>kegiatan PKRS pemeriksaan kesehatan external</t>
  </si>
  <si>
    <t>Pengajuan linen 2025</t>
  </si>
  <si>
    <t>No</t>
  </si>
  <si>
    <t>nama unit</t>
  </si>
  <si>
    <t>Nama Barang</t>
  </si>
  <si>
    <t>Satuan</t>
  </si>
  <si>
    <t>Jumlah</t>
  </si>
  <si>
    <t>Harga</t>
  </si>
  <si>
    <t>anggaran</t>
  </si>
  <si>
    <t>Alasan</t>
  </si>
  <si>
    <t>bangsal anak</t>
  </si>
  <si>
    <t>gorden kris</t>
  </si>
  <si>
    <t>pcs</t>
  </si>
  <si>
    <t>gorden yang sesuai standar kris dan untuk ganti ganti jika gorden lama sedang dicuci</t>
  </si>
  <si>
    <t>rehabilitasi medik</t>
  </si>
  <si>
    <t>linen gorden sekat</t>
  </si>
  <si>
    <t>m</t>
  </si>
  <si>
    <t>bantal kulit sintetis</t>
  </si>
  <si>
    <t>Radiologi</t>
  </si>
  <si>
    <t>baju petugas</t>
  </si>
  <si>
    <t>baju untuk petugas</t>
  </si>
  <si>
    <t>Jas Operasi</t>
  </si>
  <si>
    <t>Pengganti Linen Rusak dan 
 Penambahan klinen</t>
  </si>
  <si>
    <t>Duk Besar</t>
  </si>
  <si>
    <t>Duk Sedang</t>
  </si>
  <si>
    <t>Duk Kecil</t>
  </si>
  <si>
    <t>Duk Lubang Besar</t>
  </si>
  <si>
    <t>Slup Kaki</t>
  </si>
  <si>
    <t>Slup Meja Mayo</t>
  </si>
  <si>
    <t>Handuk</t>
  </si>
  <si>
    <t>Bungkus Set Op</t>
  </si>
  <si>
    <t>Pcs</t>
  </si>
  <si>
    <t>Bungkus Linen Op</t>
  </si>
  <si>
    <t>Perlak</t>
  </si>
  <si>
    <t>Baju Pasien</t>
  </si>
  <si>
    <t>Baju Petugas Ok</t>
  </si>
  <si>
    <t>Stel</t>
  </si>
  <si>
    <t>Selimut</t>
  </si>
  <si>
    <t>CSSD</t>
  </si>
  <si>
    <t>BAJU GANTI CSSD (BAJU,CELANA,TOPI,JILBAB)</t>
  </si>
  <si>
    <t>SETEL</t>
  </si>
  <si>
    <t>BUNGKUS ALAT MEDIKASI (double kain,bertali)</t>
  </si>
  <si>
    <t>BUNGKUS ALAT OPERASI(double Kain,bertali)</t>
  </si>
  <si>
    <t>sprei, sarung bantal, stik laken</t>
  </si>
  <si>
    <t>perlak dewasa</t>
  </si>
  <si>
    <t>selimut lorek</t>
  </si>
  <si>
    <t>bantal</t>
  </si>
  <si>
    <t>buah</t>
  </si>
  <si>
    <t>kelambu bayi</t>
  </si>
  <si>
    <t>perlak kasur pasien</t>
  </si>
  <si>
    <t>GIZI</t>
  </si>
  <si>
    <t>APRON</t>
  </si>
  <si>
    <t>PCS</t>
  </si>
  <si>
    <t>apron sebagai baju kerja di dalam Instalasi gizi saat ini per orang hanya memiliki 2 apron dan sebagian besar dalam kondisi sudah perbaikan ulang/ rusak. Pengajuan di tahun 2023 tidak terealisasi untuk penambahannya</t>
  </si>
  <si>
    <t>Laundry</t>
  </si>
  <si>
    <t>Seprei</t>
  </si>
  <si>
    <t>untuk perbed bangsal baru</t>
  </si>
  <si>
    <t>perlak</t>
  </si>
  <si>
    <t>Bantal Pasien+ sarung perlak</t>
  </si>
  <si>
    <t>Kekurangan bantal pasien</t>
  </si>
  <si>
    <t>guling pasien</t>
  </si>
  <si>
    <t>Rp. 172.500</t>
  </si>
  <si>
    <t>belum ada guling untuk tirah baring pasien</t>
  </si>
  <si>
    <t>Laboratorium</t>
  </si>
  <si>
    <t>Jas Laboratorium</t>
  </si>
  <si>
    <t>Poli</t>
  </si>
  <si>
    <t>Sprei Poli Anak</t>
  </si>
  <si>
    <t>Korden Poli bed pasien</t>
  </si>
  <si>
    <t>Pengajuan Instrumen medis 2025</t>
  </si>
  <si>
    <t>pads TENS vacuum</t>
  </si>
  <si>
    <t>Klem sedang Ukuran 16 cm</t>
  </si>
  <si>
    <t>Tambal sulam Instrumen</t>
  </si>
  <si>
    <t>Klem Kecil Ukuran 14 cm</t>
  </si>
  <si>
    <t>doek klem kecil Ukuran 14 cm</t>
  </si>
  <si>
    <t>Pinset Anatomis Ukuran 18 cm</t>
  </si>
  <si>
    <t>KLEM BENGKOK MOQUITO</t>
  </si>
  <si>
    <t>regenerasi alat</t>
  </si>
  <si>
    <t>Pinset Cirurgis Ukuran 18 cm</t>
  </si>
  <si>
    <t>Pinset Anatomis ukuran 20 cm</t>
  </si>
  <si>
    <t>Gunting Benang tipe Lengkung 14 cm</t>
  </si>
  <si>
    <t>Pinset Cirurgis Ukuran 20 cm</t>
  </si>
  <si>
    <t>toothteeth</t>
  </si>
  <si>
    <t>ultrasound gel</t>
  </si>
  <si>
    <t>kg</t>
  </si>
  <si>
    <t>GUNTING HACKTING UP</t>
  </si>
  <si>
    <t>PINSET ANATOMI</t>
  </si>
  <si>
    <t>GUNTING BENANG</t>
  </si>
  <si>
    <t>GUNTING JARINGAN</t>
  </si>
  <si>
    <t>Gunting Benang Tipe Melengkung
 Ukuran 14 cm</t>
  </si>
  <si>
    <t>pads TENS persegi</t>
  </si>
  <si>
    <t>PINSET CIRUGIS</t>
  </si>
  <si>
    <t>KLEM LURUS</t>
  </si>
  <si>
    <t>KOM KECIL</t>
  </si>
  <si>
    <t>NEALPUDER</t>
  </si>
  <si>
    <t>Gunting Benang Ukuran 14 cm</t>
  </si>
  <si>
    <t>bangsal dewasa</t>
  </si>
  <si>
    <t>medikasi set</t>
  </si>
  <si>
    <t>set</t>
  </si>
  <si>
    <t>menambah</t>
  </si>
  <si>
    <t xml:space="preserve">Pinset manis 12 Cm </t>
  </si>
  <si>
    <t>BENGKOK</t>
  </si>
  <si>
    <t>Igd ponek</t>
  </si>
  <si>
    <t>sim spekulum U</t>
  </si>
  <si>
    <t>set uvc</t>
  </si>
  <si>
    <t>Handle Mess Knife Ukuran 19 cm</t>
  </si>
  <si>
    <t>Tromol Kasa</t>
  </si>
  <si>
    <t>kebutuhan rutin</t>
  </si>
  <si>
    <t>tromol kassa ukuran besar</t>
  </si>
  <si>
    <t>Rp. 500.000</t>
  </si>
  <si>
    <t>untuk pasien ruang icu isolasi</t>
  </si>
  <si>
    <t>set tali pusat</t>
  </si>
  <si>
    <t>NICU/NEORISTI</t>
  </si>
  <si>
    <t>tromol kassa ukuran SEDANG</t>
  </si>
  <si>
    <t xml:space="preserve">BAK INSTRUMEN DENGAN TUTUP </t>
  </si>
  <si>
    <t>HANDLEMESS No 3</t>
  </si>
  <si>
    <t>TONGSPATEL</t>
  </si>
  <si>
    <t>tong spatel</t>
  </si>
  <si>
    <t>KOM TERTUTUP</t>
  </si>
  <si>
    <t>SPIKULUM BESAR</t>
  </si>
  <si>
    <t>SPIKULUM SEDANG</t>
  </si>
  <si>
    <t>SPIKULUM KECIL</t>
  </si>
  <si>
    <t>PENGAJUAN PERALATAN NON MEDIS UNIT</t>
  </si>
  <si>
    <t>UNIT</t>
  </si>
  <si>
    <t>bantal pasien dakron</t>
  </si>
  <si>
    <t>bantal pasien sudah kempes</t>
  </si>
  <si>
    <t>box container 120 liter</t>
  </si>
  <si>
    <t>tempat alkes</t>
  </si>
  <si>
    <t>roda troli</t>
  </si>
  <si>
    <t>mengganti roda troli medikasi karena roda lama bunyi</t>
  </si>
  <si>
    <t>keset kamar mandi</t>
  </si>
  <si>
    <t>perbaruan keset kamar mandi pasien</t>
  </si>
  <si>
    <t>spatula stainles</t>
  </si>
  <si>
    <t>tata laksana jiak ada pasien kejang dibangsal</t>
  </si>
  <si>
    <t>Bangsal dewasa</t>
  </si>
  <si>
    <t>mengganti bila meja rusak</t>
  </si>
  <si>
    <t>dispenser galon</t>
  </si>
  <si>
    <t>kurang tersedianya ir galon d tiap ruang pasien</t>
  </si>
  <si>
    <t>Stik laken</t>
  </si>
  <si>
    <t>mengganti bila ada yang tidal layak</t>
  </si>
  <si>
    <t>bantal dacron</t>
  </si>
  <si>
    <t>mengganti bila ada bantal yang tidak layak</t>
  </si>
  <si>
    <t>torniquet</t>
  </si>
  <si>
    <t>mengganyi bila rusak</t>
  </si>
  <si>
    <t>MicroSD 64gb</t>
  </si>
  <si>
    <t>cadangan bila memory hp penuh</t>
  </si>
  <si>
    <t>FD 64Gb</t>
  </si>
  <si>
    <t>untuk mengganti bila trouble</t>
  </si>
  <si>
    <t>Sprayer</t>
  </si>
  <si>
    <t>mengganti yang rusak</t>
  </si>
  <si>
    <t>Bina Rohani</t>
  </si>
  <si>
    <t>Rak Dinding Quran</t>
  </si>
  <si>
    <t>Rp.          100.000</t>
  </si>
  <si>
    <t>Menyediakan akses Quran di setiap bangsal</t>
  </si>
  <si>
    <t>cleaning service</t>
  </si>
  <si>
    <t>Keset Pintu masuk rumput</t>
  </si>
  <si>
    <t>Keset Kamar mandi</t>
  </si>
  <si>
    <t>keset pintu masuk karpet</t>
  </si>
  <si>
    <t>sepatu boot</t>
  </si>
  <si>
    <t>ember kamar mandi pasien</t>
  </si>
  <si>
    <t>Pad Merah 17''</t>
  </si>
  <si>
    <t>Pad Putih 17''</t>
  </si>
  <si>
    <t>refill kepala stik pel</t>
  </si>
  <si>
    <t>Refil Mop Kuning / Putih</t>
  </si>
  <si>
    <t>Refil Mop Biru</t>
  </si>
  <si>
    <t>refill lobby Duster</t>
  </si>
  <si>
    <t>backet</t>
  </si>
  <si>
    <t>kepala lobby duster</t>
  </si>
  <si>
    <t>Kanebo</t>
  </si>
  <si>
    <t>stik pel</t>
  </si>
  <si>
    <t>stik lobby duster</t>
  </si>
  <si>
    <t>Sikat lantai Tangkai</t>
  </si>
  <si>
    <t>Window washer</t>
  </si>
  <si>
    <t>Cloth Merah</t>
  </si>
  <si>
    <t>Cloth Kuning</t>
  </si>
  <si>
    <t>Cloth Biru</t>
  </si>
  <si>
    <t>Floor Squegee</t>
  </si>
  <si>
    <t>dispenser</t>
  </si>
  <si>
    <t>gayung</t>
  </si>
  <si>
    <t>Rackball</t>
  </si>
  <si>
    <t>kipas angin</t>
  </si>
  <si>
    <t>Sapu Nylon</t>
  </si>
  <si>
    <t>Sikat Closet</t>
  </si>
  <si>
    <t>Refil Window Squegee</t>
  </si>
  <si>
    <t xml:space="preserve">kuas </t>
  </si>
  <si>
    <t>Window Squegee</t>
  </si>
  <si>
    <t>Scraper</t>
  </si>
  <si>
    <t>Duspan / pengki</t>
  </si>
  <si>
    <t>Telescopic Stick 9 Mtr</t>
  </si>
  <si>
    <t>kepala sprayer</t>
  </si>
  <si>
    <t xml:space="preserve">Sikat Tangan Soft </t>
  </si>
  <si>
    <t>Cangkul Rumput</t>
  </si>
  <si>
    <t>Cangkul garpu / garuk</t>
  </si>
  <si>
    <t>ember</t>
  </si>
  <si>
    <t xml:space="preserve">Gunting Taman </t>
  </si>
  <si>
    <t xml:space="preserve">Sabit </t>
  </si>
  <si>
    <t>Sapu Lidi Gagang</t>
  </si>
  <si>
    <t>Box transport instrumen</t>
  </si>
  <si>
    <t>belum ada</t>
  </si>
  <si>
    <t>Sepatu Bot</t>
  </si>
  <si>
    <t>kurang</t>
  </si>
  <si>
    <t>Dir pelayanan</t>
  </si>
  <si>
    <t>Cermin</t>
  </si>
  <si>
    <t>Goggle Drive</t>
  </si>
  <si>
    <t>Kapasitas 200 GB</t>
  </si>
  <si>
    <t>Jam Dinding</t>
  </si>
  <si>
    <t>Kursi bakso</t>
  </si>
  <si>
    <t>konsulan ke dir pelayanan</t>
  </si>
  <si>
    <t>driver</t>
  </si>
  <si>
    <t>ban APV</t>
  </si>
  <si>
    <t>pralon</t>
  </si>
  <si>
    <t>pembuatan saluran air utk cuci mobil di parkiran karyawan</t>
  </si>
  <si>
    <t xml:space="preserve">wiper </t>
  </si>
  <si>
    <t>dongkrak</t>
  </si>
  <si>
    <t>kanebo</t>
  </si>
  <si>
    <t>lap fiber</t>
  </si>
  <si>
    <t>sapu mobil</t>
  </si>
  <si>
    <t>kuas</t>
  </si>
  <si>
    <t>kran</t>
  </si>
  <si>
    <t>lem pralon</t>
  </si>
  <si>
    <t>farmasi</t>
  </si>
  <si>
    <t>Keranjang obat RI &amp; RJ</t>
  </si>
  <si>
    <t>sekunder</t>
  </si>
  <si>
    <t>farmasi rawat inap</t>
  </si>
  <si>
    <t>Pallet bahan plastik</t>
  </si>
  <si>
    <t>tempat kardus infus di rawat inap</t>
  </si>
  <si>
    <t>Gizi</t>
  </si>
  <si>
    <t>kompor gas 1 tungku</t>
  </si>
  <si>
    <t>peningkatan kuantitas pengolahan makanan, produksi api yang besar dan kuat dapat mempercepat dan mngoptimalkan proses pengolahan makanan</t>
  </si>
  <si>
    <t>telpon mobile</t>
  </si>
  <si>
    <t>untuk memperlancar kegiatan pelayanan gizi</t>
  </si>
  <si>
    <t>sendok makan stainless</t>
  </si>
  <si>
    <t>setiap bulan terdapat penyusutan alat terutama sendok makan 18-20 bh per bulan</t>
  </si>
  <si>
    <t>humas hukum</t>
  </si>
  <si>
    <t>flashdisk 64gb</t>
  </si>
  <si>
    <t>flashdisk 32gb</t>
  </si>
  <si>
    <t>sandal crocs</t>
  </si>
  <si>
    <t>tidak layak pakai</t>
  </si>
  <si>
    <t>melengkapi fasilitas penunggu pasien</t>
  </si>
  <si>
    <t>sandal crocs pengunjung</t>
  </si>
  <si>
    <t>kebutuhan setiap pengunjung ganti sandal</t>
  </si>
  <si>
    <t>rak sandal pengunjung</t>
  </si>
  <si>
    <t>patah, tidak layak pakai</t>
  </si>
  <si>
    <t>olor kabel</t>
  </si>
  <si>
    <t>kekurangan pada pasien yang menggunakan infuspump/syringpump</t>
  </si>
  <si>
    <t>senter</t>
  </si>
  <si>
    <t>ketersediaan kurang</t>
  </si>
  <si>
    <t>box container uk 30 L</t>
  </si>
  <si>
    <t>untuk menyimpan set intubasi</t>
  </si>
  <si>
    <t>restraint pasien</t>
  </si>
  <si>
    <t>kebutuhan pasien yang tidak kooperatif</t>
  </si>
  <si>
    <t>Kursi</t>
  </si>
  <si>
    <t>jam dinding digital</t>
  </si>
  <si>
    <t>Tlp ruang dokter IGD</t>
  </si>
  <si>
    <t>IPSRS</t>
  </si>
  <si>
    <t>Lampu Tembak 30 watt</t>
  </si>
  <si>
    <t>penunjang kerja</t>
  </si>
  <si>
    <t>kabel NYM 3x 2,5</t>
  </si>
  <si>
    <t xml:space="preserve">kabel NYM 2x1,5 </t>
  </si>
  <si>
    <t xml:space="preserve">steker </t>
  </si>
  <si>
    <t xml:space="preserve">stop kontak 4 lubang </t>
  </si>
  <si>
    <t xml:space="preserve">stop kontak 5 lubang </t>
  </si>
  <si>
    <t>kabel serabut 2x 0,75</t>
  </si>
  <si>
    <t xml:space="preserve">kabel duck dinding </t>
  </si>
  <si>
    <t xml:space="preserve">Relay mesin </t>
  </si>
  <si>
    <t xml:space="preserve">kabel duck lantai </t>
  </si>
  <si>
    <t xml:space="preserve">Bor tangan kecil </t>
  </si>
  <si>
    <t xml:space="preserve">saklar </t>
  </si>
  <si>
    <t>Tang ampere</t>
  </si>
  <si>
    <t>kabel las + capit</t>
  </si>
  <si>
    <t>full body harnest</t>
  </si>
  <si>
    <t xml:space="preserve">mesin jam dinding </t>
  </si>
  <si>
    <t xml:space="preserve">rell pintu kaca </t>
  </si>
  <si>
    <t>mata bor beton S6, S8, S11</t>
  </si>
  <si>
    <t xml:space="preserve">resibon / pisau cutting </t>
  </si>
  <si>
    <t>mata bor besi S6, S8, S10</t>
  </si>
  <si>
    <t xml:space="preserve">Senter Kepala </t>
  </si>
  <si>
    <t xml:space="preserve">Tang buaya / Cepret </t>
  </si>
  <si>
    <t>Tracker kaki 3</t>
  </si>
  <si>
    <t>kunci T 10,14,8</t>
  </si>
  <si>
    <t>kuas 4''</t>
  </si>
  <si>
    <t xml:space="preserve">Obeng + tekiro </t>
  </si>
  <si>
    <t xml:space="preserve">Obeng - tekiro </t>
  </si>
  <si>
    <t xml:space="preserve">Solder </t>
  </si>
  <si>
    <t xml:space="preserve">kunci pipa 18'' </t>
  </si>
  <si>
    <t xml:space="preserve">kunci pipa 8'' </t>
  </si>
  <si>
    <t>sengkang graji</t>
  </si>
  <si>
    <t xml:space="preserve">Tespen </t>
  </si>
  <si>
    <t>mata bor tembus (panjang)</t>
  </si>
  <si>
    <t>kuas 2''</t>
  </si>
  <si>
    <t xml:space="preserve">Sisir Evaporator </t>
  </si>
  <si>
    <t xml:space="preserve">kanebo </t>
  </si>
  <si>
    <t xml:space="preserve">T dus </t>
  </si>
  <si>
    <t xml:space="preserve">Gergaji Kayu </t>
  </si>
  <si>
    <t>gergaji lipat</t>
  </si>
  <si>
    <t>Gergaji Besi sanplek</t>
  </si>
  <si>
    <r>
      <rPr>
        <sz val="12"/>
        <color theme="1"/>
        <rFont val="Times New Roman"/>
      </rPr>
      <t xml:space="preserve">kuas 1 </t>
    </r>
    <r>
      <rPr>
        <sz val="12"/>
        <color theme="1"/>
        <rFont val="Times New Roman"/>
      </rPr>
      <t>½</t>
    </r>
    <r>
      <rPr>
        <sz val="12"/>
        <color theme="1"/>
        <rFont val="Times New Roman"/>
      </rPr>
      <t xml:space="preserve">'' </t>
    </r>
  </si>
  <si>
    <t xml:space="preserve">mata bor solder </t>
  </si>
  <si>
    <t xml:space="preserve">tinol </t>
  </si>
  <si>
    <t>Kursi Futura Biru</t>
  </si>
  <si>
    <t>Hardisk 1 TB Seagate SATA Barracuda</t>
  </si>
  <si>
    <t>backup</t>
  </si>
  <si>
    <t>Power Supply 650Watt MSI MAG A650BN (3 th) 80 Plus - Bronze</t>
  </si>
  <si>
    <t>Stopkontak isi 4 Uticon</t>
  </si>
  <si>
    <t>Stopkontak isi 6 Broco</t>
  </si>
  <si>
    <t>Steker broco</t>
  </si>
  <si>
    <t>UGREEN 10-in-1 USB C Hub</t>
  </si>
  <si>
    <t>USB Hub Mikuso</t>
  </si>
  <si>
    <t>Steker Broco Converter 3 kaki</t>
  </si>
  <si>
    <t>Laser Pointer PP-1000</t>
  </si>
  <si>
    <t xml:space="preserve">lampu downlight slim 14,5 watt </t>
  </si>
  <si>
    <t xml:space="preserve">lampu bolam 14,5 watt </t>
  </si>
  <si>
    <t>Karet Ramp</t>
  </si>
  <si>
    <t xml:space="preserve">Lampu Luminansi standar NAB saat kunjungan/dinas </t>
  </si>
  <si>
    <t>Suku cadang APAR</t>
  </si>
  <si>
    <t>Sign K3</t>
  </si>
  <si>
    <t>Update rambu peringatan area RS</t>
  </si>
  <si>
    <t xml:space="preserve">Coveral penutup area konstruksi </t>
  </si>
  <si>
    <t>Anchor Point</t>
  </si>
  <si>
    <t>Papan Nama Darurat</t>
  </si>
  <si>
    <t>Akrilik</t>
  </si>
  <si>
    <t>Safety Shoes</t>
  </si>
  <si>
    <t>APD</t>
  </si>
  <si>
    <t>Safety Gloves</t>
  </si>
  <si>
    <t>Safety Glasses</t>
  </si>
  <si>
    <t>Silinder Kunci Kamar Mandi</t>
  </si>
  <si>
    <t>Strip Plat</t>
  </si>
  <si>
    <t>Lem Aibond</t>
  </si>
  <si>
    <t>Kabel Dak</t>
  </si>
  <si>
    <t>Pylox</t>
  </si>
  <si>
    <t>Cat marka merah</t>
  </si>
  <si>
    <t>Solasi bolak-balik hijau</t>
  </si>
  <si>
    <t>Karung angkut bongkaran</t>
  </si>
  <si>
    <t>MMT untuk informasi pembangunan</t>
  </si>
  <si>
    <t>Lakban Kuning</t>
  </si>
  <si>
    <t>Observasi dan pemantauan sarpras fisik bangunan</t>
  </si>
  <si>
    <t>Lakban Triase</t>
  </si>
  <si>
    <t>Pengadaan Sarana Prasarana Tanggap Darurat</t>
  </si>
  <si>
    <t>Solasi kertas</t>
  </si>
  <si>
    <t>Kuas</t>
  </si>
  <si>
    <t>Kasir</t>
  </si>
  <si>
    <t>tempat duduk petugas dan pasien bayar</t>
  </si>
  <si>
    <t>tempat komputer</t>
  </si>
  <si>
    <t xml:space="preserve">tempat berkas pasien </t>
  </si>
  <si>
    <t>Kepegawaian</t>
  </si>
  <si>
    <t>Kaos</t>
  </si>
  <si>
    <t>KESLING</t>
  </si>
  <si>
    <t>5. wil bin sampah besar warna hijau</t>
  </si>
  <si>
    <t>2. bin sampah kuning besar</t>
  </si>
  <si>
    <t>3. tempat sampah injak besar (abu-abu)</t>
  </si>
  <si>
    <t>1 tempat sampah injak besar (warna kuning)</t>
  </si>
  <si>
    <t>2. pengelolaan sampah inveksius</t>
  </si>
  <si>
    <t>1. roda dan as roda will bin</t>
  </si>
  <si>
    <t>1. pengelolaan sampah domestik rumah sakit</t>
  </si>
  <si>
    <t>2. stiker akrilik</t>
  </si>
  <si>
    <t>6. sok drat</t>
  </si>
  <si>
    <t>4. tempat sampah injak kecil (kamar mandi)</t>
  </si>
  <si>
    <t>3. tempat sampah injak kecil</t>
  </si>
  <si>
    <t>4. stiker akrilik</t>
  </si>
  <si>
    <t>1. pipa</t>
  </si>
  <si>
    <t>pembaharuan jalur AB tandon</t>
  </si>
  <si>
    <t>3. stop kran</t>
  </si>
  <si>
    <t>5. knee</t>
  </si>
  <si>
    <t>2. Tee</t>
  </si>
  <si>
    <t>4. plokshok</t>
  </si>
  <si>
    <t>. Pilok warna merah</t>
  </si>
  <si>
    <t>identifikasi pipa</t>
  </si>
  <si>
    <t>2. pilok warna kuning</t>
  </si>
  <si>
    <t>3. pilok warna biru</t>
  </si>
  <si>
    <t>2. batrai timbangan</t>
  </si>
  <si>
    <t>pompa galon</t>
  </si>
  <si>
    <t>7. lem pipa</t>
  </si>
  <si>
    <t>8. seltip</t>
  </si>
  <si>
    <t>Komite Medik</t>
  </si>
  <si>
    <t>kursi kerja futura</t>
  </si>
  <si>
    <t>meja kerja</t>
  </si>
  <si>
    <t>Set Alat sholat (sajadah+mukena+sarung)</t>
  </si>
  <si>
    <t>2 set</t>
  </si>
  <si>
    <t>Karpet kecil</t>
  </si>
  <si>
    <t>meja kecil untuk lemari es</t>
  </si>
  <si>
    <t>kursi futura</t>
  </si>
  <si>
    <t>Cool box</t>
  </si>
  <si>
    <t>kursi bar(untuk membaca mikroskop)</t>
  </si>
  <si>
    <t xml:space="preserve">penambahan </t>
  </si>
  <si>
    <t>jam dinding</t>
  </si>
  <si>
    <t xml:space="preserve">penambahan untuk ddidepan lab dan ruang pemeriksaan </t>
  </si>
  <si>
    <t>termometer kulkas</t>
  </si>
  <si>
    <t>timer</t>
  </si>
  <si>
    <t>baju apd laundry</t>
  </si>
  <si>
    <t>penggantian apd yang tidak layak pakai</t>
  </si>
  <si>
    <t>Setrika setrika</t>
  </si>
  <si>
    <t>untuk stock apabila terjadi kerusakan</t>
  </si>
  <si>
    <t>regulator</t>
  </si>
  <si>
    <t>sikat mesin gagang panjang</t>
  </si>
  <si>
    <t>serok air</t>
  </si>
  <si>
    <t>sapu gagang panjang</t>
  </si>
  <si>
    <t>semprotan chemical</t>
  </si>
  <si>
    <t>tas pulang pasien</t>
  </si>
  <si>
    <t>RUTIN</t>
  </si>
  <si>
    <t>paket mandi pasien umum</t>
  </si>
  <si>
    <t>Marketing</t>
  </si>
  <si>
    <t>tenda marketing</t>
  </si>
  <si>
    <t>MMT peringatan hari hari penting</t>
  </si>
  <si>
    <t>meningkatkan nuansa rumah sakit</t>
  </si>
  <si>
    <t>balon PKU</t>
  </si>
  <si>
    <t>akrilik</t>
  </si>
  <si>
    <t>goodie bag PKU</t>
  </si>
  <si>
    <t>wireles microphone</t>
  </si>
  <si>
    <t>kegiatan pengambilan media edukasi</t>
  </si>
  <si>
    <t>meja lipat booth</t>
  </si>
  <si>
    <t>kain Green screen</t>
  </si>
  <si>
    <t>Batre Camera Fujifilm</t>
  </si>
  <si>
    <t>MMC kamera</t>
  </si>
  <si>
    <t>Olor kabel</t>
  </si>
  <si>
    <t>BEDONG</t>
  </si>
  <si>
    <t>BAJU PENGUNJUNG</t>
  </si>
  <si>
    <t>BAJU PERAWAT</t>
  </si>
  <si>
    <t>CADANGAN</t>
  </si>
  <si>
    <t>kursi dokter</t>
  </si>
  <si>
    <t>BAJU BAYI</t>
  </si>
  <si>
    <t>SARUNG TANGAN KAKI</t>
  </si>
  <si>
    <t>AKRILIK</t>
  </si>
  <si>
    <t>BELUM ADA</t>
  </si>
  <si>
    <t>TELEPON</t>
  </si>
  <si>
    <t>CADANGAN/UNIT BARU</t>
  </si>
  <si>
    <t>STERILAN SUSU</t>
  </si>
  <si>
    <t>box container 30L</t>
  </si>
  <si>
    <t>sandal crocs PERAWAT</t>
  </si>
  <si>
    <t>SIKAT BOTOL SUSU</t>
  </si>
  <si>
    <t>JAM DINDING</t>
  </si>
  <si>
    <t>KESET KAMAR MANDI</t>
  </si>
  <si>
    <t>BOTOL SPRAY</t>
  </si>
  <si>
    <t>SIKAT PEMBERSIH KEYBOARD</t>
  </si>
  <si>
    <t>Perencanaan</t>
  </si>
  <si>
    <t xml:space="preserve">karpet </t>
  </si>
  <si>
    <t>container box</t>
  </si>
  <si>
    <t>tempat perabotan 5 R</t>
  </si>
  <si>
    <t xml:space="preserve">kursi </t>
  </si>
  <si>
    <t>kursi tamu</t>
  </si>
  <si>
    <t xml:space="preserve">timbangan duduk digital </t>
  </si>
  <si>
    <t>cadangan krn rawan rusak</t>
  </si>
  <si>
    <t>tangga bed</t>
  </si>
  <si>
    <t>cooler box</t>
  </si>
  <si>
    <t>tempat pengambilan vaksin dan tubercullin dari gudang farmasi</t>
  </si>
  <si>
    <t>PPI</t>
  </si>
  <si>
    <t>Botol Handrub/Handwash</t>
  </si>
  <si>
    <t>bertambahnya ruangan dan wastafel di rumah sakit</t>
  </si>
  <si>
    <t>security</t>
  </si>
  <si>
    <t>seragam PDH cream</t>
  </si>
  <si>
    <t>traffic cone</t>
  </si>
  <si>
    <t>untuk parkir gedung baru</t>
  </si>
  <si>
    <t>pengganti kursi yang sudah rusak</t>
  </si>
  <si>
    <t>plang parkir</t>
  </si>
  <si>
    <t>gembok</t>
  </si>
  <si>
    <t>payung</t>
  </si>
  <si>
    <t>lampu lalu lintas</t>
  </si>
  <si>
    <t>utama</t>
  </si>
  <si>
    <t>rompi security</t>
  </si>
  <si>
    <t>mantol</t>
  </si>
  <si>
    <t>tempat kunci</t>
  </si>
  <si>
    <t>tempat kunci selama ini dari kardus</t>
  </si>
  <si>
    <t>tata usaha</t>
  </si>
  <si>
    <t>piring makan keramik</t>
  </si>
  <si>
    <t>mangkok sop</t>
  </si>
  <si>
    <t>taplak muhammdiyah</t>
  </si>
  <si>
    <t>kabel proyektor</t>
  </si>
  <si>
    <t>sendok makan</t>
  </si>
  <si>
    <t>lusin</t>
  </si>
  <si>
    <t>garpu</t>
  </si>
  <si>
    <t>taplak meja prasmanan</t>
  </si>
  <si>
    <t>flashdisk</t>
  </si>
  <si>
    <t>FORM PELATIHAN</t>
  </si>
  <si>
    <t>Cleaning Service</t>
  </si>
  <si>
    <t>Pelatihan Teknis</t>
  </si>
  <si>
    <t>Standard Kompetensi</t>
  </si>
  <si>
    <t>Dapat memahami dan mengetahui alur kerja dan target cleaning service</t>
  </si>
  <si>
    <t>Secondary</t>
  </si>
  <si>
    <t>Diklat</t>
  </si>
  <si>
    <t>Seminar PERSI</t>
  </si>
  <si>
    <t>Seminar/Workshop</t>
  </si>
  <si>
    <t>EHT</t>
  </si>
  <si>
    <t>Tugas Pokok dan Fungsi</t>
  </si>
  <si>
    <t>Perwakilan RS</t>
  </si>
  <si>
    <t>Pelatihan Kolegium</t>
  </si>
  <si>
    <t>Primer</t>
  </si>
  <si>
    <t>Seminar LARSI</t>
  </si>
  <si>
    <t>Perawat Bedah Kamar Operasi</t>
  </si>
  <si>
    <t>Stadard Kompetensi</t>
  </si>
  <si>
    <t>kebutuhan akreditasi 
 Persyaratan Administrasi</t>
  </si>
  <si>
    <t>CTU</t>
  </si>
  <si>
    <t>refresh ilmu</t>
  </si>
  <si>
    <t>Perpajakan</t>
  </si>
  <si>
    <t>dapat menerapkan peraturan perpajakan sesuai dengan aturan yang ada</t>
  </si>
  <si>
    <t>ASURANSI</t>
  </si>
  <si>
    <t>pelatihan regulasi terbaru BPJS</t>
  </si>
  <si>
    <t>kebutuhan kelancaran asuransi</t>
  </si>
  <si>
    <t>pelatihan perubahan kebijakan koding</t>
  </si>
  <si>
    <t>Pelatihan Intensif Dasar Perawat</t>
  </si>
  <si>
    <t>Perawat mengetahui pengelolaan dan manajemen ICU sesuai standard dan perkembangan terbaru</t>
  </si>
  <si>
    <t>Pelatihan BDRS</t>
  </si>
  <si>
    <t>Menambah petugas BDRS</t>
  </si>
  <si>
    <t>Pelatihan ACLS perawat</t>
  </si>
  <si>
    <t>Workshop</t>
  </si>
  <si>
    <t>Penambahan ilmu terkait ACLS untuk perawat IGD</t>
  </si>
  <si>
    <t>TOT komunikasi efektif</t>
  </si>
  <si>
    <t>sertifikasi TOT</t>
  </si>
  <si>
    <t>Pelatihan Penyelia Halal</t>
  </si>
  <si>
    <t>Security</t>
  </si>
  <si>
    <t>Pendampingan dan pelatihan Security</t>
  </si>
  <si>
    <t>Memahami dan mengetahui tugas pokok dan implementasi security sesuai standard</t>
  </si>
  <si>
    <t>Seminar ARSSI</t>
  </si>
  <si>
    <t>Baitul Arqom Direksi</t>
  </si>
  <si>
    <t>Seminar</t>
  </si>
  <si>
    <t>Pelatihan Mandatory RS</t>
  </si>
  <si>
    <t>pelatihan wajib karyawan</t>
  </si>
  <si>
    <t>refres</t>
  </si>
  <si>
    <t>Perencaaan</t>
  </si>
  <si>
    <t>Pelatihan Penyusunan RKA</t>
  </si>
  <si>
    <t>penyusunan RKA lebih baik</t>
  </si>
  <si>
    <t>pelatihan digital marketing</t>
  </si>
  <si>
    <t>meningkatkan keterampilan dalam digitalisasi</t>
  </si>
  <si>
    <t>Perhitungan Jasa Medis</t>
  </si>
  <si>
    <t>Perhitungan jasa medis disesuaikan dengan nominal klaim yang diperoleh</t>
  </si>
  <si>
    <t>Perhitungan Perjalanan Dinas</t>
  </si>
  <si>
    <t>Pembayaran perjalanan dinas yang sesuai</t>
  </si>
  <si>
    <t>Aset dan Gudang</t>
  </si>
  <si>
    <t>Pelatihan pengelolaan aplikasi aspak</t>
  </si>
  <si>
    <t>Meningkatkan pengetahuan pengelolaan aspak</t>
  </si>
  <si>
    <t>Pelatihan Manjemen kepala ruang</t>
  </si>
  <si>
    <t>Meningkatkan kemampuan manajemen kepala ruang</t>
  </si>
  <si>
    <t>IHT Dokter Umum EKG</t>
  </si>
  <si>
    <t>Utama</t>
  </si>
  <si>
    <t>IHT Dokter Umum Managemen Airway (intubasi+venti etc)</t>
  </si>
  <si>
    <t>IHT Dokter Umum Syok dan Managemen Cairan</t>
  </si>
  <si>
    <t>IHT Dokter Umum Kegawatdaruratan Jantung</t>
  </si>
  <si>
    <t>IHT Dokter Umum Kegawatdaruratan Anak</t>
  </si>
  <si>
    <t>IHT Dokter Umum Pembacaan Rontgen Radiologi</t>
  </si>
  <si>
    <t>IPSRS dan Elektromedik</t>
  </si>
  <si>
    <t>Pelatihan Fungsi kelistrikan</t>
  </si>
  <si>
    <t>Staf IPSRS mampu mengimplementasikan kemampuan ketrampilan listrik</t>
  </si>
  <si>
    <t>workshop PPR</t>
  </si>
  <si>
    <t>Radiografer dapat mengetahui kompetensi dan tersertifikasi PPR</t>
  </si>
  <si>
    <t>Pelatihan Leadership Kepala Ruang</t>
  </si>
  <si>
    <t>Kepala Unit</t>
  </si>
  <si>
    <t>Pelatihan dan Simulasi Kebakaran</t>
  </si>
  <si>
    <t>Pelatihan HACCP</t>
  </si>
  <si>
    <t>Pelatihan Manajerial</t>
  </si>
  <si>
    <t>Kemampuan manajerial dan struktur gizi perlu ditingkatkan</t>
  </si>
  <si>
    <t>Workshop SIMRSGOS</t>
  </si>
  <si>
    <t>Meningkatkan ketrampilan mengatasi error/bug</t>
  </si>
  <si>
    <t>Magang pelatihan Semen Analisys</t>
  </si>
  <si>
    <t>Magang</t>
  </si>
  <si>
    <t>Memahami cara pengelolaan sperma untuk poli infertilitas</t>
  </si>
  <si>
    <t>Pelatihan analisa mikrobiologi</t>
  </si>
  <si>
    <t>Seluruh petugas dapat berlatih untuk pemeriksaan BTA, gram</t>
  </si>
  <si>
    <t>Workshop IPCD/IPCN</t>
  </si>
  <si>
    <t>Tim PPI terutama IPCD dan IPCN dapat menambah wawasan terbaru terkait PPI</t>
  </si>
  <si>
    <t>Komite Keperawatan</t>
  </si>
  <si>
    <t>Pelatihan Audit Keperawatan</t>
  </si>
  <si>
    <t>Pelatihan Teknis dan Non Teknis</t>
  </si>
  <si>
    <t>Sub Komite Mutu Profesi dapat memahami standard evaluasi jenjang keperawatan</t>
  </si>
  <si>
    <t>Farmasi</t>
  </si>
  <si>
    <t>PPRA Dasar</t>
  </si>
  <si>
    <t>Apoteker bisa mengambil data Quantitatif dan kualitatif penggunaan antibiotik berdasarkan pilot projeck yang ditetapkan secara benar, bisa memberikan rekomendasi terkait kebijakan penggunaan antibiotik di rumah sakit</t>
  </si>
  <si>
    <t>Pelatihan dan Simulasi Gempa</t>
  </si>
  <si>
    <t>Pelatihan boga/skill</t>
  </si>
  <si>
    <t>Peningkatan kemampuan dan pengetahuan ahli Gizi</t>
  </si>
  <si>
    <t>Pelatihan Triase</t>
  </si>
  <si>
    <t>Workshop Triase IGD</t>
  </si>
  <si>
    <t>Pengetahuan tentang pelatihan triase komprehensif untuk perawat dan IGD</t>
  </si>
  <si>
    <t>Pelatihan PPI Dasar bagi IPCLN</t>
  </si>
  <si>
    <t>Seluruh perawat mengetahui ilmu PPI dasar dan dapat diterapkan secara utuh</t>
  </si>
  <si>
    <t>Kesling K3</t>
  </si>
  <si>
    <t>Pelatihan sertifikasi Ahli K3 Umum</t>
  </si>
  <si>
    <t>Staf K3 lebih dapat memahami ilmu dan tersertifikasi Ahli</t>
  </si>
  <si>
    <t>Workshop prosedur visite pasien rawat inap, 
 MESO, PTO"</t>
  </si>
  <si>
    <t>Studi Banding</t>
  </si>
  <si>
    <t>Apoteker dapat memberikan rekomendasi pengobatan 
  paisen rawat inap secara tepat dari sisi manfaat dan cost</t>
  </si>
  <si>
    <t>Pelatihan Diklat (TNA)</t>
  </si>
  <si>
    <t>Studi banding</t>
  </si>
  <si>
    <t>peningkatan kompetensi</t>
  </si>
  <si>
    <t>Fisioterapi</t>
  </si>
  <si>
    <t>basic course Bobath concept</t>
  </si>
  <si>
    <t>Menambah kompetensi fisioterapis dan Okupasi Terapi dapat menguasai dan mengimplementasikan ilmu bobath pada pasien stroke</t>
  </si>
  <si>
    <t>Pelatihan dan Simulasi Penculikan Bayi</t>
  </si>
  <si>
    <t>Pelatihan dan Simulasi Keracunan Makanan</t>
  </si>
  <si>
    <t>Pelatihan pengelolaan aset dan gudang</t>
  </si>
  <si>
    <t>Standard Kompetensi Petugas</t>
  </si>
  <si>
    <t>Memahami standard petugas pengelolaan aset dan gudang</t>
  </si>
  <si>
    <t>Workshop manajemen laundry RS</t>
  </si>
  <si>
    <t>Pelaksana laundry dapat memahami dan mendapat kapabilitas untuk mengelola unit laundry RS</t>
  </si>
  <si>
    <t>Pelatihan feeding problem,disphagia,disartria</t>
  </si>
  <si>
    <t>semua terapis wicara menguasai ilmu dan dapat mengimplementasikan ilmu terkait feeding problem pada pasien stroke</t>
  </si>
  <si>
    <t>Pelatihan Phlebotomi laboratorium dan perawat</t>
  </si>
  <si>
    <t>Seluruh ATLM dan Perawat dapat melakukan dan menambah skill pengambilan darah vena dan arteri</t>
  </si>
  <si>
    <t>Humas dan Hukum</t>
  </si>
  <si>
    <t>Pelatihan Penanganan Kasus Berpotensi Sengketa</t>
  </si>
  <si>
    <t>Dapat beradaptasi dengan perubahan regulasi yang terbaru</t>
  </si>
  <si>
    <t>Pelatihan PKPO/PP</t>
  </si>
  <si>
    <t>Seluruh Karyawan</t>
  </si>
  <si>
    <t>konsumsi</t>
  </si>
  <si>
    <t>Sertifikasi Penjamah Makanan</t>
  </si>
  <si>
    <t>Membutuhkan perubahan perilaku dalam menjamah makanan</t>
  </si>
  <si>
    <t>Wokrshop mikrotik</t>
  </si>
  <si>
    <t>Mampu mengatasi permasalahan dan optimalisasi mikrotik</t>
  </si>
  <si>
    <t>Worskhop Security Server</t>
  </si>
  <si>
    <t>Pengamanan data internal RS</t>
  </si>
  <si>
    <t>Pelatihan Public Speaking</t>
  </si>
  <si>
    <t>Dapat lebih menguasai situasi acara formal dan kedinasan</t>
  </si>
  <si>
    <t>Pertemuan Kehumasan/Perhumasri</t>
  </si>
  <si>
    <t>SPO</t>
  </si>
  <si>
    <t>Menjalin silaturahmi dengan Humas RS se solo raya</t>
  </si>
  <si>
    <t>Tata Usaha</t>
  </si>
  <si>
    <t>Studi Banding terkait administrasi RS</t>
  </si>
  <si>
    <t>Meningkatkan kapasitas administrasi Tata Usaha</t>
  </si>
  <si>
    <t>Seminar Skrining Resep Apoteker</t>
  </si>
  <si>
    <t>meningkatkan ketelitian dan kemampuan 
  seluruh staf farmasi dalam proses skirining resep</t>
  </si>
  <si>
    <t>Resusitasi bayi</t>
  </si>
  <si>
    <t>snack dan narasumber</t>
  </si>
  <si>
    <t>Pijat lactasi</t>
  </si>
  <si>
    <t>snack</t>
  </si>
  <si>
    <t>Pelat Vaksinasi</t>
  </si>
  <si>
    <t>NAMA KEBUTUHAN</t>
  </si>
  <si>
    <t>JUMLAH KEBUTUHAN</t>
  </si>
  <si>
    <t>TOTAL BIAYA</t>
  </si>
  <si>
    <t>KETERANGAN</t>
  </si>
  <si>
    <t xml:space="preserve">penggantian blower </t>
  </si>
  <si>
    <t xml:space="preserve">penggantian motor suction </t>
  </si>
  <si>
    <t xml:space="preserve">suction pump </t>
  </si>
  <si>
    <t xml:space="preserve">kabel heater </t>
  </si>
  <si>
    <t xml:space="preserve">penggantian kabel groundplate </t>
  </si>
  <si>
    <t>ESU (Cutter)</t>
  </si>
  <si>
    <t xml:space="preserve">penggantian indikator + swich lampu </t>
  </si>
  <si>
    <t>instal ulang aplikasi (snalen chart)</t>
  </si>
  <si>
    <t>snalen chart (poli mata)</t>
  </si>
  <si>
    <t xml:space="preserve">kebutuha sekunder </t>
  </si>
  <si>
    <t xml:space="preserve">penggantian Baterai syringe pump  </t>
  </si>
  <si>
    <t xml:space="preserve">syringe pump </t>
  </si>
  <si>
    <t>flow sensor head spirometri</t>
  </si>
  <si>
    <t xml:space="preserve">spirometri </t>
  </si>
  <si>
    <t>kabel skin probe</t>
  </si>
  <si>
    <t xml:space="preserve">penggantian display </t>
  </si>
  <si>
    <t>centrifuge</t>
  </si>
  <si>
    <t xml:space="preserve">penggantian timer </t>
  </si>
  <si>
    <t xml:space="preserve">penggantian storage recorder </t>
  </si>
  <si>
    <t xml:space="preserve">Blood bank </t>
  </si>
  <si>
    <t xml:space="preserve">penggantian heater </t>
  </si>
  <si>
    <t>Infant warmer</t>
  </si>
  <si>
    <t>O2 Cell Ventilator (Galileo) OOM202</t>
  </si>
  <si>
    <t xml:space="preserve">penggantian elemen pemanas </t>
  </si>
  <si>
    <t xml:space="preserve">Tube sealer </t>
  </si>
  <si>
    <t>heater dan blower</t>
  </si>
  <si>
    <t>Incubator transfer</t>
  </si>
  <si>
    <t>penggantian termostat suhu + dan -</t>
  </si>
  <si>
    <t xml:space="preserve">Chiller </t>
  </si>
  <si>
    <t xml:space="preserve">penggantian selang conector manset </t>
  </si>
  <si>
    <t xml:space="preserve">bed side monitor </t>
  </si>
  <si>
    <t xml:space="preserve">Lampu Phototerapi TL </t>
  </si>
  <si>
    <t xml:space="preserve">Phototerapy </t>
  </si>
  <si>
    <t xml:space="preserve">penggantian motor </t>
  </si>
  <si>
    <t xml:space="preserve">pemeliharaan tip ejector </t>
  </si>
  <si>
    <t xml:space="preserve">pemeliharaan lensa </t>
  </si>
  <si>
    <t>Mikroskop</t>
  </si>
  <si>
    <t xml:space="preserve">penggantian indikator sensor lampu </t>
  </si>
  <si>
    <t>Photometer</t>
  </si>
  <si>
    <t>penggantian sensor temp</t>
  </si>
  <si>
    <t xml:space="preserve">blood warmer </t>
  </si>
  <si>
    <t xml:space="preserve">Baterai Aki Incubator tesena </t>
  </si>
  <si>
    <t xml:space="preserve">penggantian compresor dental </t>
  </si>
  <si>
    <t xml:space="preserve">pemeliharaan push button </t>
  </si>
  <si>
    <t>Mikropipet</t>
  </si>
  <si>
    <t xml:space="preserve">O2 Cell Anestesi (siriusmed) </t>
  </si>
  <si>
    <t xml:space="preserve">Plastik silicon incubator bayi </t>
  </si>
  <si>
    <t xml:space="preserve">Baby Incubator </t>
  </si>
  <si>
    <t xml:space="preserve">penggantian lampu halogen </t>
  </si>
  <si>
    <t xml:space="preserve">Penggantian lampu halogen </t>
  </si>
  <si>
    <t>lampu tindakan</t>
  </si>
  <si>
    <t>penggantian kabel spo2</t>
  </si>
  <si>
    <t xml:space="preserve">pulse oximetri </t>
  </si>
  <si>
    <t xml:space="preserve">power supplay atau baterai </t>
  </si>
  <si>
    <t xml:space="preserve">penggantian uv </t>
  </si>
  <si>
    <t>LAF dan BSC</t>
  </si>
  <si>
    <t>penggantian loudspeaker</t>
  </si>
  <si>
    <t xml:space="preserve">Fetal doppler </t>
  </si>
  <si>
    <t xml:space="preserve">penggantian PAD </t>
  </si>
  <si>
    <t xml:space="preserve">defibrilator AED </t>
  </si>
  <si>
    <t xml:space="preserve">Temperatur suhu </t>
  </si>
  <si>
    <t xml:space="preserve">penggantian heating pad </t>
  </si>
  <si>
    <t xml:space="preserve">SWD </t>
  </si>
  <si>
    <t>penggantian lampu film viewer</t>
  </si>
  <si>
    <t xml:space="preserve">film viewer </t>
  </si>
  <si>
    <t xml:space="preserve">pemeliharaan katrol </t>
  </si>
  <si>
    <t>Double Pully fisioterapy</t>
  </si>
  <si>
    <t xml:space="preserve">penggantian filter </t>
  </si>
  <si>
    <t xml:space="preserve">nebulizer, suction dan oxygen concentrator </t>
  </si>
  <si>
    <t>penggantian lampu tube</t>
  </si>
  <si>
    <t xml:space="preserve">penggantian baterai cas </t>
  </si>
  <si>
    <t xml:space="preserve">Tensimeter Digital </t>
  </si>
  <si>
    <t xml:space="preserve">penggantian display dan charge </t>
  </si>
  <si>
    <t xml:space="preserve">Timbangan </t>
  </si>
  <si>
    <t xml:space="preserve">indikator selang oksigen cpap </t>
  </si>
  <si>
    <t xml:space="preserve">penggantian seal vakum </t>
  </si>
  <si>
    <t xml:space="preserve">Suction dinding </t>
  </si>
  <si>
    <t>Penggantian Seal compresor</t>
  </si>
  <si>
    <t xml:space="preserve">penggantian sensor </t>
  </si>
  <si>
    <t xml:space="preserve">Thermogun IR </t>
  </si>
  <si>
    <t>Penggantian Selenoid kompresor</t>
  </si>
  <si>
    <t xml:space="preserve">penggantian lampu </t>
  </si>
  <si>
    <t>Penggantian otomatis</t>
  </si>
  <si>
    <t>Penggantian selenoid sealer</t>
  </si>
  <si>
    <t xml:space="preserve">manometer neopuff </t>
  </si>
  <si>
    <t xml:space="preserve">Neupoff </t>
  </si>
  <si>
    <t xml:space="preserve">lampu neon </t>
  </si>
  <si>
    <t xml:space="preserve">Pemeliharaan lift </t>
  </si>
  <si>
    <t>laker</t>
  </si>
  <si>
    <t xml:space="preserve">push button </t>
  </si>
  <si>
    <t xml:space="preserve">karet couple </t>
  </si>
  <si>
    <t>sealing 6 mili</t>
  </si>
  <si>
    <t xml:space="preserve">pelumasan mesin </t>
  </si>
  <si>
    <t xml:space="preserve">Pemeliharaan lift barang </t>
  </si>
  <si>
    <t>penggantian seling</t>
  </si>
  <si>
    <t xml:space="preserve">Oli mesin genset </t>
  </si>
  <si>
    <t>filter oli</t>
  </si>
  <si>
    <t xml:space="preserve">Charge aki genset </t>
  </si>
  <si>
    <t xml:space="preserve">Thermostat genset </t>
  </si>
  <si>
    <t>penggantian air radiator</t>
  </si>
  <si>
    <t>teknisi</t>
  </si>
  <si>
    <t xml:space="preserve">uji beban genset </t>
  </si>
  <si>
    <t>uji beban genset</t>
  </si>
  <si>
    <t>pemeliharaan panel alarm</t>
  </si>
  <si>
    <t>panel central oxigen</t>
  </si>
  <si>
    <t>Pembelian stb yang bagus</t>
  </si>
  <si>
    <t xml:space="preserve">Pemeliharaan Televisi </t>
  </si>
  <si>
    <t>Roda VIP 22 bed = 88</t>
  </si>
  <si>
    <t>Roda Double Castor VIP 5'' vip,KELAS 1</t>
  </si>
  <si>
    <t xml:space="preserve">Roda Wheel (Biasa) </t>
  </si>
  <si>
    <t xml:space="preserve">bed rawat inap </t>
  </si>
  <si>
    <t>Roda Double Castor transfer 6''</t>
  </si>
  <si>
    <t xml:space="preserve">IGD, IBS </t>
  </si>
  <si>
    <t>Roda Meja Operasi 3''</t>
  </si>
  <si>
    <t xml:space="preserve">roda troly emergency 3'' </t>
  </si>
  <si>
    <t>penggantian restrain</t>
  </si>
  <si>
    <t xml:space="preserve">pemeliharaan bed pasien </t>
  </si>
  <si>
    <t>penggantian power suplay</t>
  </si>
  <si>
    <t>penggantian roda</t>
  </si>
  <si>
    <t>Pemeliharaan trolly</t>
  </si>
  <si>
    <t>pengecatan karat</t>
  </si>
  <si>
    <t xml:space="preserve">bed side cabinet </t>
  </si>
  <si>
    <t xml:space="preserve">roda </t>
  </si>
  <si>
    <t xml:space="preserve">pengecatan ulang meja </t>
  </si>
  <si>
    <t>bed table (makan)</t>
  </si>
  <si>
    <t xml:space="preserve">Maintenance AC 1 pk </t>
  </si>
  <si>
    <t>RS</t>
  </si>
  <si>
    <t xml:space="preserve">Maintenance AC 2 pk </t>
  </si>
  <si>
    <t xml:space="preserve">perawatan nakas </t>
  </si>
  <si>
    <t>lemari</t>
  </si>
  <si>
    <t>prioritas utama</t>
  </si>
  <si>
    <t>pemeliharaan pintu</t>
  </si>
  <si>
    <t>Mebelair</t>
  </si>
  <si>
    <t>pemeliharaan jendela</t>
  </si>
  <si>
    <t>pemeliharaan almari</t>
  </si>
  <si>
    <t>pemeliharan kusen</t>
  </si>
  <si>
    <t>pengecatan ulang / pelitur</t>
  </si>
  <si>
    <t>pemeliharaan kursi</t>
  </si>
  <si>
    <t>kaki kursi dokter</t>
  </si>
  <si>
    <t>perawatan kursi dokter</t>
  </si>
  <si>
    <t>engsel</t>
  </si>
  <si>
    <t>sofa penunggu</t>
  </si>
  <si>
    <t>ganti triplek</t>
  </si>
  <si>
    <t>almari kayu pasien</t>
  </si>
  <si>
    <t xml:space="preserve">perbaikan meja counter </t>
  </si>
  <si>
    <t xml:space="preserve">engsel, rel, pintu, kunci </t>
  </si>
  <si>
    <t>Penggantian kabel</t>
  </si>
  <si>
    <t>Pemeliharaan CCTV</t>
  </si>
  <si>
    <t>Power supply CCTV</t>
  </si>
  <si>
    <t>pemeliharaan cctv</t>
  </si>
  <si>
    <t>penggantian MCB</t>
  </si>
  <si>
    <t>Pemeliharaan listrik</t>
  </si>
  <si>
    <t>instalasi listrik</t>
  </si>
  <si>
    <t>pemeliharaan listrik</t>
  </si>
  <si>
    <t>regulator central tabung</t>
  </si>
  <si>
    <t>pemeliharaan central oksigen</t>
  </si>
  <si>
    <t xml:space="preserve">selang spiral </t>
  </si>
  <si>
    <t>Pemeliharaan wather heater</t>
  </si>
  <si>
    <t>filter komresor, air compres, suction</t>
  </si>
  <si>
    <t>Penggantian Spare part</t>
  </si>
  <si>
    <t>Pemeliharaan kulkas</t>
  </si>
  <si>
    <t xml:space="preserve">penggantian tiang infus bed </t>
  </si>
  <si>
    <t xml:space="preserve">Penambahan / penggantian exhaust </t>
  </si>
  <si>
    <t xml:space="preserve">pemeliharaan Exhaust </t>
  </si>
  <si>
    <t>sparepart mesin spin</t>
  </si>
  <si>
    <t>cover dan service</t>
  </si>
  <si>
    <t>bed penunggu</t>
  </si>
  <si>
    <t>peremajaan cat ulang</t>
  </si>
  <si>
    <t>pemeliharaan kursi roda</t>
  </si>
  <si>
    <t>cover kursi , sponbon, baut dll</t>
  </si>
  <si>
    <t>pemeliharaan kursi tunggu</t>
  </si>
  <si>
    <t xml:space="preserve">Penggantian filter hepa </t>
  </si>
  <si>
    <t>pemeliharaan filter hepa IBS</t>
  </si>
  <si>
    <t xml:space="preserve">Hidrolik kursi dokter </t>
  </si>
  <si>
    <t>kipas angin dinding</t>
  </si>
  <si>
    <t>bila tidak dapat diperbaiki</t>
  </si>
  <si>
    <t>pesawat telepon baru</t>
  </si>
  <si>
    <t>cadangan bila rusak</t>
  </si>
  <si>
    <t xml:space="preserve">Spool mesin  </t>
  </si>
  <si>
    <t xml:space="preserve">Pemeliharaan Kipas Angin </t>
  </si>
  <si>
    <t>jog kursi roda</t>
  </si>
  <si>
    <t>penggantian roda meja operasi</t>
  </si>
  <si>
    <t>penggantian kontaktor</t>
  </si>
  <si>
    <t>pemeliharaan pompa panel ipal</t>
  </si>
  <si>
    <t xml:space="preserve">Fotocell selecon </t>
  </si>
  <si>
    <t>pemeliharaan lampu belakang dan depan</t>
  </si>
  <si>
    <t>perawatan tiang infus</t>
  </si>
  <si>
    <t>Penggantian filter exhaust</t>
  </si>
  <si>
    <t>Remote TV</t>
  </si>
  <si>
    <t>Kabel microfone</t>
  </si>
  <si>
    <t>perwatan microfone</t>
  </si>
  <si>
    <t>ganti ban</t>
  </si>
  <si>
    <t>perawatan kursi roda</t>
  </si>
  <si>
    <t xml:space="preserve">kunci lemari </t>
  </si>
  <si>
    <t>pemeliharaan setrika elemen</t>
  </si>
  <si>
    <t xml:space="preserve">roda box bayi </t>
  </si>
  <si>
    <t xml:space="preserve">penggantian kabel telepon </t>
  </si>
  <si>
    <t>pemeliharaan telepon</t>
  </si>
  <si>
    <t>kunci meja</t>
  </si>
  <si>
    <t xml:space="preserve">handle lemari </t>
  </si>
  <si>
    <t xml:space="preserve">dinamo kipas angin </t>
  </si>
  <si>
    <t xml:space="preserve">Adaptor Trafo Lampu Led </t>
  </si>
  <si>
    <t xml:space="preserve">kunci knop pintu </t>
  </si>
  <si>
    <t>perawatan almari</t>
  </si>
  <si>
    <t xml:space="preserve">thermostat mejicom </t>
  </si>
  <si>
    <t>perawatan mejicom</t>
  </si>
  <si>
    <t xml:space="preserve">capasitor kipas angin </t>
  </si>
  <si>
    <t>oli mesin komresor</t>
  </si>
  <si>
    <t>oli mesin suction</t>
  </si>
  <si>
    <t xml:space="preserve">thermostat dispenser </t>
  </si>
  <si>
    <t xml:space="preserve">Capasitor </t>
  </si>
  <si>
    <t xml:space="preserve">Roll laci meja </t>
  </si>
  <si>
    <t xml:space="preserve">perawatan meja </t>
  </si>
  <si>
    <t xml:space="preserve">kabel setrika </t>
  </si>
  <si>
    <t>perawatan setrika</t>
  </si>
  <si>
    <t xml:space="preserve">Indikator Pilot lamp  </t>
  </si>
  <si>
    <t xml:space="preserve">capit urang </t>
  </si>
  <si>
    <t>pelumasan roda</t>
  </si>
  <si>
    <t>Pemeliharaan bed pasien</t>
  </si>
  <si>
    <t>HUB Mercusys 8 port</t>
  </si>
  <si>
    <t>RAM DDR4 16 GB</t>
  </si>
  <si>
    <t>Aki UPS 1200va 9ah</t>
  </si>
  <si>
    <t>Cartridge Canon CH-7</t>
  </si>
  <si>
    <t>Access Point Totolink CA-1200</t>
  </si>
  <si>
    <t>Aki UPS 700va 7ah</t>
  </si>
  <si>
    <t>Aki UPS 3000va 7ah</t>
  </si>
  <si>
    <t>Cartridge Canon BH-7</t>
  </si>
  <si>
    <t>Cartridge HP M0H51AA/M0H50AA</t>
  </si>
  <si>
    <t>Prosesor Intel Core i3 12100</t>
  </si>
  <si>
    <t>Service Printer</t>
  </si>
  <si>
    <t>SSD SATA 120 GB</t>
  </si>
  <si>
    <t>Cartridge 810/811</t>
  </si>
  <si>
    <t>Keyboard USB + Mouse USB Logitech MK120</t>
  </si>
  <si>
    <t>Print Head for Epson L3210/L3110/L121</t>
  </si>
  <si>
    <t>Motherboard MSI H610M Bomber</t>
  </si>
  <si>
    <t>Service Scanner</t>
  </si>
  <si>
    <t>RAM DDR3 8 GB</t>
  </si>
  <si>
    <t>Roller Scanner</t>
  </si>
  <si>
    <t>TP-Link WR840N</t>
  </si>
  <si>
    <t>Connector RJ45 Cat 6 MPP</t>
  </si>
  <si>
    <t>SSD NVME M.2 250GB</t>
  </si>
  <si>
    <t>Scan EPPOS</t>
  </si>
  <si>
    <t>Power Supply 450W Simbadda BattleGround (1 th) 80 Plus</t>
  </si>
  <si>
    <t>Fan Procesor</t>
  </si>
  <si>
    <t>VGA 2GB Stock</t>
  </si>
  <si>
    <t xml:space="preserve">Keyboard + Mouse Wireless Logitech MK220 </t>
  </si>
  <si>
    <t>Baterai AAA isi 6 pcs</t>
  </si>
  <si>
    <t>Kabel NYM 2x1,5mm roll</t>
  </si>
  <si>
    <t>Casing Enlight EN-200</t>
  </si>
  <si>
    <t>Kabel Duct TC 5</t>
  </si>
  <si>
    <t>Kabel Duct Lantai</t>
  </si>
  <si>
    <t>Kabel Power</t>
  </si>
  <si>
    <t>Kabel HDMI 2m</t>
  </si>
  <si>
    <t>Cable Ties Strap Vention 5m</t>
  </si>
  <si>
    <t>Kabel Duct TC 6</t>
  </si>
  <si>
    <t>Kabel USB A to USB B printer 5m</t>
  </si>
  <si>
    <t>SODIMM RAM DDR3 8GB</t>
  </si>
  <si>
    <t>Kabel Ugreen extension  3.0 male to female 3m</t>
  </si>
  <si>
    <t>Kabel power printer 3m</t>
  </si>
  <si>
    <t>Kabel USB Printer</t>
  </si>
  <si>
    <t>Crimping Tools</t>
  </si>
  <si>
    <t>Cairan pembersih layar komputer</t>
  </si>
  <si>
    <t>Barrel RJ45 Cat 6</t>
  </si>
  <si>
    <t>Kabel VGA male to male 3m</t>
  </si>
  <si>
    <t>ISKU Obeng Set 122 In 1 Obeng</t>
  </si>
  <si>
    <t>Converter HDMI to VGA + Audio</t>
  </si>
  <si>
    <t>Baterai AA isi 6 pcs</t>
  </si>
  <si>
    <t>Microfiber</t>
  </si>
  <si>
    <t xml:space="preserve">Converter VGA to HDMI + Audio </t>
  </si>
  <si>
    <t>Cairan Head Cleaner</t>
  </si>
  <si>
    <t>Sarung Tangan</t>
  </si>
  <si>
    <t>Aneng DM850 Multimeter Digital Mini AC DC</t>
  </si>
  <si>
    <t>Knee L-Sambungan Selang-Tabung Infus Modif dan Karet Catridge</t>
  </si>
  <si>
    <t>Refill APAR</t>
  </si>
  <si>
    <t>1. perawatan pompa ipal</t>
  </si>
  <si>
    <t>4. perawatan berkala ipal</t>
  </si>
  <si>
    <t>2. perawatan blower ipal</t>
  </si>
  <si>
    <t>6. kran panas dingin</t>
  </si>
  <si>
    <t>Detektor Kebakaran</t>
  </si>
  <si>
    <t>3. kran wastafel</t>
  </si>
  <si>
    <t>2.  sock drat luar dalam</t>
  </si>
  <si>
    <t>1. shower dan selang closet</t>
  </si>
  <si>
    <t>pemeliharaan closed kamar mandi</t>
  </si>
  <si>
    <t>24. Wastafel</t>
  </si>
  <si>
    <t>22. shower</t>
  </si>
  <si>
    <t>3. membran kecil 10''</t>
  </si>
  <si>
    <t>Pemenuhan Peralatan Proteksi Kebakaran</t>
  </si>
  <si>
    <t xml:space="preserve">10. knee </t>
  </si>
  <si>
    <t>3. blower cadangan</t>
  </si>
  <si>
    <t>21. kontaktor dan panel pompa</t>
  </si>
  <si>
    <t>Perbaikan Instalasi Detektor Kebakaran</t>
  </si>
  <si>
    <t>9. kran fleksibel</t>
  </si>
  <si>
    <t xml:space="preserve">21. pipa </t>
  </si>
  <si>
    <t>23. perawatan berkala pompa ipal</t>
  </si>
  <si>
    <t>24. perawatan blower ipal</t>
  </si>
  <si>
    <t>10. kontaktor dan panel pompa</t>
  </si>
  <si>
    <t>14. dop</t>
  </si>
  <si>
    <t>22. selang fleksibel</t>
  </si>
  <si>
    <t>25. kabel</t>
  </si>
  <si>
    <t>2. pompa pendorong</t>
  </si>
  <si>
    <t>3. perawatan pompa sumer sibel air bersih</t>
  </si>
  <si>
    <t>7. radar dan apung-apung AB</t>
  </si>
  <si>
    <t>4. kran shower</t>
  </si>
  <si>
    <t>18. afur closet</t>
  </si>
  <si>
    <t xml:space="preserve">1. double nepel ukuran ½ </t>
  </si>
  <si>
    <t>perawatan dan penggantian sarana air bersih</t>
  </si>
  <si>
    <t>4. perawatan pompa pendorong air bersih</t>
  </si>
  <si>
    <t>7. stop kran biasa (pipa)</t>
  </si>
  <si>
    <t>11. knee drat</t>
  </si>
  <si>
    <t>19. tee stop kran</t>
  </si>
  <si>
    <t>17. Afur wastafel</t>
  </si>
  <si>
    <t>9. raker pompa</t>
  </si>
  <si>
    <t>12. Tee</t>
  </si>
  <si>
    <t>13. shock</t>
  </si>
  <si>
    <t>4. pipa</t>
  </si>
  <si>
    <t>12. pompa pendorong</t>
  </si>
  <si>
    <t>5. kran kamar mandi (½)</t>
  </si>
  <si>
    <t>5. sok drat luar dalam</t>
  </si>
  <si>
    <t>7. knee</t>
  </si>
  <si>
    <t>9. tee</t>
  </si>
  <si>
    <t>13. stop kran</t>
  </si>
  <si>
    <t>22. kabel</t>
  </si>
  <si>
    <t>8. knee drat</t>
  </si>
  <si>
    <t>20. stop kran wastafel</t>
  </si>
  <si>
    <t>20. raker pompa</t>
  </si>
  <si>
    <t>8. kran angsa</t>
  </si>
  <si>
    <t>6. sok drat biasa</t>
  </si>
  <si>
    <t>15. water moor</t>
  </si>
  <si>
    <t>perawatan dan perbaikan alat uv</t>
  </si>
  <si>
    <t>15. oper shok</t>
  </si>
  <si>
    <t>16. stop kran</t>
  </si>
  <si>
    <t>8. kapasitor pompa</t>
  </si>
  <si>
    <t>1. selenoit dan valve</t>
  </si>
  <si>
    <t>perawatan RO CSSD</t>
  </si>
  <si>
    <t>1. termostrat cool storage</t>
  </si>
  <si>
    <t>2. pembersihan TPS B3</t>
  </si>
  <si>
    <t>16. ikan</t>
  </si>
  <si>
    <t>3. reagen sisa chor</t>
  </si>
  <si>
    <t>10. shock</t>
  </si>
  <si>
    <t>12. water moor</t>
  </si>
  <si>
    <t>11. sensor</t>
  </si>
  <si>
    <t>11. dop</t>
  </si>
  <si>
    <t>14. tee stop kran</t>
  </si>
  <si>
    <t>2. skrup closed</t>
  </si>
  <si>
    <t>2. box panel</t>
  </si>
  <si>
    <t>2. konsumsi tenaga pencucian filter ipal</t>
  </si>
  <si>
    <t>5. perawatan swit tandon air bersih</t>
  </si>
  <si>
    <t>17. pakan ikan</t>
  </si>
  <si>
    <t>1. pH meter digital</t>
  </si>
  <si>
    <t>monitoring kualitas fisik, suhu, pH air dan sisa chor air bersih</t>
  </si>
  <si>
    <t>1. monitoring kualitas fisik, suhu, pH air limbah</t>
  </si>
  <si>
    <t>19. kapasitor pompa</t>
  </si>
  <si>
    <t>26. box panel</t>
  </si>
  <si>
    <t>1. bensin pencucian filter ipal</t>
  </si>
  <si>
    <t>pencucian filter ipal</t>
  </si>
  <si>
    <t>2. Termometer air digital</t>
  </si>
  <si>
    <t>18. jaring</t>
  </si>
  <si>
    <t>2. wiper lantai</t>
  </si>
  <si>
    <t>Pengajuan Renovasi 2025</t>
  </si>
  <si>
    <t>Jenis renovasi</t>
  </si>
  <si>
    <t xml:space="preserve">rincian </t>
  </si>
  <si>
    <t>Bangsal 3</t>
  </si>
  <si>
    <t>Pengecatan Fath 1-4, dan Tin 2</t>
  </si>
  <si>
    <t>renovasi tempat menyiapkan obat</t>
  </si>
  <si>
    <t>triplek</t>
  </si>
  <si>
    <t>ruang terbuka dan kurang rapi</t>
  </si>
  <si>
    <t>renovasi furqon 5 untuk tempat penyimpanan alkes</t>
  </si>
  <si>
    <t>masih ada sisa ruang untuk dijadikan tempat penyimpanan alkes</t>
  </si>
  <si>
    <t>pengecatan tembok bangsal anak</t>
  </si>
  <si>
    <t>cat hijau 20 kg</t>
  </si>
  <si>
    <t>cat sudah terkelupas dan berjamur</t>
  </si>
  <si>
    <t>kuas 4 inc</t>
  </si>
  <si>
    <t>bangsal kebidanan</t>
  </si>
  <si>
    <t>renovasi ruang dekontaminasi</t>
  </si>
  <si>
    <t>pengecatan bangsal anisa</t>
  </si>
  <si>
    <t>cat hijau 5 kg</t>
  </si>
  <si>
    <t>belum pernah di cat ulang</t>
  </si>
  <si>
    <t>Agar suhu kamar jenazah stabil dan mendapat sirkulasi udara yang baik</t>
  </si>
  <si>
    <t>Ducting/exhaust</t>
  </si>
  <si>
    <t>pengecatan ruang cssd</t>
  </si>
  <si>
    <t>cat cream 25 kg</t>
  </si>
  <si>
    <t>gizi</t>
  </si>
  <si>
    <t>renovasi ruang pencucian</t>
  </si>
  <si>
    <t>pemasangan keramik pada dinding dan pemasangan rak utk alat makan dan alat masak</t>
  </si>
  <si>
    <t>untuk meniriskan alat di atas tempat pencucian, perlu pelapisan tembok dengan keramik</t>
  </si>
  <si>
    <t>icu</t>
  </si>
  <si>
    <t>pengecatan ruang icu</t>
  </si>
  <si>
    <t>cat tembok mengelupas</t>
  </si>
  <si>
    <t xml:space="preserve">IGD </t>
  </si>
  <si>
    <t>pelebaran Ruang Ponek</t>
  </si>
  <si>
    <t>pak jihan</t>
  </si>
  <si>
    <t>program ponek 2025</t>
  </si>
  <si>
    <t>Penggantian keramik Kamar Mandi (dinding)</t>
  </si>
  <si>
    <t xml:space="preserve">Penggantian keramik Kamar Mandi (bawah) </t>
  </si>
  <si>
    <t xml:space="preserve">Water Prufing </t>
  </si>
  <si>
    <t>pemeliharaan atap dan talang gedung</t>
  </si>
  <si>
    <t>seng, aquaprof</t>
  </si>
  <si>
    <t>alat safety pengecatan</t>
  </si>
  <si>
    <t xml:space="preserve">Cat Putih Plafon </t>
  </si>
  <si>
    <t xml:space="preserve">Cat Cream </t>
  </si>
  <si>
    <t xml:space="preserve">Cat Hijau </t>
  </si>
  <si>
    <t>Kunci</t>
  </si>
  <si>
    <t xml:space="preserve">Plafon Gypsum </t>
  </si>
  <si>
    <t xml:space="preserve">Peralatan Cat </t>
  </si>
  <si>
    <t>Cat Ulang</t>
  </si>
  <si>
    <t xml:space="preserve">Cat Coklat </t>
  </si>
  <si>
    <t>Pemeliharaan pagar</t>
  </si>
  <si>
    <t>Esel/ Grendel</t>
  </si>
  <si>
    <t>Roda Rel</t>
  </si>
  <si>
    <t xml:space="preserve">Tukang Pengecatan </t>
  </si>
  <si>
    <t xml:space="preserve">Door closer </t>
  </si>
  <si>
    <t xml:space="preserve">Roll Cat </t>
  </si>
  <si>
    <t xml:space="preserve">NUT keramik </t>
  </si>
  <si>
    <t>engsel rak / pintu (biasa)</t>
  </si>
  <si>
    <t>engsel rak / pintu (kupu-kupu)</t>
  </si>
  <si>
    <t xml:space="preserve">grendel pintu </t>
  </si>
  <si>
    <t>bongkar loket</t>
  </si>
  <si>
    <t xml:space="preserve">tukang / stiker </t>
  </si>
  <si>
    <t>loket kaca terbalik</t>
  </si>
  <si>
    <t>penambahan ruangan</t>
  </si>
  <si>
    <t>penambahan ruangan mikrobilogi laboratorium</t>
  </si>
  <si>
    <t>NEORISTI/NICU</t>
  </si>
  <si>
    <t>CAT RUANG</t>
  </si>
  <si>
    <t>TEMBOK JAMUR</t>
  </si>
  <si>
    <t>OK Minor</t>
  </si>
  <si>
    <t>renovasi ruang rehabilitasi medik</t>
  </si>
  <si>
    <t>atap rehab medik bocor saat hujan</t>
  </si>
  <si>
    <t>Renovasi apotek rawat inap</t>
  </si>
  <si>
    <t>pelepasan dan pemasangan partisi</t>
  </si>
  <si>
    <t>partisi/melamin</t>
  </si>
  <si>
    <t>pemisahan apotek rawat inap dan arawt jalan</t>
  </si>
  <si>
    <t>Ruang racik obat</t>
  </si>
  <si>
    <t xml:space="preserve">pengecatan </t>
  </si>
  <si>
    <t>cat sudah terkelupas dan berjamur, dan kotor</t>
  </si>
  <si>
    <t>RINCIAN PEMBIAYAAN PERAWATAN</t>
  </si>
  <si>
    <t>service mesin rutin</t>
  </si>
  <si>
    <t>ganti oli mesin</t>
  </si>
  <si>
    <t>service mesin ac</t>
  </si>
  <si>
    <t>ganti oli mesin ac</t>
  </si>
  <si>
    <t xml:space="preserve">BBM </t>
  </si>
  <si>
    <t>Pajak</t>
  </si>
  <si>
    <t>Hiace</t>
  </si>
  <si>
    <t>APV</t>
  </si>
  <si>
    <t>Xenia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</si>
  <si>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</si>
  <si>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FORM KEGIATAN RUTIN UNIT</t>
  </si>
  <si>
    <t>Unit/Bagian</t>
  </si>
  <si>
    <t xml:space="preserve">NAMA KEBUTUHAN </t>
  </si>
  <si>
    <t>JUMLAH KEBUTUHAN DALAM SETAHUN</t>
  </si>
  <si>
    <t>HARGA</t>
  </si>
  <si>
    <t>BIAYA</t>
  </si>
  <si>
    <t>kerja bakti perawat bangsal anak 6 bulan sekali</t>
  </si>
  <si>
    <t>DIklat</t>
  </si>
  <si>
    <t>Orientasi Mahasiswa</t>
  </si>
  <si>
    <t>snack narasumber</t>
  </si>
  <si>
    <t>Rekam Medik dan Informasi</t>
  </si>
  <si>
    <t>Retensi dokumen RM 3 bulan sekali</t>
  </si>
  <si>
    <t>tali rafia</t>
  </si>
  <si>
    <t>kertas hvs</t>
  </si>
  <si>
    <t>makan siang</t>
  </si>
  <si>
    <t>rehab medik</t>
  </si>
  <si>
    <t>kerja bakti rehab medik 3 bulan sekali</t>
  </si>
  <si>
    <t>kesling</t>
  </si>
  <si>
    <t>1. biaya uji</t>
  </si>
  <si>
    <t>1x dalam 1 tahun</t>
  </si>
  <si>
    <t>2. konsumsi</t>
  </si>
  <si>
    <t>3. biaya akomodasi</t>
  </si>
  <si>
    <t>4. transpot petugas</t>
  </si>
  <si>
    <t>6 sample/bulan</t>
  </si>
  <si>
    <t>6 sample/3 bulan</t>
  </si>
  <si>
    <t>1 sample/bulan</t>
  </si>
  <si>
    <t>2. jeringen sample</t>
  </si>
  <si>
    <t>2x dalam 1 tahun</t>
  </si>
  <si>
    <t>2. biaya akomodasi</t>
  </si>
  <si>
    <t>3. konsumsi</t>
  </si>
  <si>
    <t>2 sample/bulan</t>
  </si>
  <si>
    <t>2 sample/3 bulan</t>
  </si>
  <si>
    <t>5 sample/6 bulan</t>
  </si>
  <si>
    <t>12 sample/6 bulan</t>
  </si>
  <si>
    <t>4 sample/6 bulan</t>
  </si>
  <si>
    <t>MCU lengkap Karyawan</t>
  </si>
  <si>
    <t>MCU Seluruh Karyawan</t>
  </si>
  <si>
    <t>PRIORITAS UTAMA</t>
  </si>
  <si>
    <t>General Cleaning IBS</t>
  </si>
  <si>
    <t>prioritas</t>
  </si>
  <si>
    <t>kerja bakti</t>
  </si>
  <si>
    <t>refresh materi internal</t>
  </si>
  <si>
    <t xml:space="preserve">snack </t>
  </si>
  <si>
    <t>Kerja bakti ruangan tiap bulan sekali</t>
  </si>
  <si>
    <t xml:space="preserve">Kerja bakti kebidanan 3 bulan sekali </t>
  </si>
  <si>
    <t>Farmasi rawat jalan, farmasi rawat inap, gudang farmasi</t>
  </si>
  <si>
    <t>Stock Opnam (SO) tiap 3 bulan sekali</t>
  </si>
  <si>
    <t>Gudang Farmasi</t>
  </si>
  <si>
    <t>Pemusnahan Obat Exipired dan Rusak 1 tahun sekali</t>
  </si>
  <si>
    <t>uang saku / oleh-oleh petugas DKK</t>
  </si>
  <si>
    <t>AIK</t>
  </si>
  <si>
    <t>Baitul Arqam / perkaderan SDI umum
(pelaksanaan dibagi menjadi 2 kloter)</t>
  </si>
  <si>
    <t>Prioritas</t>
  </si>
  <si>
    <t xml:space="preserve">Kajian HPT dan PHIWM rutin, Tahsin 
(1 bulan 2 kali) peserta perwakilan unit </t>
  </si>
  <si>
    <t>Qur'ban</t>
  </si>
  <si>
    <t>Upah memasak daging</t>
  </si>
  <si>
    <t>360 Porsi</t>
  </si>
  <si>
    <t>Qurban sapi</t>
  </si>
  <si>
    <t>Amaliyah Ramadhan</t>
  </si>
  <si>
    <t xml:space="preserve">Penyusunan jadwal imam dan penceramah sholat tarawih </t>
  </si>
  <si>
    <t>Jadwal Imsyakiyah</t>
  </si>
  <si>
    <t>3 rim</t>
  </si>
  <si>
    <t>Takjil</t>
  </si>
  <si>
    <t>Sahur</t>
  </si>
  <si>
    <t>Capacity Building</t>
  </si>
  <si>
    <t>)</t>
  </si>
  <si>
    <t>Parcel lebaran</t>
  </si>
  <si>
    <t>Pensiun</t>
  </si>
  <si>
    <t xml:space="preserve">Uang pensiun </t>
  </si>
  <si>
    <t>HHI</t>
  </si>
  <si>
    <t xml:space="preserve">kartu ucapan idul fitri / ultah ke rekanan / kedinasan </t>
  </si>
  <si>
    <t xml:space="preserve">kartu ucapan idul fitri </t>
  </si>
  <si>
    <t xml:space="preserve">ucapan dikoran </t>
  </si>
  <si>
    <t xml:space="preserve">suaramu, solopos dll di hari besar indonesia </t>
  </si>
  <si>
    <t>Ucapan ke rekanan dan karyawan</t>
  </si>
  <si>
    <t>karangan bunga / ucapan/ duka/ selamat</t>
  </si>
  <si>
    <t xml:space="preserve">parcel ke rekanan </t>
  </si>
  <si>
    <t xml:space="preserve">memberikan bingkisan parcel </t>
  </si>
  <si>
    <t xml:space="preserve">buah tangan ke pihak ketiga </t>
  </si>
  <si>
    <t xml:space="preserve">SOUVENIR </t>
  </si>
  <si>
    <t>Dana</t>
  </si>
  <si>
    <t>MILAD</t>
  </si>
  <si>
    <t>HUT RI</t>
  </si>
  <si>
    <t>Umum</t>
  </si>
  <si>
    <t>lomba internal dalam rangka hari kemerdakaan RI</t>
  </si>
  <si>
    <t>HUT DAERAH</t>
  </si>
  <si>
    <t>HKN</t>
  </si>
  <si>
    <t xml:space="preserve">kontribusi poyandu sekitar RS </t>
  </si>
  <si>
    <t>12 bulan</t>
  </si>
  <si>
    <t xml:space="preserve">pengiriman berkas MOU / lainnya </t>
  </si>
  <si>
    <t xml:space="preserve">POS / ekspedisi </t>
  </si>
  <si>
    <t xml:space="preserve">lomba ekternal pegawai </t>
  </si>
  <si>
    <t>Senam</t>
  </si>
  <si>
    <t>parcel dhuafa dan tetangga sekitar</t>
  </si>
  <si>
    <t>dana</t>
  </si>
  <si>
    <t>tata naskah</t>
  </si>
  <si>
    <t>fotocopy</t>
  </si>
  <si>
    <t xml:space="preserve">Kerja bakti gizi 3 bulan sekali </t>
  </si>
  <si>
    <t>Asesmen Kompetensi</t>
  </si>
  <si>
    <t xml:space="preserve">icu </t>
  </si>
  <si>
    <t>16 orang x 12</t>
  </si>
  <si>
    <t>kegiatan Penyuluhan 12 kali setahun</t>
  </si>
  <si>
    <t>hari kesehatan 12 kali setahun</t>
  </si>
  <si>
    <t>Gift</t>
  </si>
  <si>
    <t>MMT</t>
  </si>
  <si>
    <t>kegiatan pembuatan video ramadhan</t>
  </si>
  <si>
    <t>fee narasumber external</t>
  </si>
  <si>
    <t>kunjungan koordinasi dengan FKTP/perusahaan</t>
  </si>
  <si>
    <t>oleh-oleh</t>
  </si>
  <si>
    <t>Direksi</t>
  </si>
  <si>
    <t>Halal bi Halal</t>
  </si>
  <si>
    <t>makan</t>
  </si>
  <si>
    <t>doorprize</t>
  </si>
  <si>
    <t>pemateri</t>
  </si>
  <si>
    <t>binroh</t>
  </si>
  <si>
    <t>Pendampingan Bina Rohani Non Muslim (FKUB)</t>
  </si>
  <si>
    <t>transport petugas fkub</t>
  </si>
  <si>
    <t>Pembuatan Video Profil (gedung baru)</t>
  </si>
  <si>
    <t>fotokopi laporan dan RKA</t>
  </si>
  <si>
    <t>menghias RS dalam rangka idul fitri dan adha</t>
  </si>
  <si>
    <t>hiasan idul fitri</t>
  </si>
  <si>
    <t>menghias RS dalam rangka 17an</t>
  </si>
  <si>
    <t>hiasan 17an</t>
  </si>
  <si>
    <t>menghias RS dalam rangka milad</t>
  </si>
  <si>
    <t>pernak pernik milad</t>
  </si>
  <si>
    <t>asuransi</t>
  </si>
  <si>
    <t xml:space="preserve">Kerja bakti asuransi 3 bulan sekali </t>
  </si>
  <si>
    <t>transportasi</t>
  </si>
  <si>
    <t>kebutuhan skunder</t>
  </si>
  <si>
    <t>POKJA</t>
  </si>
  <si>
    <t>MRMIK</t>
  </si>
  <si>
    <t>CCTV</t>
  </si>
  <si>
    <t>untuk persyarata akreditasi bukti akses masuk ruangan</t>
  </si>
  <si>
    <t>Pengukur suhu ruangan</t>
  </si>
  <si>
    <t>untuk persyaratan akreditasi ruang filing in aktif</t>
  </si>
  <si>
    <t>rapat pokja</t>
  </si>
  <si>
    <t>Pokja PKPO (PPRA)</t>
  </si>
  <si>
    <t>Uji resistensi antibiotika dan pemeriksaan peta kuman di IBS dan ICU tahunan pihak ke 3</t>
  </si>
  <si>
    <t>Pokja PKPO</t>
  </si>
  <si>
    <t xml:space="preserve">Cetak Formularium </t>
  </si>
  <si>
    <t>SKP</t>
  </si>
  <si>
    <t>STIKER KUNING BULAT RESIKO JATIH</t>
  </si>
  <si>
    <t>KEBUTUHAN POKJA SKP</t>
  </si>
  <si>
    <t>PLASTIK LAMINATING Untuk pembuatan segitiga kuning</t>
  </si>
  <si>
    <t>HIV</t>
  </si>
  <si>
    <t>terlaksananya pelayanan poli vct</t>
  </si>
  <si>
    <t>Dapat melaksanakan pelayanan rawat'</t>
  </si>
  <si>
    <t>PAP</t>
  </si>
  <si>
    <t>pelatihan IHT EWS, pasien resiko tinggi manajemen nyeri</t>
  </si>
  <si>
    <t xml:space="preserve">           </t>
  </si>
  <si>
    <t>KIA</t>
  </si>
  <si>
    <t>Pemberdayaan jejaring</t>
  </si>
  <si>
    <t>Monev dan laporan</t>
  </si>
  <si>
    <t>-</t>
  </si>
  <si>
    <t>KB</t>
  </si>
  <si>
    <t>Monev dan laporan KB</t>
  </si>
  <si>
    <t>stunting</t>
  </si>
  <si>
    <t>pendampingan</t>
  </si>
  <si>
    <t>pendampingan posyandu setiap 3 bulan</t>
  </si>
  <si>
    <t>peningkatan kemampuan skrining</t>
  </si>
  <si>
    <t>TB</t>
  </si>
  <si>
    <t>Promosi kesehatan</t>
  </si>
  <si>
    <t>surveilans TBT TB</t>
  </si>
  <si>
    <t>Monev TB</t>
  </si>
  <si>
    <t>standarisasi ruang isolasi</t>
  </si>
  <si>
    <t>Ketua Akreditasi</t>
  </si>
  <si>
    <t>Snack Rapat Akreditasi</t>
  </si>
  <si>
    <t>Biaya Re- Visitasi Akreditasi</t>
  </si>
  <si>
    <t>PPK</t>
  </si>
  <si>
    <t>Doorprize</t>
  </si>
  <si>
    <t>goodie bag</t>
  </si>
  <si>
    <t>souvenir</t>
  </si>
  <si>
    <t>Komite Farmasi dan Terapi</t>
  </si>
  <si>
    <t>Evaluasi  dan revisi formularium rumah sakit</t>
  </si>
  <si>
    <t>uang saku</t>
  </si>
  <si>
    <t>PMKP</t>
  </si>
  <si>
    <t>Lomba Hari Keselamatan Pasien</t>
  </si>
  <si>
    <t>Door Prise &amp; Hadiah</t>
  </si>
  <si>
    <t>Kebutuhan Utama</t>
  </si>
  <si>
    <t>PENGAJUAN CETAK 2025</t>
  </si>
  <si>
    <t xml:space="preserve">Jumlah kebutuhan setahun </t>
  </si>
  <si>
    <t>buku tuntunan doa pasien</t>
  </si>
  <si>
    <t>kebutuhan rutin pasien</t>
  </si>
  <si>
    <t xml:space="preserve">farmasi </t>
  </si>
  <si>
    <t>Stiker LASA</t>
  </si>
  <si>
    <t>box amfrah obat panjang</t>
  </si>
  <si>
    <t>rim</t>
  </si>
  <si>
    <t>Stiker HIGT ALERT</t>
  </si>
  <si>
    <t>box amfrah obat pendek</t>
  </si>
  <si>
    <t>STIKER LABEL FARMASI</t>
  </si>
  <si>
    <t>STIKER LABEL KRONIS</t>
  </si>
  <si>
    <t>form pemesanan dan ceklist penerimaan bahan makanan</t>
  </si>
  <si>
    <t>untuk dokumentasi pemesanan dan ceklist penerimaan barang</t>
  </si>
  <si>
    <t>form rekap permintaan makan harian</t>
  </si>
  <si>
    <t xml:space="preserve">untuk dokumentasi permintaan makan harian </t>
  </si>
  <si>
    <t>cetak banner</t>
  </si>
  <si>
    <t>sticker barcode</t>
  </si>
  <si>
    <t>POSTER EDUKASI</t>
  </si>
  <si>
    <t>kasir</t>
  </si>
  <si>
    <t>nota pku 2 play</t>
  </si>
  <si>
    <t>nota manual pku kalo sistem down</t>
  </si>
  <si>
    <t xml:space="preserve">formulir pengeluaran kas </t>
  </si>
  <si>
    <t>Rim</t>
  </si>
  <si>
    <t xml:space="preserve">formulir penerimaan kas </t>
  </si>
  <si>
    <t>kwitansi 2 ply</t>
  </si>
  <si>
    <t>nota pku 2 ply</t>
  </si>
  <si>
    <t>KOMITE REKAM MEDIS</t>
  </si>
  <si>
    <t>Amplop Radiologi</t>
  </si>
  <si>
    <t>MAP USG</t>
  </si>
  <si>
    <t>LEMBAR</t>
  </si>
  <si>
    <t>Amplop Coklat PKU</t>
  </si>
  <si>
    <t>RIM</t>
  </si>
  <si>
    <t>MAP RM</t>
  </si>
  <si>
    <t xml:space="preserve">BENDELAN OPERASI UMUM (SC/ORTO/BEDAH) </t>
  </si>
  <si>
    <t>BENDEL</t>
  </si>
  <si>
    <t xml:space="preserve">BENDELAN PERSETUJUAN RAWAT  INAP </t>
  </si>
  <si>
    <t xml:space="preserve">BENDELAN RAWAT INAP DEWASA </t>
  </si>
  <si>
    <t>Buku Kronis</t>
  </si>
  <si>
    <t>Surat bukti pelayanan kesehatan (SBPK)</t>
  </si>
  <si>
    <t>Formulir Transfer Pasien Internal</t>
  </si>
  <si>
    <t>Formulir Konsultasi</t>
  </si>
  <si>
    <t>Surat Pesanan Obat (SP) 2 rangkap</t>
  </si>
  <si>
    <t>Asesmen Shift (bangsal Lt3, 4 dan kebidanan)</t>
  </si>
  <si>
    <t>BENDELAN RAWAT INAP ANAK</t>
  </si>
  <si>
    <t>Amplop Putih PKU</t>
  </si>
  <si>
    <t>BENDELAN GYNECOLOGI</t>
  </si>
  <si>
    <t>Catatan Perkembangan Pasien Terintegrasi ICU</t>
  </si>
  <si>
    <t>Form Pengantaran Obat</t>
  </si>
  <si>
    <t>Formulir layanan antar obat (PAK POS)</t>
  </si>
  <si>
    <t>Surat Permintan laboratorium</t>
  </si>
  <si>
    <t>LAPORAN OPERASI UMUM</t>
  </si>
  <si>
    <t>Formulir klaim rawat jalan layanan kedokteran fisik dan rehabilitasi</t>
  </si>
  <si>
    <t>Formulir Surat Pengantar Darah Transfusi(SPDT)</t>
  </si>
  <si>
    <t>Jadwal pelayanan instalasi rehabilitasi medik</t>
  </si>
  <si>
    <t>Surat ket. Rujukan rangkap 2/Pengiriman Penderita RAWAT JALAN(PINK)</t>
  </si>
  <si>
    <t>Lembar Permintaan transfusi darah</t>
  </si>
  <si>
    <t>Laporan Persalinan(kebidanan /syarat klain BPJS)</t>
  </si>
  <si>
    <t>Buku registrasi laboratorium</t>
  </si>
  <si>
    <t>Buku Registrasi IGD</t>
  </si>
  <si>
    <t>Blangko Hak dan Kewajiban Pasien</t>
  </si>
  <si>
    <t>Catatan Pemberian Obat</t>
  </si>
  <si>
    <t>Stiker Angka Warna DRM</t>
  </si>
  <si>
    <t>PACK</t>
  </si>
  <si>
    <t xml:space="preserve">BENDELAN OPERASI PTEREGIUM </t>
  </si>
  <si>
    <t>Bendelan pasien Baru</t>
  </si>
  <si>
    <t xml:space="preserve">BENDELAN RAWAT OBSTETRI/OBSGYN/KEBIDANAN </t>
  </si>
  <si>
    <t>Blangko pengantar pemeriksaan fisioterapi(rehab medik)</t>
  </si>
  <si>
    <t>Buku Register Bank Darah (Laboratorium)</t>
  </si>
  <si>
    <t>Surat ket. Permintaan rontgen/Radiologi</t>
  </si>
  <si>
    <t xml:space="preserve">BENDELAN NEONATUS </t>
  </si>
  <si>
    <t>Admission Note BPJS</t>
  </si>
  <si>
    <t xml:space="preserve">Blangko Bukti Pelayanan Ambulan </t>
  </si>
  <si>
    <t>Rujukan pasien keluar rumah sakit (RAWAT INAP)</t>
  </si>
  <si>
    <t xml:space="preserve">BENDELAN OPERASI KATARAK </t>
  </si>
  <si>
    <t>Blangko Retur Obat</t>
  </si>
  <si>
    <t>Pemberian Informasi Pemasangan Kateter Urin(DC)</t>
  </si>
  <si>
    <t>Pemberian Informasi Pemasangan NGT</t>
  </si>
  <si>
    <t>BENDELAN KURET</t>
  </si>
  <si>
    <t>Resep Mata</t>
  </si>
  <si>
    <t>Pemberian Informasi Jahit Luka (HEATING)</t>
  </si>
  <si>
    <t>Pemberian Informasi Seksio Sesaria</t>
  </si>
  <si>
    <t xml:space="preserve">BENDELAN LASER </t>
  </si>
  <si>
    <t>Resep</t>
  </si>
  <si>
    <t>Blangko PIO Pasien Pulang Rawat Inap</t>
  </si>
  <si>
    <t>Formulir Pemantauan Transfusi Darah (RM16)</t>
  </si>
  <si>
    <t>stiker hight alert</t>
  </si>
  <si>
    <t xml:space="preserve">Formulir Tranfer Pasien External </t>
  </si>
  <si>
    <t>Asesment Awal Pemeriksaan Khusus Mata</t>
  </si>
  <si>
    <t>Kertas Retur</t>
  </si>
  <si>
    <t>Pemberian Informasi Batu Buli</t>
  </si>
  <si>
    <t>Pemberian Informasi Batu Ureter</t>
  </si>
  <si>
    <t>Pemberian Informasi Eksisi STT</t>
  </si>
  <si>
    <t>Pemberian Informasi OGT (Orogastrc Tube)</t>
  </si>
  <si>
    <t>Pemberian Informasi Persalinan Normal</t>
  </si>
  <si>
    <t>Pemberian Informasi ROI</t>
  </si>
  <si>
    <t>Pemberian Informasi TURP</t>
  </si>
  <si>
    <t>Surat Rekomendasi Dokter /Surat Kontrol</t>
  </si>
  <si>
    <t>Jadwal Terapi (Rehab Medik)</t>
  </si>
  <si>
    <t>Pemberian Informasi URS Litotripsi</t>
  </si>
  <si>
    <t>Blangko PIO Pasien Pulang Rawat Jalan</t>
  </si>
  <si>
    <t>Formulir Konsultasi Hasil Pemeriksaan Uji Silang Serasi(Crossmatching)</t>
  </si>
  <si>
    <t>Edukasi sebelum operasi katarak</t>
  </si>
  <si>
    <t>Pemberian Informasi Apendektomi</t>
  </si>
  <si>
    <t xml:space="preserve">Permintaan obat IGD </t>
  </si>
  <si>
    <t>Formulir Pemberian Informasi Persetujuan di Rujuk (RM 24)</t>
  </si>
  <si>
    <t>Formulir Pernyataan Kronologi Jatuh atau Kecelakaan Lalu Lintas</t>
  </si>
  <si>
    <t>SURAT PERNYATAAN MENUNGGU DI IGD</t>
  </si>
  <si>
    <t>Surat pernyataan penjelasan administrasi penjamin</t>
  </si>
  <si>
    <t>Pemberian Informasi fototerapi</t>
  </si>
  <si>
    <t>Pemberian Informasi imunisasi</t>
  </si>
  <si>
    <t>Pemberian Informasi Kuretase Rongga Uterus</t>
  </si>
  <si>
    <t>Form Pernyataan Perawatan Intensif</t>
  </si>
  <si>
    <t>Formulir Penolakan Dirawat</t>
  </si>
  <si>
    <t>Permohonan Pemasangan DC</t>
  </si>
  <si>
    <t>Blangko Formulir Permohonan TB</t>
  </si>
  <si>
    <t>Buku Cuti 2024</t>
  </si>
  <si>
    <t>Edukasi Sebelum dan Sesudah Operasi Katarak</t>
  </si>
  <si>
    <t>Surat ket. Menunggu Pasien</t>
  </si>
  <si>
    <t>Formulir Kriteria Pasien Masuk Icu/iccu</t>
  </si>
  <si>
    <t>Surat Kronologi Lalu Lintas</t>
  </si>
  <si>
    <t>Observasi HIS dan DJJ</t>
  </si>
  <si>
    <t>Patograf</t>
  </si>
  <si>
    <t>Formulir Pernyataan Pulang Atas Permintaan Sendiri (APS)</t>
  </si>
  <si>
    <t>Lembar Pemantauan Pembedahan dengan Anestesi Lokal</t>
  </si>
  <si>
    <t>Pengkajian  Restrain</t>
  </si>
  <si>
    <t>Skrining pasien MPP</t>
  </si>
  <si>
    <t>Lembar Observasi Restrain</t>
  </si>
  <si>
    <t>Billing Tindakan Dewasa</t>
  </si>
  <si>
    <t>Billing Tindakan gawat Darurat</t>
  </si>
  <si>
    <t>Billing Tindakan Kebidanan</t>
  </si>
  <si>
    <t>Billing Tindakan Per Poli/Bagian</t>
  </si>
  <si>
    <t>Billing Tindakan Rehab Medik</t>
  </si>
  <si>
    <t>Santunan Rohani</t>
  </si>
  <si>
    <t>Surat blangko Tindakan per bagian (poli)</t>
  </si>
  <si>
    <t>Formulir Lembar Skrining Batuk</t>
  </si>
  <si>
    <t>Pemberian Informasi ventilator</t>
  </si>
  <si>
    <t>Catatan Perkembangan Pasien Terintegrasi (CPPT)</t>
  </si>
  <si>
    <t>Formulir Pernyataan Perawatan Intensif(RM 5a)</t>
  </si>
  <si>
    <t>Formulir kriteria pasien masuk Nicu/Neoristi</t>
  </si>
  <si>
    <t>Lembar Penempelan EKG</t>
  </si>
  <si>
    <t>SHK</t>
  </si>
  <si>
    <t>Asesment Pasien Terminal</t>
  </si>
  <si>
    <t>Surat Persetujuan Perawatan di Ruang Isolasi</t>
  </si>
  <si>
    <t>Surat Pernyataan Menunggu di Ruang Isolasi</t>
  </si>
  <si>
    <t>Formulir Visum et Reperetum</t>
  </si>
  <si>
    <t>Kartu bantu (Kartu Harian)</t>
  </si>
  <si>
    <t xml:space="preserve">Stiker Promosi </t>
  </si>
  <si>
    <t>lembar A3</t>
  </si>
  <si>
    <t>cetak visi misi</t>
  </si>
  <si>
    <t>Cetak leaflet gizi</t>
  </si>
  <si>
    <t>cetak tiap 3 bulan sekali</t>
  </si>
  <si>
    <t>Cetak leaflet farmasi</t>
  </si>
  <si>
    <t xml:space="preserve">Cetak leaflet penyakit </t>
  </si>
  <si>
    <t>Cetak leaflet pelayanan</t>
  </si>
  <si>
    <t>Cetak leaflet layanan unit</t>
  </si>
  <si>
    <t>cetak tiap 4 bulan sekali</t>
  </si>
  <si>
    <t>Pembuatan kalender 2024 Cetak kalender duduk tebal</t>
  </si>
  <si>
    <t>kebutuhan tahunan sekali</t>
  </si>
  <si>
    <t>cetak media edukasi</t>
  </si>
  <si>
    <t>cetak media promosi layanan baru</t>
  </si>
  <si>
    <t>Cetak Kertas Pemeriksaan</t>
  </si>
  <si>
    <t>Rim A4</t>
  </si>
  <si>
    <t>MPP</t>
  </si>
  <si>
    <t>Form Skrining MPP</t>
  </si>
  <si>
    <t>Form B</t>
  </si>
  <si>
    <t xml:space="preserve">Form A </t>
  </si>
  <si>
    <t>REKAM MEDIS</t>
  </si>
  <si>
    <t>STIKER LABEL RM</t>
  </si>
  <si>
    <t>map PKU</t>
  </si>
  <si>
    <t>ID card +landyard</t>
  </si>
  <si>
    <t>Pengajuan BHP RUMAH TANGGA 2025</t>
  </si>
  <si>
    <t>LAUNDRY</t>
  </si>
  <si>
    <t>QUALITIC (CHEMICAL LAUNDRY)</t>
  </si>
  <si>
    <t>PAIL</t>
  </si>
  <si>
    <t xml:space="preserve">Plastik Sampah Hitam Besar </t>
  </si>
  <si>
    <t>pack</t>
  </si>
  <si>
    <t>plastik hitam besar (dodo)</t>
  </si>
  <si>
    <t>Gas</t>
  </si>
  <si>
    <t>tabung 12kg</t>
  </si>
  <si>
    <t>plastik kuning besar</t>
  </si>
  <si>
    <t>FARMASI</t>
  </si>
  <si>
    <t>Plastik kantong logo RS PKU</t>
  </si>
  <si>
    <t>Ikat</t>
  </si>
  <si>
    <t xml:space="preserve">Ipsrs dan Elektromedis </t>
  </si>
  <si>
    <t xml:space="preserve">Solar </t>
  </si>
  <si>
    <t xml:space="preserve">liter </t>
  </si>
  <si>
    <t>sunlight</t>
  </si>
  <si>
    <t>galon</t>
  </si>
  <si>
    <t>PLASTIK KLIP 12 X 20</t>
  </si>
  <si>
    <t>Boss</t>
  </si>
  <si>
    <t>Tissue Towel</t>
  </si>
  <si>
    <t xml:space="preserve">dus </t>
  </si>
  <si>
    <t>Fasilitas Cuci Tangan 1 Tahun</t>
  </si>
  <si>
    <t>Stela Gantung   ( Pocket )</t>
  </si>
  <si>
    <t>biji</t>
  </si>
  <si>
    <t>PLASTIK KLIP 10 X 15</t>
  </si>
  <si>
    <t xml:space="preserve">Tapas </t>
  </si>
  <si>
    <t>PLASTIK KLIP 8,7 X 13</t>
  </si>
  <si>
    <t>PLASTIK KLIP 7 X10</t>
  </si>
  <si>
    <t>karbol sere</t>
  </si>
  <si>
    <t>plastik kuning (camar)</t>
  </si>
  <si>
    <t xml:space="preserve">Floor Cleaner </t>
  </si>
  <si>
    <t>porselen cleaner</t>
  </si>
  <si>
    <t>Karbol Wangi</t>
  </si>
  <si>
    <t>Freon R22</t>
  </si>
  <si>
    <t>galon / ken</t>
  </si>
  <si>
    <t xml:space="preserve">kebutuhuna sekunder </t>
  </si>
  <si>
    <t>safety box asli</t>
  </si>
  <si>
    <t>Freon R32</t>
  </si>
  <si>
    <t>Freon R410</t>
  </si>
  <si>
    <t>PLASTIK KANTONG SEDANG</t>
  </si>
  <si>
    <t>Ikat/Kg</t>
  </si>
  <si>
    <t>PLASTIK KANTONG BESAR</t>
  </si>
  <si>
    <t xml:space="preserve">Baterai A2 </t>
  </si>
  <si>
    <t xml:space="preserve">pack </t>
  </si>
  <si>
    <t>TISU</t>
  </si>
  <si>
    <t>Pack</t>
  </si>
  <si>
    <t>1. media</t>
  </si>
  <si>
    <t>penghijauan rs</t>
  </si>
  <si>
    <t>clorin tablet</t>
  </si>
  <si>
    <t>Baterai A3</t>
  </si>
  <si>
    <t>3. tanaman</t>
  </si>
  <si>
    <t>Refill Toner Cartridge Printer HP Pendaftaran - 85A</t>
  </si>
  <si>
    <t>plastik kamar mandi</t>
  </si>
  <si>
    <t xml:space="preserve">tissu </t>
  </si>
  <si>
    <t>Rp. 25.000</t>
  </si>
  <si>
    <t>New Complate ( Vinyl )</t>
  </si>
  <si>
    <t>Plastik Sampah Km</t>
  </si>
  <si>
    <t>4. pot tanaman</t>
  </si>
  <si>
    <t>PLASTIK KANTONG KECIL</t>
  </si>
  <si>
    <t>Refill Toner Cartridge Printer HP Apotek - 83A</t>
  </si>
  <si>
    <t>Refill Toner Cartridge Printer Canon Pendaftaran - 85A</t>
  </si>
  <si>
    <t>EM4</t>
  </si>
  <si>
    <t>Tissue</t>
  </si>
  <si>
    <t>Baterai CR2032</t>
  </si>
  <si>
    <t>kebutuhan rutin (ipsrs dan IT)</t>
  </si>
  <si>
    <t xml:space="preserve">baby oil </t>
  </si>
  <si>
    <t>Isi Kotak P3K</t>
  </si>
  <si>
    <t>2. pupuk</t>
  </si>
  <si>
    <t>Kepentingan Program Kerja</t>
  </si>
  <si>
    <t>Tinta Epson</t>
  </si>
  <si>
    <t xml:space="preserve">isolasi listrik nasional </t>
  </si>
  <si>
    <t xml:space="preserve">Baterai 9 Volt </t>
  </si>
  <si>
    <t>KERTAS BUNGKUS KASA (KERTAS PERKAMEN)</t>
  </si>
  <si>
    <t>pocket</t>
  </si>
  <si>
    <t>Refill Toner Cartridge Printer Brother Kantor - TN2356</t>
  </si>
  <si>
    <t>Tinta Canon</t>
  </si>
  <si>
    <t>plastik kuning ukuran 50x70</t>
  </si>
  <si>
    <t xml:space="preserve">Glass Cleaner </t>
  </si>
  <si>
    <t>porcelin clener</t>
  </si>
  <si>
    <t>jerigen</t>
  </si>
  <si>
    <t>Refill Toner Cartridge Printer HP Kantor - 83A</t>
  </si>
  <si>
    <t>Refill Toner Cartridge Printer HP Informasi - 85A</t>
  </si>
  <si>
    <t xml:space="preserve">massage oil </t>
  </si>
  <si>
    <t>osasir</t>
  </si>
  <si>
    <t xml:space="preserve">pilok </t>
  </si>
  <si>
    <t xml:space="preserve">WD- 40 besar </t>
  </si>
  <si>
    <t>tisu</t>
  </si>
  <si>
    <t>Waxtrip ( Vinyl )</t>
  </si>
  <si>
    <t>Body wash</t>
  </si>
  <si>
    <t>250 ml</t>
  </si>
  <si>
    <t>Tinta Brother</t>
  </si>
  <si>
    <t>Tinta HP</t>
  </si>
  <si>
    <t xml:space="preserve">silen hitam </t>
  </si>
  <si>
    <t>plastik service AC 2 pk</t>
  </si>
  <si>
    <t>sabun mandi bayi johnson</t>
  </si>
  <si>
    <t>minyak kayu putih my baby</t>
  </si>
  <si>
    <t>sabun cuci dot sleek</t>
  </si>
  <si>
    <t>Stella matic</t>
  </si>
  <si>
    <t>Komite medik</t>
  </si>
  <si>
    <t>penghaum ruangan</t>
  </si>
  <si>
    <t>untuk ruangan komite medik</t>
  </si>
  <si>
    <t>Plastik Klip 10 x 15</t>
  </si>
  <si>
    <t>BOSS</t>
  </si>
  <si>
    <t>sterofom</t>
  </si>
  <si>
    <t>dirut</t>
  </si>
  <si>
    <t>gula tropicana</t>
  </si>
  <si>
    <t>dus</t>
  </si>
  <si>
    <t>TISUE</t>
  </si>
  <si>
    <t>SIKAT ALAT</t>
  </si>
  <si>
    <t>Baterai A23</t>
  </si>
  <si>
    <t>tissu</t>
  </si>
  <si>
    <t xml:space="preserve">Fitting </t>
  </si>
  <si>
    <t xml:space="preserve">kopi kapal api </t>
  </si>
  <si>
    <t>TISSU</t>
  </si>
  <si>
    <t>pengharum ruangan</t>
  </si>
  <si>
    <t xml:space="preserve">baut fisher </t>
  </si>
  <si>
    <t xml:space="preserve">higux </t>
  </si>
  <si>
    <t xml:space="preserve">lem alteko </t>
  </si>
  <si>
    <t>SARUNG TANGAN PANJANG</t>
  </si>
  <si>
    <t>pasang</t>
  </si>
  <si>
    <t xml:space="preserve">baut gypsum 5 cm </t>
  </si>
  <si>
    <t xml:space="preserve">pengharum ruangan </t>
  </si>
  <si>
    <t>Rp. 30.000</t>
  </si>
  <si>
    <t>gelas sendok sekali pakai</t>
  </si>
  <si>
    <t>silen putih</t>
  </si>
  <si>
    <t xml:space="preserve">lem pralon </t>
  </si>
  <si>
    <t xml:space="preserve">imbow dus </t>
  </si>
  <si>
    <t xml:space="preserve">perak </t>
  </si>
  <si>
    <t>fisher S10</t>
  </si>
  <si>
    <t xml:space="preserve">baut gypsum 2 cm </t>
  </si>
  <si>
    <t xml:space="preserve">baut gypsum 3 cm </t>
  </si>
  <si>
    <t xml:space="preserve">fisher plavon </t>
  </si>
  <si>
    <t xml:space="preserve">isolatif </t>
  </si>
  <si>
    <t xml:space="preserve">lastok </t>
  </si>
  <si>
    <t>Pasta Prosesor Deep Cool Z3</t>
  </si>
  <si>
    <t>Pengharum ruangan</t>
  </si>
  <si>
    <t>tissue</t>
  </si>
  <si>
    <t>tisue</t>
  </si>
  <si>
    <t>plastik klip 12x20</t>
  </si>
  <si>
    <t>BOS</t>
  </si>
  <si>
    <t>HAIR LOTION</t>
  </si>
  <si>
    <t>COLOGNE SUMMER SWING</t>
  </si>
  <si>
    <t xml:space="preserve">Plastik Muntah </t>
  </si>
  <si>
    <t>fisher S6</t>
  </si>
  <si>
    <t>Tissue toilet</t>
  </si>
  <si>
    <t>fisher S8</t>
  </si>
  <si>
    <t>baby oil</t>
  </si>
  <si>
    <t>gelas kertas</t>
  </si>
  <si>
    <t>stella matic</t>
  </si>
  <si>
    <t>Furniture Shine ( PLEADGE )</t>
  </si>
  <si>
    <t>botol</t>
  </si>
  <si>
    <t>tisue toilet</t>
  </si>
  <si>
    <t xml:space="preserve">kabel ties </t>
  </si>
  <si>
    <t>oli mesin</t>
  </si>
  <si>
    <t>stella spray</t>
  </si>
  <si>
    <t xml:space="preserve">klem kabel besar </t>
  </si>
  <si>
    <t>Baterai LR 44</t>
  </si>
  <si>
    <t>Povidone Iodine</t>
  </si>
  <si>
    <t>Rivanol</t>
  </si>
  <si>
    <t>Kasa</t>
  </si>
  <si>
    <t>Gunting</t>
  </si>
  <si>
    <t xml:space="preserve">Bioplacenton </t>
  </si>
  <si>
    <t>Minyak Kayu putih</t>
  </si>
  <si>
    <t>Hipafix</t>
  </si>
  <si>
    <t>Kapas</t>
  </si>
  <si>
    <t xml:space="preserve">Betadine </t>
  </si>
  <si>
    <t>Handsaplast</t>
  </si>
  <si>
    <t>shampo cuci mobil</t>
  </si>
  <si>
    <t>6lt</t>
  </si>
  <si>
    <t>semir ban</t>
  </si>
  <si>
    <t xml:space="preserve">Baterai ABC R14 </t>
  </si>
  <si>
    <t xml:space="preserve">set </t>
  </si>
  <si>
    <t xml:space="preserve">klem kabel kecil / sedang </t>
  </si>
  <si>
    <t>obat pel</t>
  </si>
  <si>
    <t>BBM</t>
  </si>
  <si>
    <t>sendok plastik besar</t>
  </si>
  <si>
    <t>KAPAS 1/2 kg</t>
  </si>
  <si>
    <t>bal</t>
  </si>
  <si>
    <t xml:space="preserve">scrub fiber </t>
  </si>
  <si>
    <t>Sabun Mandi</t>
  </si>
  <si>
    <t>pouch</t>
  </si>
  <si>
    <t xml:space="preserve">COTTON BOTH BESAR </t>
  </si>
  <si>
    <t>COTTON BOTH KECIL</t>
  </si>
  <si>
    <t>TEMPAT SABUN</t>
  </si>
  <si>
    <t>tusuk gigi</t>
  </si>
  <si>
    <t>piring plastik uk besar</t>
  </si>
  <si>
    <t>plastik ziplok ukuran 40x55</t>
  </si>
  <si>
    <t>bok</t>
  </si>
  <si>
    <t>Thermal Pasta HY-510 Merk Halnziye 20g</t>
  </si>
  <si>
    <t>solatip</t>
  </si>
  <si>
    <t>Grenjeng cuci</t>
  </si>
  <si>
    <t>Detergent</t>
  </si>
  <si>
    <t>sachet</t>
  </si>
  <si>
    <t xml:space="preserve">kawat / tali </t>
  </si>
  <si>
    <t>gulung</t>
  </si>
  <si>
    <t xml:space="preserve">pasta dispenser </t>
  </si>
  <si>
    <t>Baterai 1130</t>
  </si>
  <si>
    <t xml:space="preserve">tiner </t>
  </si>
  <si>
    <t>Gas LPG</t>
  </si>
  <si>
    <t>tusuk sate</t>
  </si>
  <si>
    <t>piring plastik uk kecil</t>
  </si>
  <si>
    <t>plastik maksi</t>
  </si>
  <si>
    <t xml:space="preserve">paku beton </t>
  </si>
  <si>
    <t xml:space="preserve">paku payung </t>
  </si>
  <si>
    <t>rak kecil (untuk gelas)</t>
  </si>
  <si>
    <t>Plastik klip 8.7X13</t>
  </si>
  <si>
    <t>sendok plastik kecil</t>
  </si>
  <si>
    <t>gemukan / pelumas</t>
  </si>
  <si>
    <t>SPON CUCI</t>
  </si>
  <si>
    <t>sabun cuci piring</t>
  </si>
  <si>
    <t>the celup</t>
  </si>
  <si>
    <t xml:space="preserve">solasi bakar </t>
  </si>
  <si>
    <t>KENUR</t>
  </si>
  <si>
    <t xml:space="preserve">Autoclave </t>
  </si>
  <si>
    <t>Pengajuan Kalibrasi</t>
  </si>
  <si>
    <t>Tahun 2025</t>
  </si>
  <si>
    <t>JENIS BARANG</t>
  </si>
  <si>
    <t>HARGA TOTAL</t>
  </si>
  <si>
    <t xml:space="preserve">Anestesi + 2 Vaporizer </t>
  </si>
  <si>
    <t>Anemometer</t>
  </si>
  <si>
    <t xml:space="preserve">Air Quality meter </t>
  </si>
  <si>
    <t>Autorefraktometer</t>
  </si>
  <si>
    <t xml:space="preserve">Bed Side Monitor </t>
  </si>
  <si>
    <t xml:space="preserve">Biometri / USG Mata </t>
  </si>
  <si>
    <t>Biology Safety Cabinet</t>
  </si>
  <si>
    <t xml:space="preserve">Bank darah </t>
  </si>
  <si>
    <t xml:space="preserve">Blood Pressue Monitor </t>
  </si>
  <si>
    <t xml:space="preserve">Blood Warmer </t>
  </si>
  <si>
    <t xml:space="preserve">Centrifuge </t>
  </si>
  <si>
    <t>CPAP</t>
  </si>
  <si>
    <t>CTG</t>
  </si>
  <si>
    <t xml:space="preserve">Computer Radiography </t>
  </si>
  <si>
    <t>Defibrilator AED</t>
  </si>
  <si>
    <t xml:space="preserve">Defibrilator Monitor </t>
  </si>
  <si>
    <t xml:space="preserve">Dental Unit </t>
  </si>
  <si>
    <t xml:space="preserve">ECG Monitor </t>
  </si>
  <si>
    <t xml:space="preserve">Endoscopy </t>
  </si>
  <si>
    <t>ESU</t>
  </si>
  <si>
    <t xml:space="preserve">EST </t>
  </si>
  <si>
    <t xml:space="preserve">Fetal Doppler </t>
  </si>
  <si>
    <t xml:space="preserve">Flowmeter </t>
  </si>
  <si>
    <t xml:space="preserve">Head Lamp </t>
  </si>
  <si>
    <t xml:space="preserve">HFNC </t>
  </si>
  <si>
    <t xml:space="preserve">Incubator laboratory </t>
  </si>
  <si>
    <t xml:space="preserve">Incubator Transport </t>
  </si>
  <si>
    <t xml:space="preserve">Infant Warmer </t>
  </si>
  <si>
    <t>Infra Red Lamp</t>
  </si>
  <si>
    <t xml:space="preserve">Infus Pump </t>
  </si>
  <si>
    <t>LAF</t>
  </si>
  <si>
    <t xml:space="preserve">Lampu Operasi </t>
  </si>
  <si>
    <t xml:space="preserve">Lampu Tindakan </t>
  </si>
  <si>
    <t>Laser (Mata)</t>
  </si>
  <si>
    <t>Lux meter</t>
  </si>
  <si>
    <t xml:space="preserve">Micropipet </t>
  </si>
  <si>
    <t xml:space="preserve">Medical Refrigerator </t>
  </si>
  <si>
    <t xml:space="preserve">Microscope </t>
  </si>
  <si>
    <t xml:space="preserve">Nebulizer </t>
  </si>
  <si>
    <t>Non Contact - Tonometer</t>
  </si>
  <si>
    <t xml:space="preserve">Pulse Oximetri </t>
  </si>
  <si>
    <t xml:space="preserve">Pulse Oximetri Bayi </t>
  </si>
  <si>
    <t xml:space="preserve">Slit Lamp </t>
  </si>
  <si>
    <t xml:space="preserve">Sound Level meter </t>
  </si>
  <si>
    <t xml:space="preserve">Sphygmomanometer </t>
  </si>
  <si>
    <t xml:space="preserve">Spirometri </t>
  </si>
  <si>
    <t>Sterilisator kering</t>
  </si>
  <si>
    <t xml:space="preserve">Suction Pump </t>
  </si>
  <si>
    <t xml:space="preserve">Suction Dinding </t>
  </si>
  <si>
    <t>SWD</t>
  </si>
  <si>
    <t xml:space="preserve">Syringe Pump </t>
  </si>
  <si>
    <t xml:space="preserve">Thermometer Klinik </t>
  </si>
  <si>
    <t xml:space="preserve">Thermohygrometer </t>
  </si>
  <si>
    <t xml:space="preserve">Timbangan Badan </t>
  </si>
  <si>
    <t xml:space="preserve">Timbangan Bayi </t>
  </si>
  <si>
    <t xml:space="preserve">USG </t>
  </si>
  <si>
    <t>UST</t>
  </si>
  <si>
    <t xml:space="preserve">Ventilator </t>
  </si>
  <si>
    <t xml:space="preserve">X- Ray General Purpose </t>
  </si>
  <si>
    <t xml:space="preserve">Total </t>
  </si>
  <si>
    <t>Catatan : belum termasuk alat baru yang belum terencana (yang akan datang)</t>
  </si>
  <si>
    <t xml:space="preserve">Akomodasi </t>
  </si>
  <si>
    <t xml:space="preserve">Snack + makan siang petugas </t>
  </si>
  <si>
    <t xml:space="preserve">Subtotal </t>
  </si>
  <si>
    <t>PERALATAN MEDIS</t>
  </si>
  <si>
    <t>FOTOTERAPI BILISPHERE 360 LED</t>
  </si>
  <si>
    <t>MENINGKATKAN MUTU PELAYANAN</t>
  </si>
  <si>
    <t>INCUBATOR TRANSPORT GEA</t>
  </si>
  <si>
    <t>Penggantian motor suction tens</t>
  </si>
  <si>
    <t>EST (Tens)</t>
  </si>
  <si>
    <t xml:space="preserve">penggantian heater elemen </t>
  </si>
  <si>
    <t>Rehab Medik</t>
  </si>
  <si>
    <t>diathermy</t>
  </si>
  <si>
    <t>pembaruan alat</t>
  </si>
  <si>
    <t>bed vip</t>
  </si>
  <si>
    <t>bed ruangan vip kurang 1. bed yang ada bed kelas 1</t>
  </si>
  <si>
    <t>bed gyn (kiret)</t>
  </si>
  <si>
    <t>tidak layak ( rusak )</t>
  </si>
  <si>
    <t>Bed Side Monitor</t>
  </si>
  <si>
    <t>bed transpot</t>
  </si>
  <si>
    <t>Bed transfer</t>
  </si>
  <si>
    <t>penggantian remote bad VIP</t>
  </si>
  <si>
    <t>bad obsgin (gea )</t>
  </si>
  <si>
    <t xml:space="preserve">parafin bath </t>
  </si>
  <si>
    <t>pengadaan alat</t>
  </si>
  <si>
    <t xml:space="preserve">pemeliharaan CPU USG </t>
  </si>
  <si>
    <t>USG sonocape dan GE</t>
  </si>
  <si>
    <t xml:space="preserve">Penggantian kabel ECG </t>
  </si>
  <si>
    <t xml:space="preserve">ECG </t>
  </si>
  <si>
    <t>Pemeliharaan Recorder CR</t>
  </si>
  <si>
    <t>pemeliharaan x-ray</t>
  </si>
  <si>
    <t>adjustmen colimator X-ray</t>
  </si>
  <si>
    <t>O2 Cell Ventilator (Mindray) MOX3</t>
  </si>
  <si>
    <t>Ventilator</t>
  </si>
  <si>
    <t>O2 Cell Anestesi (Mindray) OOM102-1</t>
  </si>
  <si>
    <t>mesin anestesi</t>
  </si>
  <si>
    <t>O2 Cell Ventilator (C1) 396200</t>
  </si>
  <si>
    <t>penggantian baterai AED</t>
  </si>
  <si>
    <t>defibrilator AED (ambulance)</t>
  </si>
  <si>
    <t xml:space="preserve">Lampu Phototerapi Led </t>
  </si>
  <si>
    <t xml:space="preserve">Kabel temperatur </t>
  </si>
  <si>
    <t>Ventilator dan CPAP</t>
  </si>
  <si>
    <t>alas penghangat elektrik</t>
  </si>
  <si>
    <t>untuk pasien hipotermi</t>
  </si>
  <si>
    <t>penggantian baterai Defibilator IGD</t>
  </si>
  <si>
    <t xml:space="preserve">penggantian power supply </t>
  </si>
  <si>
    <t xml:space="preserve">penggantian power supply laser </t>
  </si>
  <si>
    <t>Pemeliharaan printer x-ray</t>
  </si>
  <si>
    <t>penggantian lenssa probe THT</t>
  </si>
  <si>
    <t xml:space="preserve">penggantian seal pintu autoclave  </t>
  </si>
  <si>
    <t xml:space="preserve">Pemeliharaan vacum autoclave </t>
  </si>
  <si>
    <t>penggantian pcb utama NCT</t>
  </si>
  <si>
    <t xml:space="preserve">penggantian probe transduser </t>
  </si>
  <si>
    <t>drop sensor infus pump</t>
  </si>
  <si>
    <t>bad pasien transfer GEA</t>
  </si>
  <si>
    <t>Essy Mover</t>
  </si>
  <si>
    <t>Mempermudah Pemindahan pasien dengan Aman</t>
  </si>
  <si>
    <t xml:space="preserve">BONET /TOPI </t>
  </si>
  <si>
    <t>CADANGAN/PEMBARUAN</t>
  </si>
  <si>
    <t>pulse oxy pm go (mydrey )</t>
  </si>
  <si>
    <t>mindray pm60 oksimetri</t>
  </si>
  <si>
    <t>belum punya yg digital charger</t>
  </si>
  <si>
    <t xml:space="preserve">LARINGOSKOP </t>
  </si>
  <si>
    <t>PULSE OXIMETER PORTABLE</t>
  </si>
  <si>
    <t>bed pasien bangsal</t>
  </si>
  <si>
    <t>bed bangsal arofah rusak</t>
  </si>
  <si>
    <t>Mesin Saction merk onemed</t>
  </si>
  <si>
    <t>kurang 1 rusak 1</t>
  </si>
  <si>
    <t>SUCTION PUMP ELECTRIK</t>
  </si>
  <si>
    <t>ACCESORIS ALAT</t>
  </si>
  <si>
    <t>pulse oksimeter bayi</t>
  </si>
  <si>
    <t>di pakai untuk pasien anak</t>
  </si>
  <si>
    <t>troli tindakan injeksi</t>
  </si>
  <si>
    <t>agar pemberian injeksi bisa jalan 2 tim</t>
  </si>
  <si>
    <t>easy mover</t>
  </si>
  <si>
    <t>memudahkan perawat saat akan transfer pasien ke unit lain</t>
  </si>
  <si>
    <t>BAGGING /BMS</t>
  </si>
  <si>
    <t xml:space="preserve">TROLY TINDAKAN </t>
  </si>
  <si>
    <t>LAMPU TINDAKAN</t>
  </si>
  <si>
    <t>troley tindakan ruang isolasi icu</t>
  </si>
  <si>
    <t>untuk ruang isolasi</t>
  </si>
  <si>
    <t>Kebidanan</t>
  </si>
  <si>
    <t>untuk menambah dibangsal baru</t>
  </si>
  <si>
    <t>Set Vacuum</t>
  </si>
  <si>
    <t>laminaria set + bak instrumen</t>
  </si>
  <si>
    <t>iud set + bak instrumen</t>
  </si>
  <si>
    <t>blender racik obat</t>
  </si>
  <si>
    <t>pemisahan apotek rawat jalan dan back up</t>
  </si>
  <si>
    <t>mikropipet 2-20</t>
  </si>
  <si>
    <t>untuk bank darah</t>
  </si>
  <si>
    <t>mikropipet 100-1000</t>
  </si>
  <si>
    <t>saction pum dinding ( SME )</t>
  </si>
  <si>
    <t>ponek</t>
  </si>
  <si>
    <t>BOX BAYI</t>
  </si>
  <si>
    <t xml:space="preserve">STETOSKOP </t>
  </si>
  <si>
    <t>tensi digital anak</t>
  </si>
  <si>
    <t>untuk jaga jaga jika ada yang rusak</t>
  </si>
  <si>
    <t xml:space="preserve">Lampu Photometer </t>
  </si>
  <si>
    <t xml:space="preserve">Laborat </t>
  </si>
  <si>
    <t xml:space="preserve">stetoskop bayi </t>
  </si>
  <si>
    <t>jaga2 kalu rusak</t>
  </si>
  <si>
    <t xml:space="preserve">OKSIGEN TRANSPORT </t>
  </si>
  <si>
    <t>etalase penyimpanan obat(loker +an)</t>
  </si>
  <si>
    <t>Magnehelic</t>
  </si>
  <si>
    <t>belum tersedia alat pengukuran tekanan</t>
  </si>
  <si>
    <t xml:space="preserve">Y PIECE OKSIGEN </t>
  </si>
  <si>
    <t>gudang</t>
  </si>
  <si>
    <t>field bed</t>
  </si>
  <si>
    <t xml:space="preserve">1 rusak , tambah 1 </t>
  </si>
  <si>
    <t>TERMOMETER DIGITAL</t>
  </si>
  <si>
    <t>stetoskop Anak</t>
  </si>
  <si>
    <t>stetoskop anak ligthment</t>
  </si>
  <si>
    <t>di gunakan untuk pasien anak</t>
  </si>
  <si>
    <t>stetoskop dewasa letmen</t>
  </si>
  <si>
    <t>stetoskop bayi letmen</t>
  </si>
  <si>
    <t>kabel ekg anak mindray 3 lead</t>
  </si>
  <si>
    <t>termometer</t>
  </si>
  <si>
    <t xml:space="preserve">Otoskop Alat cek Telinga </t>
  </si>
  <si>
    <t>MASK VENTILATOR</t>
  </si>
  <si>
    <t xml:space="preserve">SAMBUNGAN KABEL SPO2 </t>
  </si>
  <si>
    <t>SIRKUIT VENTILATOR</t>
  </si>
  <si>
    <t>SIRKUIT CPAP</t>
  </si>
  <si>
    <t>kasur dekubitus</t>
  </si>
  <si>
    <t>untuk ruang icu isolasi</t>
  </si>
  <si>
    <t>tensimeter digital omrone</t>
  </si>
  <si>
    <t>Blower</t>
  </si>
  <si>
    <t>beging neonatus</t>
  </si>
  <si>
    <t>PERALATAN NON MEDIS</t>
  </si>
  <si>
    <t>SATUAN</t>
  </si>
  <si>
    <t xml:space="preserve">Seragam Pegawai </t>
  </si>
  <si>
    <t>money detector</t>
  </si>
  <si>
    <t>money counter krisbow</t>
  </si>
  <si>
    <t>Monitor LED Lenovo 22 inch</t>
  </si>
  <si>
    <t>penggantian water heater</t>
  </si>
  <si>
    <t>dokter ibs, bangsal lt.3/4, kebidanan, gizi, icu</t>
  </si>
  <si>
    <t>ASET</t>
  </si>
  <si>
    <t>pemindan dari imb ke pbg</t>
  </si>
  <si>
    <t xml:space="preserve">rak alat makan kotor </t>
  </si>
  <si>
    <t>untuk tempat piring kotor di bangsal agar tidak berserakan</t>
  </si>
  <si>
    <t>1. pompa cadangan</t>
  </si>
  <si>
    <t>perawatan tandon, grontank dan saluran air bersih</t>
  </si>
  <si>
    <t>penggantian batrai ups</t>
  </si>
  <si>
    <t>penggantian modul ups</t>
  </si>
  <si>
    <t>Perawatannurse station</t>
  </si>
  <si>
    <t>penggantian inverter</t>
  </si>
  <si>
    <t>penggantian batrai ARD</t>
  </si>
  <si>
    <t>display sangkar</t>
  </si>
  <si>
    <t>display lantai</t>
  </si>
  <si>
    <t>fan sankar</t>
  </si>
  <si>
    <t xml:space="preserve">inverter pintu </t>
  </si>
  <si>
    <t>bearing pully the flector</t>
  </si>
  <si>
    <t>sensor pintu</t>
  </si>
  <si>
    <t>Aki 120A</t>
  </si>
  <si>
    <t>pemeliharaan genset</t>
  </si>
  <si>
    <t>23. pompa dussing</t>
  </si>
  <si>
    <t>1. manometer air bersih</t>
  </si>
  <si>
    <t>monitoring debit harian air bersih</t>
  </si>
  <si>
    <t>1. manometer air limbah</t>
  </si>
  <si>
    <t>2. monitoring debit harian air limbah</t>
  </si>
  <si>
    <t>Tandu Lipat Darurat</t>
  </si>
  <si>
    <t>Body Harness Double Lanyard</t>
  </si>
  <si>
    <t>Kursi tunggu pasien</t>
  </si>
  <si>
    <t>yang lama sering eror</t>
  </si>
  <si>
    <t>sparepart mesin pengering</t>
  </si>
  <si>
    <t>Pemeliharaan mesin laundy</t>
  </si>
  <si>
    <t>sparepart mesin pencucian</t>
  </si>
  <si>
    <t>pulley, streng, dll</t>
  </si>
  <si>
    <t>Kabel UTP Cat 6 Comscope</t>
  </si>
  <si>
    <t>PC Server</t>
  </si>
  <si>
    <t>UPS 6KVA</t>
  </si>
  <si>
    <t xml:space="preserve"> sistem backup kelistrikan server</t>
  </si>
  <si>
    <t>Instalasi exhause</t>
  </si>
  <si>
    <t>exhaust tidak standar, komplain dari unit lain terkait aroma saat pengolahan makanan</t>
  </si>
  <si>
    <t>CCTV + DVR</t>
  </si>
  <si>
    <t>pengganti cctv lama</t>
  </si>
  <si>
    <t>peralatan pendukung pengeklaiman</t>
  </si>
  <si>
    <t>perubahan regulasi yang mendadak</t>
  </si>
  <si>
    <t>6. Pompa sumer sibel AB cadangan</t>
  </si>
  <si>
    <t>4. pompa pendorong besar</t>
  </si>
  <si>
    <t xml:space="preserve">accu kering </t>
  </si>
  <si>
    <t>kursi tunggu keluarga pasien</t>
  </si>
  <si>
    <t>kursi penunggu pasien sudah tidak layak</t>
  </si>
  <si>
    <t>RM dan Informasi</t>
  </si>
  <si>
    <t>AC</t>
  </si>
  <si>
    <t xml:space="preserve"> filing dan pendaftaran belum ada</t>
  </si>
  <si>
    <t>Router MikroTik CCR2116-12G-4S+</t>
  </si>
  <si>
    <t>Hand Rail Gedung</t>
  </si>
  <si>
    <t>counter perawat + Tempat status pasien</t>
  </si>
  <si>
    <t>yang sekarang kurang memadai</t>
  </si>
  <si>
    <t>Asus Zenbook 14 OLED (UM3406)</t>
  </si>
  <si>
    <t>Sbg laptop operator ketika ada event besar, spt akreditasi yg membutuhkan laptop yang bagus</t>
  </si>
  <si>
    <t>Tenda Darurat</t>
  </si>
  <si>
    <t>Linksys LGS124-AP 24-Port Gigabit Switch</t>
  </si>
  <si>
    <t>PC Rakitan Backup</t>
  </si>
  <si>
    <t>kursi futura untuk penunggu pasien</t>
  </si>
  <si>
    <t>nurse station</t>
  </si>
  <si>
    <t>meja depan rehab medik sudah rusak</t>
  </si>
  <si>
    <t>meja stenlis pengepakan</t>
  </si>
  <si>
    <t>gorden ruangan</t>
  </si>
  <si>
    <t>penggantian</t>
  </si>
  <si>
    <t>Laptop</t>
  </si>
  <si>
    <t>Ruang bermain/pemeriksaan tumbang anak 3x3 meter</t>
  </si>
  <si>
    <t>AC aula 2PK</t>
  </si>
  <si>
    <t>Hand Rail Kamar Mandi</t>
  </si>
  <si>
    <t>Ronde Fasilitas</t>
  </si>
  <si>
    <t>SCAN</t>
  </si>
  <si>
    <t>untuk mendukung sistem ERM</t>
  </si>
  <si>
    <t>Gas Detector</t>
  </si>
  <si>
    <t>Pengukuran kebocoran gas</t>
  </si>
  <si>
    <t>BATHUP BAYI</t>
  </si>
  <si>
    <t>meja aula</t>
  </si>
  <si>
    <t>komputer set</t>
  </si>
  <si>
    <t>komputer lama yang lemot</t>
  </si>
  <si>
    <t>Sofa + meja</t>
  </si>
  <si>
    <t>1 set</t>
  </si>
  <si>
    <t>meja setrika</t>
  </si>
  <si>
    <t>penggantian meja setrika yang tidak layak</t>
  </si>
  <si>
    <t>komputer</t>
  </si>
  <si>
    <t>jumlahnya kurang</t>
  </si>
  <si>
    <t>set komputer perawat</t>
  </si>
  <si>
    <t>scanner</t>
  </si>
  <si>
    <t>tv untuk perpustakaan</t>
  </si>
  <si>
    <t>1. tandon</t>
  </si>
  <si>
    <t>penambahan tandon AB dan instal tandon</t>
  </si>
  <si>
    <t>kursi komite medik</t>
  </si>
  <si>
    <t>kursi aula</t>
  </si>
  <si>
    <t>Kursi conter perawat&amp; tunggu pasien</t>
  </si>
  <si>
    <t>pengganti kursi plastik</t>
  </si>
  <si>
    <t>instalasi</t>
  </si>
  <si>
    <t>pembuatan dudukan tandon</t>
  </si>
  <si>
    <t>Webcam Logitech C310</t>
  </si>
  <si>
    <t>exshause</t>
  </si>
  <si>
    <t>ruangan Nur 1 jika di situasionalkan jadi ruang isolasi anak</t>
  </si>
  <si>
    <t>WBGT Meter</t>
  </si>
  <si>
    <t>Pengukuran iklim kerja atau heat stress</t>
  </si>
  <si>
    <t>upgrading pc asset</t>
  </si>
  <si>
    <t>pc yang ada di upgrade , sering eror sendiri</t>
  </si>
  <si>
    <t>SOFA MENYUSUI</t>
  </si>
  <si>
    <t>exs house</t>
  </si>
  <si>
    <t>belum berada diruang isolasi</t>
  </si>
  <si>
    <t>box pencucian alat/pengering alat</t>
  </si>
  <si>
    <t>gudang farmasi</t>
  </si>
  <si>
    <t>perluasan tempat penyimpanan cairan infus</t>
  </si>
  <si>
    <t>tidak cukup untuk menaruh stock 1 minggu cairan, beberpa alkes habis pakai terpaksa ditaruh di luar ruangan</t>
  </si>
  <si>
    <t xml:space="preserve">blender </t>
  </si>
  <si>
    <t>kapasitas 2-5 liter, saat ini gizi memiliki 2 blender kapasitas rumah tangga dan sudah over kapasitas, penereapan efetifitas dan efisiensi kegiatan</t>
  </si>
  <si>
    <t>Rak susun kaca/display</t>
  </si>
  <si>
    <t>rak khusus untuk penyimpanan produk susu, saat ini produk susu hanya disimpan pada rak biasa dan bercampur dengan bahan kering lainnya di gudang kering. Produk susu rentan terhadap perubahan organoleptik</t>
  </si>
  <si>
    <t>almari dinding ponek</t>
  </si>
  <si>
    <t>Set Meja dan kursi untuk konten edukasi</t>
  </si>
  <si>
    <t>Printer</t>
  </si>
  <si>
    <t>PSC (Printer, Scan, Copy)</t>
  </si>
  <si>
    <t>yang lama belum ada scan, copy dan sering eror</t>
  </si>
  <si>
    <t>DIRUT</t>
  </si>
  <si>
    <t>AC 1 pk Daikin ruang rapat direksi</t>
  </si>
  <si>
    <t xml:space="preserve">sudah lama gak dingin </t>
  </si>
  <si>
    <t>AC 1 pk Daikin direktur utama</t>
  </si>
  <si>
    <t>Kursi tunggu pasien panjang</t>
  </si>
  <si>
    <t>Intel Core i7-12700</t>
  </si>
  <si>
    <t>Upgrade PC (Mobo DDR5, Intel Core Gen 12 up, 32gb RAM DDR5)</t>
  </si>
  <si>
    <t>Printer Thermal TSC TTP244 Pro</t>
  </si>
  <si>
    <t>Eye Washer</t>
  </si>
  <si>
    <t>printer hp smart tank 615</t>
  </si>
  <si>
    <t>Monitor Xiaomi Mi 34 Inch G34WQi WQHD Widescreen</t>
  </si>
  <si>
    <t>Penambahan Monitor + Bracket</t>
  </si>
  <si>
    <t xml:space="preserve">Dir.Umum </t>
  </si>
  <si>
    <t>Belum punya</t>
  </si>
  <si>
    <t>6. pembuatan tutup tabung ipal</t>
  </si>
  <si>
    <t>LEMARI LINEN</t>
  </si>
  <si>
    <t>LEMARI KURANG BESAR</t>
  </si>
  <si>
    <t>KABINET PASIEN</t>
  </si>
  <si>
    <t>WASTAFEL CUCI DOT</t>
  </si>
  <si>
    <t>MEJA KOMPUTER</t>
  </si>
  <si>
    <t>Loker penunggu pasien</t>
  </si>
  <si>
    <t>kebutuhan penunggu pasien</t>
  </si>
  <si>
    <t xml:space="preserve">lensa </t>
  </si>
  <si>
    <t>troli</t>
  </si>
  <si>
    <t xml:space="preserve">Core i5-14400F </t>
  </si>
  <si>
    <t>MSI B760M Project Zero</t>
  </si>
  <si>
    <t>Upgrading PC Desain</t>
  </si>
  <si>
    <t>STB tv</t>
  </si>
  <si>
    <t>TV lama yang pakai stb susah dinyalakan, pasien anak butuh hiburan diruangan</t>
  </si>
  <si>
    <t>KONTER MEJA PERAWAT</t>
  </si>
  <si>
    <t>meja security</t>
  </si>
  <si>
    <t>hp</t>
  </si>
  <si>
    <t>Freezer 1 pintu</t>
  </si>
  <si>
    <t>pemisahan penyimpanan bahan sesuai jenisnya. Saat ini penyimpanan daging dan ikan dalam 1 freezer</t>
  </si>
  <si>
    <t>DDR 5 32GB – 5600 Team TForce Delta</t>
  </si>
  <si>
    <t xml:space="preserve">Kunci ring pas </t>
  </si>
  <si>
    <t>kulkas 2 pintu</t>
  </si>
  <si>
    <t>kulkas lama untuk menyimpan obat mengembun</t>
  </si>
  <si>
    <t>Manikin infus set</t>
  </si>
  <si>
    <t xml:space="preserve">Mesin Bor Hammer dril </t>
  </si>
  <si>
    <t>lampu uv</t>
  </si>
  <si>
    <t>1. timbangan sampah digital</t>
  </si>
  <si>
    <t>3. pemeliharaan sarana pengelolaan sampah</t>
  </si>
  <si>
    <t>Stiker White Board Jadwal Operasi IBS</t>
  </si>
  <si>
    <t>Untuk Mempertegas batas Tulis jadwal Operasi</t>
  </si>
  <si>
    <t>Stiker Penghalang Pandangan Pintu Masuk IBS</t>
  </si>
  <si>
    <t>Supaya pada saat ganti linen pasien di Ok tidak Kelihatan dari Luar Karena Pintunya kaca (Privasi)</t>
  </si>
  <si>
    <t>LEMARI LOKER</t>
  </si>
  <si>
    <t>KURANG BESAR</t>
  </si>
  <si>
    <t>LEMARI BERKAS</t>
  </si>
  <si>
    <t>Hard Disk HDD 2 TB purple seta khusus CCTV</t>
  </si>
  <si>
    <t>loker petugas</t>
  </si>
  <si>
    <t>belum punya  loker</t>
  </si>
  <si>
    <t>Upgrade LCD</t>
  </si>
  <si>
    <t>upgrade</t>
  </si>
  <si>
    <t>dongkrak buaya 2 ton</t>
  </si>
  <si>
    <t>untuk penggantian roda bed</t>
  </si>
  <si>
    <t>Manikin Ibu menyusui</t>
  </si>
  <si>
    <t xml:space="preserve">printer </t>
  </si>
  <si>
    <t>Penambahan printer di dalam kamar OK E-Resume Medis</t>
  </si>
  <si>
    <t>HANDPHONE</t>
  </si>
  <si>
    <t>PEMBARUAN</t>
  </si>
  <si>
    <t>paket panci prasmanan isi 6</t>
  </si>
  <si>
    <t>Stand mixer kapasitas 5L</t>
  </si>
  <si>
    <t>penerapan efektifitas dan efisiensi kegiatan. Saat ini proses pencampuran dan pengolahan terkaitan makanan masih manual menggunakan tangan</t>
  </si>
  <si>
    <t>Penghancur kertas</t>
  </si>
  <si>
    <t>Keamanan data bisa digunakan berbarengan dengan keu dan kepeg</t>
  </si>
  <si>
    <t>VPS Cloud Hosting KVM 2 - Hostinger (1 Tahun)</t>
  </si>
  <si>
    <t>Upgrade Hosting RS ke VPS Cloud</t>
  </si>
  <si>
    <t>Printer Brother DCP-T220</t>
  </si>
  <si>
    <t>belum punya printer</t>
  </si>
  <si>
    <t>lemari arsip informa</t>
  </si>
  <si>
    <t>Hp Samsung Galaxy A05s</t>
  </si>
  <si>
    <t>mengganti hp bangsal yang sudah lama</t>
  </si>
  <si>
    <t>alat komunikasi untuk pelayanan  pencucian baju pasian dan keluarga pasien</t>
  </si>
  <si>
    <t xml:space="preserve">Handphone </t>
  </si>
  <si>
    <t>untuk menunjang kegiatan pelayanan gizi, pemesanan dan kontak dengan pihak ke 3/ supllier saat ini menggunakan nomer pribadi</t>
  </si>
  <si>
    <t xml:space="preserve">Troli belanja </t>
  </si>
  <si>
    <t>untuk melakukan mobilitas pemindahan bahan makanan, selama ini menggunakan troli farmasi dimana dapat menimbulkan kontaminasi terhadap kemasan produk obat</t>
  </si>
  <si>
    <t>kebutuhan pimer</t>
  </si>
  <si>
    <t>teleprompter</t>
  </si>
  <si>
    <t>kegiatan pengambilan konten RS</t>
  </si>
  <si>
    <t>Set Sound Mixer equalizer 4 channel</t>
  </si>
  <si>
    <t>Kursi kantor sandaran informa</t>
  </si>
  <si>
    <t>kursi lama masih melorot (sudah diperbaiki IPSRS)</t>
  </si>
  <si>
    <t>UPS</t>
  </si>
  <si>
    <t>bed pasien</t>
  </si>
  <si>
    <t>untuk ok minor</t>
  </si>
  <si>
    <t>vacum ac</t>
  </si>
  <si>
    <t>Rak/lemari dokumen</t>
  </si>
  <si>
    <t>PENEMPATAN DOKUMEN2 AGAR LEBIH RAPI</t>
  </si>
  <si>
    <t>lemari kaca untuk penghargaan</t>
  </si>
  <si>
    <t>Meja Kerja dan kursi</t>
  </si>
  <si>
    <t>untuk kegiatan managerial gizi</t>
  </si>
  <si>
    <t>Instalasi dan Setting Jaringan LDP</t>
  </si>
  <si>
    <t>Penggantian ISP jaringan internet backup (Indihome &amp; Amana) dari Up To ke Dedicated (LDP)</t>
  </si>
  <si>
    <t>tempat duduk dokter</t>
  </si>
  <si>
    <t>Telepon mobile</t>
  </si>
  <si>
    <t xml:space="preserve">tukar dengan telepon biasa di ruang pelayanan, agar telepon bisa mobile </t>
  </si>
  <si>
    <t>lemari es kecil</t>
  </si>
  <si>
    <t>turbo timer untuk Hiace</t>
  </si>
  <si>
    <t>CCTV H8 Pro</t>
  </si>
  <si>
    <t>timbangan digital</t>
  </si>
  <si>
    <t>untuk mesi infeksius</t>
  </si>
  <si>
    <t>plang rumah sakit</t>
  </si>
  <si>
    <t>Hardisk 2 TB Seagate SATA Barracuda</t>
  </si>
  <si>
    <t>8 gb</t>
  </si>
  <si>
    <t>Manikin Panggul</t>
  </si>
  <si>
    <t xml:space="preserve">belum punya </t>
  </si>
  <si>
    <t xml:space="preserve">Kunci Sok Krek </t>
  </si>
  <si>
    <t>rak stenlis alat steril</t>
  </si>
  <si>
    <t>Kotak tempat APD dekontaminasi</t>
  </si>
  <si>
    <t>Lemari petugas</t>
  </si>
  <si>
    <t>tempat tas petugas agar rapi</t>
  </si>
  <si>
    <t xml:space="preserve">penambahan rak penyimpanan obat </t>
  </si>
  <si>
    <t>banyak obat oral yang terpaksa ditaruh di</t>
  </si>
  <si>
    <t>kain bed mobil jenazah</t>
  </si>
  <si>
    <t>meja stainless uk 80x50x80</t>
  </si>
  <si>
    <t>meja khusus pembuatan diet cair</t>
  </si>
  <si>
    <t>Meja Komputer</t>
  </si>
  <si>
    <t>tryway oksigen sentral</t>
  </si>
  <si>
    <t xml:space="preserve">Jumlah ketersediaan kurang </t>
  </si>
  <si>
    <t xml:space="preserve">meja Stand Booth </t>
  </si>
  <si>
    <t>kegiatan marketing</t>
  </si>
  <si>
    <t>pembuatan filter air bersih</t>
  </si>
  <si>
    <t>kerjasama pihak ke 3</t>
  </si>
  <si>
    <t>print lama sudah rusak rusak</t>
  </si>
  <si>
    <t>Peti Mati</t>
  </si>
  <si>
    <t>Menyediakan Sajadah dan mukenah di setiap bangsal</t>
  </si>
  <si>
    <t xml:space="preserve">Gapura </t>
  </si>
  <si>
    <t>direksi</t>
  </si>
  <si>
    <t>SIMRS Ponorogo</t>
  </si>
  <si>
    <t>INSTRUMEN MEDIS</t>
  </si>
  <si>
    <t>alat permainan edukatif</t>
  </si>
  <si>
    <t>Klem Besar Ukuran 18 cm</t>
  </si>
  <si>
    <t>gunting Jaringan Ukuran 18 cm</t>
  </si>
  <si>
    <t>Apendic klem Ukuran 16 cm</t>
  </si>
  <si>
    <t xml:space="preserve">Needle Holder ukuran 18 cm </t>
  </si>
  <si>
    <t>Ovarium Klem Ukuran 24 cm</t>
  </si>
  <si>
    <t>Klem Besar Ukuran 20 cm</t>
  </si>
  <si>
    <t>Gunting Jaringan Ukuran 20</t>
  </si>
  <si>
    <t>Gunting Jaringan Ukuran 18 cm</t>
  </si>
  <si>
    <t>Needle holder Ukuran 16 cm</t>
  </si>
  <si>
    <t>Gunting jaringan ukuran 20 cm</t>
  </si>
  <si>
    <t>Roeder Binder ( Alat Ikat jahit benang TE)
Ukuran 25 Cm</t>
  </si>
  <si>
    <t>Tongsil Knife Ukuran 21 cm</t>
  </si>
  <si>
    <t>Kanul Kecil Ukuran kanul 12</t>
  </si>
  <si>
    <t>Hak Langen Besar Panjang 26 Cm 
Diameter Hak 6,5 cm</t>
  </si>
  <si>
    <t>Hak Centong Ukuran 28 cm</t>
  </si>
  <si>
    <t xml:space="preserve">gunting Jaringan Kecil Ukuran 14 Cm </t>
  </si>
  <si>
    <t>Klem Retenggel Ukuran 20 cm</t>
  </si>
  <si>
    <t>Hak Cakar Kecil 2 jari Ukuran 20 cm</t>
  </si>
  <si>
    <t>Hak bundar Kecil/ minor Ukuran 20 cm</t>
  </si>
  <si>
    <t>Langen Kecil / Minor Ukuran 16 cm</t>
  </si>
  <si>
    <t xml:space="preserve">Sendok Kuret Ukuran 15 Cm </t>
  </si>
  <si>
    <t xml:space="preserve">Klem Kokher Ukuran 18 cm </t>
  </si>
  <si>
    <t>Apendic Klem Panjang ukuran 21 cm</t>
  </si>
  <si>
    <t>SET UVC</t>
  </si>
  <si>
    <t>SET TALIPUSAT</t>
  </si>
  <si>
    <t>PENAMBAHAN/PEMBARUAN</t>
  </si>
  <si>
    <t>set ve</t>
  </si>
  <si>
    <t>set curet</t>
  </si>
  <si>
    <t>set partus</t>
  </si>
  <si>
    <t>korentang tutup</t>
  </si>
  <si>
    <t>RENCANA ANGGARAN BELANJA BAHAN MAKANAN</t>
  </si>
  <si>
    <t>BAHAN MAKANAN</t>
  </si>
  <si>
    <t>SPESIFIKASI</t>
  </si>
  <si>
    <t>PREDKS</t>
  </si>
  <si>
    <t>KEBT/HR</t>
  </si>
  <si>
    <t>JML PEMBERIAN</t>
  </si>
  <si>
    <t>VOLUME</t>
  </si>
  <si>
    <t>JML</t>
  </si>
  <si>
    <t>PASIEN</t>
  </si>
  <si>
    <t>BERAT</t>
  </si>
  <si>
    <t>FX/</t>
  </si>
  <si>
    <t>JML/BL</t>
  </si>
  <si>
    <t>SEBULAN</t>
  </si>
  <si>
    <t>BULAN</t>
  </si>
  <si>
    <t>TAHUN</t>
  </si>
  <si>
    <t>SETAHUN</t>
  </si>
  <si>
    <t>(rupiah)</t>
  </si>
  <si>
    <t>10 HR</t>
  </si>
  <si>
    <t>(Rp)</t>
  </si>
  <si>
    <t>AIR MINUM DAN AIR MASAK</t>
  </si>
  <si>
    <t>AIRMU Galon</t>
  </si>
  <si>
    <t>AirMU, Galon 19L</t>
  </si>
  <si>
    <t>AIRMU Gelas</t>
  </si>
  <si>
    <t>AIRMU, gelas 240ml, 1 dus isi 48 pcs</t>
  </si>
  <si>
    <t>AIRMU botol 330ml</t>
  </si>
  <si>
    <t>AIRMU, botol 330ml, 1 dus isi 24 botol</t>
  </si>
  <si>
    <t>AIRMU botol 600ml</t>
  </si>
  <si>
    <t>AIRMU, botol 600ml, 1 dus isi 24 botol</t>
  </si>
  <si>
    <t>AIR MASAK</t>
  </si>
  <si>
    <t>Sub Total</t>
  </si>
  <si>
    <t>PRODUK SUSU</t>
  </si>
  <si>
    <t>Blendera -MF</t>
  </si>
  <si>
    <t>Blendera, rasa vanilla, berat 1,25 kg, Otsuka</t>
  </si>
  <si>
    <t>Diabetasol susu</t>
  </si>
  <si>
    <t>Diabetasol, rasa vanilla, Berat 1000 gr, kalbe nutrition</t>
  </si>
  <si>
    <t>Entrakid</t>
  </si>
  <si>
    <t>Entrakid, rasa vanilla, berat 185 gr, kalbe nutrition</t>
  </si>
  <si>
    <t>Entramix susu</t>
  </si>
  <si>
    <t>Entramix, rasa vanilla, berat 555 gr, Kalbe nutrition</t>
  </si>
  <si>
    <t xml:space="preserve">Entrasol platinum </t>
  </si>
  <si>
    <t>Entrasol, rasa vanilla, berat 150 gr, kalbenutrition</t>
  </si>
  <si>
    <t>Entrasoy susu</t>
  </si>
  <si>
    <t>Entrasoy, rasa almond soya, berat 200 gr, Kalbe nutrition</t>
  </si>
  <si>
    <t>Fresrenal susu</t>
  </si>
  <si>
    <t>Fresrenal, rasa vanilla, berat 183 gr, Fresinius Kabi</t>
  </si>
  <si>
    <t>Nephrisol susu</t>
  </si>
  <si>
    <t>Nephrisol, rasa vanilla, berat 201 gr, Kalbe nutrition</t>
  </si>
  <si>
    <t>Panenteral</t>
  </si>
  <si>
    <t>Panenteral, rasa vanilla, 1 dus isi 10 sch, Otsuka</t>
  </si>
  <si>
    <t>Peptisol susu</t>
  </si>
  <si>
    <t>Peptisol, rasa vanilla, berat 189 gram, Kalbe nutrition</t>
  </si>
  <si>
    <t>Peptibren</t>
  </si>
  <si>
    <t>peptibren, rasa vanilla, berat 195 gr, kalbenutrition</t>
  </si>
  <si>
    <t>Pulmosol</t>
  </si>
  <si>
    <t>pulmosol, rasa vanilla berat 150 gr, kalbe nutrition</t>
  </si>
  <si>
    <t>proten</t>
  </si>
  <si>
    <t>proten, rasa vanilla, 1 dus isi 20 sachet, otsuka</t>
  </si>
  <si>
    <t>Susu ibu hamil</t>
  </si>
  <si>
    <t>Lactona Ibu, berat 200gr</t>
  </si>
  <si>
    <t>Susu Lactona DM</t>
  </si>
  <si>
    <t>Lactona DiaB, berat 300 gr</t>
  </si>
  <si>
    <t>Susu SKIM</t>
  </si>
  <si>
    <t>Lactona SKIM, berat 300 gr</t>
  </si>
  <si>
    <t>BAHAN KERING</t>
  </si>
  <si>
    <t>agar-agar</t>
  </si>
  <si>
    <t>swallow, tidak expired, 1 dus isi 12 sch</t>
  </si>
  <si>
    <t>C4, 1 sak isi 25 kg</t>
  </si>
  <si>
    <t>Bihun</t>
  </si>
  <si>
    <t>Superior, berat 410 gr, 1 ball isi 10 pack</t>
  </si>
  <si>
    <t>biskuit bayi</t>
  </si>
  <si>
    <t>yummy bites, 25 gr, rasa blueberry/strawberry/pisang, kemasan tidak rusak, tidak kadaluarsa, ED &gt; 1 th</t>
  </si>
  <si>
    <t>Biskuit Gandum</t>
  </si>
  <si>
    <t>Roma, berat 240 gr, 1 karton isi 20 pcs</t>
  </si>
  <si>
    <t>Brambang goreng</t>
  </si>
  <si>
    <t>1 pack isi 100gr</t>
  </si>
  <si>
    <t>bubur bayi</t>
  </si>
  <si>
    <t>cerelac/promina bubur bayi non susu rasa beras merah atau kacang hijau, berat 20 gr/ sch</t>
  </si>
  <si>
    <t>sch</t>
  </si>
  <si>
    <t xml:space="preserve">Coffemix </t>
  </si>
  <si>
    <t>Coffemix, berat 20gr/sch, 1 pack isi 30sch</t>
  </si>
  <si>
    <t>Fiber creme</t>
  </si>
  <si>
    <t>Fiber creme Ellenka, berat 450 gr</t>
  </si>
  <si>
    <t>Garam halus</t>
  </si>
  <si>
    <t>rosina/refiina/pasar rame, berat 250 gr</t>
  </si>
  <si>
    <t>Gula Jawa</t>
  </si>
  <si>
    <t>bersih</t>
  </si>
  <si>
    <t>Gula Jawa Khusus DM</t>
  </si>
  <si>
    <t>Tropicanaslim, berat 350ml</t>
  </si>
  <si>
    <t>Gula khusus DM</t>
  </si>
  <si>
    <t>Diabetasol, 1 dus isi 100 sch</t>
  </si>
  <si>
    <t>Gula Pasir</t>
  </si>
  <si>
    <t>Rose Brand/ Gulaku/ Gula Kulo, berat 1kg</t>
  </si>
  <si>
    <t>Gula pasir sachet</t>
  </si>
  <si>
    <t>gula pasir sachet, berat 8 gr, tidak kadaluarsa</t>
  </si>
  <si>
    <t>Kacang ijo</t>
  </si>
  <si>
    <t>bersih, tdk apek, biji utuh</t>
  </si>
  <si>
    <t>Kacang merah</t>
  </si>
  <si>
    <t>Kaldu Ayam</t>
  </si>
  <si>
    <t>Knorr, berat 1 kg</t>
  </si>
  <si>
    <t>Kecap Asin</t>
  </si>
  <si>
    <t>Indofood, 140ml</t>
  </si>
  <si>
    <t>Kecap Manis</t>
  </si>
  <si>
    <t>Wowin, berat 600ml, 1 karton isi 12</t>
  </si>
  <si>
    <t>Kecap rendah Na</t>
  </si>
  <si>
    <t>Tropicanaslim, berat 200ml</t>
  </si>
  <si>
    <t>Kopi hitam</t>
  </si>
  <si>
    <t>Kopi tanjung, beras 200gr</t>
  </si>
  <si>
    <t>Makaroni</t>
  </si>
  <si>
    <t>berat 1000gr, kemasan tidak rusak, tidak kadaluarsa, merk SEDANI, bentuk pipa</t>
  </si>
  <si>
    <t>Margarin</t>
  </si>
  <si>
    <t>palmia royal, kemasan baik, tidak tengik, tidak kadaluarsa, padat,200 gr/bks</t>
  </si>
  <si>
    <t>Mayonaise</t>
  </si>
  <si>
    <t>Maestro, berat 1 kh</t>
  </si>
  <si>
    <t>MI instan goreng</t>
  </si>
  <si>
    <t>Sedaap, 1 dus isi 40 bks</t>
  </si>
  <si>
    <t>bks</t>
  </si>
  <si>
    <t>Minyak Goreng</t>
  </si>
  <si>
    <t>Filma/Tropical/SunCO, berat 1 Liter, 1 karton isi 12pcs</t>
  </si>
  <si>
    <t>Minyak wijen</t>
  </si>
  <si>
    <t>MINYAK WIJEN SENG GUAN HENG, berat 600ml</t>
  </si>
  <si>
    <t>Mutiara</t>
  </si>
  <si>
    <t>Kucing, berat 100gr</t>
  </si>
  <si>
    <t>Nescafe Classic</t>
  </si>
  <si>
    <t>Nescafe classic, berat 2 gr</t>
  </si>
  <si>
    <t>permen gummy</t>
  </si>
  <si>
    <t>happydent atau xylitol 1 strip isi 10 bh (untuk post op eracs)</t>
  </si>
  <si>
    <t>Penyedap rasa</t>
  </si>
  <si>
    <t>Royco rasa ayam, berat 100 gram, tidak kadaluarsa, kemasan tidak rusak</t>
  </si>
  <si>
    <t>Roti tawar</t>
  </si>
  <si>
    <t>merk Roti kecil, jenis sandwich/ tanpa kulit</t>
  </si>
  <si>
    <t>Santan</t>
  </si>
  <si>
    <t>Merk SunKara/Sasa, berat 65 ml, 1 karton isi 36/32 pcs</t>
  </si>
  <si>
    <t>Saos Teriyaki</t>
  </si>
  <si>
    <t>SAORI, berat 1000ml</t>
  </si>
  <si>
    <t>Saos Tiram</t>
  </si>
  <si>
    <t>Saos Tomat</t>
  </si>
  <si>
    <t>Delmonte, berat 1kg</t>
  </si>
  <si>
    <t>Selai Khusus DM</t>
  </si>
  <si>
    <t>Tropicanaslim, berat 375gr</t>
  </si>
  <si>
    <t>Selai nanas</t>
  </si>
  <si>
    <t>selai berserat, bersih, tidak kadaluarsa, tidak berjamur, berat 500gr</t>
  </si>
  <si>
    <t>SKM</t>
  </si>
  <si>
    <t>Diary, Berat 1kg</t>
  </si>
  <si>
    <t>SKM Khusus DM</t>
  </si>
  <si>
    <t>Tropicanaslim, berat 150ml</t>
  </si>
  <si>
    <t>Teh Celup</t>
  </si>
  <si>
    <t>Gardoe, Jasmine Tea, 1 karton isi 1000 pcs</t>
  </si>
  <si>
    <t>Teh Gardoe Tubruk</t>
  </si>
  <si>
    <t>Gardoe kemasan Metalize, berat 400gr, 1 karton isi 10 pcs</t>
  </si>
  <si>
    <t>Tepung beras</t>
  </si>
  <si>
    <t>Bola deli, berat 500 gr</t>
  </si>
  <si>
    <t>Tepung maizena</t>
  </si>
  <si>
    <t>Maizenaku, berat 250gr</t>
  </si>
  <si>
    <t>Tepung Panir Kasar</t>
  </si>
  <si>
    <t>SAKTI, berat 1 kg</t>
  </si>
  <si>
    <t>Tepung tapioka</t>
  </si>
  <si>
    <t>Tepung Terigu</t>
  </si>
  <si>
    <t>Segitiga Biru, berat 1kg, 1 karton isi 10 pcs</t>
  </si>
  <si>
    <t>vanilli</t>
  </si>
  <si>
    <t>kupoe-kupoe</t>
  </si>
  <si>
    <t>Wafer Khusus DM</t>
  </si>
  <si>
    <t>Diabetasol, berat 100 gr</t>
  </si>
  <si>
    <t>Wijen</t>
  </si>
  <si>
    <t>BUMBU KERING</t>
  </si>
  <si>
    <t>bunga lawang</t>
  </si>
  <si>
    <t>bersih, bau khas, tidak berjamur</t>
  </si>
  <si>
    <t>Cabai jawa</t>
  </si>
  <si>
    <t>cengkeh</t>
  </si>
  <si>
    <t xml:space="preserve">kg </t>
  </si>
  <si>
    <t>Ebi</t>
  </si>
  <si>
    <t>bersih, tidak berjamur, bau khas</t>
  </si>
  <si>
    <t>Jinten</t>
  </si>
  <si>
    <t>kapulaga</t>
  </si>
  <si>
    <t>Kayu manis</t>
  </si>
  <si>
    <t>Kemiri</t>
  </si>
  <si>
    <t>bersih, tidak ada kerikil, tidak berjamur, tidak berbau apek</t>
  </si>
  <si>
    <t>Ketumbar</t>
  </si>
  <si>
    <t>klabet</t>
  </si>
  <si>
    <t>bersih, bau khas, tidak berjamur, tidak ada kerikil</t>
  </si>
  <si>
    <t>Merica</t>
  </si>
  <si>
    <t>Pala</t>
  </si>
  <si>
    <t>BAHAN BASAH</t>
  </si>
  <si>
    <t>LAUK HEWANI</t>
  </si>
  <si>
    <t>Ayam fillet</t>
  </si>
  <si>
    <t>Ayam potong</t>
  </si>
  <si>
    <t>bakso</t>
  </si>
  <si>
    <t>Bandeng presto</t>
  </si>
  <si>
    <t>ekor</t>
  </si>
  <si>
    <t>daging sapi</t>
  </si>
  <si>
    <t>ikan dory</t>
  </si>
  <si>
    <t>sosis sapi</t>
  </si>
  <si>
    <t>telur ayam</t>
  </si>
  <si>
    <t>telur puyuh</t>
  </si>
  <si>
    <t>btr</t>
  </si>
  <si>
    <t>LAUK NABATI</t>
  </si>
  <si>
    <t>tahu coklat besar</t>
  </si>
  <si>
    <t>bh</t>
  </si>
  <si>
    <t>tahu putih/kuning (isi 7)</t>
  </si>
  <si>
    <t>tempe</t>
  </si>
  <si>
    <t>SAYURAN</t>
  </si>
  <si>
    <t>bayam</t>
  </si>
  <si>
    <t xml:space="preserve">ikat </t>
  </si>
  <si>
    <t>brokoli</t>
  </si>
  <si>
    <t>buncis</t>
  </si>
  <si>
    <t>cabai sret</t>
  </si>
  <si>
    <t>cabai trompet</t>
  </si>
  <si>
    <t>ceme</t>
  </si>
  <si>
    <t>daun pisang</t>
  </si>
  <si>
    <t>jagung manis pipil</t>
  </si>
  <si>
    <t>jamur hitam kering</t>
  </si>
  <si>
    <t>jamur putih kering</t>
  </si>
  <si>
    <t>jamur tiram</t>
  </si>
  <si>
    <t>janten</t>
  </si>
  <si>
    <t>kacang panjang</t>
  </si>
  <si>
    <t>kacang polong</t>
  </si>
  <si>
    <t>kapri</t>
  </si>
  <si>
    <t>kemangi</t>
  </si>
  <si>
    <t>kembang kol</t>
  </si>
  <si>
    <t>kentang</t>
  </si>
  <si>
    <t>ketimun</t>
  </si>
  <si>
    <t>kol</t>
  </si>
  <si>
    <t>labu kuning</t>
  </si>
  <si>
    <t>labu siam/jipan</t>
  </si>
  <si>
    <t>loncang</t>
  </si>
  <si>
    <t>pandan</t>
  </si>
  <si>
    <t>sawi ijo</t>
  </si>
  <si>
    <t>sawi putih</t>
  </si>
  <si>
    <t>sawi sendok</t>
  </si>
  <si>
    <t>selada</t>
  </si>
  <si>
    <t>seledri</t>
  </si>
  <si>
    <t>tauge</t>
  </si>
  <si>
    <t>terong</t>
  </si>
  <si>
    <t>tomat merah</t>
  </si>
  <si>
    <t>tomat hijau</t>
  </si>
  <si>
    <t>wortel</t>
  </si>
  <si>
    <t>BUAH</t>
  </si>
  <si>
    <t>apel</t>
  </si>
  <si>
    <t>buah naga</t>
  </si>
  <si>
    <t>jambu biji</t>
  </si>
  <si>
    <t>jeruk baby</t>
  </si>
  <si>
    <t>jeruk manis</t>
  </si>
  <si>
    <t>jeruk nipis</t>
  </si>
  <si>
    <t>melon</t>
  </si>
  <si>
    <t>pear</t>
  </si>
  <si>
    <t>pepaya</t>
  </si>
  <si>
    <t>pisang ambon</t>
  </si>
  <si>
    <t>lirang</t>
  </si>
  <si>
    <t>semangka</t>
  </si>
  <si>
    <t>pisang kepok</t>
  </si>
  <si>
    <t>BUMBU BASAH</t>
  </si>
  <si>
    <t>asam jawa</t>
  </si>
  <si>
    <t>bawang bombay</t>
  </si>
  <si>
    <t>bawang merah</t>
  </si>
  <si>
    <t>bawang putih</t>
  </si>
  <si>
    <t>daun jeruk</t>
  </si>
  <si>
    <t>jahe</t>
  </si>
  <si>
    <t>kencur</t>
  </si>
  <si>
    <t>kunci</t>
  </si>
  <si>
    <t>kunir</t>
  </si>
  <si>
    <t>laos</t>
  </si>
  <si>
    <t>salam</t>
  </si>
  <si>
    <t>sereh</t>
  </si>
  <si>
    <t>LAIN-LAIN</t>
  </si>
  <si>
    <t xml:space="preserve">Telo </t>
  </si>
  <si>
    <t>Singkong</t>
  </si>
  <si>
    <t>SNACK PASIEN</t>
  </si>
  <si>
    <t>Snack pasien (pagi) pihak ke 3</t>
  </si>
  <si>
    <t>snack pasien VIP, kls 1, kls 2 (sore) sudah masuk bahan karena dibuat sendiri</t>
  </si>
  <si>
    <t>SNACK POLI SPESIALIS</t>
  </si>
  <si>
    <t>Yogurt</t>
  </si>
  <si>
    <t>cimory yogurt mini, berat 120ml, 1 pack isi 5 pcs</t>
  </si>
  <si>
    <t>roti/ jajanan pasar/buah potong</t>
  </si>
  <si>
    <t>roti basah seperti semir,donur, dll</t>
  </si>
  <si>
    <t>sari kacang ijo</t>
  </si>
  <si>
    <t>ultra, berat 250ml, 1 karton isi 24 pcs</t>
  </si>
  <si>
    <t>Susu uht</t>
  </si>
  <si>
    <t>ultramilk, berat 200ml, rasa coklat/straw, karamel</t>
  </si>
  <si>
    <t>sari kc ijo mini</t>
  </si>
  <si>
    <t>ultra jaya, berat 150ml, 1 pack isi 24 pcs</t>
  </si>
  <si>
    <t xml:space="preserve">susu uht mini </t>
  </si>
  <si>
    <t>ultra jaya, berat 250ml, 1 karton isi 24 pcs</t>
  </si>
  <si>
    <t>jajan pasar dirut</t>
  </si>
  <si>
    <t>jajan pasar</t>
  </si>
  <si>
    <t>SNACK TIM IBS (MALAM)</t>
  </si>
  <si>
    <t>Snack OP IBS malam</t>
  </si>
  <si>
    <t>diklaim langsung dari IBS ke kasir</t>
  </si>
  <si>
    <t>Spesifikasi</t>
  </si>
  <si>
    <t>Jumlah per bulan</t>
  </si>
  <si>
    <t>Jumlah dalam 1 tahun</t>
  </si>
  <si>
    <t>Harga Satuan</t>
  </si>
  <si>
    <t>anggaran/ bulan</t>
  </si>
  <si>
    <t>total anggaran dalam 1 tahun</t>
  </si>
  <si>
    <t>LPG 12 kg</t>
  </si>
  <si>
    <t>12 kg</t>
  </si>
  <si>
    <t>tabung</t>
  </si>
  <si>
    <t>utk mamasak</t>
  </si>
  <si>
    <t>Sabun Cuci piring (sunlight isi 4.5 liter)</t>
  </si>
  <si>
    <t>Sunlight/ mama lime isi 4.5 liter</t>
  </si>
  <si>
    <t>drigen</t>
  </si>
  <si>
    <t>utk pencucian alat kotor</t>
  </si>
  <si>
    <t>Sabun detergen 280 gr</t>
  </si>
  <si>
    <t>daia, berat 280 gr</t>
  </si>
  <si>
    <t>utk pencucian apron dan lap bersih gizi</t>
  </si>
  <si>
    <t>Sabut grenjeng</t>
  </si>
  <si>
    <t>scotch brite, uk standar</t>
  </si>
  <si>
    <t>media pencucian alat</t>
  </si>
  <si>
    <t>Sabut busa</t>
  </si>
  <si>
    <t>scotch brite, uk 100mm x 70 mm</t>
  </si>
  <si>
    <t>Sabun colek</t>
  </si>
  <si>
    <t>ekonomi, berat 193 gr</t>
  </si>
  <si>
    <t>utk pencucian lap kotor/ yg terkena noda minyak</t>
  </si>
  <si>
    <t xml:space="preserve">Gizi </t>
  </si>
  <si>
    <t>Bayclin 1 liter</t>
  </si>
  <si>
    <t>Cup 10oz tanpa tutup</t>
  </si>
  <si>
    <t>isi 50 pcs, Merak</t>
  </si>
  <si>
    <t>Cup 14oz tanpa tutup</t>
  </si>
  <si>
    <t>cup 120 ml</t>
  </si>
  <si>
    <t>isi 50 pcs</t>
  </si>
  <si>
    <t>Cup 150 ml</t>
  </si>
  <si>
    <t>isi 25 pcs, KLIR</t>
  </si>
  <si>
    <t>Garpu panjang</t>
  </si>
  <si>
    <t>Suapi, 1 pack isi 100</t>
  </si>
  <si>
    <t>Hot paper cup + tutup</t>
  </si>
  <si>
    <t>Kardus AQT</t>
  </si>
  <si>
    <t>ukuran 14x10, coklat, DELIMA, 1 pack isi 50</t>
  </si>
  <si>
    <t>Kertas Laminasi nasi</t>
  </si>
  <si>
    <t>1 pack isi 100 lembar</t>
  </si>
  <si>
    <t>kertas minyak</t>
  </si>
  <si>
    <t>Mika 5C</t>
  </si>
  <si>
    <t>isi 100 pcs, mega PET</t>
  </si>
  <si>
    <t>Mika 6A</t>
  </si>
  <si>
    <t>Mika Bento</t>
  </si>
  <si>
    <t>Bento kotak, 1 pack isi 50, MULIAPACK</t>
  </si>
  <si>
    <t>Mika sambal besar</t>
  </si>
  <si>
    <t>1 pak isi 600 pcs, mega PET</t>
  </si>
  <si>
    <t>Mika bowl 200ml</t>
  </si>
  <si>
    <t>twinwall isi 25 pcs</t>
  </si>
  <si>
    <t>Mika bowl 750ml</t>
  </si>
  <si>
    <t>OPP 10x12</t>
  </si>
  <si>
    <t>opp, 1 pack isi 100</t>
  </si>
  <si>
    <t>OPP 6X22</t>
  </si>
  <si>
    <t>OPP 8x12</t>
  </si>
  <si>
    <t>Plastik 10x25</t>
  </si>
  <si>
    <t>Bader, 0,25kg, 1 pack isi 250</t>
  </si>
  <si>
    <t>Plastik 25x30</t>
  </si>
  <si>
    <t>Plastik 20x30 tebal</t>
  </si>
  <si>
    <t>Tomat, 1 pack isi -+150pcs</t>
  </si>
  <si>
    <t>Plastik 8x20</t>
  </si>
  <si>
    <t>Boyo, 1 pack isi 100</t>
  </si>
  <si>
    <t>Plastik KLIP 6x10</t>
  </si>
  <si>
    <t>KLIP, 1 pack isi 100</t>
  </si>
  <si>
    <t>Plastik KLIP 7x10</t>
  </si>
  <si>
    <t>Plastik KLIP 8,7x13</t>
  </si>
  <si>
    <t>Plastik wrapping uk 20 cmx500m</t>
  </si>
  <si>
    <t>otto fresh/BEST FRESH, 1 karton isi 6</t>
  </si>
  <si>
    <t>roll</t>
  </si>
  <si>
    <t>Plastik wrapping uk 30cmx30m</t>
  </si>
  <si>
    <t>best fresh, 1 karton isi 48 roll</t>
  </si>
  <si>
    <t>Sarung tangan plastik</t>
  </si>
  <si>
    <t>Royal</t>
  </si>
  <si>
    <t>Seal polos</t>
  </si>
  <si>
    <t>cap cuan</t>
  </si>
  <si>
    <t>Sendok Bebek</t>
  </si>
  <si>
    <t>Sendok jelly</t>
  </si>
  <si>
    <t>Victory, 1 pack isi 100</t>
  </si>
  <si>
    <t>Sendok Panjang</t>
  </si>
  <si>
    <t>Sendok teh</t>
  </si>
  <si>
    <t>KCS, 1 pack isi 100</t>
  </si>
  <si>
    <t>Sedotan steril</t>
  </si>
  <si>
    <t>Golden straw, tipe flexible straw, isi 500 pcs/pack</t>
  </si>
  <si>
    <t>Sterofoam buah</t>
  </si>
  <si>
    <t>Sterofoam bubur</t>
  </si>
  <si>
    <t>1 pack isi 100pcs</t>
  </si>
  <si>
    <t>Sterofoam sekat</t>
  </si>
  <si>
    <t>Stik es krim</t>
  </si>
  <si>
    <t>1 pack besar isi 500pcs</t>
  </si>
  <si>
    <t>Tisue makan 250sheet</t>
  </si>
  <si>
    <t>PRIMA / RESTO</t>
  </si>
  <si>
    <t>Tusuk gigi biasa</t>
  </si>
  <si>
    <t>cap love birds</t>
  </si>
  <si>
    <t>Tusuk gigi steril</t>
  </si>
  <si>
    <t>Happy Higiene tooth pick isi 100 pcs</t>
  </si>
  <si>
    <t>Tusuk sate</t>
  </si>
  <si>
    <t>NAMA OBAT/ ALKES/ BHP MEDIS</t>
  </si>
  <si>
    <t>PENGAJUAN PER BULAN</t>
  </si>
  <si>
    <t>PENGAJUAN PER TAHUN</t>
  </si>
  <si>
    <t>HNA+PPN</t>
  </si>
  <si>
    <t>BIAYA/BULAN</t>
  </si>
  <si>
    <t>TOTAL BIAYA/TAHUN</t>
  </si>
  <si>
    <t>ABBOCATH 16</t>
  </si>
  <si>
    <t>ABBOCATH 20</t>
  </si>
  <si>
    <t>ABBOCATH 22</t>
  </si>
  <si>
    <t>ABBOCATH 24</t>
  </si>
  <si>
    <t>ABBOCATH 26</t>
  </si>
  <si>
    <t>ACARBOSE 100MG</t>
  </si>
  <si>
    <t>ACARBOSE 50MG</t>
  </si>
  <si>
    <t>ACETYLCYSTEINE 200 MG (NAC)</t>
  </si>
  <si>
    <t>ACYCLOVIR 200MG</t>
  </si>
  <si>
    <t>ACYCLOVIR 400MG</t>
  </si>
  <si>
    <t>ACYCLOVIR CREAM 5 GR</t>
  </si>
  <si>
    <t>ADALAT OROS (NIFEDIPIN OROS 30MG)</t>
  </si>
  <si>
    <t>ALBUMIN 25% 100 ML</t>
  </si>
  <si>
    <t>ALLOPURINOL 100MG</t>
  </si>
  <si>
    <t>ALLOPURINOL 300MG</t>
  </si>
  <si>
    <t>ALPRAZOLAM 0,5MG</t>
  </si>
  <si>
    <t>ALPRAZOLAM 1MG</t>
  </si>
  <si>
    <t>AMBROXOL SYR</t>
  </si>
  <si>
    <t>AMBROXOL TB</t>
  </si>
  <si>
    <t>AMINOFILIN 200MG</t>
  </si>
  <si>
    <t>AMINOPHYLIN INJ</t>
  </si>
  <si>
    <t>AMIODARONE INJ</t>
  </si>
  <si>
    <t>AMIODARONE TAB</t>
  </si>
  <si>
    <t>AMITRIPTYLLIN 25MG</t>
  </si>
  <si>
    <t>AMLODIPIN 10MG TAB</t>
  </si>
  <si>
    <t>AMLODIPIN 5MG</t>
  </si>
  <si>
    <t>AMOXAN 500 TAB (amoxycillin)</t>
  </si>
  <si>
    <t>AMOXAN DROP (amoxycillin)</t>
  </si>
  <si>
    <t>AMOXAN INJ (amoxycillin)</t>
  </si>
  <si>
    <t>AMOXAN SYR (amoxycillin)</t>
  </si>
  <si>
    <t>AMOXICILLIN  500 MG</t>
  </si>
  <si>
    <t>AMPICILIN SULBACTAM INJ</t>
  </si>
  <si>
    <t>AMPICILLIN INJ</t>
  </si>
  <si>
    <t>ANALSIK (metamizol, diazepam)</t>
  </si>
  <si>
    <t>ANELAT (ASAM FOLAT)</t>
  </si>
  <si>
    <t xml:space="preserve">ANTALGIN TAB/METAMIZOLE/METHAMYRON 500 MG </t>
  </si>
  <si>
    <t>ANTASIDA SYR</t>
  </si>
  <si>
    <t>ANTASIDA TAB</t>
  </si>
  <si>
    <t>ANTI HEMOROID SUPP</t>
  </si>
  <si>
    <t>ANTIPAC INJ</t>
  </si>
  <si>
    <t>ANTRAIN INJ (metamizole)</t>
  </si>
  <si>
    <t>APIALYS DROP</t>
  </si>
  <si>
    <t>APIALYS SYR</t>
  </si>
  <si>
    <t>APPRON OP</t>
  </si>
  <si>
    <t>ARIPIPRAZOLE 10 MG</t>
  </si>
  <si>
    <t>ARM SLING</t>
  </si>
  <si>
    <t>ARM SLING XL</t>
  </si>
  <si>
    <t>ASAM MEFENAMAT 500 mg</t>
  </si>
  <si>
    <t>ASAM SALISILAT(GR) SALICYLIC ACID</t>
  </si>
  <si>
    <t>ASAM TRANEKSAMAT 500 MG</t>
  </si>
  <si>
    <t>ASAM TRANEXAMAT 500 INJ</t>
  </si>
  <si>
    <t>ASAM URSODIOXYCHOLIC 250 (UDCA)</t>
  </si>
  <si>
    <t>ASAM VALPROAT 250 MG</t>
  </si>
  <si>
    <t>ASAM VALPROAT SYR 100 ML</t>
  </si>
  <si>
    <t>ASERING INF</t>
  </si>
  <si>
    <t>ASPILET</t>
  </si>
  <si>
    <t>ATORVASTATIN 20MG</t>
  </si>
  <si>
    <t>ATRACURIUM INJ</t>
  </si>
  <si>
    <t>ATROPIN INJ</t>
  </si>
  <si>
    <t>AZITHROMYCIN 500MG</t>
  </si>
  <si>
    <t>BAMGETOL 200 (CARBAMAZEPIN 200)</t>
  </si>
  <si>
    <t>BECOM C</t>
  </si>
  <si>
    <t>BECOM ZET (MULTIVITAMIN)</t>
  </si>
  <si>
    <t xml:space="preserve">BENANG BHISHORT 0 </t>
  </si>
  <si>
    <t>BENANG CHROMIC 0 ATRAMAT</t>
  </si>
  <si>
    <t>BENANG CHROMIC 2-0 ATRAMAT</t>
  </si>
  <si>
    <t>BENANG CHROMIC 3/0</t>
  </si>
  <si>
    <t>BENANG CROMIC 1</t>
  </si>
  <si>
    <t xml:space="preserve">BENANG LENE 2/0 ATRAMAT </t>
  </si>
  <si>
    <t>BENANG LENE 3-0 ATRAMAT</t>
  </si>
  <si>
    <t>BENANG MONO 2/0</t>
  </si>
  <si>
    <t>BENANG PLAIN 3.0 ATRAMAT</t>
  </si>
  <si>
    <t>BENANG SIDE 2/0</t>
  </si>
  <si>
    <t>BENANG SILK 2/0 ATRAMAT</t>
  </si>
  <si>
    <t>BENANG T CROMIC 3.0</t>
  </si>
  <si>
    <t>BENANG T MONO 3.0</t>
  </si>
  <si>
    <t>BENANG T PLAIN 2/0</t>
  </si>
  <si>
    <t>BENANG T VIO 1 ATRAMAT</t>
  </si>
  <si>
    <t>BENANG T VIO 2</t>
  </si>
  <si>
    <t>BENANG T-CROMIC 2/0</t>
  </si>
  <si>
    <t>BENANG T-LENE 4.0 ATRAMAT</t>
  </si>
  <si>
    <t>BENANG T-LENE 5/0</t>
  </si>
  <si>
    <t>BENANG T-SILK 3/0 ATRAMAT</t>
  </si>
  <si>
    <t>BENANG T-VIO 2/0</t>
  </si>
  <si>
    <t>BENANG VIO 0</t>
  </si>
  <si>
    <t>BENANG VIO 3/0 ATRAMAT</t>
  </si>
  <si>
    <t>BENANG VIO 6/0</t>
  </si>
  <si>
    <t>BENANG VIO 8/0</t>
  </si>
  <si>
    <t>BETADIN GARGLE/KUMUR BESAR</t>
  </si>
  <si>
    <t>BETADINE GARGLE/KUMUR KECIL</t>
  </si>
  <si>
    <t>BETAHISTIN MASILAT 24MG</t>
  </si>
  <si>
    <t>BETAHISTINE MASYLATE 6 MG</t>
  </si>
  <si>
    <t>BETAMETASONE CREAM 5GR 0,1%</t>
  </si>
  <si>
    <t>BETASON-N CREAM (BETAMETHASONE VALERATE + NEOMYCIN SULFATE)</t>
  </si>
  <si>
    <t>BETMIGA 50 MG</t>
  </si>
  <si>
    <t>BIFLUID 500 ML INFUS</t>
  </si>
  <si>
    <t>BIOPLACENTON</t>
  </si>
  <si>
    <t>BIOSANBE DROP (ZAT BESI, ASAM FOLAT)</t>
  </si>
  <si>
    <t>BIOSANBE KIDS SYR (MULTIVITAMIN ANAK)</t>
  </si>
  <si>
    <t>BIOXON INJ</t>
  </si>
  <si>
    <t>BISACODYL 5MG TAB</t>
  </si>
  <si>
    <t>BISOPROLOL 2,5MG</t>
  </si>
  <si>
    <t>BISOPROLOL 5MG TAB</t>
  </si>
  <si>
    <t>BNS/BREATHY NASAL SPRAY</t>
  </si>
  <si>
    <t>BRALIFEX PLUS TM (Tobramycin 3 mg, dexamethasone 1)</t>
  </si>
  <si>
    <t>BRAXIDIN (chlordiazepoxide dan clidinium br)</t>
  </si>
  <si>
    <t>BUDESMA 0,25/ML INHALASI</t>
  </si>
  <si>
    <t>BUDESMA 0,5MG/ML INHALASI</t>
  </si>
  <si>
    <t>BUFACOMB IOB (TRIAMCINOLONE ORAL BASE)</t>
  </si>
  <si>
    <t>BUPIVACAINE INJ</t>
  </si>
  <si>
    <t>CAL 95 (CALCIUM, ZINK, BORON, MAGNESIUM)</t>
  </si>
  <si>
    <t>CALCIDIN TAB (KALSIUM, VITAMIN C, VITAMIN D)</t>
  </si>
  <si>
    <t>CALCII GLUCONAS INJEKSI</t>
  </si>
  <si>
    <t>CALCIUM CARBONATE 500 MG</t>
  </si>
  <si>
    <t>CALDECE TAB (CA, VIT C, VIT D, VIT B)</t>
  </si>
  <si>
    <t>CANDESARTAN 16 MG</t>
  </si>
  <si>
    <t>CANDESARTAN 8 MG</t>
  </si>
  <si>
    <t>CANUL OXYGEN ANAK</t>
  </si>
  <si>
    <t>CANUL OXYGEN BAYI</t>
  </si>
  <si>
    <t>CANUL OXYGEN DEWASA</t>
  </si>
  <si>
    <t>CAPTOPRIL 12,5MG</t>
  </si>
  <si>
    <t>CAPTOPRIL 25MG</t>
  </si>
  <si>
    <t>CAPTOPRIL 50MG</t>
  </si>
  <si>
    <t>CARBAZOCHROME INJ</t>
  </si>
  <si>
    <t>CARMED CR 20% UREA</t>
  </si>
  <si>
    <t>CARNIT 1 MG/ML INJ (Nitrogliserin)</t>
  </si>
  <si>
    <t>CAVIPLEX TAB (MULTIVAMIN)</t>
  </si>
  <si>
    <t>CAZETIN DROP (nystatin)</t>
  </si>
  <si>
    <t>CEFADROXIL 500MG</t>
  </si>
  <si>
    <t>CEFADROXIL SYR 125MG</t>
  </si>
  <si>
    <t>CEFAZOLIN INJ 1G</t>
  </si>
  <si>
    <t>CEFIXIM 100 MG</t>
  </si>
  <si>
    <t>CEFIXIM SYR</t>
  </si>
  <si>
    <t>CEFIXIME 200 MG</t>
  </si>
  <si>
    <t>CEFOTAXIME 1GR INJ</t>
  </si>
  <si>
    <t>CEFTAZIDIME INJ</t>
  </si>
  <si>
    <t>CEFTRIAXONE 1GR INJ</t>
  </si>
  <si>
    <t>CENDO ASTHENOF MINI DOSE (Oxymetazolin HCl)</t>
  </si>
  <si>
    <t>CENDO CARPINE 2 % (Pilokarpin HCl) EYEDROP</t>
  </si>
  <si>
    <t>CENDO CATARLEN MINI DOSE</t>
  </si>
  <si>
    <t>CENDO CENFRESH MINI DOSE (Carboxymethylcellulose Sodium)</t>
  </si>
  <si>
    <t>CENDO CONVER 2 % (Sodium Cromoglicate 4%)</t>
  </si>
  <si>
    <t>CENDO FENICOL 3.5 GR SALEP MATA (Chloramphenicol 1%)</t>
  </si>
  <si>
    <t>CENDO FLOXA 0.6 ML (Ofloxacin)</t>
  </si>
  <si>
    <t>CENDO HYALUB TM (ASAM HYALURONATE)</t>
  </si>
  <si>
    <t>CENDO LFX 0.6 ML (levofloxacin) EYEDROP</t>
  </si>
  <si>
    <t>CENDO LITERS MINI DOSE (Sodium Chloride dan Potassium Chloride)</t>
  </si>
  <si>
    <t>CENDO LYTEERS 15ML EYEDROP( Sodium Chloride dan Potassium Chloride)</t>
  </si>
  <si>
    <t>CENDO MYCETIN SALEP MATA (Kloramfenikol dan Polimiksin B sulfat)</t>
  </si>
  <si>
    <t>CENDO MYCOS SALEP MATA (Chloramphenicol 0.2% dan Hydrocortisone 0.5%)</t>
  </si>
  <si>
    <t>CENDO MYDRIATYL 1 % (Tropicamide 10 Mg) EYEDROP</t>
  </si>
  <si>
    <t>CENDO NATACEN 0.6 ML</t>
  </si>
  <si>
    <t>CENDO OCULENTA GEL SALEP MATA (Vitamin A)</t>
  </si>
  <si>
    <t>CENDO P.PRED TETES MATA (Prednisolone asetat)</t>
  </si>
  <si>
    <t>CENDO PANTOCAIN 2% TETES MATA (Tetrakaina)</t>
  </si>
  <si>
    <t>CENDO PROTAGENTA 0.6 ML (Plyvinylpyrrolidone) EYEDROP</t>
  </si>
  <si>
    <t>CENDO SILOXAN 5 ML (Sodium Chloride) EYEDROP</t>
  </si>
  <si>
    <t>CENDO TOBROSOM MINI DOSE 0.6 (Tobramisin) MINI DOSE EYEDROP</t>
  </si>
  <si>
    <t>CENDO TROPIN 1 % ( Atropina Sulfat) EYEDROP</t>
  </si>
  <si>
    <t>CENDO VITROLENTA 5 ML TETES MATA (Potassium Iodide 5 mg, Sodium Iodide 10 mg)</t>
  </si>
  <si>
    <t>CENDO XITROL EYEDROP(Deksametason, Neomycin Sulfate, Poliymyxin B SulfatE)</t>
  </si>
  <si>
    <t>CEPHAFLOX (ceftriaxone)</t>
  </si>
  <si>
    <t>CETADOP INJ (dopamin inj)</t>
  </si>
  <si>
    <t>CETIRIZINE 10MG TB</t>
  </si>
  <si>
    <t>CHANNA CAPSUL 500 MG</t>
  </si>
  <si>
    <t>CHANNAFIT SYR 100 ML (EXTRACT CHANNA)</t>
  </si>
  <si>
    <t>CHLORPROMAZINE 100 MG</t>
  </si>
  <si>
    <t>CHLORPROMAZINE 25 MG TAB</t>
  </si>
  <si>
    <t>CIPROFLOXACIN 500MG</t>
  </si>
  <si>
    <t>CIPROFLOXACIN INFUS</t>
  </si>
  <si>
    <t>CITICOLINE 250MG INJ</t>
  </si>
  <si>
    <t>CITICOLINE 500MG INJ</t>
  </si>
  <si>
    <t>CITICOLINE 500MG TABLET</t>
  </si>
  <si>
    <t>CLINDAMICYN 150MG</t>
  </si>
  <si>
    <t>CLINDAMICYN 300MG</t>
  </si>
  <si>
    <t>CLOBAZAM 10 MG</t>
  </si>
  <si>
    <t>CLOBETASOL PROPINOATE SALEP 10 GR</t>
  </si>
  <si>
    <t>CLOFRITIS 10 MG</t>
  </si>
  <si>
    <t>CLONIDIN INJ</t>
  </si>
  <si>
    <t>CLONIDINE 0,15MG</t>
  </si>
  <si>
    <t>CLOPIDOGREL 75MG</t>
  </si>
  <si>
    <t>CLOZAPINE 100MG</t>
  </si>
  <si>
    <t>CLOZAPINE 25MG</t>
  </si>
  <si>
    <t xml:space="preserve">CO-AMOXICLAV TABLET </t>
  </si>
  <si>
    <t>CODIKAF 20 MG (CODEIN)</t>
  </si>
  <si>
    <t>COLAR MAKIDA</t>
  </si>
  <si>
    <t>COLCHICINE TAB 0.5 MG</t>
  </si>
  <si>
    <t>COLSANCETIN INJ (chloramphenicol)</t>
  </si>
  <si>
    <t>COMBANTRIN 250 TAB (PIRANTEL PAMOAT)</t>
  </si>
  <si>
    <t>COMBANTRIN SYR (PIRANTEL PAMOAT)</t>
  </si>
  <si>
    <t>CTM (CHLORPHENIRAMINE MELEATE)</t>
  </si>
  <si>
    <t>CUPANOL SYR (paracetamol)</t>
  </si>
  <si>
    <t>CURCUMA TAB</t>
  </si>
  <si>
    <t>CURVIPLEX SIRUP (MULTIVITAMIN)</t>
  </si>
  <si>
    <t>D 40% (DEXTROSE 40%) OTSU INF</t>
  </si>
  <si>
    <t>D 5% INF (DEXTROSE 5%)</t>
  </si>
  <si>
    <t>D10 1/5 NS INF</t>
  </si>
  <si>
    <t>D10% WIDA</t>
  </si>
  <si>
    <t>D5 1/2NS WIDA</t>
  </si>
  <si>
    <t>D5 1/4NS WIDA</t>
  </si>
  <si>
    <t>DAZOLIN N (METRONIDAZOL, NYSTATIN)</t>
  </si>
  <si>
    <t>DESOLEX CR (DESONIDE)</t>
  </si>
  <si>
    <t>DESOLEX N CR (DESONIDE, Neomycin Sulfate)</t>
  </si>
  <si>
    <t>DESOXIMETASONE CREAM 15GR</t>
  </si>
  <si>
    <t xml:space="preserve">DEXAMETHASONE 0,5 MG </t>
  </si>
  <si>
    <t>DEXAMETHASONE INJ</t>
  </si>
  <si>
    <t>DEXANTA (ANTASIDA DAN SIMETHICONE)</t>
  </si>
  <si>
    <t>DEXKETOPROFEN 25 MG</t>
  </si>
  <si>
    <t>DEXKETOPROFEN INJEKSI</t>
  </si>
  <si>
    <t>DEXPROFEN TAB 25 MG (DEXKETOPROFEN)</t>
  </si>
  <si>
    <t>DEXTEEM PLUS (DEXCHLORPHENIRAMINE MELEATE DAN DEXAMETHASONE)</t>
  </si>
  <si>
    <t>DIAGIT (Activated Attapulgite dan Pectin)</t>
  </si>
  <si>
    <t>DIAMICRON MR (GLICLAZIDE)</t>
  </si>
  <si>
    <t>DIATAB (ATTAPULGITE 600MG)</t>
  </si>
  <si>
    <t>DIAZEPAM 2 MG TABLET</t>
  </si>
  <si>
    <t>DIAZEPAM 5MG/ML INJ</t>
  </si>
  <si>
    <t>DIGOXIN 0,25MG</t>
  </si>
  <si>
    <t>DIGOXIN INJ</t>
  </si>
  <si>
    <t>DILTIAZEM 30MG TAB</t>
  </si>
  <si>
    <t>DIMENHIDRINATE 50MG</t>
  </si>
  <si>
    <t>DIONICOL (THIAMPHENICOL)</t>
  </si>
  <si>
    <t>DIPHENHYDRAMINE INJ</t>
  </si>
  <si>
    <t>DIVALPI EC ER 500 MG</t>
  </si>
  <si>
    <t>DOBUTAMINE INJ</t>
  </si>
  <si>
    <t>DOMPERIDON TAB</t>
  </si>
  <si>
    <t>DOP MATA</t>
  </si>
  <si>
    <t>DOPAMET (METILDOPA)</t>
  </si>
  <si>
    <t>DOXYCYCLINE TAB 100 MG</t>
  </si>
  <si>
    <t>DULCOLAC SUPP PAED 5 MG</t>
  </si>
  <si>
    <t>DULCOLAX SUPP DEWASA (BISACODYL)</t>
  </si>
  <si>
    <t>DUTASTERIDE 0.5 MG</t>
  </si>
  <si>
    <t>EFLAGEN 50MG (KALIUM DICLOFENAC)</t>
  </si>
  <si>
    <t>ELEKTRODA EKG</t>
  </si>
  <si>
    <t>ELKANA SYR (MULTIVITAMIN ANAK)</t>
  </si>
  <si>
    <t>ELXION 10MG (escitalopram)</t>
  </si>
  <si>
    <t>EPERISON HCL 50MG</t>
  </si>
  <si>
    <t>EPHEDRIN HCL INJ</t>
  </si>
  <si>
    <t>EPINEPRIN INJ</t>
  </si>
  <si>
    <t>EPISAN SYR (sucralfat)</t>
  </si>
  <si>
    <t>ERDOSTEIN 300 MG</t>
  </si>
  <si>
    <t>ERLA TM PLUS (ERLAMYCETIN EYEDROP)</t>
  </si>
  <si>
    <t>ERLAMYCETIN TETES TELINGA (CHLORAMPHENICOL)</t>
  </si>
  <si>
    <t>FENTANYL INJ 2 ML (FENTANYL)</t>
  </si>
  <si>
    <t>ETHAMBUTOL 500 MG</t>
  </si>
  <si>
    <t>ETT NO 6 WCUFF</t>
  </si>
  <si>
    <t>ETT NO.3 (ENDOTRACHEAL TUBE)</t>
  </si>
  <si>
    <t>EUTHYROX 50 MG TAB (levotiroxin)</t>
  </si>
  <si>
    <t>FARIZOL SYR (metornidazol)</t>
  </si>
  <si>
    <t>FARSIFEN 200MG (ibuprofen 200)</t>
  </si>
  <si>
    <t>FARSIFEN 400MG (ibuprofen 400)</t>
  </si>
  <si>
    <t>FARSIFEN SYR (ibuprofen)</t>
  </si>
  <si>
    <t>FASE INTENSIF ANAK (OAT)</t>
  </si>
  <si>
    <t>FASE LANJUTAN ANAK</t>
  </si>
  <si>
    <t>FASIDOL FORTE SYR (paracetamol 160mg/5ml)</t>
  </si>
  <si>
    <t>FASIDOL FORTE TAB (parasetamol 650 mg)</t>
  </si>
  <si>
    <t>FEMALE CATETER NO 12</t>
  </si>
  <si>
    <t>FENOFIBRAT 300</t>
  </si>
  <si>
    <t>FENOFIBRATE 100MG</t>
  </si>
  <si>
    <t>FENOFIBRATE 200</t>
  </si>
  <si>
    <t>FENTANEX INJEKSI</t>
  </si>
  <si>
    <t>FENTANYL INJ</t>
  </si>
  <si>
    <t>FG THROCES (FRADIOMYCIN 2,5MG, GRAMICIDIN 1MG)</t>
  </si>
  <si>
    <t>FLAMAR 50MG TAB (natrium diclofenac)</t>
  </si>
  <si>
    <t>FLAMAR GEL ( NATRIUM DICLOFENAC)</t>
  </si>
  <si>
    <t>FLAMAR TM (natium diclofenac)</t>
  </si>
  <si>
    <t>FLORAGYN KAPS( LACTOBACILLUS )</t>
  </si>
  <si>
    <t>FLUCONAZOLE 150MG</t>
  </si>
  <si>
    <t>FLUNARIZINE 5 MGTAB</t>
  </si>
  <si>
    <t>FLUOXETIN 20  MG</t>
  </si>
  <si>
    <t xml:space="preserve">FOLAMIL </t>
  </si>
  <si>
    <t>FOLLEY CATETER 10</t>
  </si>
  <si>
    <t>FOLLEY CATETER 14</t>
  </si>
  <si>
    <t>FOLLEY CATETER 16</t>
  </si>
  <si>
    <t>FOLLEY CATETER 18</t>
  </si>
  <si>
    <t>FOLLEY CATETER 20</t>
  </si>
  <si>
    <t>FOLLEY CATHETER 12</t>
  </si>
  <si>
    <t>FOLLEY CATHETER THREE WAY NO 20</t>
  </si>
  <si>
    <t>FOLLEY CATHETER THREEWAY NO.24</t>
  </si>
  <si>
    <t>FONYLIN MR 60 MG (Gliclazide)</t>
  </si>
  <si>
    <t>FOROTIC 3 MG TETES TELINGA (ofloxacine)</t>
  </si>
  <si>
    <t>FORUMEN EAR DROP 10 ML (TETES TELINGA)</t>
  </si>
  <si>
    <t>FRAMYCETIN SULFATE</t>
  </si>
  <si>
    <t>FUNGASOL SS 80ML (ketoconazole)</t>
  </si>
  <si>
    <t>FURAMIN INJ (ALINAMIN F INJ)</t>
  </si>
  <si>
    <t>FUROSEMID 10MG/ML INJ</t>
  </si>
  <si>
    <t>FUROSEMID 40 MG</t>
  </si>
  <si>
    <t>GABAPENTIN 100 MG</t>
  </si>
  <si>
    <t>GABAPENTIN 150 MG</t>
  </si>
  <si>
    <t>GABAPENTIN 300MG</t>
  </si>
  <si>
    <t>GABAPENTIN 50 MG</t>
  </si>
  <si>
    <t>GABAPENTIN 75 MG TAB</t>
  </si>
  <si>
    <t>GENOCLOM 50MG (CLOMIFENE CITRATE)</t>
  </si>
  <si>
    <t>GENTAMICIN ZALF 0,1%</t>
  </si>
  <si>
    <t>GG TAB 100 MG (GUAFINESIN/GLYCERYL GUAIACOLATE)</t>
  </si>
  <si>
    <t>GITAS PLUS (paracetamol dan hyoscine)</t>
  </si>
  <si>
    <t>GLAUSETA (Acetazolamide)</t>
  </si>
  <si>
    <t>GLIBENCLAMIDE 5MG</t>
  </si>
  <si>
    <t>GLIMEPIRIDE 1MG</t>
  </si>
  <si>
    <t>GLIMEPIRIDE 2MG</t>
  </si>
  <si>
    <t>GLIMEPIRIDE 3MG</t>
  </si>
  <si>
    <t>GLIMEPIRIDE 4MG</t>
  </si>
  <si>
    <t>GLIQUIDONE 30MG</t>
  </si>
  <si>
    <t>GLUCOSAMINE MPL 500</t>
  </si>
  <si>
    <t>GOFLEX TABLET (Namubetone)</t>
  </si>
  <si>
    <t>GORALGIN (metamizol 500mg dan vitamin b1 b6 b12)</t>
  </si>
  <si>
    <t>GUIDE AIRWAY 80MM (MAYO)</t>
  </si>
  <si>
    <t>GUIDE AIRWAY 90MM (MAYO)</t>
  </si>
  <si>
    <t>GYPSONA 3 INCI</t>
  </si>
  <si>
    <t>GYPSONA 4 INCI</t>
  </si>
  <si>
    <t>GYPSONA 6 INCI</t>
  </si>
  <si>
    <t>HALOPERIDOL 0,5 MG</t>
  </si>
  <si>
    <t>HALOPERIDOL 1,5 MG</t>
  </si>
  <si>
    <t>HALOPERIDOL 5 MG</t>
  </si>
  <si>
    <t>HANDSCOON STERIL 6,5</t>
  </si>
  <si>
    <t>HANDSCOON STERIL 7</t>
  </si>
  <si>
    <t>HANDSCOON STERIL 7.5</t>
  </si>
  <si>
    <t>HANDSCOON STERIL 8</t>
  </si>
  <si>
    <t>HANSAPLAS STRIP</t>
  </si>
  <si>
    <t>HARNAL OCAS 0.4 MG( TAMSULOSIN HCL 0.4 MG )</t>
  </si>
  <si>
    <t>HCT ( Hydrochlorothiazide 25 MG)</t>
  </si>
  <si>
    <t>HEPTASAN TABLET (cyproheptadine)</t>
  </si>
  <si>
    <t>HERBESSER 50MG INJ (DILTIAZEM)</t>
  </si>
  <si>
    <t>HERBESSER CD 100 (DILTIAZEM CD 100)</t>
  </si>
  <si>
    <t>HERBESSER CD 200 (DILTIAZEM CD 200MG)</t>
  </si>
  <si>
    <t>HERNIA MESS 6 X 11</t>
  </si>
  <si>
    <t>HERVIS  3.5 GR SALEP MATA (acylovir 3%)</t>
  </si>
  <si>
    <t>HEXYMER 2MG (Trihexyphenidyl)</t>
  </si>
  <si>
    <t>HI-BONE/KAPSUL (CA, GENISTEIN, VITAMIN K)</t>
  </si>
  <si>
    <t>HP PRO (FRUCTUS SCHIZANDRAE)</t>
  </si>
  <si>
    <t>HYALOPH 5 ML TM (sodium hyaluronate)</t>
  </si>
  <si>
    <t>HYDROCORTISON 2,5% ZALF</t>
  </si>
  <si>
    <t xml:space="preserve">HYDROCORTISONE 1% </t>
  </si>
  <si>
    <t>HYOSCINE INJ</t>
  </si>
  <si>
    <t>HYSON INJ (hydrocortisone)</t>
  </si>
  <si>
    <t>HYSTOLAN (Imunoglobulin human tetanus 250 IU/ML)</t>
  </si>
  <si>
    <t>ILIADIN ANAK (OXYMETAZOLINE)</t>
  </si>
  <si>
    <t>IMMUCEA SIRUP (echinacea)</t>
  </si>
  <si>
    <t>IMMUCEA TABLET (echinacea)</t>
  </si>
  <si>
    <t>INBION CAPSUL (Fe gluconate 250 mg, Manganese sulfate 200 mcg, Copper sulfate 200 mcg, vit.C 50 mg, Folic Acid 1 mg, vit.</t>
  </si>
  <si>
    <t>INFUS SET MEDIA</t>
  </si>
  <si>
    <t>INFUS SET MIKRO</t>
  </si>
  <si>
    <t>INFUS SET TERUMO</t>
  </si>
  <si>
    <t>INH 100MG (ISONIAZIDE)</t>
  </si>
  <si>
    <t>INH 300MG (ISONIAZID)</t>
  </si>
  <si>
    <t>INHA (ISONIAZID 400MG, VITAMIN B6 24MG) TAB</t>
  </si>
  <si>
    <t>INTERHISTIN</t>
  </si>
  <si>
    <t>INTERZINK SYR (zinc)</t>
  </si>
  <si>
    <t>INTRACIDE GEL</t>
  </si>
  <si>
    <t>INTUNAL F TAB (PCT, DEXTRO, GG)</t>
  </si>
  <si>
    <t>INVICLOT INJEKSI (HEPARIN)</t>
  </si>
  <si>
    <t>INVOMIT INJ (ondancetrone)</t>
  </si>
  <si>
    <t>IRBESARTAN 300MG</t>
  </si>
  <si>
    <t>ISDN 5 MG (Isosorbide dinitrate)</t>
  </si>
  <si>
    <t>ITRACONAZOLE 100</t>
  </si>
  <si>
    <t>KACA MATA FOTOTERAPI</t>
  </si>
  <si>
    <t>KADITIC (kalium diclofenac 50MG)</t>
  </si>
  <si>
    <t>KAEN 1B INFUS</t>
  </si>
  <si>
    <t>KAEN 3A</t>
  </si>
  <si>
    <t>KAEN 3B</t>
  </si>
  <si>
    <t>KALITAKE SAC (calcium polystyrene sulfonat)</t>
  </si>
  <si>
    <t>KALK (CALCIUM LACTATE 500 MG)</t>
  </si>
  <si>
    <t>KALMICETIN ZALF (chloramphenicol)</t>
  </si>
  <si>
    <t xml:space="preserve">KALTROFREN SUPPO </t>
  </si>
  <si>
    <t>KAPSUL GARAM</t>
  </si>
  <si>
    <t>KAPSUL KOSONG</t>
  </si>
  <si>
    <t>KASA 10CM</t>
  </si>
  <si>
    <t>KASA 5CM</t>
  </si>
  <si>
    <t>KASA LIPAT 5 X 10 CM</t>
  </si>
  <si>
    <t>KASA STERIL</t>
  </si>
  <si>
    <t>KEMIDEX  INJ 5 MG/ML (KETAMIN)</t>
  </si>
  <si>
    <t>KERTAS PUYER</t>
  </si>
  <si>
    <t>KETOCONAZOLE 200MG TAB</t>
  </si>
  <si>
    <t>KETOCONAZOLE ZALF 15 MG</t>
  </si>
  <si>
    <t>KETOROLAC 10MG TAB</t>
  </si>
  <si>
    <t>KETOROLAC 30MG INJ</t>
  </si>
  <si>
    <t xml:space="preserve">KIDMIN INFUS </t>
  </si>
  <si>
    <t>KLODERMA CREAM 10 G (CLOBETASOL )</t>
  </si>
  <si>
    <t>KONDOM CATHETER</t>
  </si>
  <si>
    <t>KORSET LUMBAL (KORSET SLO)</t>
  </si>
  <si>
    <t>KORSET TLSO</t>
  </si>
  <si>
    <t>KORSET XXL</t>
  </si>
  <si>
    <t>KORSET XXXL (TSLO/SLO)</t>
  </si>
  <si>
    <t>KRUK</t>
  </si>
  <si>
    <t>KSR 600 (KALIUM KLORIDA 600)</t>
  </si>
  <si>
    <t>L BIO KAPSUL</t>
  </si>
  <si>
    <t>L BIO SACHET</t>
  </si>
  <si>
    <t>LADERMA CREAM (ALOE VERA VIT C VI T E)</t>
  </si>
  <si>
    <t>LAKTULOSA SYR</t>
  </si>
  <si>
    <t xml:space="preserve">LANSOPRAZOLE 30MG </t>
  </si>
  <si>
    <t>LAPISIV SYR</t>
  </si>
  <si>
    <t>LAPISIV TABLET (GUAIFENESIN 150MG + DEXTROMETRHORPAN</t>
  </si>
  <si>
    <t>LAPRAZ KAPSUL (lansoprazole)</t>
  </si>
  <si>
    <t>LASAL COM INHALASI/NEBU (salbutamol, Ipratropium bromide)</t>
  </si>
  <si>
    <t>LASAL EXPECTORAN SYR (Salbutamol, Guaifenesin)</t>
  </si>
  <si>
    <t>LASAL inhalasi (salbutamol) NEBU</t>
  </si>
  <si>
    <t>LASAL SYR (SALBUTAMOL SULFATE)</t>
  </si>
  <si>
    <t>LATANOPROST TM</t>
  </si>
  <si>
    <t>LAXADIN SYR 30 ML (Phenolphtalein, Paraffin Liquidum, dan Glycerin)</t>
  </si>
  <si>
    <t>LERZIN DROP (cetirizine)</t>
  </si>
  <si>
    <t>LERZIN SYR (cetirizne)</t>
  </si>
  <si>
    <t>LEVOFLOXACIN HEMIHYDRATE TM</t>
  </si>
  <si>
    <t>LEVOFLOXACIN INF 750 MG</t>
  </si>
  <si>
    <t>LEVOFLOXACIN INFUS 500 MG</t>
  </si>
  <si>
    <t>LEVOFLOXACIN TAB 500 MG</t>
  </si>
  <si>
    <t>LEVOPAR TAB (Levodopa 100 mg, Benserazide HCl 25 mg)</t>
  </si>
  <si>
    <t>LIDOCAIN 2% INJ</t>
  </si>
  <si>
    <t>LIDODEX INJ (Lidocain 5%)</t>
  </si>
  <si>
    <t>LISINOPRIL 10 MG</t>
  </si>
  <si>
    <t>LISINOPRIL 5 MG</t>
  </si>
  <si>
    <t>LIVELL CAP</t>
  </si>
  <si>
    <t>LODOMER (HALOPERIDOL) TETES 15 ML</t>
  </si>
  <si>
    <t>LOPAMID (LOPERAMID)</t>
  </si>
  <si>
    <t>LORATADINE</t>
  </si>
  <si>
    <t>LORAZEPAM 2MG TAB</t>
  </si>
  <si>
    <t>L-VIT D3 DROP</t>
  </si>
  <si>
    <t>MANITOL INF</t>
  </si>
  <si>
    <t>MARTOS INF</t>
  </si>
  <si>
    <t>MASKER  (NRM) ANAK</t>
  </si>
  <si>
    <t>MASKER (NRM) DEWASA</t>
  </si>
  <si>
    <t>MASKER NEBULISER ANAK</t>
  </si>
  <si>
    <t>MASKER NEBULISER DEWASA</t>
  </si>
  <si>
    <t>MECOBALAMI 250 MG TAB</t>
  </si>
  <si>
    <t>MECOBALAMIN 500</t>
  </si>
  <si>
    <t>MECOBALAMIN INJ</t>
  </si>
  <si>
    <t>MEDROXYPROGESTERONE (KB 3 BLN)</t>
  </si>
  <si>
    <t>MEFINAL 500 (asam mefenamat)</t>
  </si>
  <si>
    <t>MEGATIC SALEP 20 GR (natrium diclofenac gel)</t>
  </si>
  <si>
    <t>MELOXICAM 15MG</t>
  </si>
  <si>
    <t>MELOXICAM 7,5MG</t>
  </si>
  <si>
    <t>MEPTIN INHALASI/NEBU 0,5ML DEWASA (PROCATEROL HSL)</t>
  </si>
  <si>
    <t>MEPTIN TAB 0,05MG</t>
  </si>
  <si>
    <t>MERIMAC 450 MG (RIFAMPICIN 450)</t>
  </si>
  <si>
    <t>MERLOPAM 2MG (LORAZEPAM)</t>
  </si>
  <si>
    <t>MEROPENEM 1GR</t>
  </si>
  <si>
    <t>MESS ESCULAB 10</t>
  </si>
  <si>
    <t>MESS ESCULAB 11</t>
  </si>
  <si>
    <t>MESS ESCULAB 15</t>
  </si>
  <si>
    <t>METFORMIN 500MG</t>
  </si>
  <si>
    <t>METFORMIN 850MG</t>
  </si>
  <si>
    <t>METHISOPRINOL 500 MG</t>
  </si>
  <si>
    <t>METHISOPRINOL SYR</t>
  </si>
  <si>
    <t>METHYL ERGOMETRINE INJ</t>
  </si>
  <si>
    <t>METHYL PREDNISOLON 16 MG</t>
  </si>
  <si>
    <t>METHYL PREDNISOLON 4MG</t>
  </si>
  <si>
    <t>METHYL PREDNISOLON INJ</t>
  </si>
  <si>
    <t>METHYLERGOMETRINE TAB 0,125 MG</t>
  </si>
  <si>
    <t>METOCLOPRAMIDE INJ</t>
  </si>
  <si>
    <t>METOCLOPRAMIDE TABLET</t>
  </si>
  <si>
    <t>METRONIDAZOL 500</t>
  </si>
  <si>
    <t>METRONIDAZOLE INFUS</t>
  </si>
  <si>
    <t>METVEL TAB (METHYL ERGOMETRINE)</t>
  </si>
  <si>
    <t>MEYLON 84-BP INF</t>
  </si>
  <si>
    <t>MGSO4 40% OTSU 25ML</t>
  </si>
  <si>
    <t>MICONAZOL SALEP 2%</t>
  </si>
  <si>
    <t>MICROGEST 100MG (progesterone)</t>
  </si>
  <si>
    <t>MICROLAC ENEMA</t>
  </si>
  <si>
    <t>MILOZ INJ 5MG (MIDAZOLAM)</t>
  </si>
  <si>
    <t>MISOPROSTOL TAB</t>
  </si>
  <si>
    <t>MOMETASONE CREAM 10 MG</t>
  </si>
  <si>
    <t>MORFIN INJEKSI 5MG/ML</t>
  </si>
  <si>
    <t xml:space="preserve">MOXIFLOXACINE TM </t>
  </si>
  <si>
    <t>MUPIROCIN OINTMENT</t>
  </si>
  <si>
    <t>NACL  0,9% 1L</t>
  </si>
  <si>
    <t>NACL 0,9% 500ML INFUS</t>
  </si>
  <si>
    <t>NACL 3% 500ML</t>
  </si>
  <si>
    <t>NAIRET INJ (terbutaline sulfate)</t>
  </si>
  <si>
    <t>NAIRET TAB (TERBUTALINE SULFATE)</t>
  </si>
  <si>
    <t>NATRIUM DICLOFENAK 50MG</t>
  </si>
  <si>
    <t>NEBACETIN POWDER</t>
  </si>
  <si>
    <t>NEEDLE 18</t>
  </si>
  <si>
    <t>NEEDLE 23</t>
  </si>
  <si>
    <t>NEEDLE 24</t>
  </si>
  <si>
    <t>NEEDLE 25 G</t>
  </si>
  <si>
    <t>NEEDLE 26</t>
  </si>
  <si>
    <t>NEEDLE LANTUS</t>
  </si>
  <si>
    <t>NEO KAOLANA SYR (kaolin, pectin)</t>
  </si>
  <si>
    <t>NEOSTIGMINE INJ</t>
  </si>
  <si>
    <t>NEPHROLIT</t>
  </si>
  <si>
    <t xml:space="preserve">NEURALGIN RX TB (Methampyrone 500 mg, Thiamine HCl 50 mg, Pyridoxine HCl 10 mg, Cyanocobalamine 10 mcg, </t>
  </si>
  <si>
    <t>NEUROHAX (vitamin b1 b6 b12)</t>
  </si>
  <si>
    <t>NEUROHAX 5000 (vitamin b1 b6 b12)</t>
  </si>
  <si>
    <t>NGT 10</t>
  </si>
  <si>
    <t>NGT 12</t>
  </si>
  <si>
    <t>NGT 14</t>
  </si>
  <si>
    <t>NGT 16</t>
  </si>
  <si>
    <t>NGT 5</t>
  </si>
  <si>
    <t>NGT 8</t>
  </si>
  <si>
    <t>NICARDIPINE INJ 10 MG</t>
  </si>
  <si>
    <t>NIFEDIPIN 10MG</t>
  </si>
  <si>
    <t>NITROKAF RETARD 2,5MG (NITROGLYCERIN)</t>
  </si>
  <si>
    <t>NOBOR TAB ( ALLYLESTRENOL )</t>
  </si>
  <si>
    <t>NOCID</t>
  </si>
  <si>
    <t>NOKOBA INJ (naloxone 0,4 MG/ML)</t>
  </si>
  <si>
    <t>NONCORT 0.6 ML TETES MATA (natrium diklofenak)</t>
  </si>
  <si>
    <t>NOREPINEPHRINE INJ</t>
  </si>
  <si>
    <t>NORESTIL TABBLET (Norethisterone)</t>
  </si>
  <si>
    <t>NOROID LOTION/ML</t>
  </si>
  <si>
    <t>NOTISIL TAB 2 MG (WARFARIN)</t>
  </si>
  <si>
    <t>NOVOMIX</t>
  </si>
  <si>
    <t>NOVORAPID</t>
  </si>
  <si>
    <t>NUBREX 100 MG (celecoxib)</t>
  </si>
  <si>
    <t>NUBREX 200 MG (celecoxib)</t>
  </si>
  <si>
    <t>NUCEF SYR (cefixime)</t>
  </si>
  <si>
    <t>NUCRAL 100ML SYR (Sucralfate)</t>
  </si>
  <si>
    <t>NULACTA PLUS</t>
  </si>
  <si>
    <t>OBH ITRASAL SYR</t>
  </si>
  <si>
    <t>OCUFLAM 5 ML TM (Fluorometolon)</t>
  </si>
  <si>
    <t>OLANZAPIN 10 MG</t>
  </si>
  <si>
    <t>OMEPRAZOL</t>
  </si>
  <si>
    <t>OMEPRAZOL INJ</t>
  </si>
  <si>
    <t>ONDANCENTRON 4MG INJ</t>
  </si>
  <si>
    <t>ONDANCENTRON 4MG TAB</t>
  </si>
  <si>
    <t>OPUS TABLET (SOYLIFE EXTRACT, CALCIUM, VIT D3)</t>
  </si>
  <si>
    <t>ORALIT</t>
  </si>
  <si>
    <t>OSTEOCAL (calsium carbonat)</t>
  </si>
  <si>
    <t>OTEDE (diphehydramin)</t>
  </si>
  <si>
    <t>OTSU KCL 25 ML</t>
  </si>
  <si>
    <t>OTSU NACL 100ML</t>
  </si>
  <si>
    <t>OTSU SALIN 3 % (NACL 3%)</t>
  </si>
  <si>
    <t xml:space="preserve">OTTOPAIN TT </t>
  </si>
  <si>
    <t>OXYTOCIN INJ</t>
  </si>
  <si>
    <t>PAMOL 500 TAB (paracetamol)</t>
  </si>
  <si>
    <t>PARACETAMOL 500 TAB</t>
  </si>
  <si>
    <t>PARACETAMOL INFUS</t>
  </si>
  <si>
    <t>PARACETAMOL SYR</t>
  </si>
  <si>
    <t>PEHACAIN INJ (lidocaine, epinephrine)</t>
  </si>
  <si>
    <t>PERFUSOR 150CM/1,5ML</t>
  </si>
  <si>
    <t>PERMETHRIN 30 GR</t>
  </si>
  <si>
    <t>PESSARIUM 6,5 CM</t>
  </si>
  <si>
    <t>PETHIDIN INJ</t>
  </si>
  <si>
    <t>PHAROLIT (ORALIT)</t>
  </si>
  <si>
    <t>PHENOBARBITAL 30 MG</t>
  </si>
  <si>
    <t>PHENOBARBITAL INJ</t>
  </si>
  <si>
    <t>PHENYTOIN 100MG</t>
  </si>
  <si>
    <t>PHENYTOIN 50MG/ML INJ</t>
  </si>
  <si>
    <t>PHYTOMENADIONE 10MG TAB</t>
  </si>
  <si>
    <t>PHYTOMENADIONE 10MG/ML INJ (VITAMIN K)</t>
  </si>
  <si>
    <t>PHYTOMENADIONE 2MG/ML INJ (VITAMIN K)</t>
  </si>
  <si>
    <t>PIL KB I KOMBINASI</t>
  </si>
  <si>
    <t>PIOGLITAZONE 15 MG</t>
  </si>
  <si>
    <t>PIRACETAM  1 GR INJ</t>
  </si>
  <si>
    <t>PIRACETAM 1200 MG</t>
  </si>
  <si>
    <t>PIRACETAM 3GR INJ</t>
  </si>
  <si>
    <t>PIRACETAM 800MG</t>
  </si>
  <si>
    <t>PIRAZINAMIDE 500MG</t>
  </si>
  <si>
    <t>PIROTOP 10GR CREAM (MUPIROCIN)</t>
  </si>
  <si>
    <t>PLASMINEX 500 TAB (asam tranexamat)</t>
  </si>
  <si>
    <t>POT SALEP</t>
  </si>
  <si>
    <t>POVIDONE IODINE 60 ML</t>
  </si>
  <si>
    <t>PREDNISONE 5MG</t>
  </si>
  <si>
    <t>PREGNOLIN TAB (Allylestrenol 5 mg)</t>
  </si>
  <si>
    <t>PRIMADOL TAB (PARACETAMOL DAN METOCLOPRAMIDE)</t>
  </si>
  <si>
    <t>PROBIOKID SAC (PROBIOTIK, PREBIOTIK)</t>
  </si>
  <si>
    <t>PROHIPER 10MG (Methylphenidate hydrochloride)</t>
  </si>
  <si>
    <t>PROMAVIT (MULTIVITAMIN)</t>
  </si>
  <si>
    <t>PROPANOLOL 10MG</t>
  </si>
  <si>
    <t>PROPANOLOL 40MG</t>
  </si>
  <si>
    <t>PROPOFOL INJ</t>
  </si>
  <si>
    <t>PRORIS 125 SUPP (ibuprofen)</t>
  </si>
  <si>
    <t>PROVE D 1000 TAB (VITAMIN D3 1000IU)</t>
  </si>
  <si>
    <t>PSIDII KAPSUL</t>
  </si>
  <si>
    <t>PTU 100MG (PROPYLTHIOURACIL)</t>
  </si>
  <si>
    <t>PULMICORT RESPUL 0.25 ML/ML (BUDESONIDE)</t>
  </si>
  <si>
    <t>PULMICORT RESPUL 0.5 ML/ML (BUDESONIDE)</t>
  </si>
  <si>
    <t>PURGATIX ENEMA</t>
  </si>
  <si>
    <t>PYREXIN SUPP  160 (PARACETAMOL SUPP 160MG)</t>
  </si>
  <si>
    <t>PYREXIN SUPP 80 (PARACETAMOL SUPP 160MG)</t>
  </si>
  <si>
    <t>QUETIAPINE  XR 200</t>
  </si>
  <si>
    <t>RAMIPRIL 10 MG</t>
  </si>
  <si>
    <t>RAMIPRIL 5MG</t>
  </si>
  <si>
    <t>RANITIDINE 150MG TAB</t>
  </si>
  <si>
    <t>RANITIDINE 25MG/ML INJ</t>
  </si>
  <si>
    <t>REDAXIN (ANGKAK BERAS MERAH)</t>
  </si>
  <si>
    <t>RENAX KAPSUL</t>
  </si>
  <si>
    <t>RENXAMIN INFUS</t>
  </si>
  <si>
    <t>REPIMIDE 100 MG</t>
  </si>
  <si>
    <t>RETIVIT CAPSUL</t>
  </si>
  <si>
    <t>RHEU TREX TAB (metotreksat)</t>
  </si>
  <si>
    <t>RIFAMPICIN 450 MG</t>
  </si>
  <si>
    <t>RIFAMPICIN 600 MG</t>
  </si>
  <si>
    <t>RIKLONA 2MG (clonazepam)</t>
  </si>
  <si>
    <t>RISPERIDONE 2MG</t>
  </si>
  <si>
    <t>RL (RINGER LACTAT) 500ML</t>
  </si>
  <si>
    <t>ROSUVASTATIN 10 MG TABLET</t>
  </si>
  <si>
    <t>RYDIAN TAB (cetirizin)</t>
  </si>
  <si>
    <t>RYZODEG</t>
  </si>
  <si>
    <t>SAGESTAM INJ (GENTAMYCIN)</t>
  </si>
  <si>
    <t>SAGESTAM SALEP MATA (gentamycin salep mata)</t>
  </si>
  <si>
    <t>SAGESTAM TETES MATA (gentamycin tm)</t>
  </si>
  <si>
    <t>SAGESTAM ZALF (gentamycin salep kulit)</t>
  </si>
  <si>
    <t>SALBULIN MDI (SALBUTAMOL INHALER)</t>
  </si>
  <si>
    <t>SALBUTAMOL 2MG</t>
  </si>
  <si>
    <t>SALBUTAMOL 4MG</t>
  </si>
  <si>
    <t>SANADRYL DMP 60ML (DEXTRO, DIPHEN, MENTHOL)</t>
  </si>
  <si>
    <t>SANBE PLEX DROP</t>
  </si>
  <si>
    <t>SANCOIDAN CAP (EXTRACT LAMINARIA JAPONICA)</t>
  </si>
  <si>
    <t>SANDEPRIL  50 MG (MAPROTILIN)</t>
  </si>
  <si>
    <t>SANMOL DROP (paracetamol)</t>
  </si>
  <si>
    <t>SANMOL FORTE SIRUP (PARACETAMOL) 250MG/5ML</t>
  </si>
  <si>
    <t>SANMOL INFUS (paracetamol)</t>
  </si>
  <si>
    <t>SANOSKIN MELLADERMA PLUS</t>
  </si>
  <si>
    <t>SANPRIMA FORTE TAB (Trimethoprim dan Sulfamethoxazol)</t>
  </si>
  <si>
    <t>SANPRIMA SYR (Trimethoprim dan Sulfamethoxazol)</t>
  </si>
  <si>
    <t>SANPRIMA TABLET (Trimethoprim dan Sulfamethoxazol)</t>
  </si>
  <si>
    <t>SANSULIN</t>
  </si>
  <si>
    <t>SANSULIN RAPID (REKOMBINAN INSULIN HUMAN)</t>
  </si>
  <si>
    <t>SANTAGESIK INJ (metamizol)</t>
  </si>
  <si>
    <t>SCOPMA PLUS TAB (paracetamol dan hyoscin)</t>
  </si>
  <si>
    <t>SCOPMA TAB (hyoscine N butilbromide)</t>
  </si>
  <si>
    <t>SERETIDE DISKUS 50/250 MG (Salmeterol dan Fluticasone Propionate)</t>
  </si>
  <si>
    <t>SERTRALINE 50 MG TAB</t>
  </si>
  <si>
    <t>SEVOFLURANE SOLL (ML)</t>
  </si>
  <si>
    <t>SIBITAL 50 MG (PHENOBARBITAL)</t>
  </si>
  <si>
    <t>SIFROL 0.375 MG (PRAMIPEXOL)</t>
  </si>
  <si>
    <t>SIMVASTATIN 10 MG</t>
  </si>
  <si>
    <t>SIMVASTATIN 20 MG</t>
  </si>
  <si>
    <t>SIRPLUS SYR</t>
  </si>
  <si>
    <t>SIRPLUS TABLET</t>
  </si>
  <si>
    <t>SISTENOL TAB (PARACETAMOL DAN Acetylcysteine)</t>
  </si>
  <si>
    <t>SITAGLIPTIN HYDROCLORIDE MONOHYDRAT 10 MG</t>
  </si>
  <si>
    <t>SNMC INJ</t>
  </si>
  <si>
    <t>SOFTBAND 3 INCI</t>
  </si>
  <si>
    <t>SOFTBAND 4 INCI</t>
  </si>
  <si>
    <t>SOFTBAND 6 ''</t>
  </si>
  <si>
    <t>SPALK 100 CM X 5 CM</t>
  </si>
  <si>
    <t>SPALK 100 X 10</t>
  </si>
  <si>
    <t>SPALK 100 X 8 CM</t>
  </si>
  <si>
    <t>SPALK 17 CM X 5 CM</t>
  </si>
  <si>
    <t>SPALK 20 X 8</t>
  </si>
  <si>
    <t>SPALK 25 X 5 CM</t>
  </si>
  <si>
    <t>SPALK 30 X 10 CM</t>
  </si>
  <si>
    <t>SPALK 30 X 5 CM</t>
  </si>
  <si>
    <t>SPALK 45 X 5 CM</t>
  </si>
  <si>
    <t>SPALK 45 X 8 CM</t>
  </si>
  <si>
    <t>SPALK 60 X 8 CM</t>
  </si>
  <si>
    <t>SPALK 80 X 8 CM</t>
  </si>
  <si>
    <t>SPALK UKURAN L( 15 CM X 5 CM )</t>
  </si>
  <si>
    <t>SPALK UKURAN M ( 10 CM X 5 CM )</t>
  </si>
  <si>
    <t>SPALK UKURAN S ( 8 CM X 5 CM)</t>
  </si>
  <si>
    <t>SPALK XS ( 5 X 5 CM)</t>
  </si>
  <si>
    <t>SPINOCAN 25</t>
  </si>
  <si>
    <t>SPINOCAN 26</t>
  </si>
  <si>
    <t>SPINOCAN 27</t>
  </si>
  <si>
    <t>SPIRIVA 2.5 INHALASI (TIOTROPIUM BROMIDE)</t>
  </si>
  <si>
    <t>SPIRIVA 2.5 MCG REFILL (tiotropium bromide)</t>
  </si>
  <si>
    <t>SPIRONOLACTON 100MG TAB</t>
  </si>
  <si>
    <t>SPIRONOLACTON 25MG TAB</t>
  </si>
  <si>
    <t>SPORETIK 1OOMG (cefixime 100)</t>
  </si>
  <si>
    <t>SPORETIK 200MG (CEFIXIME)</t>
  </si>
  <si>
    <t>SPORETIK SYR (cefixime)</t>
  </si>
  <si>
    <t>SPUIT 10CC</t>
  </si>
  <si>
    <t>SPUIT 1CC ONEMED</t>
  </si>
  <si>
    <t>SPUIT 20CC</t>
  </si>
  <si>
    <t>SPUIT 3CC</t>
  </si>
  <si>
    <t>SPUIT 50 LUB PINGGIR</t>
  </si>
  <si>
    <t>SPUIT 50 LUB TENGAH</t>
  </si>
  <si>
    <t>SPUIT 5CC</t>
  </si>
  <si>
    <t>SPUIT INSULIN 100 UNIT</t>
  </si>
  <si>
    <t>STELOSI 5 MG</t>
  </si>
  <si>
    <t>STESOLID 10MG TUBE (DIAZEPAM)</t>
  </si>
  <si>
    <t>STESOLID 5 MG TUBE SUPPOSITORIA (diazepam rectal tube)</t>
  </si>
  <si>
    <t>STOLAX SUPPO (bisacodil/dulcolax)</t>
  </si>
  <si>
    <t>STOP TB KIT 2 (LANJUTAN)</t>
  </si>
  <si>
    <t>STOP TB KIT 4 (INTENSIF)</t>
  </si>
  <si>
    <t>SUCRALFAT SYR</t>
  </si>
  <si>
    <t>SUCRALFATE TABLET</t>
  </si>
  <si>
    <t>SUCTION NO 10</t>
  </si>
  <si>
    <t>SUCTION NO 12</t>
  </si>
  <si>
    <t>SUCTION NO 8</t>
  </si>
  <si>
    <t>SULCOLON ( Sulfasalazine) 500MG</t>
  </si>
  <si>
    <t>SULFADIAZIN SILVER CRM 35 GR</t>
  </si>
  <si>
    <t>SYMBICORT 160/120 (BUDESONIDE DAN FORMOTEROL FUMARATE)</t>
  </si>
  <si>
    <t>SYMBICORT 80/60 ANAK (BUDESONIDE DAN FORMOTEROL FUMARATE)</t>
  </si>
  <si>
    <t>SYMBICORT RAPIHELER</t>
  </si>
  <si>
    <t>TABLET TAMBAH DARAH</t>
  </si>
  <si>
    <t>TAMSULOSIN SR 0.4 MG</t>
  </si>
  <si>
    <t>TB VIT6 (INH 400 mg, vit.B6 24 mg)</t>
  </si>
  <si>
    <t>TEBOKAN SPESIAL (Ginkgo-Biloba extract (EGb761) 80 mg)</t>
  </si>
  <si>
    <t>TENSOCREP 3 INCI</t>
  </si>
  <si>
    <t>TENSOCREP 4 INCI</t>
  </si>
  <si>
    <t>TENSOCREP 6 INCI</t>
  </si>
  <si>
    <t>TEOSAL ( SALBUTAMUL,THEOPHYLIN)</t>
  </si>
  <si>
    <t>TERANOL (ketorolac inj)</t>
  </si>
  <si>
    <t>TERASTAECH INF</t>
  </si>
  <si>
    <t xml:space="preserve">TERAZOSIN 1 MG </t>
  </si>
  <si>
    <t xml:space="preserve">TERAZOSIN 2 MG </t>
  </si>
  <si>
    <t>TETAGAM 250 IU INJ</t>
  </si>
  <si>
    <t>THIAMAZOL 5 MG</t>
  </si>
  <si>
    <t>THIAMAZOLE 10 MG</t>
  </si>
  <si>
    <t>THIAMPHENICOL 500MG</t>
  </si>
  <si>
    <t>THP 2MG (Trihexyphenidyl)</t>
  </si>
  <si>
    <t>THREEWAY WITH STOP COOK CONECTA 10CM</t>
  </si>
  <si>
    <t>THROMBO GEL 10G (HEPARIN SODIUM)</t>
  </si>
  <si>
    <t>TIMOLOL TM</t>
  </si>
  <si>
    <t>TLD/ARV (300 MG+ 300 MG+ 50 MG )</t>
  </si>
  <si>
    <t>TOPI OP</t>
  </si>
  <si>
    <t>TRAMADOL 50MG</t>
  </si>
  <si>
    <t>TRAMADOL INJ</t>
  </si>
  <si>
    <t>tramofal plus</t>
  </si>
  <si>
    <t>TRANFUSI SET</t>
  </si>
  <si>
    <t>TRANFUSI SET BPJS</t>
  </si>
  <si>
    <t>TREMENZA SYR (Pseudoephedrine, Triprolidine HCl)</t>
  </si>
  <si>
    <t>TREMENZA TAB (pseudoephedrine, tripolidine)</t>
  </si>
  <si>
    <t>TRIAMCINOLONE 4MG TAB</t>
  </si>
  <si>
    <t>TRIAMCINOLONE INJ</t>
  </si>
  <si>
    <t>TRIANTA SYR ( alumunium, magnesium, simeticone)</t>
  </si>
  <si>
    <t>TROMBHOPOB GEL (SODIUM HEPARIN)</t>
  </si>
  <si>
    <t>TUTOSOL INF</t>
  </si>
  <si>
    <t>ULTIBRO HNCL 0.11/0.05 MG ALU(3X10)</t>
  </si>
  <si>
    <t>UMARONE INJ (SODIUM HYALURONATE)</t>
  </si>
  <si>
    <t>UMBILICAL CATH 3.5</t>
  </si>
  <si>
    <t>UMBILICAL CLEM</t>
  </si>
  <si>
    <t>UNDERPAD</t>
  </si>
  <si>
    <t>UPERIO TABLET50 MG</t>
  </si>
  <si>
    <t>URINE BAG</t>
  </si>
  <si>
    <t>URINE COLLECTOR PEADIATRIK</t>
  </si>
  <si>
    <t>URINTER (PIPEDIMIC ACID)</t>
  </si>
  <si>
    <t>V- BLOC 25 MG (carvedilol)</t>
  </si>
  <si>
    <t>VAKSIN HB O</t>
  </si>
  <si>
    <t>VALISANBE 2MG (diazepam 2mg)</t>
  </si>
  <si>
    <t>VALISANBE 5MG (diazepam 5mg)</t>
  </si>
  <si>
    <t>VALSARTAN 160 MG</t>
  </si>
  <si>
    <t>VASELINE ALBUM ( GR )</t>
  </si>
  <si>
    <t>V-BLOC 6.25 MG (carvedilol)</t>
  </si>
  <si>
    <t>VENARON (Sophora Japonica extr)</t>
  </si>
  <si>
    <t>VENAX INJ (FONDAPARINUX)</t>
  </si>
  <si>
    <t>VENOSMIL 200 MG (HYDROSMIN)</t>
  </si>
  <si>
    <t>VESPERUM DROP (domperidone)</t>
  </si>
  <si>
    <t>VESPERUM SYR (DOMPERIDONE)</t>
  </si>
  <si>
    <t>VITAMIN A 200000</t>
  </si>
  <si>
    <t>VITAMIN B COMPLEX</t>
  </si>
  <si>
    <t>VITAMIN B1 100 MG</t>
  </si>
  <si>
    <t>VITAMIN B1 50 MG</t>
  </si>
  <si>
    <t>VITAMIN B12 50 MCG</t>
  </si>
  <si>
    <t>VITAMIN B6</t>
  </si>
  <si>
    <t>VITAMIN C 100 MG TAB</t>
  </si>
  <si>
    <t>VITAMIN C 50 MG</t>
  </si>
  <si>
    <t>VITAMIN C 500 MG TAB</t>
  </si>
  <si>
    <t>VOMETA DROP (domperidone drop)</t>
  </si>
  <si>
    <t>VOMETA SYR (DOMPERIDONE) 5MG/5ML</t>
  </si>
  <si>
    <t>WARFARIN 2 MG TAB</t>
  </si>
  <si>
    <t>WATER STERIL 1 L (WF)</t>
  </si>
  <si>
    <t>WF</t>
  </si>
  <si>
    <t>WING NEEDLE NO 21</t>
  </si>
  <si>
    <t>WING NEEDLE NO 23</t>
  </si>
  <si>
    <t>WING NEEDLE NO 25</t>
  </si>
  <si>
    <t>XEPAZYM TAB (PANCREATIN 170MG, SIMETHICONE 80MG)</t>
  </si>
  <si>
    <t>XYBAT 5 MG TAB (LEVOCETIRIZINE 5MG)</t>
  </si>
  <si>
    <t>YUSIMOX SYR (AMOXICILLIN)</t>
  </si>
  <si>
    <t>ZIDOVUDINE 100 MG</t>
  </si>
  <si>
    <t>ZINC 20MG TAB</t>
  </si>
  <si>
    <t>ZINC SYR 60 ML</t>
  </si>
  <si>
    <t>ZYFORT 5000 INJ (VITAMIN B1 B6 B12/ NEUROBION)</t>
  </si>
  <si>
    <t>TOTAL KEBUTUHAN</t>
  </si>
  <si>
    <t>LABORATORIUM</t>
  </si>
  <si>
    <t>NAMA OBAT/ ALKES</t>
  </si>
  <si>
    <t>ALBUMIN CV.ERGE</t>
  </si>
  <si>
    <t>ALCOHOL SWAB</t>
  </si>
  <si>
    <t>APTT</t>
  </si>
  <si>
    <t>BLOOD LANCET ONE MED ( BOX )</t>
  </si>
  <si>
    <t>BLUE TIP ( SACK )</t>
  </si>
  <si>
    <t>CREATINE 5 REAGENT KIT 200 ML PT.AIM</t>
  </si>
  <si>
    <t>CREATININ CV.ERGE</t>
  </si>
  <si>
    <t>CUP SAMPLE BS 240 ( 500 TEST) CV.ERGE</t>
  </si>
  <si>
    <t>CUP SAMPLE GP 500 PCS</t>
  </si>
  <si>
    <t>DEGLASS 24*24 (PACK)</t>
  </si>
  <si>
    <t>Ft3.PT.SUM</t>
  </si>
  <si>
    <t>GE BLOOD GLUCOSE TEST STRIP GE200 BX ( 50 )</t>
  </si>
  <si>
    <t>GLUCOS -PAP 5 REAGENT KIT 400 ML PT.AIM</t>
  </si>
  <si>
    <t>HBA1C</t>
  </si>
  <si>
    <t>HBSAG STRIP RS'50(BOX)</t>
  </si>
  <si>
    <t>HUMATROL CV.ERGE</t>
  </si>
  <si>
    <t xml:space="preserve">M 52 DIFF LYDE </t>
  </si>
  <si>
    <t>M 52 DILUENT</t>
  </si>
  <si>
    <t xml:space="preserve">M 52 LYSE </t>
  </si>
  <si>
    <t>MASKER</t>
  </si>
  <si>
    <t>NEEDLE FLASHBACK 22 G BD ( BOX)</t>
  </si>
  <si>
    <t>OBJECT GLASS ( BOX )</t>
  </si>
  <si>
    <t>PLESTERIN ( BOX )</t>
  </si>
  <si>
    <t>POT URIN STERIL TUTUP KUNING</t>
  </si>
  <si>
    <t>RIGHTSIG TYPOID DEVICE 25 T ( PBSM )</t>
  </si>
  <si>
    <t>SENSI GLOVE</t>
  </si>
  <si>
    <t>SPUIT 3CC BD</t>
  </si>
  <si>
    <t>STIK ASAM URAT EASY TOUCH</t>
  </si>
  <si>
    <t>STIK CHOLESTEROL EASY TOUCH</t>
  </si>
  <si>
    <t>STIK GULA EASY TOUCH</t>
  </si>
  <si>
    <t>T +D BILIRUBIN VC.ERGE</t>
  </si>
  <si>
    <t>TABUNG EDTA 0,5 ML PT.SUM</t>
  </si>
  <si>
    <t>TABUNG PLAIN PT.SUM</t>
  </si>
  <si>
    <t xml:space="preserve">TABUNG URIN PT.SUM </t>
  </si>
  <si>
    <t>TES BGA</t>
  </si>
  <si>
    <t>URIC ACID CV.ERGE</t>
  </si>
  <si>
    <t>URINALISA STRIP M'100 ( BOX)</t>
  </si>
  <si>
    <t>YELLOW TIP (SACK)</t>
  </si>
  <si>
    <t>TOTAL PENGGUNAAN BHP/REAGEN LABORAT</t>
  </si>
  <si>
    <t>KASA 40*80 ROL</t>
  </si>
  <si>
    <t>GIGAZYME</t>
  </si>
  <si>
    <t>POUCHES 10 CM X 100 M (K)</t>
  </si>
  <si>
    <t>POUCHES 25 X 100 BESAR</t>
  </si>
  <si>
    <t>POUCHES 15 CM X 100 M (S)</t>
  </si>
  <si>
    <t>KERTAS WRAP PEMBUNGKUS KASA</t>
  </si>
  <si>
    <t xml:space="preserve">PLESTER INDIKATOR </t>
  </si>
  <si>
    <t>KEBUTUHAN BIAYA</t>
  </si>
  <si>
    <t>SANITASI DAN CS</t>
  </si>
  <si>
    <t>NAMA OBAT/ ALKES/BHP MEDIS</t>
  </si>
  <si>
    <t>HANDRUB BAYMED 20 L</t>
  </si>
  <si>
    <t>SASKLIN ANTIDEPTIP HANDWASH 5 L</t>
  </si>
  <si>
    <t>MIKROCID AF LIQUID 10 L</t>
  </si>
  <si>
    <t>ALKOHOL 70% /LITER</t>
  </si>
  <si>
    <t>BAYMED 4 % 5 L</t>
  </si>
  <si>
    <t>BAYMED PLUS 5 L</t>
  </si>
  <si>
    <t>RADIOLOGI</t>
  </si>
  <si>
    <t>FILM RADIOLOGI 26 X 36 CM</t>
  </si>
  <si>
    <t>FILM RADIOLOGI 20 X 25 CM</t>
  </si>
  <si>
    <t>Film USG</t>
  </si>
  <si>
    <t>Iopamiro</t>
  </si>
  <si>
    <t>barium sulfat (@50gr)</t>
  </si>
  <si>
    <t>garam inggris (@30gr)</t>
  </si>
  <si>
    <t>Ultrasonic gel 5 liter</t>
  </si>
  <si>
    <t>BHP DAN BMHP UNIT/BANGSAL</t>
  </si>
  <si>
    <t>CHLORETYL</t>
  </si>
  <si>
    <t>ERLAMYCETIN SALEP MATA (CHLORAMPHENICOL)</t>
  </si>
  <si>
    <t>GELANG ANAK BIRU</t>
  </si>
  <si>
    <t>GELANG ANAK KUNING</t>
  </si>
  <si>
    <t>GELANG ANAK PINK</t>
  </si>
  <si>
    <t>GELANG DWS BIRU</t>
  </si>
  <si>
    <t>GELANG DWS KUNING</t>
  </si>
  <si>
    <t>GELANG DWS PINK</t>
  </si>
  <si>
    <t>GELANG MERAH</t>
  </si>
  <si>
    <t>GROUND PLATE -M1 DISPOSIBEL</t>
  </si>
  <si>
    <t>HYPAFIX 10X10M</t>
  </si>
  <si>
    <t>KY JELLY 100 GR</t>
  </si>
  <si>
    <t>LINA PEN SINGLE USE</t>
  </si>
  <si>
    <t>MASKER ANESTESI UK 3</t>
  </si>
  <si>
    <t>MASKER ANESTESI UK 4</t>
  </si>
  <si>
    <t>MASKER ANESTESI UK 5 ( OK)</t>
  </si>
  <si>
    <t>NACL 0,9 % INF 1 L (INFUS)</t>
  </si>
  <si>
    <t>SALIVA EJECTOR</t>
  </si>
  <si>
    <t>SCHIMER STRIPS(TEAR TEST)</t>
  </si>
  <si>
    <t>SEPTANEST INJ</t>
  </si>
  <si>
    <t>SPIRO MOUTH PAPER</t>
  </si>
  <si>
    <t>TONGUE  SPATEL KAYU</t>
  </si>
  <si>
    <t>VAKSIN MENIVAX/VAKSIN MENINGITIS</t>
  </si>
  <si>
    <t xml:space="preserve">koordinasi  kepada MPP </t>
  </si>
  <si>
    <t>tim mutu</t>
  </si>
  <si>
    <t xml:space="preserve">NPS (Net Promotor Score) </t>
  </si>
  <si>
    <t xml:space="preserve"> PROSES BISNIS INTERNAL</t>
  </si>
  <si>
    <t>LEARN AND GROWTH</t>
  </si>
  <si>
    <t>ANGGARAN ACC UNTUK GIZI (BAHAN MAKANAN DAN BHP )</t>
  </si>
  <si>
    <t>ANGGARAN ACC UNTUK OBAT DAN BHP</t>
  </si>
  <si>
    <t>Digital maturity index</t>
  </si>
  <si>
    <t>penyusunan master plan IT</t>
  </si>
  <si>
    <t>penyusunan tata kelola Simrs</t>
  </si>
  <si>
    <t>monitoring</t>
  </si>
  <si>
    <t>pelatihan keamanan sistem informasi</t>
  </si>
  <si>
    <t>NAMA PELATIHAN</t>
  </si>
  <si>
    <t>IHT/EHT</t>
  </si>
  <si>
    <t>STANDART</t>
  </si>
  <si>
    <t>TEKNIS</t>
  </si>
  <si>
    <t>KEPEGAWAIAN</t>
  </si>
  <si>
    <t>ppi</t>
  </si>
  <si>
    <t xml:space="preserve">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</si>
</sst>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6">
    <numFmt numFmtId="6" formatCode="&quot;Rp&quot;#,##0;[Red]\-&quot;Rp&quot;#,##0"/>
    <numFmt numFmtId="42" formatCode="_-&quot;Rp&quot;* #,##0_-;\-&quot;Rp&quot;* #,##0_-;_-&quot;Rp&quot;* &quot;-&quot;_-;_-@_-"/>
    <numFmt numFmtId="164" formatCode="_-&quot;Rp&quot;* #,##0_-;\-&quot;Rp&quot;* #,##0_-;_-&quot;Rp&quot;* &quot;-&quot;_-;_-@"/>
    <numFmt numFmtId="165" formatCode="_-&quot;Rp&quot;* #,##0_-;\-&quot;Rp&quot;* #,##0_-;_-&quot;Rp&quot;* &quot;-&quot;??_-;_-@"/>
    <numFmt numFmtId="167" formatCode="_(&quot;Rp&quot;* #,##0_);_(&quot;Rp&quot;* \(#,##0\);_(&quot;Rp&quot;* &quot;-&quot;_);_(@_)"/>
    <numFmt numFmtId="169" formatCode="_-[$Rp-3809]* #,##0_-;\-[$Rp-3809]* #,##0_-;_-[$Rp-3809]* &quot;-&quot;??_-;_-@"/>
    <numFmt numFmtId="171" formatCode="_(* #,##0_);_(* \(#,##0\);_(* &quot;-&quot;_);_(@_)"/>
    <numFmt numFmtId="172" formatCode="d\.m"/>
    <numFmt numFmtId="173" formatCode="d\-m"/>
    <numFmt numFmtId="174" formatCode="[$Rp-421]#,##0"/>
    <numFmt numFmtId="175" formatCode="&quot;Rp&quot;#,##0.00"/>
    <numFmt numFmtId="177" formatCode="_-* #,##0_-;\-* #,##0_-;_-* &quot;-&quot;_-;_-@"/>
    <numFmt numFmtId="178" formatCode="_-[$Rp-3809]* #,##0.00_-;\-[$Rp-3809]* #,##0.00_-;_-[$Rp-3809]* &quot;-&quot;??_-;_-@"/>
    <numFmt numFmtId="181" formatCode="_-[$Rp-421]* #,##0.00_-;\-[$Rp-421]* #,##0.00_-;_-[$Rp-421]* &quot;-&quot;??_-;_-@"/>
    <numFmt numFmtId="182" formatCode="_([$Rp-421]* #,##0_);_([$Rp-421]* \(#,##0\);_([$Rp-421]* &quot;-&quot;??_);_(@_)"/>
    <numFmt numFmtId="183" formatCode="#,##0;\(#,##0\)"/>
  </numFmts>
  <fonts count="81">
    <font>
      <sz val="11"/>
      <color rgb="FF000000"/>
      <name val="Calibri"/>
      <scheme val="minor"/>
    </font>
    <font>
      <b/>
      <sz val="14"/>
      <color rgb="FFFFFFFF"/>
      <name val="Calibri"/>
    </font>
    <font>
      <sz val="11"/>
      <name val="Calibri"/>
    </font>
    <font>
      <b/>
      <sz val="11"/>
      <color rgb="FF363739"/>
      <name val="Arial"/>
    </font>
    <font>
      <b/>
      <sz val="12"/>
      <color rgb="FF000000"/>
      <name val="Calibri"/>
    </font>
    <font>
      <sz val="11"/>
      <color rgb="FF000000"/>
      <name val="Arial"/>
    </font>
    <font>
      <sz val="14"/>
      <color rgb="FF000000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000000"/>
      <name val="Times New Roman"/>
    </font>
    <font>
      <sz val="11"/>
      <color theme="1"/>
      <name val="Calibri"/>
    </font>
    <font>
      <sz val="12"/>
      <color rgb="FF000000"/>
      <name val="Times New Roman"/>
    </font>
    <font>
      <b/>
      <sz val="11"/>
      <color theme="1"/>
      <name val="Calibri"/>
    </font>
    <font>
      <sz val="11"/>
      <color theme="1"/>
      <name val="Times New Roman"/>
    </font>
    <font>
      <sz val="11"/>
      <color theme="1"/>
      <name val="Arial"/>
    </font>
    <font>
      <sz val="12"/>
      <color theme="1"/>
      <name val="Arial"/>
    </font>
    <font>
      <b/>
      <sz val="11"/>
      <color theme="1"/>
      <name val="Times New Roman"/>
    </font>
    <font>
      <sz val="12"/>
      <color theme="1"/>
      <name val="Calibri"/>
    </font>
    <font>
      <b/>
      <sz val="12"/>
      <color theme="1"/>
      <name val="Calibri"/>
    </font>
    <font>
      <sz val="13"/>
      <color rgb="FF000000"/>
      <name val="Calibri"/>
    </font>
    <font>
      <b/>
      <sz val="13"/>
      <color rgb="FF000000"/>
      <name val="Calibri"/>
    </font>
    <font>
      <sz val="12"/>
      <color theme="1"/>
      <name val="Times New Roman"/>
    </font>
    <font>
      <b/>
      <sz val="11"/>
      <color rgb="FF000000"/>
      <name val="Calibri"/>
    </font>
    <font>
      <sz val="8"/>
      <color rgb="FF000000"/>
      <name val="Poppins"/>
    </font>
    <font>
      <sz val="9"/>
      <color rgb="FF000000"/>
      <name val="Poppins"/>
    </font>
    <font>
      <sz val="11"/>
      <color rgb="FF000000"/>
      <name val="Poppins"/>
    </font>
    <font>
      <sz val="12"/>
      <color rgb="FF000000"/>
      <name val="Poppins"/>
    </font>
    <font>
      <sz val="12"/>
      <color rgb="FF000000"/>
      <name val="Calibri"/>
    </font>
    <font>
      <b/>
      <sz val="16"/>
      <color rgb="FF000000"/>
      <name val="Calibri"/>
    </font>
    <font>
      <sz val="12"/>
      <color rgb="FFFFFFFF"/>
      <name val="Times New Roman"/>
    </font>
    <font>
      <sz val="10"/>
      <color theme="1"/>
      <name val="Times New Roman"/>
    </font>
    <font>
      <b/>
      <sz val="16"/>
      <color rgb="FF000000"/>
      <name val="Times New Roman"/>
    </font>
    <font>
      <b/>
      <sz val="12"/>
      <color rgb="FF000000"/>
      <name val="Times New Roman"/>
    </font>
    <font>
      <b/>
      <sz val="12"/>
      <color theme="1"/>
      <name val="Times New Roman"/>
    </font>
    <font>
      <b/>
      <sz val="12"/>
      <color theme="0"/>
      <name val="Times New Roman"/>
    </font>
    <font>
      <sz val="16"/>
      <color theme="1"/>
      <name val="Calibri"/>
    </font>
    <font>
      <i/>
      <sz val="12"/>
      <color rgb="FF000000"/>
      <name val="Times New Roman"/>
    </font>
    <font>
      <sz val="10"/>
      <color theme="1"/>
      <name val="Cambria"/>
    </font>
    <font>
      <b/>
      <sz val="20"/>
      <color rgb="FF000000"/>
      <name val="Calibri"/>
    </font>
    <font>
      <b/>
      <sz val="18"/>
      <color theme="1"/>
      <name val="Times New Roman"/>
    </font>
    <font>
      <b/>
      <sz val="11"/>
      <color rgb="FFFFFFFF"/>
      <name val="Calibri"/>
    </font>
    <font>
      <sz val="9"/>
      <color theme="1"/>
      <name val="Times New Roman"/>
    </font>
    <font>
      <sz val="12"/>
      <color theme="0"/>
      <name val="Times New Roman"/>
    </font>
    <font>
      <sz val="11"/>
      <color theme="0"/>
      <name val="Calibri"/>
    </font>
    <font>
      <sz val="16"/>
      <color rgb="FF000000"/>
      <name val="Times New Roman"/>
    </font>
    <font>
      <sz val="14"/>
      <color rgb="FFFFFFFF"/>
      <name val="Times New Roman"/>
    </font>
    <font>
      <sz val="14"/>
      <color rgb="FF000000"/>
      <name val="Times New Roman"/>
    </font>
    <font>
      <sz val="10"/>
      <color rgb="FF1F1F1F"/>
      <name val="Times New Roman"/>
    </font>
    <font>
      <sz val="12"/>
      <color rgb="FF1F1F1F"/>
      <name val="Times New Roman"/>
    </font>
    <font>
      <b/>
      <sz val="10"/>
      <color theme="1"/>
      <name val="Times New Roman"/>
    </font>
    <font>
      <b/>
      <sz val="18"/>
      <color theme="1"/>
      <name val="Calibri"/>
    </font>
    <font>
      <b/>
      <sz val="14"/>
      <color theme="1"/>
      <name val="Calibri"/>
    </font>
    <font>
      <b/>
      <sz val="11"/>
      <color theme="1"/>
      <name val="Arial"/>
    </font>
    <font>
      <sz val="10"/>
      <color theme="1"/>
      <name val="Arial"/>
    </font>
    <font>
      <b/>
      <sz val="12"/>
      <color theme="1"/>
      <name val="Arial"/>
    </font>
    <font>
      <b/>
      <sz val="10"/>
      <color theme="1"/>
      <name val="Arial"/>
    </font>
    <font>
      <b/>
      <i/>
      <sz val="12"/>
      <color theme="1"/>
      <name val="Arial"/>
    </font>
    <font>
      <i/>
      <sz val="12"/>
      <color theme="1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6"/>
      <color theme="1"/>
      <name val="Times New Roman"/>
    </font>
    <font>
      <sz val="12"/>
      <color theme="0"/>
      <name val="Arial"/>
    </font>
    <font>
      <b/>
      <sz val="8"/>
      <color theme="0"/>
      <name val="Times New Roman"/>
    </font>
    <font>
      <sz val="8"/>
      <color rgb="FF000000"/>
      <name val="Times New Roman"/>
    </font>
    <font>
      <sz val="8"/>
      <color theme="1"/>
      <name val="Times New Roman"/>
    </font>
    <font>
      <b/>
      <sz val="8"/>
      <color theme="1"/>
      <name val="Times New Roman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rgb="FF000000"/>
      <name val="Times New Roman"/>
      <family val="1"/>
    </font>
    <font>
      <sz val="10"/>
      <color rgb="FF000000"/>
      <name val="Poppins"/>
    </font>
    <font>
      <sz val="12"/>
      <color theme="1"/>
      <name val="Calibri"/>
      <family val="2"/>
    </font>
    <font>
      <sz val="12"/>
      <color theme="1"/>
      <name val="Times New Roman"/>
      <family val="1"/>
    </font>
    <font>
      <b/>
      <sz val="14"/>
      <color theme="1"/>
      <name val="Arial"/>
      <family val="2"/>
    </font>
    <font>
      <b/>
      <sz val="14"/>
      <color theme="1"/>
      <name val="Calibri"/>
      <family val="2"/>
    </font>
    <font>
      <b/>
      <sz val="14"/>
      <color rgb="FF000000"/>
      <name val="Calibri"/>
      <family val="2"/>
      <scheme val="minor"/>
    </font>
    <font>
      <b/>
      <sz val="14"/>
      <color theme="0"/>
      <name val="Arial"/>
      <family val="2"/>
    </font>
    <font>
      <b/>
      <sz val="14"/>
      <color theme="0"/>
      <name val="Calibri"/>
      <family val="2"/>
    </font>
    <font>
      <b/>
      <sz val="11"/>
      <color theme="0"/>
      <name val="Times New Roman"/>
      <family val="1"/>
    </font>
    <font>
      <b/>
      <sz val="12"/>
      <color theme="0"/>
      <name val="Times New Roman"/>
      <family val="1"/>
    </font>
    <font>
      <b/>
      <sz val="14"/>
      <color theme="0"/>
      <name val="Times New Roman"/>
      <family val="1"/>
    </font>
    <font>
      <b/>
      <sz val="12"/>
      <color theme="1"/>
      <name val="Calibri"/>
      <family val="2"/>
    </font>
  </fonts>
  <fills count="31">
    <fill>
      <patternFill patternType="none"/>
    </fill>
    <fill>
      <patternFill patternType="gray125"/>
    </fill>
    <fill>
      <patternFill patternType="solid">
        <fgColor rgb="FF375623"/>
        <bgColor rgb="FF375623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2D050"/>
        <bgColor rgb="FF92D050"/>
      </patternFill>
    </fill>
    <fill>
      <patternFill patternType="solid">
        <fgColor rgb="FFFFC000"/>
        <bgColor rgb="FFFFC0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9900"/>
        <bgColor rgb="FFFF9900"/>
      </patternFill>
    </fill>
    <fill>
      <patternFill patternType="solid">
        <fgColor rgb="FFC00000"/>
        <bgColor rgb="FFC00000"/>
      </patternFill>
    </fill>
    <fill>
      <patternFill patternType="solid">
        <fgColor rgb="FFF2F2F2"/>
        <bgColor rgb="FFF2F2F2"/>
      </patternFill>
    </fill>
    <fill>
      <patternFill patternType="solid">
        <fgColor rgb="FF2F75B6"/>
        <bgColor rgb="FF2F75B6"/>
      </patternFill>
    </fill>
    <fill>
      <patternFill patternType="solid">
        <fgColor rgb="FF2E75B5"/>
        <bgColor rgb="FF2E75B5"/>
      </patternFill>
    </fill>
    <fill>
      <patternFill patternType="solid">
        <fgColor rgb="FF5C9BD5"/>
        <bgColor rgb="FF5C9BD5"/>
      </patternFill>
    </fill>
    <fill>
      <patternFill patternType="solid">
        <fgColor rgb="FFC5E0B3"/>
        <bgColor rgb="FFC5E0B3"/>
      </patternFill>
    </fill>
    <fill>
      <patternFill patternType="solid">
        <fgColor rgb="FF002060"/>
        <bgColor rgb="FF002060"/>
      </patternFill>
    </fill>
    <fill>
      <patternFill patternType="solid">
        <fgColor rgb="FFF0F0F0"/>
        <bgColor rgb="FFF0F0F0"/>
      </patternFill>
    </fill>
    <fill>
      <patternFill patternType="solid">
        <fgColor theme="9"/>
        <bgColor rgb="FFFF0000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rgb="FFFF0000"/>
      </patternFill>
    </fill>
    <fill>
      <patternFill patternType="solid">
        <fgColor rgb="FFC00000"/>
        <bgColor indexed="64"/>
      </patternFill>
    </fill>
    <fill>
      <patternFill patternType="solid">
        <fgColor rgb="FFC00000"/>
        <bgColor theme="0"/>
      </patternFill>
    </fill>
    <fill>
      <patternFill patternType="solid">
        <fgColor rgb="FFC00000"/>
        <bgColor rgb="FFFFE599"/>
      </patternFill>
    </fill>
    <fill>
      <patternFill patternType="solid">
        <fgColor rgb="FF00B0F0"/>
        <bgColor rgb="FF2F75B6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</fills>
  <borders count="4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09">
    <xf numFmtId="0" fontId="0" fillId="0" borderId="0" xfId="0" applyFont="1" applyAlignment="1">
      <alignment vertical="center"/>
    </xf>
    <xf numFmtId="0" fontId="10" fillId="0" borderId="6" xfId="0" applyFont="1" applyBorder="1" applyAlignment="1">
      <alignment horizontal="center" vertical="center"/>
    </xf>
    <xf numFmtId="0" fontId="10" fillId="6" borderId="6" xfId="0" applyFont="1" applyFill="1" applyBorder="1" applyAlignment="1">
      <alignment vertical="center"/>
    </xf>
    <xf numFmtId="0" fontId="10" fillId="0" borderId="0" xfId="0" applyFont="1" applyAlignment="1"/>
    <xf numFmtId="3" fontId="10" fillId="0" borderId="6" xfId="0" applyNumberFormat="1" applyFont="1" applyBorder="1" applyAlignment="1"/>
    <xf numFmtId="164" fontId="10" fillId="0" borderId="0" xfId="0" applyNumberFormat="1" applyFont="1" applyAlignment="1"/>
    <xf numFmtId="169" fontId="10" fillId="0" borderId="0" xfId="0" applyNumberFormat="1" applyFont="1" applyAlignment="1"/>
    <xf numFmtId="3" fontId="10" fillId="8" borderId="9" xfId="0" applyNumberFormat="1" applyFont="1" applyFill="1" applyBorder="1" applyAlignment="1"/>
    <xf numFmtId="167" fontId="10" fillId="0" borderId="6" xfId="0" applyNumberFormat="1" applyFont="1" applyBorder="1" applyAlignment="1"/>
    <xf numFmtId="0" fontId="10" fillId="0" borderId="6" xfId="0" applyFont="1" applyBorder="1" applyAlignment="1"/>
    <xf numFmtId="164" fontId="10" fillId="0" borderId="6" xfId="0" applyNumberFormat="1" applyFont="1" applyBorder="1" applyAlignment="1"/>
    <xf numFmtId="0" fontId="10" fillId="4" borderId="6" xfId="0" applyFont="1" applyFill="1" applyBorder="1" applyAlignment="1"/>
    <xf numFmtId="0" fontId="14" fillId="0" borderId="0" xfId="0" applyFont="1" applyAlignment="1"/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164" fontId="19" fillId="0" borderId="0" xfId="0" applyNumberFormat="1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12" borderId="12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left" vertical="center" wrapText="1"/>
    </xf>
    <xf numFmtId="0" fontId="19" fillId="0" borderId="4" xfId="0" applyFont="1" applyBorder="1" applyAlignment="1">
      <alignment horizontal="center" vertical="center" wrapText="1"/>
    </xf>
    <xf numFmtId="0" fontId="19" fillId="13" borderId="12" xfId="0" applyFont="1" applyFill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2" fillId="0" borderId="10" xfId="0" applyFont="1" applyBorder="1" applyAlignment="1">
      <alignment vertical="center"/>
    </xf>
    <xf numFmtId="0" fontId="19" fillId="0" borderId="13" xfId="0" applyFont="1" applyBorder="1" applyAlignment="1">
      <alignment horizontal="center" vertical="center" wrapText="1"/>
    </xf>
    <xf numFmtId="0" fontId="19" fillId="0" borderId="5" xfId="0" applyFont="1" applyBorder="1" applyAlignment="1">
      <alignment horizontal="left" vertical="center" wrapText="1"/>
    </xf>
    <xf numFmtId="0" fontId="8" fillId="0" borderId="6" xfId="0" applyFont="1" applyBorder="1" applyAlignment="1">
      <alignment vertical="center" wrapText="1"/>
    </xf>
    <xf numFmtId="0" fontId="19" fillId="0" borderId="6" xfId="0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vertical="center" wrapText="1"/>
    </xf>
    <xf numFmtId="0" fontId="10" fillId="0" borderId="6" xfId="0" applyFont="1" applyBorder="1" applyAlignment="1">
      <alignment wrapText="1"/>
    </xf>
    <xf numFmtId="164" fontId="19" fillId="0" borderId="4" xfId="0" applyNumberFormat="1" applyFont="1" applyBorder="1" applyAlignment="1">
      <alignment horizontal="center" vertical="center" wrapText="1"/>
    </xf>
    <xf numFmtId="0" fontId="10" fillId="0" borderId="6" xfId="0" applyFont="1" applyBorder="1" applyAlignment="1">
      <alignment vertical="center"/>
    </xf>
    <xf numFmtId="0" fontId="10" fillId="0" borderId="6" xfId="0" applyFont="1" applyBorder="1" applyAlignment="1">
      <alignment vertical="top" wrapText="1"/>
    </xf>
    <xf numFmtId="9" fontId="19" fillId="0" borderId="4" xfId="0" applyNumberFormat="1" applyFont="1" applyBorder="1" applyAlignment="1">
      <alignment horizontal="center" vertical="center" wrapText="1"/>
    </xf>
    <xf numFmtId="0" fontId="21" fillId="14" borderId="6" xfId="0" applyFont="1" applyFill="1" applyBorder="1" applyAlignment="1"/>
    <xf numFmtId="0" fontId="21" fillId="14" borderId="6" xfId="0" applyFont="1" applyFill="1" applyBorder="1" applyAlignment="1">
      <alignment horizontal="center"/>
    </xf>
    <xf numFmtId="167" fontId="21" fillId="14" borderId="6" xfId="0" applyNumberFormat="1" applyFont="1" applyFill="1" applyBorder="1" applyAlignment="1">
      <alignment horizontal="center"/>
    </xf>
    <xf numFmtId="164" fontId="21" fillId="14" borderId="6" xfId="0" applyNumberFormat="1" applyFont="1" applyFill="1" applyBorder="1" applyAlignment="1">
      <alignment horizontal="center"/>
    </xf>
    <xf numFmtId="0" fontId="19" fillId="3" borderId="12" xfId="0" applyFont="1" applyFill="1" applyBorder="1" applyAlignment="1">
      <alignment horizontal="left" wrapText="1"/>
    </xf>
    <xf numFmtId="0" fontId="19" fillId="0" borderId="4" xfId="0" applyFont="1" applyBorder="1" applyAlignment="1">
      <alignment horizontal="left" wrapText="1"/>
    </xf>
    <xf numFmtId="0" fontId="8" fillId="0" borderId="4" xfId="0" applyFont="1" applyBorder="1" applyAlignment="1">
      <alignment horizontal="center" wrapText="1"/>
    </xf>
    <xf numFmtId="0" fontId="8" fillId="0" borderId="4" xfId="0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wrapText="1"/>
    </xf>
    <xf numFmtId="0" fontId="19" fillId="0" borderId="13" xfId="0" applyFont="1" applyBorder="1" applyAlignment="1">
      <alignment horizontal="left" wrapText="1"/>
    </xf>
    <xf numFmtId="0" fontId="19" fillId="0" borderId="4" xfId="0" applyFont="1" applyBorder="1" applyAlignment="1">
      <alignment horizontal="left" vertical="top" wrapText="1"/>
    </xf>
    <xf numFmtId="0" fontId="8" fillId="0" borderId="13" xfId="0" applyFont="1" applyBorder="1" applyAlignment="1">
      <alignment wrapText="1"/>
    </xf>
    <xf numFmtId="0" fontId="19" fillId="3" borderId="12" xfId="0" applyFont="1" applyFill="1" applyBorder="1" applyAlignment="1">
      <alignment horizontal="center" vertical="center"/>
    </xf>
    <xf numFmtId="0" fontId="19" fillId="6" borderId="12" xfId="0" applyFont="1" applyFill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left" wrapText="1"/>
    </xf>
    <xf numFmtId="0" fontId="19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wrapText="1"/>
    </xf>
    <xf numFmtId="164" fontId="8" fillId="0" borderId="13" xfId="0" applyNumberFormat="1" applyFont="1" applyBorder="1" applyAlignment="1">
      <alignment wrapText="1"/>
    </xf>
    <xf numFmtId="0" fontId="19" fillId="3" borderId="9" xfId="0" applyFont="1" applyFill="1" applyBorder="1" applyAlignment="1">
      <alignment horizontal="left" wrapText="1"/>
    </xf>
    <xf numFmtId="0" fontId="19" fillId="0" borderId="3" xfId="0" applyFont="1" applyBorder="1" applyAlignment="1">
      <alignment horizontal="left" vertical="center" wrapText="1"/>
    </xf>
    <xf numFmtId="0" fontId="19" fillId="0" borderId="7" xfId="0" applyFont="1" applyBorder="1" applyAlignment="1">
      <alignment horizontal="left" vertical="center" wrapText="1"/>
    </xf>
    <xf numFmtId="0" fontId="8" fillId="0" borderId="3" xfId="0" applyFont="1" applyBorder="1" applyAlignment="1"/>
    <xf numFmtId="0" fontId="8" fillId="12" borderId="12" xfId="0" applyFont="1" applyFill="1" applyBorder="1" applyAlignment="1">
      <alignment wrapText="1"/>
    </xf>
    <xf numFmtId="0" fontId="8" fillId="0" borderId="4" xfId="0" applyFont="1" applyBorder="1" applyAlignment="1">
      <alignment horizontal="left" wrapText="1"/>
    </xf>
    <xf numFmtId="0" fontId="8" fillId="0" borderId="4" xfId="0" applyFont="1" applyBorder="1" applyAlignment="1">
      <alignment vertical="center" wrapText="1"/>
    </xf>
    <xf numFmtId="0" fontId="8" fillId="0" borderId="4" xfId="0" applyFont="1" applyBorder="1" applyAlignment="1">
      <alignment wrapText="1"/>
    </xf>
    <xf numFmtId="0" fontId="8" fillId="13" borderId="12" xfId="0" applyFont="1" applyFill="1" applyBorder="1" applyAlignment="1"/>
    <xf numFmtId="0" fontId="22" fillId="5" borderId="12" xfId="0" applyFont="1" applyFill="1" applyBorder="1" applyAlignment="1">
      <alignment horizontal="center" vertical="center" wrapText="1"/>
    </xf>
    <xf numFmtId="164" fontId="22" fillId="5" borderId="12" xfId="0" applyNumberFormat="1" applyFont="1" applyFill="1" applyBorder="1" applyAlignment="1">
      <alignment horizontal="center" vertical="center" wrapText="1"/>
    </xf>
    <xf numFmtId="0" fontId="22" fillId="5" borderId="12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164" fontId="8" fillId="0" borderId="0" xfId="0" applyNumberFormat="1" applyFont="1" applyAlignment="1">
      <alignment wrapText="1"/>
    </xf>
    <xf numFmtId="0" fontId="8" fillId="0" borderId="0" xfId="0" applyFont="1" applyAlignment="1"/>
    <xf numFmtId="0" fontId="22" fillId="0" borderId="4" xfId="0" applyFont="1" applyBorder="1" applyAlignment="1"/>
    <xf numFmtId="0" fontId="8" fillId="0" borderId="3" xfId="0" applyFont="1" applyBorder="1" applyAlignment="1">
      <alignment vertical="center"/>
    </xf>
    <xf numFmtId="0" fontId="23" fillId="12" borderId="12" xfId="0" applyFont="1" applyFill="1" applyBorder="1" applyAlignment="1">
      <alignment horizontal="left" vertical="center" wrapText="1"/>
    </xf>
    <xf numFmtId="0" fontId="24" fillId="0" borderId="4" xfId="0" applyFont="1" applyBorder="1" applyAlignment="1">
      <alignment horizontal="left" vertical="center" wrapText="1"/>
    </xf>
    <xf numFmtId="9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vertical="top" wrapText="1"/>
    </xf>
    <xf numFmtId="164" fontId="8" fillId="0" borderId="4" xfId="0" applyNumberFormat="1" applyFont="1" applyBorder="1" applyAlignment="1">
      <alignment horizontal="right" vertical="center" wrapText="1"/>
    </xf>
    <xf numFmtId="0" fontId="8" fillId="0" borderId="4" xfId="0" applyFont="1" applyBorder="1" applyAlignment="1"/>
    <xf numFmtId="0" fontId="8" fillId="4" borderId="12" xfId="0" applyFont="1" applyFill="1" applyBorder="1" applyAlignment="1"/>
    <xf numFmtId="0" fontId="8" fillId="0" borderId="0" xfId="0" applyFont="1" applyAlignment="1">
      <alignment vertical="top" wrapText="1"/>
    </xf>
    <xf numFmtId="0" fontId="8" fillId="0" borderId="3" xfId="0" applyFont="1" applyBorder="1" applyAlignment="1">
      <alignment wrapText="1"/>
    </xf>
    <xf numFmtId="0" fontId="25" fillId="0" borderId="4" xfId="0" applyFont="1" applyBorder="1" applyAlignment="1">
      <alignment horizontal="left" vertical="center" wrapText="1"/>
    </xf>
    <xf numFmtId="0" fontId="8" fillId="0" borderId="7" xfId="0" applyFont="1" applyBorder="1" applyAlignment="1">
      <alignment vertical="top" wrapText="1"/>
    </xf>
    <xf numFmtId="0" fontId="8" fillId="0" borderId="4" xfId="0" applyFont="1" applyBorder="1" applyAlignment="1">
      <alignment horizontal="right" wrapText="1"/>
    </xf>
    <xf numFmtId="0" fontId="25" fillId="12" borderId="12" xfId="0" applyFont="1" applyFill="1" applyBorder="1" applyAlignment="1">
      <alignment horizontal="left" vertical="center" wrapText="1"/>
    </xf>
    <xf numFmtId="0" fontId="8" fillId="0" borderId="4" xfId="0" applyFont="1" applyBorder="1" applyAlignment="1">
      <alignment horizontal="right" vertical="center" wrapText="1"/>
    </xf>
    <xf numFmtId="172" fontId="8" fillId="0" borderId="4" xfId="0" applyNumberFormat="1" applyFont="1" applyBorder="1" applyAlignment="1">
      <alignment horizontal="center" vertical="center" wrapText="1"/>
    </xf>
    <xf numFmtId="164" fontId="8" fillId="0" borderId="4" xfId="0" applyNumberFormat="1" applyFont="1" applyBorder="1" applyAlignment="1">
      <alignment horizontal="right" wrapText="1"/>
    </xf>
    <xf numFmtId="0" fontId="8" fillId="3" borderId="12" xfId="0" applyFont="1" applyFill="1" applyBorder="1" applyAlignment="1"/>
    <xf numFmtId="0" fontId="8" fillId="0" borderId="4" xfId="0" applyFont="1" applyBorder="1" applyAlignment="1">
      <alignment vertical="center" wrapText="1"/>
    </xf>
    <xf numFmtId="0" fontId="8" fillId="0" borderId="14" xfId="0" applyFont="1" applyBorder="1" applyAlignment="1"/>
    <xf numFmtId="0" fontId="8" fillId="12" borderId="15" xfId="0" applyFont="1" applyFill="1" applyBorder="1" applyAlignment="1">
      <alignment wrapText="1"/>
    </xf>
    <xf numFmtId="0" fontId="8" fillId="0" borderId="5" xfId="0" applyFont="1" applyBorder="1" applyAlignment="1">
      <alignment wrapText="1"/>
    </xf>
    <xf numFmtId="0" fontId="8" fillId="0" borderId="5" xfId="0" applyFont="1" applyBorder="1" applyAlignment="1">
      <alignment vertical="center" wrapText="1"/>
    </xf>
    <xf numFmtId="0" fontId="8" fillId="5" borderId="12" xfId="0" applyFont="1" applyFill="1" applyBorder="1" applyAlignment="1">
      <alignment wrapText="1"/>
    </xf>
    <xf numFmtId="0" fontId="8" fillId="5" borderId="12" xfId="0" applyFont="1" applyFill="1" applyBorder="1" applyAlignment="1">
      <alignment horizontal="center" vertical="center" wrapText="1"/>
    </xf>
    <xf numFmtId="164" fontId="4" fillId="5" borderId="12" xfId="0" applyNumberFormat="1" applyFont="1" applyFill="1" applyBorder="1" applyAlignment="1">
      <alignment wrapText="1"/>
    </xf>
    <xf numFmtId="0" fontId="8" fillId="5" borderId="12" xfId="0" applyFont="1" applyFill="1" applyBorder="1" applyAlignment="1"/>
    <xf numFmtId="164" fontId="8" fillId="0" borderId="4" xfId="0" applyNumberFormat="1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164" fontId="8" fillId="0" borderId="0" xfId="0" applyNumberFormat="1" applyFont="1" applyAlignment="1">
      <alignment vertical="center" wrapText="1"/>
    </xf>
    <xf numFmtId="9" fontId="8" fillId="0" borderId="11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top" wrapText="1"/>
    </xf>
    <xf numFmtId="0" fontId="8" fillId="0" borderId="13" xfId="0" applyFont="1" applyBorder="1" applyAlignment="1"/>
    <xf numFmtId="0" fontId="8" fillId="5" borderId="17" xfId="0" applyFont="1" applyFill="1" applyBorder="1" applyAlignment="1">
      <alignment wrapText="1"/>
    </xf>
    <xf numFmtId="164" fontId="8" fillId="5" borderId="17" xfId="0" applyNumberFormat="1" applyFont="1" applyFill="1" applyBorder="1" applyAlignment="1">
      <alignment wrapText="1"/>
    </xf>
    <xf numFmtId="0" fontId="8" fillId="5" borderId="17" xfId="0" applyFont="1" applyFill="1" applyBorder="1" applyAlignment="1"/>
    <xf numFmtId="0" fontId="10" fillId="0" borderId="7" xfId="0" applyFont="1" applyBorder="1" applyAlignment="1">
      <alignment wrapText="1"/>
    </xf>
    <xf numFmtId="0" fontId="10" fillId="0" borderId="6" xfId="0" applyFont="1" applyBorder="1" applyAlignment="1">
      <alignment vertical="center" wrapText="1"/>
    </xf>
    <xf numFmtId="0" fontId="8" fillId="4" borderId="18" xfId="0" applyFont="1" applyFill="1" applyBorder="1" applyAlignment="1"/>
    <xf numFmtId="0" fontId="10" fillId="0" borderId="4" xfId="0" applyFont="1" applyBorder="1" applyAlignment="1">
      <alignment wrapText="1"/>
    </xf>
    <xf numFmtId="0" fontId="10" fillId="0" borderId="4" xfId="0" applyFont="1" applyBorder="1" applyAlignment="1">
      <alignment vertical="center" wrapText="1"/>
    </xf>
    <xf numFmtId="0" fontId="25" fillId="0" borderId="13" xfId="0" applyFont="1" applyBorder="1" applyAlignment="1">
      <alignment horizontal="left" vertical="center" wrapText="1"/>
    </xf>
    <xf numFmtId="9" fontId="8" fillId="0" borderId="13" xfId="0" applyNumberFormat="1" applyFont="1" applyBorder="1" applyAlignment="1">
      <alignment horizontal="center" vertical="center" wrapText="1"/>
    </xf>
    <xf numFmtId="0" fontId="8" fillId="0" borderId="13" xfId="0" applyFont="1" applyBorder="1" applyAlignment="1">
      <alignment vertical="center" wrapText="1"/>
    </xf>
    <xf numFmtId="164" fontId="8" fillId="0" borderId="7" xfId="0" applyNumberFormat="1" applyFont="1" applyBorder="1" applyAlignment="1">
      <alignment vertical="center" wrapText="1"/>
    </xf>
    <xf numFmtId="0" fontId="13" fillId="0" borderId="13" xfId="0" applyFont="1" applyBorder="1" applyAlignment="1">
      <alignment horizontal="left" vertical="center" wrapText="1"/>
    </xf>
    <xf numFmtId="0" fontId="13" fillId="0" borderId="6" xfId="0" applyFont="1" applyBorder="1" applyAlignment="1">
      <alignment wrapText="1"/>
    </xf>
    <xf numFmtId="164" fontId="13" fillId="0" borderId="11" xfId="0" applyNumberFormat="1" applyFont="1" applyBorder="1" applyAlignment="1">
      <alignment wrapText="1"/>
    </xf>
    <xf numFmtId="0" fontId="13" fillId="0" borderId="7" xfId="0" applyFont="1" applyBorder="1" applyAlignment="1">
      <alignment horizontal="left" vertical="center" wrapText="1"/>
    </xf>
    <xf numFmtId="0" fontId="13" fillId="0" borderId="4" xfId="0" applyFont="1" applyBorder="1" applyAlignment="1">
      <alignment wrapText="1"/>
    </xf>
    <xf numFmtId="164" fontId="13" fillId="0" borderId="6" xfId="0" applyNumberFormat="1" applyFont="1" applyBorder="1" applyAlignment="1">
      <alignment wrapText="1"/>
    </xf>
    <xf numFmtId="0" fontId="13" fillId="0" borderId="7" xfId="0" applyFont="1" applyBorder="1" applyAlignment="1">
      <alignment wrapText="1"/>
    </xf>
    <xf numFmtId="164" fontId="13" fillId="0" borderId="3" xfId="0" applyNumberFormat="1" applyFont="1" applyBorder="1" applyAlignment="1">
      <alignment wrapText="1"/>
    </xf>
    <xf numFmtId="0" fontId="8" fillId="0" borderId="6" xfId="0" applyFont="1" applyBorder="1" applyAlignment="1">
      <alignment horizontal="center" vertical="center" wrapText="1"/>
    </xf>
    <xf numFmtId="164" fontId="8" fillId="0" borderId="7" xfId="0" applyNumberFormat="1" applyFont="1" applyBorder="1" applyAlignment="1">
      <alignment wrapText="1"/>
    </xf>
    <xf numFmtId="0" fontId="13" fillId="0" borderId="6" xfId="0" applyFont="1" applyBorder="1" applyAlignment="1">
      <alignment vertical="center" wrapText="1"/>
    </xf>
    <xf numFmtId="164" fontId="13" fillId="0" borderId="6" xfId="0" applyNumberFormat="1" applyFont="1" applyBorder="1" applyAlignment="1">
      <alignment vertical="center" wrapText="1"/>
    </xf>
    <xf numFmtId="0" fontId="13" fillId="0" borderId="6" xfId="0" applyFont="1" applyBorder="1" applyAlignment="1">
      <alignment vertical="top" wrapText="1"/>
    </xf>
    <xf numFmtId="164" fontId="13" fillId="0" borderId="6" xfId="0" applyNumberFormat="1" applyFont="1" applyBorder="1" applyAlignment="1">
      <alignment vertical="top" wrapText="1"/>
    </xf>
    <xf numFmtId="0" fontId="13" fillId="0" borderId="16" xfId="0" applyFont="1" applyBorder="1" applyAlignment="1">
      <alignment vertical="center" wrapText="1"/>
    </xf>
    <xf numFmtId="164" fontId="13" fillId="0" borderId="4" xfId="0" applyNumberFormat="1" applyFont="1" applyBorder="1" applyAlignment="1">
      <alignment vertical="top" wrapText="1"/>
    </xf>
    <xf numFmtId="0" fontId="13" fillId="0" borderId="11" xfId="0" applyFont="1" applyBorder="1" applyAlignment="1">
      <alignment wrapText="1"/>
    </xf>
    <xf numFmtId="0" fontId="17" fillId="0" borderId="6" xfId="0" applyFont="1" applyBorder="1" applyAlignment="1">
      <alignment vertical="center" wrapText="1"/>
    </xf>
    <xf numFmtId="0" fontId="26" fillId="6" borderId="6" xfId="0" applyFont="1" applyFill="1" applyBorder="1" applyAlignment="1">
      <alignment horizontal="left" vertical="center" wrapText="1" readingOrder="1"/>
    </xf>
    <xf numFmtId="9" fontId="17" fillId="0" borderId="6" xfId="0" applyNumberFormat="1" applyFont="1" applyBorder="1" applyAlignment="1">
      <alignment horizontal="center" vertical="center" wrapText="1"/>
    </xf>
    <xf numFmtId="0" fontId="18" fillId="0" borderId="6" xfId="0" applyFont="1" applyBorder="1" applyAlignment="1">
      <alignment vertical="center" wrapText="1"/>
    </xf>
    <xf numFmtId="0" fontId="17" fillId="0" borderId="1" xfId="0" applyFont="1" applyBorder="1" applyAlignment="1">
      <alignment vertical="center" wrapText="1"/>
    </xf>
    <xf numFmtId="164" fontId="17" fillId="0" borderId="6" xfId="0" applyNumberFormat="1" applyFont="1" applyBorder="1" applyAlignment="1">
      <alignment vertical="center" wrapText="1"/>
    </xf>
    <xf numFmtId="0" fontId="17" fillId="0" borderId="7" xfId="0" applyFont="1" applyBorder="1" applyAlignment="1">
      <alignment vertical="center"/>
    </xf>
    <xf numFmtId="0" fontId="17" fillId="0" borderId="6" xfId="0" applyFont="1" applyBorder="1" applyAlignment="1">
      <alignment vertical="center"/>
    </xf>
    <xf numFmtId="0" fontId="17" fillId="6" borderId="6" xfId="0" applyFont="1" applyFill="1" applyBorder="1" applyAlignment="1">
      <alignment vertical="center" wrapText="1"/>
    </xf>
    <xf numFmtId="0" fontId="10" fillId="0" borderId="7" xfId="0" applyFont="1" applyBorder="1" applyAlignment="1">
      <alignment vertical="center"/>
    </xf>
    <xf numFmtId="0" fontId="10" fillId="0" borderId="6" xfId="0" applyFont="1" applyBorder="1" applyAlignment="1">
      <alignment horizontal="left" vertical="center" wrapText="1"/>
    </xf>
    <xf numFmtId="0" fontId="21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left" wrapText="1"/>
    </xf>
    <xf numFmtId="0" fontId="11" fillId="0" borderId="6" xfId="0" applyFont="1" applyBorder="1" applyAlignment="1">
      <alignment vertical="center" wrapText="1"/>
    </xf>
    <xf numFmtId="0" fontId="21" fillId="0" borderId="6" xfId="0" applyFont="1" applyBorder="1" applyAlignment="1">
      <alignment vertical="center" wrapText="1"/>
    </xf>
    <xf numFmtId="0" fontId="8" fillId="6" borderId="6" xfId="0" applyFont="1" applyFill="1" applyBorder="1" applyAlignment="1">
      <alignment horizontal="left" vertical="center" wrapText="1" readingOrder="1"/>
    </xf>
    <xf numFmtId="9" fontId="17" fillId="0" borderId="6" xfId="0" applyNumberFormat="1" applyFont="1" applyBorder="1" applyAlignment="1">
      <alignment vertical="center" wrapText="1"/>
    </xf>
    <xf numFmtId="0" fontId="8" fillId="0" borderId="6" xfId="0" applyFont="1" applyBorder="1" applyAlignment="1">
      <alignment vertical="center"/>
    </xf>
    <xf numFmtId="0" fontId="8" fillId="6" borderId="6" xfId="0" applyFont="1" applyFill="1" applyBorder="1" applyAlignment="1">
      <alignment vertical="center" wrapText="1"/>
    </xf>
    <xf numFmtId="9" fontId="8" fillId="0" borderId="6" xfId="0" applyNumberFormat="1" applyFont="1" applyBorder="1" applyAlignment="1">
      <alignment horizontal="center" vertical="center" wrapText="1"/>
    </xf>
    <xf numFmtId="0" fontId="8" fillId="0" borderId="6" xfId="0" applyFont="1" applyBorder="1" applyAlignment="1">
      <alignment horizontal="right" vertical="center" wrapText="1"/>
    </xf>
    <xf numFmtId="0" fontId="8" fillId="4" borderId="6" xfId="0" applyFont="1" applyFill="1" applyBorder="1" applyAlignment="1">
      <alignment vertical="center"/>
    </xf>
    <xf numFmtId="0" fontId="8" fillId="4" borderId="6" xfId="0" applyFont="1" applyFill="1" applyBorder="1" applyAlignment="1"/>
    <xf numFmtId="0" fontId="8" fillId="6" borderId="12" xfId="0" applyFont="1" applyFill="1" applyBorder="1" applyAlignment="1">
      <alignment vertical="center" wrapText="1"/>
    </xf>
    <xf numFmtId="0" fontId="8" fillId="4" borderId="12" xfId="0" applyFont="1" applyFill="1" applyBorder="1" applyAlignment="1">
      <alignment vertical="center"/>
    </xf>
    <xf numFmtId="0" fontId="8" fillId="6" borderId="12" xfId="0" applyFont="1" applyFill="1" applyBorder="1" applyAlignment="1">
      <alignment wrapText="1"/>
    </xf>
    <xf numFmtId="9" fontId="8" fillId="0" borderId="4" xfId="0" applyNumberFormat="1" applyFont="1" applyBorder="1" applyAlignment="1">
      <alignment horizontal="right" wrapText="1"/>
    </xf>
    <xf numFmtId="0" fontId="8" fillId="0" borderId="6" xfId="0" applyFont="1" applyBorder="1" applyAlignment="1">
      <alignment horizontal="right" wrapText="1"/>
    </xf>
    <xf numFmtId="0" fontId="8" fillId="6" borderId="15" xfId="0" applyFont="1" applyFill="1" applyBorder="1" applyAlignment="1">
      <alignment wrapText="1"/>
    </xf>
    <xf numFmtId="164" fontId="8" fillId="0" borderId="6" xfId="0" applyNumberFormat="1" applyFont="1" applyBorder="1" applyAlignment="1">
      <alignment wrapText="1"/>
    </xf>
    <xf numFmtId="0" fontId="8" fillId="4" borderId="23" xfId="0" applyFont="1" applyFill="1" applyBorder="1" applyAlignment="1"/>
    <xf numFmtId="9" fontId="8" fillId="0" borderId="6" xfId="0" applyNumberFormat="1" applyFont="1" applyBorder="1" applyAlignment="1">
      <alignment vertical="center" wrapText="1"/>
    </xf>
    <xf numFmtId="0" fontId="23" fillId="6" borderId="25" xfId="0" applyFont="1" applyFill="1" applyBorder="1" applyAlignment="1">
      <alignment horizontal="left" vertical="center" wrapText="1" readingOrder="1"/>
    </xf>
    <xf numFmtId="0" fontId="24" fillId="0" borderId="11" xfId="0" applyFont="1" applyBorder="1" applyAlignment="1">
      <alignment horizontal="left" vertical="center" wrapText="1" readingOrder="1"/>
    </xf>
    <xf numFmtId="0" fontId="12" fillId="0" borderId="11" xfId="0" applyFont="1" applyBorder="1" applyAlignment="1">
      <alignment vertical="center" wrapText="1"/>
    </xf>
    <xf numFmtId="0" fontId="8" fillId="8" borderId="6" xfId="0" applyFont="1" applyFill="1" applyBorder="1" applyAlignment="1"/>
    <xf numFmtId="0" fontId="8" fillId="0" borderId="6" xfId="0" applyFont="1" applyBorder="1" applyAlignment="1"/>
    <xf numFmtId="0" fontId="12" fillId="0" borderId="6" xfId="0" applyFont="1" applyBorder="1" applyAlignment="1">
      <alignment vertical="center" wrapText="1"/>
    </xf>
    <xf numFmtId="0" fontId="10" fillId="8" borderId="6" xfId="0" applyFont="1" applyFill="1" applyBorder="1" applyAlignment="1">
      <alignment horizontal="left" wrapText="1"/>
    </xf>
    <xf numFmtId="0" fontId="12" fillId="0" borderId="6" xfId="0" applyFont="1" applyBorder="1" applyAlignment="1">
      <alignment vertical="top" wrapText="1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vertical="top" wrapText="1"/>
    </xf>
    <xf numFmtId="0" fontId="12" fillId="0" borderId="6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164" fontId="8" fillId="0" borderId="6" xfId="0" applyNumberFormat="1" applyFont="1" applyBorder="1" applyAlignment="1">
      <alignment vertical="top" wrapText="1"/>
    </xf>
    <xf numFmtId="0" fontId="8" fillId="0" borderId="1" xfId="0" applyFont="1" applyBorder="1" applyAlignment="1"/>
    <xf numFmtId="0" fontId="8" fillId="0" borderId="2" xfId="0" applyFont="1" applyBorder="1" applyAlignment="1"/>
    <xf numFmtId="0" fontId="8" fillId="4" borderId="26" xfId="0" applyFont="1" applyFill="1" applyBorder="1" applyAlignment="1"/>
    <xf numFmtId="0" fontId="8" fillId="0" borderId="7" xfId="0" applyFont="1" applyBorder="1" applyAlignment="1"/>
    <xf numFmtId="0" fontId="8" fillId="0" borderId="6" xfId="0" applyFont="1" applyBorder="1" applyAlignment="1">
      <alignment horizontal="left" wrapText="1"/>
    </xf>
    <xf numFmtId="0" fontId="8" fillId="8" borderId="6" xfId="0" applyFont="1" applyFill="1" applyBorder="1" applyAlignment="1">
      <alignment vertical="center"/>
    </xf>
    <xf numFmtId="0" fontId="8" fillId="8" borderId="6" xfId="0" applyFont="1" applyFill="1" applyBorder="1" applyAlignment="1">
      <alignment vertical="center" wrapText="1"/>
    </xf>
    <xf numFmtId="9" fontId="8" fillId="8" borderId="6" xfId="0" applyNumberFormat="1" applyFont="1" applyFill="1" applyBorder="1" applyAlignment="1">
      <alignment vertical="center" wrapText="1"/>
    </xf>
    <xf numFmtId="0" fontId="12" fillId="8" borderId="6" xfId="0" applyFont="1" applyFill="1" applyBorder="1" applyAlignment="1">
      <alignment horizontal="left" vertical="top" wrapText="1"/>
    </xf>
    <xf numFmtId="0" fontId="8" fillId="8" borderId="6" xfId="0" applyFont="1" applyFill="1" applyBorder="1" applyAlignment="1">
      <alignment wrapText="1"/>
    </xf>
    <xf numFmtId="164" fontId="10" fillId="0" borderId="6" xfId="0" applyNumberFormat="1" applyFont="1" applyBorder="1" applyAlignment="1">
      <alignment vertical="center" wrapText="1"/>
    </xf>
    <xf numFmtId="164" fontId="8" fillId="8" borderId="6" xfId="0" applyNumberFormat="1" applyFont="1" applyFill="1" applyBorder="1" applyAlignment="1">
      <alignment wrapText="1"/>
    </xf>
    <xf numFmtId="164" fontId="10" fillId="0" borderId="6" xfId="0" applyNumberFormat="1" applyFont="1" applyBorder="1" applyAlignment="1">
      <alignment wrapText="1"/>
    </xf>
    <xf numFmtId="0" fontId="10" fillId="5" borderId="15" xfId="0" applyFont="1" applyFill="1" applyBorder="1" applyAlignment="1">
      <alignment wrapText="1"/>
    </xf>
    <xf numFmtId="0" fontId="10" fillId="5" borderId="6" xfId="0" applyFont="1" applyFill="1" applyBorder="1" applyAlignment="1">
      <alignment wrapText="1"/>
    </xf>
    <xf numFmtId="0" fontId="10" fillId="5" borderId="17" xfId="0" applyFont="1" applyFill="1" applyBorder="1" applyAlignment="1">
      <alignment wrapText="1"/>
    </xf>
    <xf numFmtId="164" fontId="10" fillId="5" borderId="17" xfId="0" applyNumberFormat="1" applyFont="1" applyFill="1" applyBorder="1" applyAlignment="1">
      <alignment wrapText="1"/>
    </xf>
    <xf numFmtId="0" fontId="18" fillId="5" borderId="17" xfId="0" applyFont="1" applyFill="1" applyBorder="1" applyAlignment="1"/>
    <xf numFmtId="0" fontId="8" fillId="5" borderId="15" xfId="0" applyFont="1" applyFill="1" applyBorder="1" applyAlignment="1"/>
    <xf numFmtId="0" fontId="10" fillId="5" borderId="15" xfId="0" applyFont="1" applyFill="1" applyBorder="1" applyAlignment="1"/>
    <xf numFmtId="164" fontId="27" fillId="0" borderId="0" xfId="0" applyNumberFormat="1" applyFont="1" applyAlignment="1">
      <alignment horizontal="right" vertical="center" wrapText="1"/>
    </xf>
    <xf numFmtId="164" fontId="27" fillId="0" borderId="0" xfId="0" applyNumberFormat="1" applyFont="1" applyAlignment="1">
      <alignment horizontal="right" wrapText="1"/>
    </xf>
    <xf numFmtId="164" fontId="17" fillId="0" borderId="0" xfId="0" applyNumberFormat="1" applyFont="1" applyAlignment="1">
      <alignment horizontal="right" wrapText="1"/>
    </xf>
    <xf numFmtId="0" fontId="22" fillId="0" borderId="0" xfId="0" applyFont="1" applyAlignment="1">
      <alignment wrapText="1"/>
    </xf>
    <xf numFmtId="164" fontId="4" fillId="0" borderId="0" xfId="0" applyNumberFormat="1" applyFont="1" applyAlignment="1">
      <alignment horizontal="right" vertical="center" wrapText="1"/>
    </xf>
    <xf numFmtId="0" fontId="10" fillId="0" borderId="0" xfId="0" applyFont="1" applyAlignment="1">
      <alignment horizontal="center" vertical="center"/>
    </xf>
    <xf numFmtId="164" fontId="17" fillId="0" borderId="0" xfId="0" applyNumberFormat="1" applyFont="1" applyAlignment="1">
      <alignment vertical="center"/>
    </xf>
    <xf numFmtId="0" fontId="10" fillId="0" borderId="0" xfId="0" applyFont="1" applyAlignment="1">
      <alignment vertical="center" wrapText="1"/>
    </xf>
    <xf numFmtId="0" fontId="29" fillId="16" borderId="25" xfId="0" applyFont="1" applyFill="1" applyBorder="1" applyAlignment="1">
      <alignment horizontal="center" vertical="center"/>
    </xf>
    <xf numFmtId="164" fontId="29" fillId="16" borderId="25" xfId="0" applyNumberFormat="1" applyFont="1" applyFill="1" applyBorder="1" applyAlignment="1">
      <alignment horizontal="center" vertical="center"/>
    </xf>
    <xf numFmtId="0" fontId="29" fillId="16" borderId="18" xfId="0" applyFont="1" applyFill="1" applyBorder="1" applyAlignment="1">
      <alignment horizontal="center" vertical="center"/>
    </xf>
    <xf numFmtId="0" fontId="11" fillId="11" borderId="6" xfId="0" applyFont="1" applyFill="1" applyBorder="1" applyAlignment="1">
      <alignment horizontal="center"/>
    </xf>
    <xf numFmtId="0" fontId="11" fillId="11" borderId="6" xfId="0" applyFont="1" applyFill="1" applyBorder="1" applyAlignment="1">
      <alignment horizontal="center" vertical="center" wrapText="1"/>
    </xf>
    <xf numFmtId="0" fontId="11" fillId="11" borderId="6" xfId="0" applyFont="1" applyFill="1" applyBorder="1" applyAlignment="1"/>
    <xf numFmtId="164" fontId="11" fillId="11" borderId="6" xfId="0" applyNumberFormat="1" applyFont="1" applyFill="1" applyBorder="1" applyAlignment="1">
      <alignment horizontal="center"/>
    </xf>
    <xf numFmtId="0" fontId="11" fillId="11" borderId="6" xfId="0" applyFont="1" applyFill="1" applyBorder="1" applyAlignment="1">
      <alignment vertical="center" wrapText="1"/>
    </xf>
    <xf numFmtId="0" fontId="8" fillId="11" borderId="6" xfId="0" applyFont="1" applyFill="1" applyBorder="1" applyAlignment="1"/>
    <xf numFmtId="0" fontId="8" fillId="11" borderId="9" xfId="0" applyFont="1" applyFill="1" applyBorder="1" applyAlignment="1">
      <alignment vertical="center"/>
    </xf>
    <xf numFmtId="0" fontId="11" fillId="11" borderId="6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vertical="center" wrapText="1"/>
    </xf>
    <xf numFmtId="0" fontId="21" fillId="11" borderId="6" xfId="0" applyFont="1" applyFill="1" applyBorder="1" applyAlignment="1"/>
    <xf numFmtId="164" fontId="21" fillId="11" borderId="6" xfId="0" applyNumberFormat="1" applyFont="1" applyFill="1" applyBorder="1" applyAlignment="1">
      <alignment horizontal="right"/>
    </xf>
    <xf numFmtId="164" fontId="21" fillId="11" borderId="6" xfId="0" applyNumberFormat="1" applyFont="1" applyFill="1" applyBorder="1" applyAlignment="1">
      <alignment horizontal="center"/>
    </xf>
    <xf numFmtId="0" fontId="21" fillId="11" borderId="6" xfId="0" applyFont="1" applyFill="1" applyBorder="1" applyAlignment="1">
      <alignment wrapText="1"/>
    </xf>
    <xf numFmtId="0" fontId="10" fillId="11" borderId="6" xfId="0" applyFont="1" applyFill="1" applyBorder="1" applyAlignment="1"/>
    <xf numFmtId="0" fontId="11" fillId="11" borderId="28" xfId="0" applyFont="1" applyFill="1" applyBorder="1" applyAlignment="1">
      <alignment horizontal="center"/>
    </xf>
    <xf numFmtId="0" fontId="21" fillId="11" borderId="6" xfId="0" applyFont="1" applyFill="1" applyBorder="1" applyAlignment="1">
      <alignment horizontal="center"/>
    </xf>
    <xf numFmtId="0" fontId="21" fillId="11" borderId="6" xfId="0" applyFont="1" applyFill="1" applyBorder="1" applyAlignment="1">
      <alignment vertical="center" wrapText="1"/>
    </xf>
    <xf numFmtId="0" fontId="10" fillId="11" borderId="6" xfId="0" applyFont="1" applyFill="1" applyBorder="1" applyAlignment="1">
      <alignment wrapText="1"/>
    </xf>
    <xf numFmtId="0" fontId="10" fillId="11" borderId="28" xfId="0" applyFont="1" applyFill="1" applyBorder="1" applyAlignment="1"/>
    <xf numFmtId="0" fontId="21" fillId="6" borderId="6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/>
    <xf numFmtId="0" fontId="21" fillId="6" borderId="6" xfId="0" applyFont="1" applyFill="1" applyBorder="1" applyAlignment="1">
      <alignment horizontal="center"/>
    </xf>
    <xf numFmtId="0" fontId="10" fillId="6" borderId="6" xfId="0" applyFont="1" applyFill="1" applyBorder="1" applyAlignment="1">
      <alignment horizontal="center" vertical="center"/>
    </xf>
    <xf numFmtId="164" fontId="21" fillId="6" borderId="6" xfId="0" applyNumberFormat="1" applyFont="1" applyFill="1" applyBorder="1" applyAlignment="1">
      <alignment horizontal="center"/>
    </xf>
    <xf numFmtId="164" fontId="21" fillId="6" borderId="6" xfId="0" applyNumberFormat="1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vertical="center" wrapText="1"/>
    </xf>
    <xf numFmtId="0" fontId="10" fillId="6" borderId="28" xfId="0" applyFont="1" applyFill="1" applyBorder="1" applyAlignment="1"/>
    <xf numFmtId="0" fontId="8" fillId="6" borderId="9" xfId="0" applyFont="1" applyFill="1" applyBorder="1" applyAlignment="1">
      <alignment vertical="center"/>
    </xf>
    <xf numFmtId="0" fontId="10" fillId="6" borderId="6" xfId="0" applyFont="1" applyFill="1" applyBorder="1" applyAlignment="1"/>
    <xf numFmtId="164" fontId="21" fillId="6" borderId="6" xfId="0" applyNumberFormat="1" applyFont="1" applyFill="1" applyBorder="1" applyAlignment="1"/>
    <xf numFmtId="0" fontId="21" fillId="6" borderId="6" xfId="0" applyFont="1" applyFill="1" applyBorder="1" applyAlignment="1">
      <alignment wrapText="1"/>
    </xf>
    <xf numFmtId="0" fontId="13" fillId="11" borderId="6" xfId="0" applyFont="1" applyFill="1" applyBorder="1" applyAlignment="1"/>
    <xf numFmtId="0" fontId="10" fillId="11" borderId="6" xfId="0" applyFont="1" applyFill="1" applyBorder="1" applyAlignment="1">
      <alignment horizontal="center"/>
    </xf>
    <xf numFmtId="164" fontId="17" fillId="11" borderId="6" xfId="0" applyNumberFormat="1" applyFont="1" applyFill="1" applyBorder="1" applyAlignment="1">
      <alignment horizontal="left"/>
    </xf>
    <xf numFmtId="164" fontId="21" fillId="11" borderId="6" xfId="0" applyNumberFormat="1" applyFont="1" applyFill="1" applyBorder="1" applyAlignment="1">
      <alignment horizontal="center" vertical="center"/>
    </xf>
    <xf numFmtId="0" fontId="17" fillId="11" borderId="6" xfId="0" applyFont="1" applyFill="1" applyBorder="1" applyAlignment="1">
      <alignment wrapText="1"/>
    </xf>
    <xf numFmtId="0" fontId="21" fillId="11" borderId="6" xfId="0" applyFont="1" applyFill="1" applyBorder="1" applyAlignment="1">
      <alignment horizontal="left"/>
    </xf>
    <xf numFmtId="0" fontId="10" fillId="11" borderId="6" xfId="0" applyFont="1" applyFill="1" applyBorder="1" applyAlignment="1">
      <alignment horizontal="left"/>
    </xf>
    <xf numFmtId="164" fontId="21" fillId="11" borderId="6" xfId="0" applyNumberFormat="1" applyFont="1" applyFill="1" applyBorder="1" applyAlignment="1"/>
    <xf numFmtId="0" fontId="11" fillId="6" borderId="6" xfId="0" applyFont="1" applyFill="1" applyBorder="1" applyAlignment="1">
      <alignment horizontal="center" vertical="center"/>
    </xf>
    <xf numFmtId="0" fontId="11" fillId="11" borderId="25" xfId="0" applyFont="1" applyFill="1" applyBorder="1" applyAlignment="1">
      <alignment horizontal="center" vertical="center" wrapText="1"/>
    </xf>
    <xf numFmtId="164" fontId="11" fillId="11" borderId="6" xfId="0" applyNumberFormat="1" applyFont="1" applyFill="1" applyBorder="1" applyAlignment="1"/>
    <xf numFmtId="0" fontId="11" fillId="11" borderId="6" xfId="0" applyFont="1" applyFill="1" applyBorder="1" applyAlignment="1">
      <alignment wrapText="1"/>
    </xf>
    <xf numFmtId="0" fontId="21" fillId="11" borderId="28" xfId="0" applyFont="1" applyFill="1" applyBorder="1" applyAlignment="1">
      <alignment horizontal="center" vertical="center" wrapText="1"/>
    </xf>
    <xf numFmtId="0" fontId="21" fillId="11" borderId="18" xfId="0" applyFont="1" applyFill="1" applyBorder="1" applyAlignment="1">
      <alignment horizontal="center" vertical="center" wrapText="1"/>
    </xf>
    <xf numFmtId="0" fontId="21" fillId="11" borderId="25" xfId="0" applyFont="1" applyFill="1" applyBorder="1" applyAlignment="1">
      <alignment horizontal="center" vertical="center" wrapText="1"/>
    </xf>
    <xf numFmtId="164" fontId="21" fillId="11" borderId="9" xfId="0" applyNumberFormat="1" applyFont="1" applyFill="1" applyBorder="1" applyAlignment="1">
      <alignment horizontal="right"/>
    </xf>
    <xf numFmtId="0" fontId="21" fillId="11" borderId="6" xfId="0" applyFont="1" applyFill="1" applyBorder="1" applyAlignment="1">
      <alignment vertical="center"/>
    </xf>
    <xf numFmtId="0" fontId="21" fillId="11" borderId="6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left" vertical="center"/>
    </xf>
    <xf numFmtId="0" fontId="21" fillId="4" borderId="6" xfId="0" applyFont="1" applyFill="1" applyBorder="1" applyAlignment="1">
      <alignment horizontal="center" vertical="center" wrapText="1"/>
    </xf>
    <xf numFmtId="0" fontId="21" fillId="4" borderId="6" xfId="0" applyFont="1" applyFill="1" applyBorder="1" applyAlignment="1"/>
    <xf numFmtId="0" fontId="21" fillId="4" borderId="6" xfId="0" applyFont="1" applyFill="1" applyBorder="1" applyAlignment="1">
      <alignment horizontal="center"/>
    </xf>
    <xf numFmtId="164" fontId="21" fillId="4" borderId="6" xfId="0" applyNumberFormat="1" applyFont="1" applyFill="1" applyBorder="1" applyAlignment="1">
      <alignment horizontal="center"/>
    </xf>
    <xf numFmtId="0" fontId="21" fillId="4" borderId="6" xfId="0" applyFont="1" applyFill="1" applyBorder="1" applyAlignment="1">
      <alignment vertical="center" wrapText="1"/>
    </xf>
    <xf numFmtId="0" fontId="8" fillId="4" borderId="9" xfId="0" applyFont="1" applyFill="1" applyBorder="1" applyAlignment="1">
      <alignment vertical="center"/>
    </xf>
    <xf numFmtId="0" fontId="21" fillId="11" borderId="28" xfId="0" applyFont="1" applyFill="1" applyBorder="1" applyAlignment="1"/>
    <xf numFmtId="164" fontId="21" fillId="11" borderId="9" xfId="0" applyNumberFormat="1" applyFont="1" applyFill="1" applyBorder="1" applyAlignment="1">
      <alignment horizontal="center"/>
    </xf>
    <xf numFmtId="164" fontId="21" fillId="11" borderId="6" xfId="0" applyNumberFormat="1" applyFont="1" applyFill="1" applyBorder="1" applyAlignment="1">
      <alignment horizontal="left"/>
    </xf>
    <xf numFmtId="0" fontId="21" fillId="11" borderId="6" xfId="0" applyFont="1" applyFill="1" applyBorder="1" applyAlignment="1">
      <alignment horizontal="left" wrapText="1"/>
    </xf>
    <xf numFmtId="164" fontId="17" fillId="11" borderId="6" xfId="0" applyNumberFormat="1" applyFont="1" applyFill="1" applyBorder="1" applyAlignment="1">
      <alignment horizontal="right"/>
    </xf>
    <xf numFmtId="167" fontId="21" fillId="11" borderId="6" xfId="0" applyNumberFormat="1" applyFont="1" applyFill="1" applyBorder="1" applyAlignment="1"/>
    <xf numFmtId="0" fontId="10" fillId="11" borderId="9" xfId="0" applyFont="1" applyFill="1" applyBorder="1" applyAlignment="1">
      <alignment vertical="center"/>
    </xf>
    <xf numFmtId="0" fontId="17" fillId="11" borderId="6" xfId="0" applyFont="1" applyFill="1" applyBorder="1" applyAlignment="1">
      <alignment horizontal="center"/>
    </xf>
    <xf numFmtId="0" fontId="21" fillId="4" borderId="6" xfId="0" applyFont="1" applyFill="1" applyBorder="1" applyAlignment="1">
      <alignment wrapText="1"/>
    </xf>
    <xf numFmtId="0" fontId="10" fillId="11" borderId="6" xfId="0" applyFont="1" applyFill="1" applyBorder="1" applyAlignment="1">
      <alignment vertical="center"/>
    </xf>
    <xf numFmtId="0" fontId="21" fillId="6" borderId="6" xfId="0" applyFont="1" applyFill="1" applyBorder="1" applyAlignment="1">
      <alignment horizontal="center" vertical="center"/>
    </xf>
    <xf numFmtId="0" fontId="21" fillId="12" borderId="6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/>
    <xf numFmtId="0" fontId="21" fillId="12" borderId="6" xfId="0" applyFont="1" applyFill="1" applyBorder="1" applyAlignment="1">
      <alignment horizontal="center" vertical="center"/>
    </xf>
    <xf numFmtId="164" fontId="21" fillId="12" borderId="6" xfId="0" applyNumberFormat="1" applyFont="1" applyFill="1" applyBorder="1" applyAlignment="1"/>
    <xf numFmtId="0" fontId="10" fillId="12" borderId="6" xfId="0" applyFont="1" applyFill="1" applyBorder="1" applyAlignment="1"/>
    <xf numFmtId="0" fontId="8" fillId="12" borderId="9" xfId="0" applyFont="1" applyFill="1" applyBorder="1" applyAlignment="1">
      <alignment vertical="center"/>
    </xf>
    <xf numFmtId="0" fontId="13" fillId="11" borderId="6" xfId="0" applyFont="1" applyFill="1" applyBorder="1" applyAlignment="1">
      <alignment horizontal="center" vertical="center"/>
    </xf>
    <xf numFmtId="0" fontId="21" fillId="4" borderId="6" xfId="0" applyFont="1" applyFill="1" applyBorder="1" applyAlignment="1">
      <alignment vertical="center"/>
    </xf>
    <xf numFmtId="0" fontId="21" fillId="4" borderId="6" xfId="0" applyFont="1" applyFill="1" applyBorder="1" applyAlignment="1">
      <alignment horizontal="center" vertical="center"/>
    </xf>
    <xf numFmtId="164" fontId="21" fillId="4" borderId="6" xfId="0" applyNumberFormat="1" applyFont="1" applyFill="1" applyBorder="1" applyAlignment="1">
      <alignment horizontal="center" vertical="center"/>
    </xf>
    <xf numFmtId="0" fontId="21" fillId="6" borderId="28" xfId="0" applyFont="1" applyFill="1" applyBorder="1" applyAlignment="1">
      <alignment horizontal="center" vertical="center" wrapText="1"/>
    </xf>
    <xf numFmtId="0" fontId="21" fillId="6" borderId="9" xfId="0" applyFont="1" applyFill="1" applyBorder="1" applyAlignment="1">
      <alignment wrapText="1"/>
    </xf>
    <xf numFmtId="0" fontId="10" fillId="6" borderId="9" xfId="0" applyFont="1" applyFill="1" applyBorder="1" applyAlignment="1"/>
    <xf numFmtId="0" fontId="21" fillId="6" borderId="6" xfId="0" applyFont="1" applyFill="1" applyBorder="1" applyAlignment="1"/>
    <xf numFmtId="0" fontId="21" fillId="6" borderId="9" xfId="0" applyFont="1" applyFill="1" applyBorder="1" applyAlignment="1">
      <alignment vertical="center" wrapText="1"/>
    </xf>
    <xf numFmtId="0" fontId="10" fillId="11" borderId="9" xfId="0" applyFont="1" applyFill="1" applyBorder="1" applyAlignment="1"/>
    <xf numFmtId="164" fontId="21" fillId="0" borderId="0" xfId="0" applyNumberFormat="1" applyFont="1" applyAlignment="1">
      <alignment vertical="center"/>
    </xf>
    <xf numFmtId="0" fontId="11" fillId="0" borderId="6" xfId="0" applyFont="1" applyBorder="1" applyAlignment="1">
      <alignment horizontal="center"/>
    </xf>
    <xf numFmtId="0" fontId="21" fillId="0" borderId="6" xfId="0" applyFont="1" applyBorder="1" applyAlignment="1">
      <alignment horizontal="center"/>
    </xf>
    <xf numFmtId="0" fontId="30" fillId="0" borderId="6" xfId="0" applyFont="1" applyBorder="1" applyAlignment="1">
      <alignment vertical="center" wrapText="1"/>
    </xf>
    <xf numFmtId="0" fontId="30" fillId="0" borderId="6" xfId="0" applyFont="1" applyBorder="1" applyAlignment="1">
      <alignment horizontal="center" vertical="center" wrapText="1"/>
    </xf>
    <xf numFmtId="0" fontId="21" fillId="0" borderId="6" xfId="0" applyFont="1" applyBorder="1" applyAlignment="1">
      <alignment horizontal="center" vertical="center"/>
    </xf>
    <xf numFmtId="164" fontId="21" fillId="0" borderId="6" xfId="0" applyNumberFormat="1" applyFont="1" applyBorder="1" applyAlignment="1"/>
    <xf numFmtId="0" fontId="21" fillId="0" borderId="6" xfId="0" applyFont="1" applyBorder="1" applyAlignment="1"/>
    <xf numFmtId="0" fontId="21" fillId="0" borderId="0" xfId="0" applyFont="1" applyAlignment="1"/>
    <xf numFmtId="0" fontId="21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174" fontId="21" fillId="0" borderId="0" xfId="0" applyNumberFormat="1" applyFont="1" applyAlignment="1">
      <alignment vertical="center"/>
    </xf>
    <xf numFmtId="0" fontId="29" fillId="16" borderId="6" xfId="0" applyFont="1" applyFill="1" applyBorder="1" applyAlignment="1">
      <alignment horizontal="center"/>
    </xf>
    <xf numFmtId="0" fontId="29" fillId="16" borderId="17" xfId="0" applyFont="1" applyFill="1" applyBorder="1" applyAlignment="1">
      <alignment horizontal="center"/>
    </xf>
    <xf numFmtId="164" fontId="29" fillId="16" borderId="17" xfId="0" applyNumberFormat="1" applyFont="1" applyFill="1" applyBorder="1" applyAlignment="1">
      <alignment horizontal="center"/>
    </xf>
    <xf numFmtId="0" fontId="29" fillId="16" borderId="29" xfId="0" applyFont="1" applyFill="1" applyBorder="1" applyAlignment="1">
      <alignment vertical="center"/>
    </xf>
    <xf numFmtId="0" fontId="11" fillId="11" borderId="18" xfId="0" applyFont="1" applyFill="1" applyBorder="1" applyAlignment="1">
      <alignment horizontal="right"/>
    </xf>
    <xf numFmtId="0" fontId="11" fillId="11" borderId="12" xfId="0" applyFont="1" applyFill="1" applyBorder="1" applyAlignment="1"/>
    <xf numFmtId="0" fontId="11" fillId="11" borderId="12" xfId="0" applyFont="1" applyFill="1" applyBorder="1" applyAlignment="1">
      <alignment horizontal="center"/>
    </xf>
    <xf numFmtId="164" fontId="11" fillId="11" borderId="12" xfId="0" applyNumberFormat="1" applyFont="1" applyFill="1" applyBorder="1" applyAlignment="1"/>
    <xf numFmtId="0" fontId="11" fillId="11" borderId="12" xfId="0" applyFont="1" applyFill="1" applyBorder="1" applyAlignment="1">
      <alignment vertical="center"/>
    </xf>
    <xf numFmtId="0" fontId="21" fillId="11" borderId="9" xfId="0" applyFont="1" applyFill="1" applyBorder="1" applyAlignment="1">
      <alignment vertical="center"/>
    </xf>
    <xf numFmtId="0" fontId="21" fillId="11" borderId="12" xfId="0" applyFont="1" applyFill="1" applyBorder="1" applyAlignment="1"/>
    <xf numFmtId="0" fontId="21" fillId="11" borderId="12" xfId="0" applyFont="1" applyFill="1" applyBorder="1" applyAlignment="1">
      <alignment horizontal="center"/>
    </xf>
    <xf numFmtId="164" fontId="21" fillId="11" borderId="12" xfId="0" applyNumberFormat="1" applyFont="1" applyFill="1" applyBorder="1" applyAlignment="1"/>
    <xf numFmtId="3" fontId="21" fillId="11" borderId="12" xfId="0" applyNumberFormat="1" applyFont="1" applyFill="1" applyBorder="1" applyAlignment="1"/>
    <xf numFmtId="3" fontId="21" fillId="11" borderId="12" xfId="0" applyNumberFormat="1" applyFont="1" applyFill="1" applyBorder="1" applyAlignment="1">
      <alignment horizontal="right"/>
    </xf>
    <xf numFmtId="0" fontId="11" fillId="11" borderId="12" xfId="0" applyFont="1" applyFill="1" applyBorder="1" applyAlignment="1">
      <alignment horizontal="center" vertical="center"/>
    </xf>
    <xf numFmtId="0" fontId="21" fillId="11" borderId="12" xfId="0" applyFont="1" applyFill="1" applyBorder="1" applyAlignment="1">
      <alignment horizontal="right"/>
    </xf>
    <xf numFmtId="0" fontId="21" fillId="11" borderId="12" xfId="0" applyFont="1" applyFill="1" applyBorder="1" applyAlignment="1">
      <alignment vertical="center"/>
    </xf>
    <xf numFmtId="0" fontId="21" fillId="11" borderId="12" xfId="0" applyFont="1" applyFill="1" applyBorder="1" applyAlignment="1">
      <alignment horizontal="right" vertical="center"/>
    </xf>
    <xf numFmtId="164" fontId="21" fillId="11" borderId="12" xfId="0" applyNumberFormat="1" applyFont="1" applyFill="1" applyBorder="1" applyAlignment="1">
      <alignment vertical="center"/>
    </xf>
    <xf numFmtId="0" fontId="21" fillId="11" borderId="12" xfId="0" applyFont="1" applyFill="1" applyBorder="1" applyAlignment="1">
      <alignment vertical="top"/>
    </xf>
    <xf numFmtId="0" fontId="21" fillId="11" borderId="12" xfId="0" applyFont="1" applyFill="1" applyBorder="1" applyAlignment="1">
      <alignment horizontal="right" vertical="top"/>
    </xf>
    <xf numFmtId="164" fontId="21" fillId="11" borderId="12" xfId="0" applyNumberFormat="1" applyFont="1" applyFill="1" applyBorder="1" applyAlignment="1">
      <alignment vertical="top"/>
    </xf>
    <xf numFmtId="0" fontId="11" fillId="11" borderId="12" xfId="0" applyFont="1" applyFill="1" applyBorder="1" applyAlignment="1">
      <alignment vertical="top"/>
    </xf>
    <xf numFmtId="0" fontId="21" fillId="11" borderId="18" xfId="0" applyFont="1" applyFill="1" applyBorder="1" applyAlignment="1">
      <alignment vertical="center"/>
    </xf>
    <xf numFmtId="0" fontId="21" fillId="11" borderId="12" xfId="0" applyFont="1" applyFill="1" applyBorder="1" applyAlignment="1">
      <alignment horizontal="center" vertical="center"/>
    </xf>
    <xf numFmtId="175" fontId="21" fillId="11" borderId="12" xfId="0" applyNumberFormat="1" applyFont="1" applyFill="1" applyBorder="1" applyAlignment="1">
      <alignment horizontal="right" vertical="center"/>
    </xf>
    <xf numFmtId="164" fontId="29" fillId="16" borderId="6" xfId="0" applyNumberFormat="1" applyFont="1" applyFill="1" applyBorder="1" applyAlignment="1">
      <alignment horizontal="center"/>
    </xf>
    <xf numFmtId="0" fontId="29" fillId="16" borderId="25" xfId="0" applyFont="1" applyFill="1" applyBorder="1" applyAlignment="1">
      <alignment vertical="center"/>
    </xf>
    <xf numFmtId="0" fontId="21" fillId="11" borderId="9" xfId="0" applyFont="1" applyFill="1" applyBorder="1" applyAlignment="1">
      <alignment horizontal="center"/>
    </xf>
    <xf numFmtId="0" fontId="21" fillId="11" borderId="18" xfId="0" applyFont="1" applyFill="1" applyBorder="1" applyAlignment="1">
      <alignment vertical="center" wrapText="1"/>
    </xf>
    <xf numFmtId="0" fontId="21" fillId="11" borderId="18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right"/>
    </xf>
    <xf numFmtId="6" fontId="21" fillId="4" borderId="6" xfId="0" applyNumberFormat="1" applyFont="1" applyFill="1" applyBorder="1" applyAlignment="1"/>
    <xf numFmtId="0" fontId="21" fillId="4" borderId="18" xfId="0" applyFont="1" applyFill="1" applyBorder="1" applyAlignment="1">
      <alignment vertical="center" wrapText="1"/>
    </xf>
    <xf numFmtId="6" fontId="21" fillId="11" borderId="6" xfId="0" applyNumberFormat="1" applyFont="1" applyFill="1" applyBorder="1" applyAlignment="1"/>
    <xf numFmtId="0" fontId="21" fillId="11" borderId="18" xfId="0" applyFont="1" applyFill="1" applyBorder="1" applyAlignment="1"/>
    <xf numFmtId="164" fontId="10" fillId="0" borderId="0" xfId="0" applyNumberFormat="1" applyFont="1" applyAlignment="1">
      <alignment vertical="center"/>
    </xf>
    <xf numFmtId="164" fontId="8" fillId="0" borderId="0" xfId="0" applyNumberFormat="1" applyFont="1" applyAlignment="1">
      <alignment vertical="center"/>
    </xf>
    <xf numFmtId="0" fontId="29" fillId="16" borderId="6" xfId="0" applyFont="1" applyFill="1" applyBorder="1" applyAlignment="1">
      <alignment horizontal="center" vertical="center"/>
    </xf>
    <xf numFmtId="164" fontId="29" fillId="16" borderId="18" xfId="0" applyNumberFormat="1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center" wrapText="1"/>
    </xf>
    <xf numFmtId="0" fontId="21" fillId="9" borderId="6" xfId="0" applyFont="1" applyFill="1" applyBorder="1" applyAlignment="1">
      <alignment horizontal="center" vertical="top"/>
    </xf>
    <xf numFmtId="0" fontId="21" fillId="9" borderId="6" xfId="0" applyFont="1" applyFill="1" applyBorder="1" applyAlignment="1">
      <alignment vertical="top"/>
    </xf>
    <xf numFmtId="0" fontId="21" fillId="9" borderId="6" xfId="0" applyFont="1" applyFill="1" applyBorder="1" applyAlignment="1">
      <alignment vertical="top" wrapText="1"/>
    </xf>
    <xf numFmtId="0" fontId="21" fillId="9" borderId="9" xfId="0" applyFont="1" applyFill="1" applyBorder="1" applyAlignment="1">
      <alignment vertical="center"/>
    </xf>
    <xf numFmtId="0" fontId="21" fillId="6" borderId="6" xfId="0" applyFont="1" applyFill="1" applyBorder="1" applyAlignment="1">
      <alignment horizontal="center" vertical="top"/>
    </xf>
    <xf numFmtId="0" fontId="21" fillId="6" borderId="6" xfId="0" applyFont="1" applyFill="1" applyBorder="1" applyAlignment="1">
      <alignment vertical="top"/>
    </xf>
    <xf numFmtId="0" fontId="21" fillId="6" borderId="6" xfId="0" applyFont="1" applyFill="1" applyBorder="1" applyAlignment="1">
      <alignment horizontal="left" vertical="top"/>
    </xf>
    <xf numFmtId="0" fontId="21" fillId="6" borderId="9" xfId="0" applyFont="1" applyFill="1" applyBorder="1" applyAlignment="1">
      <alignment vertical="center"/>
    </xf>
    <xf numFmtId="0" fontId="21" fillId="6" borderId="6" xfId="0" applyFont="1" applyFill="1" applyBorder="1" applyAlignment="1">
      <alignment vertical="top" wrapText="1"/>
    </xf>
    <xf numFmtId="0" fontId="21" fillId="6" borderId="9" xfId="0" applyFont="1" applyFill="1" applyBorder="1" applyAlignment="1"/>
    <xf numFmtId="0" fontId="21" fillId="6" borderId="18" xfId="0" applyFont="1" applyFill="1" applyBorder="1" applyAlignment="1"/>
    <xf numFmtId="0" fontId="21" fillId="6" borderId="26" xfId="0" applyFont="1" applyFill="1" applyBorder="1" applyAlignment="1"/>
    <xf numFmtId="0" fontId="21" fillId="6" borderId="26" xfId="0" applyFont="1" applyFill="1" applyBorder="1" applyAlignment="1">
      <alignment horizontal="center"/>
    </xf>
    <xf numFmtId="171" fontId="21" fillId="6" borderId="26" xfId="0" applyNumberFormat="1" applyFont="1" applyFill="1" applyBorder="1" applyAlignment="1"/>
    <xf numFmtId="0" fontId="21" fillId="11" borderId="9" xfId="0" applyFont="1" applyFill="1" applyBorder="1" applyAlignment="1"/>
    <xf numFmtId="0" fontId="21" fillId="11" borderId="6" xfId="0" applyFont="1" applyFill="1" applyBorder="1" applyAlignment="1">
      <alignment horizontal="center" vertical="top"/>
    </xf>
    <xf numFmtId="0" fontId="21" fillId="11" borderId="6" xfId="0" applyFont="1" applyFill="1" applyBorder="1" applyAlignment="1">
      <alignment vertical="top"/>
    </xf>
    <xf numFmtId="0" fontId="21" fillId="11" borderId="9" xfId="0" applyFont="1" applyFill="1" applyBorder="1" applyAlignment="1">
      <alignment horizontal="center" vertical="top"/>
    </xf>
    <xf numFmtId="0" fontId="21" fillId="11" borderId="6" xfId="0" applyFont="1" applyFill="1" applyBorder="1" applyAlignment="1">
      <alignment vertical="top" wrapText="1"/>
    </xf>
    <xf numFmtId="0" fontId="21" fillId="11" borderId="6" xfId="0" applyFont="1" applyFill="1" applyBorder="1" applyAlignment="1">
      <alignment horizontal="left" vertical="top"/>
    </xf>
    <xf numFmtId="0" fontId="21" fillId="11" borderId="6" xfId="0" applyFont="1" applyFill="1" applyBorder="1" applyAlignment="1">
      <alignment horizontal="left" vertical="center"/>
    </xf>
    <xf numFmtId="0" fontId="21" fillId="11" borderId="9" xfId="0" applyFont="1" applyFill="1" applyBorder="1" applyAlignment="1">
      <alignment horizontal="center" vertical="center"/>
    </xf>
    <xf numFmtId="0" fontId="21" fillId="11" borderId="6" xfId="0" applyFont="1" applyFill="1" applyBorder="1" applyAlignment="1">
      <alignment horizontal="left" vertical="center" wrapText="1"/>
    </xf>
    <xf numFmtId="0" fontId="21" fillId="4" borderId="9" xfId="0" applyFont="1" applyFill="1" applyBorder="1" applyAlignment="1">
      <alignment horizontal="center"/>
    </xf>
    <xf numFmtId="0" fontId="21" fillId="4" borderId="9" xfId="0" applyFont="1" applyFill="1" applyBorder="1" applyAlignment="1">
      <alignment vertical="center"/>
    </xf>
    <xf numFmtId="0" fontId="21" fillId="6" borderId="9" xfId="0" applyFont="1" applyFill="1" applyBorder="1" applyAlignment="1">
      <alignment horizontal="center"/>
    </xf>
    <xf numFmtId="0" fontId="21" fillId="4" borderId="9" xfId="0" applyFont="1" applyFill="1" applyBorder="1" applyAlignment="1"/>
    <xf numFmtId="164" fontId="21" fillId="4" borderId="6" xfId="0" applyNumberFormat="1" applyFont="1" applyFill="1" applyBorder="1" applyAlignment="1">
      <alignment horizontal="left"/>
    </xf>
    <xf numFmtId="0" fontId="21" fillId="6" borderId="6" xfId="0" applyFont="1" applyFill="1" applyBorder="1" applyAlignment="1">
      <alignment vertical="center"/>
    </xf>
    <xf numFmtId="0" fontId="21" fillId="6" borderId="26" xfId="0" applyFont="1" applyFill="1" applyBorder="1" applyAlignment="1">
      <alignment horizontal="center" vertical="center"/>
    </xf>
    <xf numFmtId="0" fontId="21" fillId="6" borderId="28" xfId="0" applyFont="1" applyFill="1" applyBorder="1" applyAlignment="1"/>
    <xf numFmtId="0" fontId="21" fillId="6" borderId="17" xfId="0" applyFont="1" applyFill="1" applyBorder="1" applyAlignment="1"/>
    <xf numFmtId="0" fontId="21" fillId="6" borderId="25" xfId="0" applyFont="1" applyFill="1" applyBorder="1" applyAlignment="1"/>
    <xf numFmtId="1" fontId="21" fillId="6" borderId="6" xfId="0" applyNumberFormat="1" applyFont="1" applyFill="1" applyBorder="1" applyAlignment="1">
      <alignment horizontal="center" vertical="top" wrapText="1"/>
    </xf>
    <xf numFmtId="0" fontId="21" fillId="6" borderId="9" xfId="0" applyFont="1" applyFill="1" applyBorder="1" applyAlignment="1">
      <alignment horizontal="center" vertical="top"/>
    </xf>
    <xf numFmtId="0" fontId="11" fillId="6" borderId="6" xfId="0" applyFont="1" applyFill="1" applyBorder="1" applyAlignment="1"/>
    <xf numFmtId="0" fontId="21" fillId="6" borderId="9" xfId="0" applyFont="1" applyFill="1" applyBorder="1" applyAlignment="1">
      <alignment horizontal="center" vertical="center"/>
    </xf>
    <xf numFmtId="1" fontId="21" fillId="6" borderId="9" xfId="0" applyNumberFormat="1" applyFont="1" applyFill="1" applyBorder="1" applyAlignment="1">
      <alignment vertical="center" wrapText="1"/>
    </xf>
    <xf numFmtId="0" fontId="11" fillId="6" borderId="18" xfId="0" applyFont="1" applyFill="1" applyBorder="1" applyAlignment="1"/>
    <xf numFmtId="0" fontId="21" fillId="6" borderId="25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 vertical="top"/>
    </xf>
    <xf numFmtId="0" fontId="21" fillId="6" borderId="17" xfId="0" applyFont="1" applyFill="1" applyBorder="1" applyAlignment="1">
      <alignment horizontal="center" vertical="top"/>
    </xf>
    <xf numFmtId="0" fontId="10" fillId="6" borderId="9" xfId="0" applyFont="1" applyFill="1" applyBorder="1" applyAlignment="1">
      <alignment vertical="center"/>
    </xf>
    <xf numFmtId="1" fontId="21" fillId="6" borderId="6" xfId="0" applyNumberFormat="1" applyFont="1" applyFill="1" applyBorder="1" applyAlignment="1">
      <alignment horizontal="center" vertical="top"/>
    </xf>
    <xf numFmtId="0" fontId="11" fillId="6" borderId="6" xfId="0" applyFont="1" applyFill="1" applyBorder="1" applyAlignment="1">
      <alignment vertical="top" wrapText="1"/>
    </xf>
    <xf numFmtId="0" fontId="21" fillId="6" borderId="6" xfId="0" applyFont="1" applyFill="1" applyBorder="1" applyAlignment="1">
      <alignment horizontal="left" vertical="top" wrapText="1"/>
    </xf>
    <xf numFmtId="0" fontId="11" fillId="6" borderId="6" xfId="0" applyFont="1" applyFill="1" applyBorder="1" applyAlignment="1">
      <alignment horizontal="left" vertical="top" wrapText="1"/>
    </xf>
    <xf numFmtId="0" fontId="21" fillId="6" borderId="28" xfId="0" applyFont="1" applyFill="1" applyBorder="1" applyAlignment="1">
      <alignment horizontal="center" vertical="top"/>
    </xf>
    <xf numFmtId="9" fontId="21" fillId="6" borderId="6" xfId="0" applyNumberFormat="1" applyFont="1" applyFill="1" applyBorder="1" applyAlignment="1">
      <alignment horizontal="left" vertical="top" wrapText="1"/>
    </xf>
    <xf numFmtId="0" fontId="21" fillId="6" borderId="6" xfId="0" applyFont="1" applyFill="1" applyBorder="1" applyAlignment="1">
      <alignment horizontal="left" vertical="center"/>
    </xf>
    <xf numFmtId="1" fontId="21" fillId="6" borderId="6" xfId="0" applyNumberFormat="1" applyFont="1" applyFill="1" applyBorder="1" applyAlignment="1">
      <alignment horizontal="center"/>
    </xf>
    <xf numFmtId="1" fontId="21" fillId="6" borderId="6" xfId="0" applyNumberFormat="1" applyFont="1" applyFill="1" applyBorder="1" applyAlignment="1">
      <alignment horizontal="center" vertical="center"/>
    </xf>
    <xf numFmtId="0" fontId="21" fillId="6" borderId="6" xfId="0" applyFont="1" applyFill="1" applyBorder="1" applyAlignment="1">
      <alignment horizontal="left" vertical="center" wrapText="1"/>
    </xf>
    <xf numFmtId="0" fontId="21" fillId="12" borderId="6" xfId="0" applyFont="1" applyFill="1" applyBorder="1" applyAlignment="1">
      <alignment horizontal="center"/>
    </xf>
    <xf numFmtId="0" fontId="21" fillId="12" borderId="6" xfId="0" applyFont="1" applyFill="1" applyBorder="1" applyAlignment="1">
      <alignment vertical="center" wrapText="1"/>
    </xf>
    <xf numFmtId="0" fontId="21" fillId="12" borderId="9" xfId="0" applyFont="1" applyFill="1" applyBorder="1" applyAlignment="1">
      <alignment vertical="center"/>
    </xf>
    <xf numFmtId="0" fontId="13" fillId="6" borderId="6" xfId="0" applyFont="1" applyFill="1" applyBorder="1" applyAlignment="1">
      <alignment vertical="top"/>
    </xf>
    <xf numFmtId="0" fontId="13" fillId="6" borderId="6" xfId="0" applyFont="1" applyFill="1" applyBorder="1" applyAlignment="1">
      <alignment horizontal="center" vertical="top"/>
    </xf>
    <xf numFmtId="0" fontId="21" fillId="6" borderId="6" xfId="0" applyFont="1" applyFill="1" applyBorder="1" applyAlignment="1">
      <alignment horizontal="left" vertical="top" wrapText="1" readingOrder="1"/>
    </xf>
    <xf numFmtId="0" fontId="21" fillId="6" borderId="6" xfId="0" applyFont="1" applyFill="1" applyBorder="1" applyAlignment="1">
      <alignment horizontal="left" vertical="center" wrapText="1" readingOrder="1"/>
    </xf>
    <xf numFmtId="0" fontId="21" fillId="6" borderId="25" xfId="0" applyFont="1" applyFill="1" applyBorder="1" applyAlignment="1">
      <alignment horizontal="left" vertical="center" wrapText="1" readingOrder="1"/>
    </xf>
    <xf numFmtId="0" fontId="21" fillId="6" borderId="25" xfId="0" applyFont="1" applyFill="1" applyBorder="1" applyAlignment="1">
      <alignment horizontal="center" vertical="center"/>
    </xf>
    <xf numFmtId="164" fontId="21" fillId="6" borderId="25" xfId="0" applyNumberFormat="1" applyFont="1" applyFill="1" applyBorder="1" applyAlignment="1"/>
    <xf numFmtId="0" fontId="21" fillId="4" borderId="18" xfId="0" applyFont="1" applyFill="1" applyBorder="1" applyAlignment="1"/>
    <xf numFmtId="0" fontId="21" fillId="4" borderId="18" xfId="0" applyFont="1" applyFill="1" applyBorder="1" applyAlignment="1">
      <alignment horizontal="center"/>
    </xf>
    <xf numFmtId="0" fontId="21" fillId="4" borderId="25" xfId="0" applyFont="1" applyFill="1" applyBorder="1" applyAlignment="1">
      <alignment horizontal="center"/>
    </xf>
    <xf numFmtId="0" fontId="21" fillId="11" borderId="28" xfId="0" applyFont="1" applyFill="1" applyBorder="1" applyAlignment="1">
      <alignment vertical="top"/>
    </xf>
    <xf numFmtId="0" fontId="21" fillId="12" borderId="6" xfId="0" applyFont="1" applyFill="1" applyBorder="1" applyAlignment="1">
      <alignment horizontal="center" vertical="top"/>
    </xf>
    <xf numFmtId="0" fontId="21" fillId="12" borderId="17" xfId="0" applyFont="1" applyFill="1" applyBorder="1" applyAlignment="1">
      <alignment vertical="top"/>
    </xf>
    <xf numFmtId="0" fontId="21" fillId="12" borderId="6" xfId="0" applyFont="1" applyFill="1" applyBorder="1" applyAlignment="1">
      <alignment vertical="top"/>
    </xf>
    <xf numFmtId="0" fontId="21" fillId="12" borderId="6" xfId="0" applyFont="1" applyFill="1" applyBorder="1" applyAlignment="1">
      <alignment horizontal="left" vertical="top"/>
    </xf>
    <xf numFmtId="0" fontId="21" fillId="12" borderId="6" xfId="0" applyFont="1" applyFill="1" applyBorder="1" applyAlignment="1">
      <alignment horizontal="left" vertical="center"/>
    </xf>
    <xf numFmtId="0" fontId="21" fillId="12" borderId="17" xfId="0" applyFont="1" applyFill="1" applyBorder="1" applyAlignment="1">
      <alignment vertical="center"/>
    </xf>
    <xf numFmtId="0" fontId="21" fillId="12" borderId="25" xfId="0" applyFont="1" applyFill="1" applyBorder="1" applyAlignment="1">
      <alignment horizontal="center" vertical="top"/>
    </xf>
    <xf numFmtId="0" fontId="21" fillId="12" borderId="25" xfId="0" applyFont="1" applyFill="1" applyBorder="1" applyAlignment="1">
      <alignment horizontal="center"/>
    </xf>
    <xf numFmtId="0" fontId="21" fillId="12" borderId="6" xfId="0" applyFont="1" applyFill="1" applyBorder="1" applyAlignment="1">
      <alignment vertical="center"/>
    </xf>
    <xf numFmtId="0" fontId="21" fillId="12" borderId="6" xfId="0" applyFont="1" applyFill="1" applyBorder="1" applyAlignment="1">
      <alignment horizontal="left"/>
    </xf>
    <xf numFmtId="0" fontId="21" fillId="12" borderId="25" xfId="0" applyFont="1" applyFill="1" applyBorder="1" applyAlignment="1">
      <alignment horizontal="center" vertical="center" wrapText="1"/>
    </xf>
    <xf numFmtId="0" fontId="21" fillId="12" borderId="6" xfId="0" applyFont="1" applyFill="1" applyBorder="1" applyAlignment="1">
      <alignment horizontal="right" vertical="center"/>
    </xf>
    <xf numFmtId="0" fontId="21" fillId="12" borderId="25" xfId="0" applyFont="1" applyFill="1" applyBorder="1" applyAlignment="1">
      <alignment horizontal="left" vertical="center"/>
    </xf>
    <xf numFmtId="0" fontId="21" fillId="11" borderId="25" xfId="0" applyFont="1" applyFill="1" applyBorder="1" applyAlignment="1"/>
    <xf numFmtId="0" fontId="21" fillId="12" borderId="28" xfId="0" applyFont="1" applyFill="1" applyBorder="1" applyAlignment="1"/>
    <xf numFmtId="0" fontId="21" fillId="11" borderId="28" xfId="0" applyFont="1" applyFill="1" applyBorder="1" applyAlignment="1">
      <alignment horizontal="left" vertical="top"/>
    </xf>
    <xf numFmtId="0" fontId="21" fillId="6" borderId="28" xfId="0" applyFont="1" applyFill="1" applyBorder="1" applyAlignment="1">
      <alignment horizontal="left" vertical="center"/>
    </xf>
    <xf numFmtId="177" fontId="21" fillId="6" borderId="6" xfId="0" applyNumberFormat="1" applyFont="1" applyFill="1" applyBorder="1" applyAlignment="1">
      <alignment vertical="top"/>
    </xf>
    <xf numFmtId="177" fontId="21" fillId="6" borderId="6" xfId="0" applyNumberFormat="1" applyFont="1" applyFill="1" applyBorder="1" applyAlignment="1">
      <alignment horizontal="center" vertical="top"/>
    </xf>
    <xf numFmtId="0" fontId="21" fillId="6" borderId="28" xfId="0" applyFont="1" applyFill="1" applyBorder="1" applyAlignment="1">
      <alignment horizontal="left" vertical="top"/>
    </xf>
    <xf numFmtId="0" fontId="21" fillId="6" borderId="28" xfId="0" applyFont="1" applyFill="1" applyBorder="1" applyAlignment="1">
      <alignment vertical="center"/>
    </xf>
    <xf numFmtId="0" fontId="22" fillId="0" borderId="0" xfId="0" applyFont="1" applyAlignment="1">
      <alignment horizontal="center"/>
    </xf>
    <xf numFmtId="0" fontId="11" fillId="6" borderId="17" xfId="0" applyFont="1" applyFill="1" applyBorder="1" applyAlignment="1">
      <alignment vertical="center"/>
    </xf>
    <xf numFmtId="0" fontId="11" fillId="6" borderId="17" xfId="0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12" xfId="0" applyFont="1" applyFill="1" applyBorder="1" applyAlignment="1">
      <alignment vertical="center"/>
    </xf>
    <xf numFmtId="0" fontId="11" fillId="6" borderId="12" xfId="0" applyFont="1" applyFill="1" applyBorder="1" applyAlignment="1">
      <alignment horizontal="center" vertical="center"/>
    </xf>
    <xf numFmtId="164" fontId="11" fillId="6" borderId="12" xfId="0" applyNumberFormat="1" applyFont="1" applyFill="1" applyBorder="1" applyAlignment="1">
      <alignment vertical="center"/>
    </xf>
    <xf numFmtId="0" fontId="11" fillId="6" borderId="12" xfId="0" applyFont="1" applyFill="1" applyBorder="1" applyAlignment="1">
      <alignment horizontal="right" vertical="center"/>
    </xf>
    <xf numFmtId="0" fontId="11" fillId="6" borderId="12" xfId="0" applyFont="1" applyFill="1" applyBorder="1" applyAlignment="1">
      <alignment horizontal="left" vertical="center"/>
    </xf>
    <xf numFmtId="0" fontId="11" fillId="6" borderId="23" xfId="0" applyFont="1" applyFill="1" applyBorder="1" applyAlignment="1">
      <alignment vertical="center"/>
    </xf>
    <xf numFmtId="0" fontId="36" fillId="6" borderId="12" xfId="0" applyFont="1" applyFill="1" applyBorder="1" applyAlignment="1">
      <alignment horizontal="left" vertical="center"/>
    </xf>
    <xf numFmtId="0" fontId="11" fillId="6" borderId="29" xfId="0" applyFont="1" applyFill="1" applyBorder="1" applyAlignment="1">
      <alignment vertical="center"/>
    </xf>
    <xf numFmtId="0" fontId="11" fillId="6" borderId="9" xfId="0" applyFont="1" applyFill="1" applyBorder="1" applyAlignment="1">
      <alignment vertical="center"/>
    </xf>
    <xf numFmtId="0" fontId="11" fillId="6" borderId="29" xfId="0" applyFont="1" applyFill="1" applyBorder="1" applyAlignment="1">
      <alignment horizontal="left" vertical="center"/>
    </xf>
    <xf numFmtId="1" fontId="11" fillId="6" borderId="12" xfId="0" applyNumberFormat="1" applyFont="1" applyFill="1" applyBorder="1" applyAlignment="1">
      <alignment horizontal="center" vertical="center"/>
    </xf>
    <xf numFmtId="0" fontId="11" fillId="6" borderId="18" xfId="0" applyFont="1" applyFill="1" applyBorder="1" applyAlignment="1">
      <alignment vertical="center"/>
    </xf>
    <xf numFmtId="0" fontId="8" fillId="6" borderId="18" xfId="0" applyFont="1" applyFill="1" applyBorder="1" applyAlignment="1">
      <alignment horizontal="center" vertical="center"/>
    </xf>
    <xf numFmtId="0" fontId="8" fillId="6" borderId="12" xfId="0" applyFont="1" applyFill="1" applyBorder="1" applyAlignment="1">
      <alignment vertical="center"/>
    </xf>
    <xf numFmtId="0" fontId="8" fillId="6" borderId="12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8" fillId="6" borderId="6" xfId="0" applyFont="1" applyFill="1" applyBorder="1" applyAlignment="1">
      <alignment horizontal="center" vertical="top"/>
    </xf>
    <xf numFmtId="0" fontId="10" fillId="6" borderId="17" xfId="0" applyFont="1" applyFill="1" applyBorder="1" applyAlignment="1"/>
    <xf numFmtId="164" fontId="10" fillId="6" borderId="6" xfId="0" applyNumberFormat="1" applyFont="1" applyFill="1" applyBorder="1" applyAlignment="1"/>
    <xf numFmtId="0" fontId="10" fillId="6" borderId="6" xfId="0" applyFont="1" applyFill="1" applyBorder="1" applyAlignment="1">
      <alignment vertical="top" wrapText="1"/>
    </xf>
    <xf numFmtId="0" fontId="10" fillId="6" borderId="6" xfId="0" applyFont="1" applyFill="1" applyBorder="1" applyAlignment="1">
      <alignment vertical="top"/>
    </xf>
    <xf numFmtId="0" fontId="10" fillId="6" borderId="6" xfId="0" applyFont="1" applyFill="1" applyBorder="1" applyAlignment="1">
      <alignment horizontal="center" vertical="top"/>
    </xf>
    <xf numFmtId="0" fontId="10" fillId="6" borderId="17" xfId="0" applyFont="1" applyFill="1" applyBorder="1" applyAlignment="1">
      <alignment vertical="top"/>
    </xf>
    <xf numFmtId="0" fontId="10" fillId="6" borderId="6" xfId="0" applyFont="1" applyFill="1" applyBorder="1" applyAlignment="1">
      <alignment horizontal="center"/>
    </xf>
    <xf numFmtId="0" fontId="10" fillId="6" borderId="25" xfId="0" applyFont="1" applyFill="1" applyBorder="1" applyAlignment="1">
      <alignment vertical="top" wrapText="1"/>
    </xf>
    <xf numFmtId="0" fontId="10" fillId="6" borderId="18" xfId="0" applyFont="1" applyFill="1" applyBorder="1" applyAlignment="1">
      <alignment vertical="top" wrapText="1"/>
    </xf>
    <xf numFmtId="164" fontId="13" fillId="6" borderId="6" xfId="0" applyNumberFormat="1" applyFont="1" applyFill="1" applyBorder="1" applyAlignment="1"/>
    <xf numFmtId="0" fontId="10" fillId="6" borderId="30" xfId="0" applyFont="1" applyFill="1" applyBorder="1" applyAlignment="1">
      <alignment vertical="top" wrapText="1"/>
    </xf>
    <xf numFmtId="0" fontId="10" fillId="6" borderId="9" xfId="0" applyFont="1" applyFill="1" applyBorder="1" applyAlignment="1">
      <alignment vertical="top" wrapText="1"/>
    </xf>
    <xf numFmtId="0" fontId="10" fillId="6" borderId="28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center" wrapText="1"/>
    </xf>
    <xf numFmtId="0" fontId="10" fillId="6" borderId="9" xfId="0" applyFont="1" applyFill="1" applyBorder="1" applyAlignment="1">
      <alignment vertical="top"/>
    </xf>
    <xf numFmtId="0" fontId="13" fillId="6" borderId="28" xfId="0" applyFont="1" applyFill="1" applyBorder="1" applyAlignment="1">
      <alignment vertical="top" wrapText="1"/>
    </xf>
    <xf numFmtId="0" fontId="13" fillId="6" borderId="25" xfId="0" applyFont="1" applyFill="1" applyBorder="1" applyAlignment="1">
      <alignment vertical="top" wrapText="1"/>
    </xf>
    <xf numFmtId="0" fontId="13" fillId="6" borderId="18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left"/>
    </xf>
    <xf numFmtId="164" fontId="13" fillId="6" borderId="6" xfId="0" applyNumberFormat="1" applyFont="1" applyFill="1" applyBorder="1" applyAlignment="1">
      <alignment horizontal="right"/>
    </xf>
    <xf numFmtId="0" fontId="13" fillId="6" borderId="6" xfId="0" applyFont="1" applyFill="1" applyBorder="1" applyAlignment="1">
      <alignment vertical="top" wrapText="1"/>
    </xf>
    <xf numFmtId="0" fontId="13" fillId="6" borderId="6" xfId="0" applyFont="1" applyFill="1" applyBorder="1" applyAlignment="1">
      <alignment horizontal="left" vertical="center"/>
    </xf>
    <xf numFmtId="0" fontId="13" fillId="6" borderId="6" xfId="0" applyFont="1" applyFill="1" applyBorder="1" applyAlignment="1">
      <alignment horizontal="center"/>
    </xf>
    <xf numFmtId="0" fontId="13" fillId="6" borderId="6" xfId="0" applyFont="1" applyFill="1" applyBorder="1" applyAlignment="1">
      <alignment horizontal="left" vertical="top" wrapText="1"/>
    </xf>
    <xf numFmtId="0" fontId="13" fillId="6" borderId="17" xfId="0" applyFont="1" applyFill="1" applyBorder="1" applyAlignment="1">
      <alignment vertical="top"/>
    </xf>
    <xf numFmtId="0" fontId="13" fillId="6" borderId="6" xfId="0" applyFont="1" applyFill="1" applyBorder="1" applyAlignment="1">
      <alignment horizontal="center" vertical="top" wrapText="1"/>
    </xf>
    <xf numFmtId="0" fontId="13" fillId="6" borderId="18" xfId="0" applyFont="1" applyFill="1" applyBorder="1" applyAlignment="1">
      <alignment vertical="top"/>
    </xf>
    <xf numFmtId="0" fontId="8" fillId="4" borderId="6" xfId="0" applyFont="1" applyFill="1" applyBorder="1" applyAlignment="1">
      <alignment horizontal="center" vertical="top"/>
    </xf>
    <xf numFmtId="0" fontId="8" fillId="4" borderId="17" xfId="0" applyFont="1" applyFill="1" applyBorder="1" applyAlignment="1">
      <alignment vertical="top"/>
    </xf>
    <xf numFmtId="164" fontId="8" fillId="4" borderId="6" xfId="0" applyNumberFormat="1" applyFont="1" applyFill="1" applyBorder="1" applyAlignment="1">
      <alignment vertical="top" wrapText="1"/>
    </xf>
    <xf numFmtId="0" fontId="8" fillId="4" borderId="6" xfId="0" applyFont="1" applyFill="1" applyBorder="1" applyAlignment="1">
      <alignment vertical="top"/>
    </xf>
    <xf numFmtId="0" fontId="13" fillId="6" borderId="17" xfId="0" applyFont="1" applyFill="1" applyBorder="1" applyAlignment="1">
      <alignment horizontal="left" vertical="top" wrapText="1" readingOrder="1"/>
    </xf>
    <xf numFmtId="0" fontId="13" fillId="6" borderId="9" xfId="0" applyFont="1" applyFill="1" applyBorder="1" applyAlignment="1">
      <alignment vertical="top"/>
    </xf>
    <xf numFmtId="0" fontId="10" fillId="6" borderId="17" xfId="0" applyFont="1" applyFill="1" applyBorder="1" applyAlignment="1">
      <alignment vertical="center" wrapText="1"/>
    </xf>
    <xf numFmtId="0" fontId="8" fillId="6" borderId="17" xfId="0" applyFont="1" applyFill="1" applyBorder="1" applyAlignment="1">
      <alignment wrapText="1"/>
    </xf>
    <xf numFmtId="0" fontId="17" fillId="6" borderId="17" xfId="0" applyFont="1" applyFill="1" applyBorder="1" applyAlignment="1"/>
    <xf numFmtId="0" fontId="8" fillId="6" borderId="17" xfId="0" applyFont="1" applyFill="1" applyBorder="1" applyAlignment="1"/>
    <xf numFmtId="0" fontId="8" fillId="6" borderId="6" xfId="0" applyFont="1" applyFill="1" applyBorder="1" applyAlignment="1">
      <alignment horizontal="center"/>
    </xf>
    <xf numFmtId="0" fontId="10" fillId="6" borderId="17" xfId="0" applyFont="1" applyFill="1" applyBorder="1" applyAlignment="1">
      <alignment wrapText="1"/>
    </xf>
    <xf numFmtId="0" fontId="10" fillId="6" borderId="12" xfId="0" applyFont="1" applyFill="1" applyBorder="1" applyAlignment="1">
      <alignment wrapText="1"/>
    </xf>
    <xf numFmtId="0" fontId="10" fillId="6" borderId="17" xfId="0" applyFont="1" applyFill="1" applyBorder="1" applyAlignment="1">
      <alignment horizontal="left" vertical="top" wrapText="1"/>
    </xf>
    <xf numFmtId="164" fontId="10" fillId="6" borderId="6" xfId="0" applyNumberFormat="1" applyFont="1" applyFill="1" applyBorder="1" applyAlignment="1">
      <alignment vertical="top" wrapText="1"/>
    </xf>
    <xf numFmtId="0" fontId="10" fillId="6" borderId="17" xfId="0" applyFont="1" applyFill="1" applyBorder="1" applyAlignment="1">
      <alignment horizontal="left" vertical="top" wrapText="1" readingOrder="1"/>
    </xf>
    <xf numFmtId="0" fontId="10" fillId="6" borderId="6" xfId="0" applyFont="1" applyFill="1" applyBorder="1" applyAlignment="1">
      <alignment horizontal="center" vertical="top" wrapText="1" readingOrder="1"/>
    </xf>
    <xf numFmtId="0" fontId="10" fillId="6" borderId="6" xfId="0" applyFont="1" applyFill="1" applyBorder="1" applyAlignment="1">
      <alignment horizontal="left" vertical="top" wrapText="1"/>
    </xf>
    <xf numFmtId="0" fontId="21" fillId="6" borderId="17" xfId="0" applyFont="1" applyFill="1" applyBorder="1" applyAlignment="1">
      <alignment vertical="top"/>
    </xf>
    <xf numFmtId="0" fontId="37" fillId="6" borderId="6" xfId="0" applyFont="1" applyFill="1" applyBorder="1" applyAlignment="1">
      <alignment horizontal="center" vertical="top"/>
    </xf>
    <xf numFmtId="0" fontId="17" fillId="6" borderId="17" xfId="0" applyFont="1" applyFill="1" applyBorder="1" applyAlignment="1">
      <alignment vertical="top"/>
    </xf>
    <xf numFmtId="0" fontId="17" fillId="6" borderId="17" xfId="0" applyFont="1" applyFill="1" applyBorder="1" applyAlignment="1">
      <alignment horizontal="left" vertical="top" wrapText="1" readingOrder="1"/>
    </xf>
    <xf numFmtId="164" fontId="8" fillId="0" borderId="0" xfId="0" applyNumberFormat="1" applyFont="1" applyAlignment="1"/>
    <xf numFmtId="0" fontId="39" fillId="16" borderId="6" xfId="0" applyFont="1" applyFill="1" applyBorder="1" applyAlignment="1">
      <alignment horizontal="center"/>
    </xf>
    <xf numFmtId="0" fontId="33" fillId="16" borderId="25" xfId="0" applyFont="1" applyFill="1" applyBorder="1" applyAlignment="1">
      <alignment vertical="center"/>
    </xf>
    <xf numFmtId="0" fontId="8" fillId="6" borderId="6" xfId="0" applyFont="1" applyFill="1" applyBorder="1" applyAlignment="1">
      <alignment horizontal="left"/>
    </xf>
    <xf numFmtId="0" fontId="8" fillId="6" borderId="6" xfId="0" applyFont="1" applyFill="1" applyBorder="1" applyAlignment="1"/>
    <xf numFmtId="0" fontId="8" fillId="6" borderId="6" xfId="0" applyFont="1" applyFill="1" applyBorder="1" applyAlignment="1">
      <alignment horizontal="left" wrapText="1"/>
    </xf>
    <xf numFmtId="0" fontId="8" fillId="6" borderId="6" xfId="0" applyFont="1" applyFill="1" applyBorder="1" applyAlignment="1">
      <alignment vertical="center"/>
    </xf>
    <xf numFmtId="0" fontId="8" fillId="6" borderId="6" xfId="0" applyFont="1" applyFill="1" applyBorder="1" applyAlignment="1">
      <alignment wrapText="1"/>
    </xf>
    <xf numFmtId="0" fontId="21" fillId="6" borderId="6" xfId="0" applyFont="1" applyFill="1" applyBorder="1" applyAlignment="1">
      <alignment horizontal="left"/>
    </xf>
    <xf numFmtId="0" fontId="21" fillId="6" borderId="18" xfId="0" applyFont="1" applyFill="1" applyBorder="1" applyAlignment="1">
      <alignment vertical="center"/>
    </xf>
    <xf numFmtId="0" fontId="10" fillId="6" borderId="6" xfId="0" applyFont="1" applyFill="1" applyBorder="1" applyAlignment="1">
      <alignment horizontal="left"/>
    </xf>
    <xf numFmtId="0" fontId="10" fillId="6" borderId="18" xfId="0" applyFont="1" applyFill="1" applyBorder="1" applyAlignment="1"/>
    <xf numFmtId="0" fontId="13" fillId="6" borderId="18" xfId="0" applyFont="1" applyFill="1" applyBorder="1" applyAlignment="1"/>
    <xf numFmtId="0" fontId="13" fillId="6" borderId="6" xfId="0" applyFont="1" applyFill="1" applyBorder="1" applyAlignment="1">
      <alignment horizontal="center" vertical="center" wrapText="1"/>
    </xf>
    <xf numFmtId="164" fontId="13" fillId="6" borderId="6" xfId="0" applyNumberFormat="1" applyFont="1" applyFill="1" applyBorder="1" applyAlignment="1">
      <alignment horizontal="right" vertical="center"/>
    </xf>
    <xf numFmtId="0" fontId="13" fillId="6" borderId="6" xfId="0" applyFont="1" applyFill="1" applyBorder="1" applyAlignment="1">
      <alignment horizontal="left" vertical="center" wrapText="1" readingOrder="1"/>
    </xf>
    <xf numFmtId="164" fontId="13" fillId="6" borderId="6" xfId="0" applyNumberFormat="1" applyFont="1" applyFill="1" applyBorder="1" applyAlignment="1">
      <alignment horizontal="left"/>
    </xf>
    <xf numFmtId="164" fontId="13" fillId="6" borderId="18" xfId="0" applyNumberFormat="1" applyFont="1" applyFill="1" applyBorder="1" applyAlignment="1">
      <alignment horizontal="right"/>
    </xf>
    <xf numFmtId="0" fontId="13" fillId="6" borderId="9" xfId="0" applyFont="1" applyFill="1" applyBorder="1" applyAlignment="1"/>
    <xf numFmtId="0" fontId="32" fillId="18" borderId="6" xfId="0" applyFont="1" applyFill="1" applyBorder="1" applyAlignment="1">
      <alignment horizontal="center" vertical="center" wrapText="1"/>
    </xf>
    <xf numFmtId="164" fontId="32" fillId="18" borderId="6" xfId="0" applyNumberFormat="1" applyFont="1" applyFill="1" applyBorder="1" applyAlignment="1">
      <alignment horizontal="center" vertical="center" wrapText="1"/>
    </xf>
    <xf numFmtId="0" fontId="10" fillId="0" borderId="10" xfId="0" applyFont="1" applyBorder="1" applyAlignment="1"/>
    <xf numFmtId="164" fontId="8" fillId="0" borderId="6" xfId="0" applyNumberFormat="1" applyFont="1" applyBorder="1" applyAlignment="1"/>
    <xf numFmtId="0" fontId="40" fillId="16" borderId="25" xfId="0" applyFont="1" applyFill="1" applyBorder="1" applyAlignment="1">
      <alignment horizontal="center" vertical="center"/>
    </xf>
    <xf numFmtId="0" fontId="40" fillId="16" borderId="25" xfId="0" applyFont="1" applyFill="1" applyBorder="1" applyAlignment="1">
      <alignment vertical="center"/>
    </xf>
    <xf numFmtId="0" fontId="40" fillId="16" borderId="25" xfId="0" applyFont="1" applyFill="1" applyBorder="1" applyAlignment="1">
      <alignment vertical="center" wrapText="1"/>
    </xf>
    <xf numFmtId="0" fontId="40" fillId="16" borderId="25" xfId="0" applyFont="1" applyFill="1" applyBorder="1" applyAlignment="1">
      <alignment horizontal="center" vertical="center" wrapText="1"/>
    </xf>
    <xf numFmtId="0" fontId="32" fillId="16" borderId="25" xfId="0" applyFont="1" applyFill="1" applyBorder="1" applyAlignment="1">
      <alignment vertical="center"/>
    </xf>
    <xf numFmtId="0" fontId="8" fillId="11" borderId="6" xfId="0" applyFont="1" applyFill="1" applyBorder="1" applyAlignment="1">
      <alignment horizontal="center" vertical="center" wrapText="1"/>
    </xf>
    <xf numFmtId="0" fontId="8" fillId="11" borderId="6" xfId="0" applyFont="1" applyFill="1" applyBorder="1" applyAlignment="1">
      <alignment horizontal="left" vertical="center" wrapText="1"/>
    </xf>
    <xf numFmtId="0" fontId="8" fillId="11" borderId="6" xfId="0" applyFont="1" applyFill="1" applyBorder="1" applyAlignment="1">
      <alignment vertical="center" wrapText="1"/>
    </xf>
    <xf numFmtId="0" fontId="8" fillId="11" borderId="6" xfId="0" applyFont="1" applyFill="1" applyBorder="1" applyAlignment="1">
      <alignment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left" vertical="center"/>
    </xf>
    <xf numFmtId="0" fontId="10" fillId="6" borderId="6" xfId="0" applyFont="1" applyFill="1" applyBorder="1" applyAlignment="1">
      <alignment vertical="center" wrapText="1"/>
    </xf>
    <xf numFmtId="0" fontId="10" fillId="11" borderId="25" xfId="0" applyFont="1" applyFill="1" applyBorder="1" applyAlignment="1">
      <alignment horizontal="center" vertical="center"/>
    </xf>
    <xf numFmtId="0" fontId="10" fillId="11" borderId="25" xfId="0" applyFont="1" applyFill="1" applyBorder="1" applyAlignment="1">
      <alignment horizontal="center" vertical="center" wrapText="1"/>
    </xf>
    <xf numFmtId="0" fontId="10" fillId="11" borderId="25" xfId="0" applyFont="1" applyFill="1" applyBorder="1" applyAlignment="1">
      <alignment horizontal="left" vertical="center"/>
    </xf>
    <xf numFmtId="0" fontId="10" fillId="11" borderId="6" xfId="0" applyFont="1" applyFill="1" applyBorder="1" applyAlignment="1">
      <alignment vertical="center" wrapText="1"/>
    </xf>
    <xf numFmtId="0" fontId="21" fillId="11" borderId="25" xfId="0" applyFont="1" applyFill="1" applyBorder="1" applyAlignment="1">
      <alignment horizontal="center" vertical="center"/>
    </xf>
    <xf numFmtId="0" fontId="10" fillId="11" borderId="28" xfId="0" applyFont="1" applyFill="1" applyBorder="1" applyAlignment="1">
      <alignment vertical="center"/>
    </xf>
    <xf numFmtId="0" fontId="10" fillId="11" borderId="18" xfId="0" applyFont="1" applyFill="1" applyBorder="1" applyAlignment="1">
      <alignment vertical="center"/>
    </xf>
    <xf numFmtId="0" fontId="10" fillId="11" borderId="6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 wrapText="1"/>
    </xf>
    <xf numFmtId="0" fontId="10" fillId="6" borderId="25" xfId="0" applyFont="1" applyFill="1" applyBorder="1" applyAlignment="1">
      <alignment horizontal="center" vertical="center"/>
    </xf>
    <xf numFmtId="0" fontId="10" fillId="6" borderId="25" xfId="0" applyFont="1" applyFill="1" applyBorder="1" applyAlignment="1">
      <alignment horizontal="center" vertical="center" wrapText="1"/>
    </xf>
    <xf numFmtId="3" fontId="10" fillId="6" borderId="6" xfId="0" applyNumberFormat="1" applyFont="1" applyFill="1" applyBorder="1" applyAlignment="1">
      <alignment vertical="center"/>
    </xf>
    <xf numFmtId="0" fontId="10" fillId="6" borderId="28" xfId="0" applyFont="1" applyFill="1" applyBorder="1" applyAlignment="1">
      <alignment vertical="center"/>
    </xf>
    <xf numFmtId="0" fontId="10" fillId="6" borderId="18" xfId="0" applyFont="1" applyFill="1" applyBorder="1" applyAlignment="1">
      <alignment vertical="center"/>
    </xf>
    <xf numFmtId="0" fontId="10" fillId="6" borderId="25" xfId="0" applyFont="1" applyFill="1" applyBorder="1" applyAlignment="1">
      <alignment horizontal="center" wrapText="1"/>
    </xf>
    <xf numFmtId="0" fontId="10" fillId="6" borderId="6" xfId="0" applyFont="1" applyFill="1" applyBorder="1" applyAlignment="1">
      <alignment horizontal="left" wrapText="1"/>
    </xf>
    <xf numFmtId="1" fontId="10" fillId="6" borderId="6" xfId="0" applyNumberFormat="1" applyFont="1" applyFill="1" applyBorder="1" applyAlignment="1">
      <alignment horizontal="center" vertical="center"/>
    </xf>
    <xf numFmtId="0" fontId="10" fillId="11" borderId="18" xfId="0" applyFont="1" applyFill="1" applyBorder="1" applyAlignment="1">
      <alignment horizontal="left" vertical="center"/>
    </xf>
    <xf numFmtId="0" fontId="10" fillId="6" borderId="18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 wrapText="1"/>
    </xf>
    <xf numFmtId="0" fontId="13" fillId="6" borderId="6" xfId="0" applyFont="1" applyFill="1" applyBorder="1" applyAlignment="1">
      <alignment vertical="center"/>
    </xf>
    <xf numFmtId="0" fontId="13" fillId="6" borderId="6" xfId="0" applyFont="1" applyFill="1" applyBorder="1" applyAlignment="1">
      <alignment horizontal="center" vertical="center"/>
    </xf>
    <xf numFmtId="0" fontId="13" fillId="6" borderId="25" xfId="0" applyFont="1" applyFill="1" applyBorder="1" applyAlignment="1">
      <alignment horizontal="center" vertical="center"/>
    </xf>
    <xf numFmtId="0" fontId="13" fillId="6" borderId="18" xfId="0" applyFont="1" applyFill="1" applyBorder="1" applyAlignment="1">
      <alignment horizontal="center" vertical="center"/>
    </xf>
    <xf numFmtId="0" fontId="13" fillId="6" borderId="6" xfId="0" applyFont="1" applyFill="1" applyBorder="1" applyAlignment="1">
      <alignment wrapText="1"/>
    </xf>
    <xf numFmtId="0" fontId="13" fillId="6" borderId="28" xfId="0" applyFont="1" applyFill="1" applyBorder="1" applyAlignment="1">
      <alignment vertical="center"/>
    </xf>
    <xf numFmtId="0" fontId="13" fillId="6" borderId="25" xfId="0" applyFont="1" applyFill="1" applyBorder="1" applyAlignment="1">
      <alignment vertical="center"/>
    </xf>
    <xf numFmtId="0" fontId="13" fillId="6" borderId="18" xfId="0" applyFont="1" applyFill="1" applyBorder="1" applyAlignment="1">
      <alignment vertical="center"/>
    </xf>
    <xf numFmtId="0" fontId="13" fillId="6" borderId="18" xfId="0" applyFont="1" applyFill="1" applyBorder="1" applyAlignment="1">
      <alignment horizontal="center" vertical="center" wrapText="1"/>
    </xf>
    <xf numFmtId="0" fontId="10" fillId="6" borderId="6" xfId="0" applyFont="1" applyFill="1" applyBorder="1" applyAlignment="1">
      <alignment wrapText="1"/>
    </xf>
    <xf numFmtId="0" fontId="10" fillId="6" borderId="6" xfId="0" applyFont="1" applyFill="1" applyBorder="1" applyAlignment="1">
      <alignment horizontal="left" vertical="center" wrapText="1"/>
    </xf>
    <xf numFmtId="0" fontId="41" fillId="6" borderId="6" xfId="0" applyFont="1" applyFill="1" applyBorder="1" applyAlignment="1">
      <alignment horizontal="left" vertical="center" wrapText="1"/>
    </xf>
    <xf numFmtId="0" fontId="10" fillId="6" borderId="25" xfId="0" applyFont="1" applyFill="1" applyBorder="1" applyAlignment="1">
      <alignment horizontal="left" vertical="center"/>
    </xf>
    <xf numFmtId="0" fontId="10" fillId="6" borderId="18" xfId="0" applyFont="1" applyFill="1" applyBorder="1" applyAlignment="1">
      <alignment horizontal="left" vertical="center"/>
    </xf>
    <xf numFmtId="0" fontId="10" fillId="12" borderId="6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 wrapText="1"/>
    </xf>
    <xf numFmtId="0" fontId="10" fillId="12" borderId="6" xfId="0" applyFont="1" applyFill="1" applyBorder="1" applyAlignment="1">
      <alignment horizontal="left" vertical="center"/>
    </xf>
    <xf numFmtId="0" fontId="10" fillId="12" borderId="6" xfId="0" applyFont="1" applyFill="1" applyBorder="1" applyAlignment="1">
      <alignment vertical="center" wrapText="1"/>
    </xf>
    <xf numFmtId="0" fontId="10" fillId="12" borderId="6" xfId="0" applyFont="1" applyFill="1" applyBorder="1" applyAlignment="1">
      <alignment vertical="center"/>
    </xf>
    <xf numFmtId="0" fontId="10" fillId="12" borderId="25" xfId="0" applyFont="1" applyFill="1" applyBorder="1" applyAlignment="1">
      <alignment horizontal="center" vertical="center"/>
    </xf>
    <xf numFmtId="0" fontId="10" fillId="12" borderId="25" xfId="0" applyFont="1" applyFill="1" applyBorder="1" applyAlignment="1">
      <alignment horizontal="center" vertical="center" wrapText="1"/>
    </xf>
    <xf numFmtId="0" fontId="10" fillId="12" borderId="25" xfId="0" applyFont="1" applyFill="1" applyBorder="1" applyAlignment="1">
      <alignment vertical="center"/>
    </xf>
    <xf numFmtId="0" fontId="10" fillId="12" borderId="28" xfId="0" applyFont="1" applyFill="1" applyBorder="1" applyAlignment="1">
      <alignment vertical="center"/>
    </xf>
    <xf numFmtId="0" fontId="10" fillId="12" borderId="18" xfId="0" applyFont="1" applyFill="1" applyBorder="1" applyAlignment="1">
      <alignment vertical="center"/>
    </xf>
    <xf numFmtId="0" fontId="10" fillId="12" borderId="25" xfId="0" applyFont="1" applyFill="1" applyBorder="1" applyAlignment="1"/>
    <xf numFmtId="0" fontId="10" fillId="12" borderId="6" xfId="0" applyFont="1" applyFill="1" applyBorder="1" applyAlignment="1">
      <alignment wrapText="1"/>
    </xf>
    <xf numFmtId="0" fontId="10" fillId="12" borderId="18" xfId="0" applyFont="1" applyFill="1" applyBorder="1" applyAlignment="1"/>
    <xf numFmtId="0" fontId="10" fillId="6" borderId="25" xfId="0" applyFont="1" applyFill="1" applyBorder="1" applyAlignment="1">
      <alignment wrapText="1"/>
    </xf>
    <xf numFmtId="0" fontId="10" fillId="6" borderId="28" xfId="0" applyFont="1" applyFill="1" applyBorder="1" applyAlignment="1">
      <alignment wrapText="1"/>
    </xf>
    <xf numFmtId="0" fontId="10" fillId="6" borderId="18" xfId="0" applyFont="1" applyFill="1" applyBorder="1" applyAlignment="1">
      <alignment wrapText="1"/>
    </xf>
    <xf numFmtId="0" fontId="10" fillId="9" borderId="6" xfId="0" applyFont="1" applyFill="1" applyBorder="1" applyAlignment="1">
      <alignment horizontal="center" vertical="center"/>
    </xf>
    <xf numFmtId="0" fontId="10" fillId="9" borderId="6" xfId="0" applyFont="1" applyFill="1" applyBorder="1" applyAlignment="1">
      <alignment vertical="center" wrapText="1"/>
    </xf>
    <xf numFmtId="0" fontId="8" fillId="9" borderId="6" xfId="0" applyFont="1" applyFill="1" applyBorder="1" applyAlignment="1">
      <alignment wrapText="1"/>
    </xf>
    <xf numFmtId="0" fontId="10" fillId="9" borderId="6" xfId="0" applyFont="1" applyFill="1" applyBorder="1" applyAlignment="1"/>
    <xf numFmtId="0" fontId="10" fillId="9" borderId="6" xfId="0" applyFont="1" applyFill="1" applyBorder="1" applyAlignment="1">
      <alignment vertical="center"/>
    </xf>
    <xf numFmtId="0" fontId="17" fillId="12" borderId="6" xfId="0" applyFont="1" applyFill="1" applyBorder="1" applyAlignment="1">
      <alignment horizontal="left" vertical="center" wrapText="1" readingOrder="1"/>
    </xf>
    <xf numFmtId="0" fontId="17" fillId="12" borderId="6" xfId="0" applyFont="1" applyFill="1" applyBorder="1" applyAlignment="1">
      <alignment horizontal="center" vertical="center" wrapText="1" readingOrder="1"/>
    </xf>
    <xf numFmtId="0" fontId="8" fillId="12" borderId="6" xfId="0" applyFont="1" applyFill="1" applyBorder="1" applyAlignment="1">
      <alignment wrapText="1"/>
    </xf>
    <xf numFmtId="0" fontId="10" fillId="12" borderId="9" xfId="0" applyFont="1" applyFill="1" applyBorder="1" applyAlignment="1">
      <alignment horizontal="center" vertical="center"/>
    </xf>
    <xf numFmtId="0" fontId="10" fillId="12" borderId="28" xfId="0" applyFont="1" applyFill="1" applyBorder="1" applyAlignment="1"/>
    <xf numFmtId="0" fontId="8" fillId="12" borderId="9" xfId="0" applyFont="1" applyFill="1" applyBorder="1" applyAlignment="1">
      <alignment wrapText="1"/>
    </xf>
    <xf numFmtId="167" fontId="8" fillId="0" borderId="0" xfId="0" applyNumberFormat="1" applyFont="1" applyAlignment="1">
      <alignment vertical="center"/>
    </xf>
    <xf numFmtId="0" fontId="42" fillId="17" borderId="6" xfId="0" applyFont="1" applyFill="1" applyBorder="1" applyAlignment="1">
      <alignment horizontal="center" vertical="center"/>
    </xf>
    <xf numFmtId="0" fontId="42" fillId="17" borderId="18" xfId="0" applyFont="1" applyFill="1" applyBorder="1" applyAlignment="1">
      <alignment horizontal="center" vertical="center"/>
    </xf>
    <xf numFmtId="0" fontId="17" fillId="0" borderId="6" xfId="0" applyFont="1" applyBorder="1" applyAlignment="1">
      <alignment horizontal="center" vertical="center"/>
    </xf>
    <xf numFmtId="167" fontId="10" fillId="0" borderId="6" xfId="0" applyNumberFormat="1" applyFont="1" applyBorder="1" applyAlignment="1">
      <alignment vertical="center"/>
    </xf>
    <xf numFmtId="0" fontId="10" fillId="0" borderId="6" xfId="0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vertical="center"/>
    </xf>
    <xf numFmtId="0" fontId="21" fillId="0" borderId="6" xfId="0" applyFont="1" applyBorder="1" applyAlignment="1">
      <alignment vertical="center"/>
    </xf>
    <xf numFmtId="0" fontId="10" fillId="0" borderId="3" xfId="0" applyFont="1" applyBorder="1" applyAlignment="1">
      <alignment horizontal="left" vertical="center"/>
    </xf>
    <xf numFmtId="0" fontId="13" fillId="0" borderId="6" xfId="0" applyFont="1" applyBorder="1" applyAlignment="1">
      <alignment horizontal="center" vertical="center"/>
    </xf>
    <xf numFmtId="167" fontId="13" fillId="0" borderId="6" xfId="0" applyNumberFormat="1" applyFont="1" applyBorder="1" applyAlignment="1">
      <alignment vertical="center"/>
    </xf>
    <xf numFmtId="0" fontId="13" fillId="0" borderId="6" xfId="0" applyFont="1" applyBorder="1" applyAlignment="1">
      <alignment vertical="center"/>
    </xf>
    <xf numFmtId="0" fontId="13" fillId="0" borderId="6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/>
    </xf>
    <xf numFmtId="164" fontId="44" fillId="0" borderId="6" xfId="0" applyNumberFormat="1" applyFont="1" applyBorder="1" applyAlignment="1">
      <alignment horizontal="center" vertical="center"/>
    </xf>
    <xf numFmtId="0" fontId="45" fillId="16" borderId="6" xfId="0" applyFont="1" applyFill="1" applyBorder="1" applyAlignment="1">
      <alignment horizontal="center" vertical="center"/>
    </xf>
    <xf numFmtId="0" fontId="45" fillId="16" borderId="6" xfId="0" applyFont="1" applyFill="1" applyBorder="1" applyAlignment="1">
      <alignment horizontal="center" vertical="center" wrapText="1"/>
    </xf>
    <xf numFmtId="164" fontId="45" fillId="16" borderId="8" xfId="0" applyNumberFormat="1" applyFont="1" applyFill="1" applyBorder="1" applyAlignment="1">
      <alignment horizontal="center" vertical="center"/>
    </xf>
    <xf numFmtId="164" fontId="45" fillId="16" borderId="6" xfId="0" applyNumberFormat="1" applyFont="1" applyFill="1" applyBorder="1" applyAlignment="1">
      <alignment horizontal="center" vertical="center"/>
    </xf>
    <xf numFmtId="0" fontId="46" fillId="16" borderId="6" xfId="0" applyFont="1" applyFill="1" applyBorder="1" applyAlignment="1">
      <alignment vertical="center"/>
    </xf>
    <xf numFmtId="0" fontId="6" fillId="0" borderId="0" xfId="0" applyFont="1" applyAlignment="1">
      <alignment vertical="center"/>
    </xf>
    <xf numFmtId="0" fontId="10" fillId="0" borderId="31" xfId="0" applyFont="1" applyBorder="1" applyAlignment="1"/>
    <xf numFmtId="164" fontId="10" fillId="0" borderId="1" xfId="0" applyNumberFormat="1" applyFont="1" applyBorder="1" applyAlignment="1"/>
    <xf numFmtId="177" fontId="10" fillId="0" borderId="6" xfId="0" applyNumberFormat="1" applyFont="1" applyBorder="1" applyAlignment="1"/>
    <xf numFmtId="0" fontId="7" fillId="0" borderId="6" xfId="0" applyFont="1" applyBorder="1" applyAlignment="1">
      <alignment vertical="center"/>
    </xf>
    <xf numFmtId="0" fontId="7" fillId="0" borderId="6" xfId="0" applyFont="1" applyBorder="1" applyAlignment="1">
      <alignment vertical="center"/>
    </xf>
    <xf numFmtId="164" fontId="8" fillId="0" borderId="1" xfId="0" applyNumberFormat="1" applyFont="1" applyBorder="1" applyAlignment="1"/>
    <xf numFmtId="164" fontId="8" fillId="0" borderId="6" xfId="0" applyNumberFormat="1" applyFont="1" applyBorder="1" applyAlignment="1"/>
    <xf numFmtId="164" fontId="10" fillId="0" borderId="1" xfId="0" applyNumberFormat="1" applyFont="1" applyBorder="1" applyAlignment="1">
      <alignment vertical="center"/>
    </xf>
    <xf numFmtId="0" fontId="30" fillId="8" borderId="6" xfId="0" applyFont="1" applyFill="1" applyBorder="1" applyAlignment="1"/>
    <xf numFmtId="0" fontId="13" fillId="0" borderId="6" xfId="0" applyFont="1" applyBorder="1" applyAlignment="1"/>
    <xf numFmtId="164" fontId="10" fillId="0" borderId="1" xfId="0" applyNumberFormat="1" applyFont="1" applyBorder="1" applyAlignment="1">
      <alignment vertical="center" wrapText="1"/>
    </xf>
    <xf numFmtId="0" fontId="17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167" fontId="17" fillId="0" borderId="1" xfId="0" applyNumberFormat="1" applyFont="1" applyBorder="1" applyAlignment="1">
      <alignment horizontal="left" vertical="center" wrapText="1"/>
    </xf>
    <xf numFmtId="167" fontId="17" fillId="0" borderId="6" xfId="0" applyNumberFormat="1" applyFont="1" applyBorder="1" applyAlignment="1">
      <alignment horizontal="left" vertical="center" wrapText="1"/>
    </xf>
    <xf numFmtId="0" fontId="10" fillId="0" borderId="6" xfId="0" applyFont="1" applyBorder="1" applyAlignment="1"/>
    <xf numFmtId="164" fontId="10" fillId="0" borderId="1" xfId="0" applyNumberFormat="1" applyFont="1" applyBorder="1" applyAlignment="1"/>
    <xf numFmtId="0" fontId="30" fillId="8" borderId="6" xfId="0" applyFont="1" applyFill="1" applyBorder="1" applyAlignment="1">
      <alignment horizontal="left" vertical="center" wrapText="1"/>
    </xf>
    <xf numFmtId="0" fontId="30" fillId="0" borderId="6" xfId="0" applyFont="1" applyBorder="1" applyAlignment="1">
      <alignment horizontal="center" vertical="center"/>
    </xf>
    <xf numFmtId="0" fontId="10" fillId="8" borderId="6" xfId="0" applyFont="1" applyFill="1" applyBorder="1" applyAlignment="1"/>
    <xf numFmtId="0" fontId="30" fillId="0" borderId="6" xfId="0" applyFont="1" applyBorder="1" applyAlignment="1">
      <alignment vertical="center"/>
    </xf>
    <xf numFmtId="0" fontId="30" fillId="8" borderId="6" xfId="0" applyFont="1" applyFill="1" applyBorder="1" applyAlignment="1">
      <alignment wrapText="1"/>
    </xf>
    <xf numFmtId="0" fontId="30" fillId="0" borderId="6" xfId="0" applyFont="1" applyBorder="1" applyAlignment="1"/>
    <xf numFmtId="0" fontId="30" fillId="0" borderId="6" xfId="0" applyFont="1" applyBorder="1" applyAlignment="1">
      <alignment horizontal="center"/>
    </xf>
    <xf numFmtId="164" fontId="13" fillId="0" borderId="1" xfId="0" applyNumberFormat="1" applyFont="1" applyBorder="1" applyAlignment="1"/>
    <xf numFmtId="164" fontId="13" fillId="0" borderId="6" xfId="0" applyNumberFormat="1" applyFont="1" applyBorder="1" applyAlignment="1"/>
    <xf numFmtId="0" fontId="30" fillId="8" borderId="6" xfId="0" applyFont="1" applyFill="1" applyBorder="1" applyAlignment="1">
      <alignment horizontal="left" wrapText="1"/>
    </xf>
    <xf numFmtId="164" fontId="10" fillId="0" borderId="8" xfId="0" applyNumberFormat="1" applyFont="1" applyBorder="1" applyAlignment="1"/>
    <xf numFmtId="0" fontId="30" fillId="0" borderId="6" xfId="0" applyFont="1" applyBorder="1" applyAlignment="1">
      <alignment wrapText="1"/>
    </xf>
    <xf numFmtId="164" fontId="10" fillId="8" borderId="1" xfId="0" applyNumberFormat="1" applyFont="1" applyFill="1" applyBorder="1" applyAlignment="1"/>
    <xf numFmtId="0" fontId="47" fillId="0" borderId="6" xfId="0" applyFont="1" applyBorder="1" applyAlignment="1">
      <alignment wrapText="1"/>
    </xf>
    <xf numFmtId="0" fontId="30" fillId="0" borderId="6" xfId="0" applyFont="1" applyBorder="1" applyAlignment="1">
      <alignment horizontal="left" vertical="center" wrapText="1"/>
    </xf>
    <xf numFmtId="0" fontId="30" fillId="8" borderId="6" xfId="0" applyFont="1" applyFill="1" applyBorder="1" applyAlignment="1">
      <alignment horizontal="left" vertical="top" wrapText="1"/>
    </xf>
    <xf numFmtId="167" fontId="30" fillId="0" borderId="1" xfId="0" applyNumberFormat="1" applyFont="1" applyBorder="1" applyAlignment="1"/>
    <xf numFmtId="0" fontId="30" fillId="8" borderId="25" xfId="0" applyFont="1" applyFill="1" applyBorder="1" applyAlignment="1">
      <alignment wrapText="1"/>
    </xf>
    <xf numFmtId="0" fontId="30" fillId="0" borderId="11" xfId="0" applyFont="1" applyBorder="1" applyAlignment="1">
      <alignment horizontal="center" vertical="top" wrapText="1"/>
    </xf>
    <xf numFmtId="0" fontId="30" fillId="0" borderId="6" xfId="0" applyFont="1" applyBorder="1" applyAlignment="1">
      <alignment horizontal="center" vertical="top" wrapText="1"/>
    </xf>
    <xf numFmtId="0" fontId="30" fillId="8" borderId="18" xfId="0" applyFont="1" applyFill="1" applyBorder="1" applyAlignment="1">
      <alignment wrapText="1"/>
    </xf>
    <xf numFmtId="0" fontId="30" fillId="8" borderId="28" xfId="0" applyFont="1" applyFill="1" applyBorder="1" applyAlignment="1">
      <alignment wrapText="1"/>
    </xf>
    <xf numFmtId="0" fontId="30" fillId="0" borderId="0" xfId="0" applyFont="1" applyAlignment="1">
      <alignment horizontal="center" vertical="center" wrapText="1"/>
    </xf>
    <xf numFmtId="0" fontId="27" fillId="0" borderId="6" xfId="0" applyFont="1" applyBorder="1" applyAlignment="1">
      <alignment vertical="center"/>
    </xf>
    <xf numFmtId="0" fontId="17" fillId="0" borderId="0" xfId="0" applyFont="1" applyAlignment="1">
      <alignment horizontal="left" vertical="center" wrapText="1"/>
    </xf>
    <xf numFmtId="0" fontId="10" fillId="0" borderId="25" xfId="0" applyFont="1" applyBorder="1" applyAlignment="1"/>
    <xf numFmtId="0" fontId="10" fillId="0" borderId="11" xfId="0" applyFont="1" applyBorder="1" applyAlignment="1"/>
    <xf numFmtId="167" fontId="13" fillId="0" borderId="6" xfId="0" applyNumberFormat="1" applyFont="1" applyBorder="1" applyAlignment="1"/>
    <xf numFmtId="0" fontId="8" fillId="0" borderId="0" xfId="0" applyFont="1" applyAlignment="1">
      <alignment horizontal="right"/>
    </xf>
    <xf numFmtId="0" fontId="29" fillId="16" borderId="25" xfId="0" applyFont="1" applyFill="1" applyBorder="1" applyAlignment="1">
      <alignment horizontal="center"/>
    </xf>
    <xf numFmtId="0" fontId="29" fillId="16" borderId="32" xfId="0" applyFont="1" applyFill="1" applyBorder="1" applyAlignment="1">
      <alignment horizontal="center"/>
    </xf>
    <xf numFmtId="0" fontId="29" fillId="16" borderId="9" xfId="0" applyFont="1" applyFill="1" applyBorder="1" applyAlignment="1">
      <alignment horizontal="center"/>
    </xf>
    <xf numFmtId="0" fontId="29" fillId="16" borderId="29" xfId="0" applyFont="1" applyFill="1" applyBorder="1" applyAlignment="1">
      <alignment horizontal="center"/>
    </xf>
    <xf numFmtId="0" fontId="21" fillId="0" borderId="1" xfId="0" applyFont="1" applyBorder="1" applyAlignment="1"/>
    <xf numFmtId="0" fontId="21" fillId="0" borderId="7" xfId="0" applyFont="1" applyBorder="1" applyAlignment="1"/>
    <xf numFmtId="0" fontId="21" fillId="8" borderId="8" xfId="0" applyFont="1" applyFill="1" applyBorder="1" applyAlignment="1"/>
    <xf numFmtId="0" fontId="21" fillId="8" borderId="6" xfId="0" applyFont="1" applyFill="1" applyBorder="1" applyAlignment="1">
      <alignment horizontal="center"/>
    </xf>
    <xf numFmtId="3" fontId="21" fillId="8" borderId="6" xfId="0" applyNumberFormat="1" applyFont="1" applyFill="1" applyBorder="1" applyAlignment="1">
      <alignment horizontal="center"/>
    </xf>
    <xf numFmtId="0" fontId="21" fillId="0" borderId="6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left" vertical="center"/>
    </xf>
    <xf numFmtId="164" fontId="21" fillId="0" borderId="6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vertical="center" wrapText="1"/>
    </xf>
    <xf numFmtId="0" fontId="21" fillId="0" borderId="6" xfId="0" applyFont="1" applyBorder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21" fillId="0" borderId="6" xfId="0" applyFont="1" applyBorder="1" applyAlignment="1">
      <alignment horizontal="center"/>
    </xf>
    <xf numFmtId="164" fontId="21" fillId="0" borderId="7" xfId="0" applyNumberFormat="1" applyFont="1" applyBorder="1" applyAlignment="1">
      <alignment wrapText="1"/>
    </xf>
    <xf numFmtId="0" fontId="21" fillId="8" borderId="6" xfId="0" applyFont="1" applyFill="1" applyBorder="1" applyAlignment="1">
      <alignment horizontal="center" vertical="center"/>
    </xf>
    <xf numFmtId="0" fontId="11" fillId="0" borderId="1" xfId="0" applyFont="1" applyBorder="1" applyAlignment="1"/>
    <xf numFmtId="0" fontId="21" fillId="0" borderId="1" xfId="0" applyFont="1" applyBorder="1" applyAlignment="1">
      <alignment vertical="center" wrapText="1"/>
    </xf>
    <xf numFmtId="0" fontId="21" fillId="0" borderId="7" xfId="0" applyFont="1" applyBorder="1" applyAlignment="1">
      <alignment vertical="center"/>
    </xf>
    <xf numFmtId="0" fontId="21" fillId="0" borderId="1" xfId="0" applyFont="1" applyBorder="1" applyAlignment="1">
      <alignment vertical="center"/>
    </xf>
    <xf numFmtId="1" fontId="21" fillId="0" borderId="6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/>
    </xf>
    <xf numFmtId="164" fontId="21" fillId="0" borderId="6" xfId="0" applyNumberFormat="1" applyFont="1" applyBorder="1" applyAlignment="1">
      <alignment horizontal="center"/>
    </xf>
    <xf numFmtId="0" fontId="21" fillId="0" borderId="7" xfId="0" applyFont="1" applyBorder="1" applyAlignment="1">
      <alignment wrapText="1"/>
    </xf>
    <xf numFmtId="0" fontId="21" fillId="0" borderId="1" xfId="0" applyFont="1" applyBorder="1" applyAlignment="1">
      <alignment wrapText="1"/>
    </xf>
    <xf numFmtId="0" fontId="21" fillId="0" borderId="3" xfId="0" applyFont="1" applyBorder="1" applyAlignment="1">
      <alignment vertical="center"/>
    </xf>
    <xf numFmtId="1" fontId="21" fillId="0" borderId="6" xfId="0" applyNumberFormat="1" applyFont="1" applyBorder="1" applyAlignment="1">
      <alignment horizontal="center" vertical="center"/>
    </xf>
    <xf numFmtId="0" fontId="21" fillId="0" borderId="2" xfId="0" applyFont="1" applyBorder="1" applyAlignment="1"/>
    <xf numFmtId="0" fontId="21" fillId="0" borderId="3" xfId="0" applyFont="1" applyBorder="1" applyAlignment="1"/>
    <xf numFmtId="0" fontId="11" fillId="0" borderId="7" xfId="0" applyFont="1" applyBorder="1" applyAlignment="1"/>
    <xf numFmtId="0" fontId="11" fillId="0" borderId="3" xfId="0" applyFont="1" applyBorder="1" applyAlignment="1">
      <alignment vertical="center"/>
    </xf>
    <xf numFmtId="0" fontId="21" fillId="0" borderId="14" xfId="0" applyFont="1" applyBorder="1" applyAlignment="1"/>
    <xf numFmtId="0" fontId="21" fillId="0" borderId="1" xfId="0" applyFont="1" applyBorder="1" applyAlignment="1">
      <alignment horizontal="left" vertical="center" wrapText="1" readingOrder="1"/>
    </xf>
    <xf numFmtId="0" fontId="21" fillId="8" borderId="8" xfId="0" applyFont="1" applyFill="1" applyBorder="1" applyAlignment="1">
      <alignment horizontal="left" vertical="center" wrapText="1" readingOrder="1"/>
    </xf>
    <xf numFmtId="0" fontId="21" fillId="0" borderId="1" xfId="0" applyFont="1" applyBorder="1" applyAlignment="1">
      <alignment horizontal="left" vertical="center" wrapText="1"/>
    </xf>
    <xf numFmtId="1" fontId="21" fillId="0" borderId="6" xfId="0" applyNumberFormat="1" applyFont="1" applyBorder="1" applyAlignment="1">
      <alignment horizontal="center"/>
    </xf>
    <xf numFmtId="0" fontId="11" fillId="0" borderId="6" xfId="0" applyFont="1" applyBorder="1" applyAlignment="1">
      <alignment horizontal="left"/>
    </xf>
    <xf numFmtId="0" fontId="11" fillId="0" borderId="6" xfId="0" applyFont="1" applyBorder="1" applyAlignment="1"/>
    <xf numFmtId="0" fontId="10" fillId="0" borderId="6" xfId="0" applyFont="1" applyBorder="1" applyAlignment="1">
      <alignment horizontal="left"/>
    </xf>
    <xf numFmtId="0" fontId="10" fillId="0" borderId="6" xfId="0" applyFont="1" applyBorder="1" applyAlignment="1">
      <alignment horizontal="left" vertical="center"/>
    </xf>
    <xf numFmtId="0" fontId="10" fillId="0" borderId="6" xfId="0" applyFont="1" applyBorder="1" applyAlignment="1"/>
    <xf numFmtId="0" fontId="10" fillId="0" borderId="0" xfId="0" applyFont="1" applyAlignment="1">
      <alignment wrapText="1"/>
    </xf>
    <xf numFmtId="0" fontId="17" fillId="0" borderId="0" xfId="0" applyFont="1" applyAlignment="1"/>
    <xf numFmtId="164" fontId="17" fillId="0" borderId="0" xfId="0" applyNumberFormat="1" applyFont="1" applyAlignment="1"/>
    <xf numFmtId="0" fontId="33" fillId="9" borderId="36" xfId="0" applyFont="1" applyFill="1" applyBorder="1" applyAlignment="1">
      <alignment horizontal="center" vertical="center" wrapText="1"/>
    </xf>
    <xf numFmtId="164" fontId="33" fillId="9" borderId="37" xfId="0" applyNumberFormat="1" applyFont="1" applyFill="1" applyBorder="1" applyAlignment="1">
      <alignment horizontal="center" vertical="center" wrapText="1"/>
    </xf>
    <xf numFmtId="0" fontId="30" fillId="0" borderId="6" xfId="0" applyFont="1" applyBorder="1" applyAlignment="1">
      <alignment horizontal="left"/>
    </xf>
    <xf numFmtId="164" fontId="30" fillId="0" borderId="6" xfId="0" applyNumberFormat="1" applyFont="1" applyBorder="1" applyAlignment="1">
      <alignment horizontal="center"/>
    </xf>
    <xf numFmtId="164" fontId="30" fillId="0" borderId="6" xfId="0" applyNumberFormat="1" applyFont="1" applyBorder="1" applyAlignment="1">
      <alignment horizontal="center" vertical="center"/>
    </xf>
    <xf numFmtId="0" fontId="30" fillId="8" borderId="6" xfId="0" applyFont="1" applyFill="1" applyBorder="1" applyAlignment="1">
      <alignment horizontal="center"/>
    </xf>
    <xf numFmtId="0" fontId="30" fillId="0" borderId="6" xfId="0" applyFont="1" applyBorder="1" applyAlignment="1">
      <alignment horizontal="left" vertical="center"/>
    </xf>
    <xf numFmtId="0" fontId="12" fillId="0" borderId="6" xfId="0" applyFont="1" applyBorder="1" applyAlignment="1">
      <alignment horizontal="center"/>
    </xf>
    <xf numFmtId="164" fontId="30" fillId="19" borderId="6" xfId="0" applyNumberFormat="1" applyFont="1" applyFill="1" applyBorder="1" applyAlignment="1">
      <alignment horizontal="center" vertical="center"/>
    </xf>
    <xf numFmtId="164" fontId="30" fillId="0" borderId="6" xfId="0" applyNumberFormat="1" applyFont="1" applyBorder="1" applyAlignment="1"/>
    <xf numFmtId="164" fontId="30" fillId="19" borderId="6" xfId="0" applyNumberFormat="1" applyFont="1" applyFill="1" applyBorder="1" applyAlignment="1"/>
    <xf numFmtId="0" fontId="49" fillId="0" borderId="6" xfId="0" applyFont="1" applyBorder="1" applyAlignment="1">
      <alignment horizontal="center"/>
    </xf>
    <xf numFmtId="164" fontId="49" fillId="10" borderId="6" xfId="0" applyNumberFormat="1" applyFont="1" applyFill="1" applyBorder="1" applyAlignment="1"/>
    <xf numFmtId="0" fontId="50" fillId="0" borderId="0" xfId="0" applyFont="1" applyAlignment="1">
      <alignment vertical="center"/>
    </xf>
    <xf numFmtId="0" fontId="50" fillId="0" borderId="0" xfId="0" applyFont="1" applyAlignment="1">
      <alignment horizontal="left" vertical="center"/>
    </xf>
    <xf numFmtId="0" fontId="29" fillId="16" borderId="25" xfId="0" applyFont="1" applyFill="1" applyBorder="1" applyAlignment="1">
      <alignment horizontal="left" vertical="center"/>
    </xf>
    <xf numFmtId="0" fontId="29" fillId="16" borderId="8" xfId="0" applyFont="1" applyFill="1" applyBorder="1" applyAlignment="1">
      <alignment vertical="center"/>
    </xf>
    <xf numFmtId="0" fontId="29" fillId="16" borderId="26" xfId="0" applyFont="1" applyFill="1" applyBorder="1" applyAlignment="1">
      <alignment vertical="center"/>
    </xf>
    <xf numFmtId="0" fontId="21" fillId="0" borderId="6" xfId="0" applyFont="1" applyBorder="1" applyAlignment="1">
      <alignment horizontal="left"/>
    </xf>
    <xf numFmtId="0" fontId="21" fillId="0" borderId="6" xfId="0" applyFont="1" applyBorder="1" applyAlignment="1">
      <alignment horizontal="left" wrapText="1"/>
    </xf>
    <xf numFmtId="0" fontId="10" fillId="0" borderId="7" xfId="0" applyFont="1" applyBorder="1" applyAlignment="1">
      <alignment vertical="top"/>
    </xf>
    <xf numFmtId="0" fontId="10" fillId="0" borderId="6" xfId="0" applyFont="1" applyBorder="1" applyAlignment="1">
      <alignment horizontal="center" vertical="top"/>
    </xf>
    <xf numFmtId="0" fontId="10" fillId="0" borderId="6" xfId="0" applyFont="1" applyBorder="1" applyAlignment="1">
      <alignment vertical="top"/>
    </xf>
    <xf numFmtId="0" fontId="10" fillId="8" borderId="17" xfId="0" applyFont="1" applyFill="1" applyBorder="1" applyAlignment="1">
      <alignment vertical="top"/>
    </xf>
    <xf numFmtId="0" fontId="10" fillId="8" borderId="6" xfId="0" applyFont="1" applyFill="1" applyBorder="1" applyAlignment="1">
      <alignment horizontal="center" vertical="top"/>
    </xf>
    <xf numFmtId="164" fontId="10" fillId="8" borderId="6" xfId="0" applyNumberFormat="1" applyFont="1" applyFill="1" applyBorder="1" applyAlignment="1">
      <alignment vertical="top"/>
    </xf>
    <xf numFmtId="0" fontId="10" fillId="8" borderId="6" xfId="0" applyFont="1" applyFill="1" applyBorder="1" applyAlignment="1">
      <alignment vertical="top" wrapText="1"/>
    </xf>
    <xf numFmtId="0" fontId="10" fillId="8" borderId="6" xfId="0" applyFont="1" applyFill="1" applyBorder="1" applyAlignment="1">
      <alignment vertical="top"/>
    </xf>
    <xf numFmtId="0" fontId="11" fillId="0" borderId="6" xfId="0" applyFont="1" applyBorder="1" applyAlignment="1">
      <alignment wrapText="1"/>
    </xf>
    <xf numFmtId="0" fontId="21" fillId="0" borderId="6" xfId="0" applyFont="1" applyBorder="1" applyAlignment="1">
      <alignment wrapText="1"/>
    </xf>
    <xf numFmtId="0" fontId="21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left" vertical="center"/>
    </xf>
    <xf numFmtId="0" fontId="13" fillId="0" borderId="11" xfId="0" applyFont="1" applyBorder="1" applyAlignment="1">
      <alignment horizontal="center" vertical="center"/>
    </xf>
    <xf numFmtId="0" fontId="13" fillId="0" borderId="7" xfId="0" applyFont="1" applyBorder="1" applyAlignment="1">
      <alignment vertical="top"/>
    </xf>
    <xf numFmtId="0" fontId="13" fillId="0" borderId="6" xfId="0" applyFont="1" applyBorder="1" applyAlignment="1">
      <alignment horizontal="center" vertical="top" wrapText="1"/>
    </xf>
    <xf numFmtId="0" fontId="13" fillId="0" borderId="6" xfId="0" applyFont="1" applyBorder="1" applyAlignment="1">
      <alignment vertical="top"/>
    </xf>
    <xf numFmtId="0" fontId="10" fillId="0" borderId="11" xfId="0" applyFont="1" applyBorder="1" applyAlignment="1">
      <alignment vertical="top" wrapText="1"/>
    </xf>
    <xf numFmtId="0" fontId="21" fillId="0" borderId="6" xfId="0" applyFont="1" applyBorder="1" applyAlignment="1">
      <alignment horizontal="center" vertical="top"/>
    </xf>
    <xf numFmtId="0" fontId="13" fillId="0" borderId="7" xfId="0" applyFont="1" applyBorder="1" applyAlignment="1">
      <alignment vertical="top"/>
    </xf>
    <xf numFmtId="0" fontId="13" fillId="8" borderId="6" xfId="0" applyFont="1" applyFill="1" applyBorder="1" applyAlignment="1">
      <alignment vertical="top"/>
    </xf>
    <xf numFmtId="0" fontId="13" fillId="8" borderId="6" xfId="0" applyFont="1" applyFill="1" applyBorder="1" applyAlignment="1">
      <alignment horizontal="center" vertical="top"/>
    </xf>
    <xf numFmtId="0" fontId="13" fillId="8" borderId="6" xfId="0" applyFont="1" applyFill="1" applyBorder="1" applyAlignment="1">
      <alignment vertical="top" wrapText="1"/>
    </xf>
    <xf numFmtId="0" fontId="10" fillId="0" borderId="7" xfId="0" applyFont="1" applyBorder="1" applyAlignment="1"/>
    <xf numFmtId="0" fontId="21" fillId="0" borderId="0" xfId="0" applyFont="1" applyAlignment="1">
      <alignment horizontal="center" vertical="top"/>
    </xf>
    <xf numFmtId="0" fontId="21" fillId="0" borderId="6" xfId="0" applyFont="1" applyBorder="1" applyAlignment="1">
      <alignment vertical="top" wrapText="1"/>
    </xf>
    <xf numFmtId="0" fontId="21" fillId="0" borderId="6" xfId="0" applyFont="1" applyBorder="1" applyAlignment="1">
      <alignment horizontal="left" vertical="top"/>
    </xf>
    <xf numFmtId="0" fontId="17" fillId="0" borderId="6" xfId="0" applyFont="1" applyBorder="1" applyAlignment="1">
      <alignment horizontal="center"/>
    </xf>
    <xf numFmtId="0" fontId="17" fillId="0" borderId="6" xfId="0" applyFont="1" applyBorder="1" applyAlignment="1">
      <alignment wrapText="1"/>
    </xf>
    <xf numFmtId="0" fontId="13" fillId="0" borderId="6" xfId="0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0" fontId="51" fillId="0" borderId="0" xfId="0" applyFont="1" applyAlignment="1">
      <alignment horizontal="left" vertical="center"/>
    </xf>
    <xf numFmtId="0" fontId="51" fillId="0" borderId="5" xfId="0" applyFont="1" applyBorder="1" applyAlignment="1">
      <alignment vertical="center"/>
    </xf>
    <xf numFmtId="0" fontId="51" fillId="0" borderId="5" xfId="0" applyFont="1" applyBorder="1" applyAlignment="1">
      <alignment horizontal="left" vertical="center"/>
    </xf>
    <xf numFmtId="0" fontId="51" fillId="0" borderId="0" xfId="0" applyFont="1" applyAlignment="1">
      <alignment vertical="center"/>
    </xf>
    <xf numFmtId="0" fontId="21" fillId="0" borderId="0" xfId="0" applyFont="1" applyAlignment="1">
      <alignment horizontal="left" vertical="center"/>
    </xf>
    <xf numFmtId="0" fontId="29" fillId="16" borderId="18" xfId="0" applyFont="1" applyFill="1" applyBorder="1" applyAlignment="1">
      <alignment vertical="center"/>
    </xf>
    <xf numFmtId="0" fontId="29" fillId="16" borderId="18" xfId="0" applyFont="1" applyFill="1" applyBorder="1" applyAlignment="1">
      <alignment horizontal="left" vertical="center"/>
    </xf>
    <xf numFmtId="0" fontId="21" fillId="8" borderId="6" xfId="0" applyFont="1" applyFill="1" applyBorder="1" applyAlignment="1">
      <alignment horizontal="left" wrapText="1"/>
    </xf>
    <xf numFmtId="0" fontId="21" fillId="8" borderId="6" xfId="0" applyFont="1" applyFill="1" applyBorder="1" applyAlignment="1">
      <alignment horizontal="left"/>
    </xf>
    <xf numFmtId="164" fontId="10" fillId="0" borderId="0" xfId="0" applyNumberFormat="1" applyFont="1" applyAlignment="1">
      <alignment horizontal="center" vertical="center"/>
    </xf>
    <xf numFmtId="0" fontId="33" fillId="17" borderId="25" xfId="0" applyFont="1" applyFill="1" applyBorder="1" applyAlignment="1">
      <alignment horizontal="center" vertical="center"/>
    </xf>
    <xf numFmtId="0" fontId="14" fillId="0" borderId="0" xfId="0" applyFont="1" applyAlignment="1">
      <alignment wrapText="1"/>
    </xf>
    <xf numFmtId="178" fontId="14" fillId="0" borderId="0" xfId="0" applyNumberFormat="1" applyFont="1" applyAlignment="1">
      <alignment wrapText="1"/>
    </xf>
    <xf numFmtId="2" fontId="14" fillId="0" borderId="0" xfId="0" applyNumberFormat="1" applyFont="1" applyAlignment="1">
      <alignment wrapText="1"/>
    </xf>
    <xf numFmtId="181" fontId="14" fillId="0" borderId="0" xfId="0" applyNumberFormat="1" applyFont="1" applyAlignment="1">
      <alignment wrapText="1"/>
    </xf>
    <xf numFmtId="0" fontId="14" fillId="0" borderId="6" xfId="0" applyFont="1" applyBorder="1" applyAlignment="1">
      <alignment horizontal="center" wrapText="1"/>
    </xf>
    <xf numFmtId="178" fontId="14" fillId="0" borderId="6" xfId="0" applyNumberFormat="1" applyFont="1" applyBorder="1" applyAlignment="1">
      <alignment horizontal="center" wrapText="1"/>
    </xf>
    <xf numFmtId="181" fontId="14" fillId="0" borderId="6" xfId="0" applyNumberFormat="1" applyFont="1" applyBorder="1" applyAlignment="1">
      <alignment horizontal="center" wrapText="1"/>
    </xf>
    <xf numFmtId="2" fontId="14" fillId="0" borderId="6" xfId="0" applyNumberFormat="1" applyFont="1" applyBorder="1" applyAlignment="1">
      <alignment horizontal="center" wrapText="1"/>
    </xf>
    <xf numFmtId="0" fontId="14" fillId="0" borderId="6" xfId="0" applyFont="1" applyBorder="1" applyAlignment="1">
      <alignment wrapText="1"/>
    </xf>
    <xf numFmtId="2" fontId="14" fillId="0" borderId="6" xfId="0" applyNumberFormat="1" applyFont="1" applyBorder="1" applyAlignment="1">
      <alignment wrapText="1"/>
    </xf>
    <xf numFmtId="0" fontId="52" fillId="0" borderId="6" xfId="0" applyFont="1" applyBorder="1" applyAlignment="1">
      <alignment horizontal="left" vertical="center"/>
    </xf>
    <xf numFmtId="0" fontId="52" fillId="0" borderId="6" xfId="0" applyFont="1" applyBorder="1" applyAlignment="1">
      <alignment vertical="center" wrapText="1"/>
    </xf>
    <xf numFmtId="0" fontId="14" fillId="0" borderId="6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right" vertical="center" wrapText="1"/>
    </xf>
    <xf numFmtId="0" fontId="15" fillId="0" borderId="6" xfId="0" applyFont="1" applyBorder="1" applyAlignment="1">
      <alignment vertical="center" wrapText="1"/>
    </xf>
    <xf numFmtId="0" fontId="14" fillId="0" borderId="6" xfId="0" applyFont="1" applyBorder="1" applyAlignment="1"/>
    <xf numFmtId="0" fontId="53" fillId="0" borderId="6" xfId="0" applyFont="1" applyBorder="1" applyAlignment="1">
      <alignment horizontal="center" wrapText="1"/>
    </xf>
    <xf numFmtId="178" fontId="14" fillId="0" borderId="6" xfId="0" applyNumberFormat="1" applyFont="1" applyBorder="1" applyAlignment="1"/>
    <xf numFmtId="2" fontId="14" fillId="0" borderId="6" xfId="0" applyNumberFormat="1" applyFont="1" applyBorder="1" applyAlignment="1"/>
    <xf numFmtId="181" fontId="14" fillId="0" borderId="6" xfId="0" applyNumberFormat="1" applyFont="1" applyBorder="1" applyAlignment="1"/>
    <xf numFmtId="0" fontId="53" fillId="0" borderId="6" xfId="0" applyFont="1" applyBorder="1" applyAlignment="1">
      <alignment horizontal="center" vertical="center" wrapText="1"/>
    </xf>
    <xf numFmtId="0" fontId="54" fillId="0" borderId="6" xfId="0" applyFont="1" applyBorder="1" applyAlignment="1">
      <alignment horizontal="right" vertical="center" wrapText="1"/>
    </xf>
    <xf numFmtId="0" fontId="54" fillId="0" borderId="6" xfId="0" applyFont="1" applyBorder="1" applyAlignment="1">
      <alignment vertical="center" wrapText="1"/>
    </xf>
    <xf numFmtId="0" fontId="52" fillId="0" borderId="6" xfId="0" applyFont="1" applyBorder="1" applyAlignment="1"/>
    <xf numFmtId="0" fontId="55" fillId="0" borderId="6" xfId="0" applyFont="1" applyBorder="1" applyAlignment="1">
      <alignment horizontal="center" vertical="center" wrapText="1"/>
    </xf>
    <xf numFmtId="178" fontId="52" fillId="0" borderId="6" xfId="0" applyNumberFormat="1" applyFont="1" applyBorder="1" applyAlignment="1"/>
    <xf numFmtId="2" fontId="52" fillId="0" borderId="6" xfId="0" applyNumberFormat="1" applyFont="1" applyBorder="1" applyAlignment="1"/>
    <xf numFmtId="181" fontId="52" fillId="0" borderId="6" xfId="0" applyNumberFormat="1" applyFont="1" applyBorder="1" applyAlignment="1"/>
    <xf numFmtId="0" fontId="52" fillId="0" borderId="0" xfId="0" applyFont="1" applyAlignment="1"/>
    <xf numFmtId="0" fontId="56" fillId="0" borderId="6" xfId="0" applyFont="1" applyBorder="1" applyAlignment="1">
      <alignment vertical="center"/>
    </xf>
    <xf numFmtId="0" fontId="14" fillId="0" borderId="6" xfId="0" applyFont="1" applyBorder="1" applyAlignment="1">
      <alignment vertical="center" wrapText="1"/>
    </xf>
    <xf numFmtId="0" fontId="57" fillId="0" borderId="6" xfId="0" applyFont="1" applyBorder="1" applyAlignment="1">
      <alignment vertical="center" wrapText="1"/>
    </xf>
    <xf numFmtId="0" fontId="57" fillId="0" borderId="6" xfId="0" applyFont="1" applyBorder="1" applyAlignment="1">
      <alignment wrapText="1"/>
    </xf>
    <xf numFmtId="0" fontId="15" fillId="0" borderId="6" xfId="0" applyFont="1" applyBorder="1" applyAlignment="1">
      <alignment horizontal="right" wrapText="1"/>
    </xf>
    <xf numFmtId="0" fontId="15" fillId="0" borderId="6" xfId="0" applyFont="1" applyBorder="1" applyAlignment="1">
      <alignment wrapText="1"/>
    </xf>
    <xf numFmtId="0" fontId="54" fillId="0" borderId="6" xfId="0" applyFont="1" applyBorder="1" applyAlignment="1">
      <alignment horizontal="right" wrapText="1"/>
    </xf>
    <xf numFmtId="0" fontId="54" fillId="0" borderId="6" xfId="0" applyFont="1" applyBorder="1" applyAlignment="1">
      <alignment wrapText="1"/>
    </xf>
    <xf numFmtId="0" fontId="52" fillId="0" borderId="6" xfId="0" applyFont="1" applyBorder="1" applyAlignment="1">
      <alignment wrapText="1"/>
    </xf>
    <xf numFmtId="0" fontId="58" fillId="0" borderId="6" xfId="0" applyFont="1" applyBorder="1" applyAlignment="1">
      <alignment horizontal="center"/>
    </xf>
    <xf numFmtId="0" fontId="53" fillId="0" borderId="6" xfId="0" applyFont="1" applyBorder="1" applyAlignment="1">
      <alignment horizontal="center"/>
    </xf>
    <xf numFmtId="0" fontId="59" fillId="0" borderId="6" xfId="0" applyFont="1" applyBorder="1" applyAlignment="1">
      <alignment horizontal="center"/>
    </xf>
    <xf numFmtId="0" fontId="15" fillId="0" borderId="6" xfId="0" applyFont="1" applyBorder="1" applyAlignment="1"/>
    <xf numFmtId="0" fontId="14" fillId="0" borderId="6" xfId="0" applyFont="1" applyBorder="1" applyAlignment="1">
      <alignment vertical="center"/>
    </xf>
    <xf numFmtId="0" fontId="14" fillId="0" borderId="6" xfId="0" applyFont="1" applyBorder="1" applyAlignment="1">
      <alignment horizontal="center"/>
    </xf>
    <xf numFmtId="178" fontId="14" fillId="0" borderId="0" xfId="0" applyNumberFormat="1" applyFont="1" applyAlignment="1"/>
    <xf numFmtId="2" fontId="14" fillId="0" borderId="0" xfId="0" applyNumberFormat="1" applyFont="1" applyAlignment="1"/>
    <xf numFmtId="181" fontId="14" fillId="0" borderId="0" xfId="0" applyNumberFormat="1" applyFont="1" applyAlignment="1"/>
    <xf numFmtId="0" fontId="60" fillId="0" borderId="0" xfId="0" applyFont="1" applyAlignment="1">
      <alignment horizontal="center"/>
    </xf>
    <xf numFmtId="0" fontId="61" fillId="17" borderId="25" xfId="0" applyFont="1" applyFill="1" applyBorder="1" applyAlignment="1">
      <alignment horizontal="center"/>
    </xf>
    <xf numFmtId="0" fontId="61" fillId="17" borderId="25" xfId="0" applyFont="1" applyFill="1" applyBorder="1" applyAlignment="1">
      <alignment horizontal="center" vertical="center"/>
    </xf>
    <xf numFmtId="0" fontId="61" fillId="17" borderId="25" xfId="0" applyFont="1" applyFill="1" applyBorder="1" applyAlignment="1">
      <alignment horizontal="center" wrapText="1"/>
    </xf>
    <xf numFmtId="164" fontId="61" fillId="17" borderId="25" xfId="0" applyNumberFormat="1" applyFont="1" applyFill="1" applyBorder="1" applyAlignment="1">
      <alignment horizontal="center" vertical="center" wrapText="1"/>
    </xf>
    <xf numFmtId="0" fontId="61" fillId="17" borderId="25" xfId="0" applyFont="1" applyFill="1" applyBorder="1" applyAlignment="1">
      <alignment vertical="center"/>
    </xf>
    <xf numFmtId="164" fontId="61" fillId="17" borderId="25" xfId="0" applyNumberFormat="1" applyFont="1" applyFill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164" fontId="15" fillId="0" borderId="6" xfId="0" applyNumberFormat="1" applyFont="1" applyBorder="1" applyAlignment="1"/>
    <xf numFmtId="0" fontId="15" fillId="0" borderId="6" xfId="0" applyFont="1" applyBorder="1" applyAlignment="1">
      <alignment vertical="center"/>
    </xf>
    <xf numFmtId="171" fontId="15" fillId="0" borderId="6" xfId="0" applyNumberFormat="1" applyFont="1" applyBorder="1" applyAlignment="1"/>
    <xf numFmtId="181" fontId="15" fillId="0" borderId="6" xfId="0" applyNumberFormat="1" applyFont="1" applyBorder="1" applyAlignment="1"/>
    <xf numFmtId="0" fontId="15" fillId="3" borderId="6" xfId="0" applyFont="1" applyFill="1" applyBorder="1" applyAlignment="1">
      <alignment wrapText="1"/>
    </xf>
    <xf numFmtId="164" fontId="51" fillId="0" borderId="6" xfId="0" applyNumberFormat="1" applyFont="1" applyBorder="1" applyAlignment="1"/>
    <xf numFmtId="0" fontId="62" fillId="20" borderId="6" xfId="0" applyFont="1" applyFill="1" applyBorder="1" applyAlignment="1">
      <alignment horizontal="center" vertical="center" wrapText="1"/>
    </xf>
    <xf numFmtId="169" fontId="62" fillId="20" borderId="6" xfId="0" applyNumberFormat="1" applyFont="1" applyFill="1" applyBorder="1" applyAlignment="1">
      <alignment horizontal="center" vertical="center" wrapText="1"/>
    </xf>
    <xf numFmtId="0" fontId="63" fillId="3" borderId="6" xfId="0" applyFont="1" applyFill="1" applyBorder="1" applyAlignment="1">
      <alignment horizontal="center" vertical="center" wrapText="1"/>
    </xf>
    <xf numFmtId="0" fontId="63" fillId="3" borderId="6" xfId="0" applyFont="1" applyFill="1" applyBorder="1" applyAlignment="1">
      <alignment horizontal="left" vertical="center" wrapText="1"/>
    </xf>
    <xf numFmtId="177" fontId="63" fillId="3" borderId="6" xfId="0" applyNumberFormat="1" applyFont="1" applyFill="1" applyBorder="1" applyAlignment="1">
      <alignment horizontal="center" vertical="center" wrapText="1"/>
    </xf>
    <xf numFmtId="169" fontId="64" fillId="0" borderId="6" xfId="0" applyNumberFormat="1" applyFont="1" applyBorder="1" applyAlignment="1">
      <alignment vertical="center"/>
    </xf>
    <xf numFmtId="169" fontId="64" fillId="0" borderId="6" xfId="0" applyNumberFormat="1" applyFont="1" applyBorder="1" applyAlignment="1"/>
    <xf numFmtId="169" fontId="49" fillId="4" borderId="6" xfId="0" applyNumberFormat="1" applyFont="1" applyFill="1" applyBorder="1" applyAlignment="1">
      <alignment vertical="center"/>
    </xf>
    <xf numFmtId="169" fontId="64" fillId="0" borderId="0" xfId="0" applyNumberFormat="1" applyFont="1" applyAlignment="1"/>
    <xf numFmtId="0" fontId="65" fillId="0" borderId="0" xfId="0" applyFont="1" applyAlignment="1"/>
    <xf numFmtId="177" fontId="64" fillId="0" borderId="0" xfId="0" applyNumberFormat="1" applyFont="1" applyAlignment="1"/>
    <xf numFmtId="182" fontId="62" fillId="20" borderId="6" xfId="0" applyNumberFormat="1" applyFont="1" applyFill="1" applyBorder="1" applyAlignment="1">
      <alignment horizontal="center" vertical="center" wrapText="1"/>
    </xf>
    <xf numFmtId="177" fontId="63" fillId="3" borderId="6" xfId="0" applyNumberFormat="1" applyFont="1" applyFill="1" applyBorder="1" applyAlignment="1">
      <alignment horizontal="right" vertical="center" wrapText="1"/>
    </xf>
    <xf numFmtId="177" fontId="64" fillId="0" borderId="6" xfId="0" applyNumberFormat="1" applyFont="1" applyBorder="1" applyAlignment="1"/>
    <xf numFmtId="177" fontId="49" fillId="4" borderId="6" xfId="0" applyNumberFormat="1" applyFont="1" applyFill="1" applyBorder="1" applyAlignment="1">
      <alignment vertical="center"/>
    </xf>
    <xf numFmtId="0" fontId="64" fillId="0" borderId="0" xfId="0" applyFont="1" applyAlignment="1"/>
    <xf numFmtId="0" fontId="16" fillId="0" borderId="0" xfId="0" applyFont="1" applyAlignment="1"/>
    <xf numFmtId="1" fontId="64" fillId="21" borderId="6" xfId="0" applyNumberFormat="1" applyFont="1" applyFill="1" applyBorder="1" applyAlignment="1">
      <alignment horizontal="center" vertical="center" wrapText="1"/>
    </xf>
    <xf numFmtId="0" fontId="64" fillId="21" borderId="6" xfId="0" applyFont="1" applyFill="1" applyBorder="1" applyAlignment="1">
      <alignment horizontal="left" vertical="center" wrapText="1"/>
    </xf>
    <xf numFmtId="183" fontId="64" fillId="21" borderId="6" xfId="0" applyNumberFormat="1" applyFont="1" applyFill="1" applyBorder="1" applyAlignment="1">
      <alignment horizontal="center" vertical="center" wrapText="1"/>
    </xf>
    <xf numFmtId="182" fontId="64" fillId="21" borderId="6" xfId="0" applyNumberFormat="1" applyFont="1" applyFill="1" applyBorder="1" applyAlignment="1">
      <alignment horizontal="right" vertical="center" wrapText="1"/>
    </xf>
    <xf numFmtId="1" fontId="64" fillId="3" borderId="6" xfId="0" applyNumberFormat="1" applyFont="1" applyFill="1" applyBorder="1" applyAlignment="1">
      <alignment horizontal="center" vertical="center" wrapText="1"/>
    </xf>
    <xf numFmtId="0" fontId="64" fillId="3" borderId="6" xfId="0" applyFont="1" applyFill="1" applyBorder="1" applyAlignment="1">
      <alignment horizontal="left" vertical="center" wrapText="1"/>
    </xf>
    <xf numFmtId="182" fontId="64" fillId="3" borderId="6" xfId="0" applyNumberFormat="1" applyFont="1" applyFill="1" applyBorder="1" applyAlignment="1">
      <alignment horizontal="right" vertical="center" wrapText="1"/>
    </xf>
    <xf numFmtId="177" fontId="64" fillId="0" borderId="6" xfId="0" applyNumberFormat="1" applyFont="1" applyBorder="1" applyAlignment="1">
      <alignment vertical="center"/>
    </xf>
    <xf numFmtId="182" fontId="16" fillId="4" borderId="6" xfId="0" applyNumberFormat="1" applyFont="1" applyFill="1" applyBorder="1" applyAlignment="1">
      <alignment vertical="center"/>
    </xf>
    <xf numFmtId="1" fontId="62" fillId="20" borderId="6" xfId="0" applyNumberFormat="1" applyFont="1" applyFill="1" applyBorder="1" applyAlignment="1">
      <alignment horizontal="center" vertical="center" wrapText="1"/>
    </xf>
    <xf numFmtId="183" fontId="64" fillId="3" borderId="6" xfId="0" applyNumberFormat="1" applyFont="1" applyFill="1" applyBorder="1" applyAlignment="1">
      <alignment horizontal="center" vertical="center" wrapText="1"/>
    </xf>
    <xf numFmtId="182" fontId="64" fillId="21" borderId="17" xfId="0" applyNumberFormat="1" applyFont="1" applyFill="1" applyBorder="1" applyAlignment="1">
      <alignment horizontal="right" vertical="center" wrapText="1"/>
    </xf>
    <xf numFmtId="177" fontId="16" fillId="4" borderId="6" xfId="0" applyNumberFormat="1" applyFont="1" applyFill="1" applyBorder="1" applyAlignment="1">
      <alignment vertical="center"/>
    </xf>
    <xf numFmtId="178" fontId="64" fillId="21" borderId="6" xfId="0" applyNumberFormat="1" applyFont="1" applyFill="1" applyBorder="1" applyAlignment="1">
      <alignment horizontal="right" vertical="center" wrapText="1"/>
    </xf>
    <xf numFmtId="178" fontId="64" fillId="3" borderId="6" xfId="0" applyNumberFormat="1" applyFont="1" applyFill="1" applyBorder="1" applyAlignment="1">
      <alignment horizontal="right" vertical="center" wrapText="1"/>
    </xf>
    <xf numFmtId="0" fontId="64" fillId="0" borderId="6" xfId="0" applyFont="1" applyBorder="1" applyAlignment="1">
      <alignment horizontal="center" vertical="center"/>
    </xf>
    <xf numFmtId="0" fontId="63" fillId="3" borderId="17" xfId="0" applyFont="1" applyFill="1" applyBorder="1" applyAlignment="1">
      <alignment horizontal="left" vertical="center" wrapText="1"/>
    </xf>
    <xf numFmtId="0" fontId="63" fillId="3" borderId="8" xfId="0" applyFont="1" applyFill="1" applyBorder="1" applyAlignment="1">
      <alignment horizontal="right" vertical="center" wrapText="1"/>
    </xf>
    <xf numFmtId="169" fontId="63" fillId="3" borderId="17" xfId="0" applyNumberFormat="1" applyFont="1" applyFill="1" applyBorder="1" applyAlignment="1">
      <alignment horizontal="right" vertical="center" wrapText="1"/>
    </xf>
    <xf numFmtId="169" fontId="63" fillId="3" borderId="6" xfId="0" applyNumberFormat="1" applyFont="1" applyFill="1" applyBorder="1" applyAlignment="1">
      <alignment horizontal="right" vertical="center" wrapText="1"/>
    </xf>
    <xf numFmtId="0" fontId="64" fillId="0" borderId="11" xfId="0" applyFont="1" applyBorder="1" applyAlignment="1">
      <alignment horizontal="center" vertical="center"/>
    </xf>
    <xf numFmtId="0" fontId="63" fillId="3" borderId="29" xfId="0" applyFont="1" applyFill="1" applyBorder="1" applyAlignment="1">
      <alignment horizontal="left" vertical="center" wrapText="1"/>
    </xf>
    <xf numFmtId="0" fontId="63" fillId="3" borderId="32" xfId="0" applyFont="1" applyFill="1" applyBorder="1" applyAlignment="1">
      <alignment horizontal="right" vertical="center" wrapText="1"/>
    </xf>
    <xf numFmtId="177" fontId="64" fillId="0" borderId="11" xfId="0" applyNumberFormat="1" applyFont="1" applyBorder="1" applyAlignment="1"/>
    <xf numFmtId="169" fontId="63" fillId="3" borderId="29" xfId="0" applyNumberFormat="1" applyFont="1" applyFill="1" applyBorder="1" applyAlignment="1">
      <alignment horizontal="right" vertical="center" wrapText="1"/>
    </xf>
    <xf numFmtId="0" fontId="63" fillId="3" borderId="6" xfId="0" applyFont="1" applyFill="1" applyBorder="1" applyAlignment="1">
      <alignment horizontal="right" vertical="center" wrapText="1"/>
    </xf>
    <xf numFmtId="0" fontId="63" fillId="3" borderId="25" xfId="0" applyFont="1" applyFill="1" applyBorder="1" applyAlignment="1">
      <alignment horizontal="left" vertical="center" wrapText="1"/>
    </xf>
    <xf numFmtId="0" fontId="63" fillId="3" borderId="25" xfId="0" applyFont="1" applyFill="1" applyBorder="1" applyAlignment="1">
      <alignment horizontal="right" vertical="center" wrapText="1"/>
    </xf>
    <xf numFmtId="169" fontId="63" fillId="3" borderId="25" xfId="0" applyNumberFormat="1" applyFont="1" applyFill="1" applyBorder="1" applyAlignment="1">
      <alignment horizontal="right" vertical="center" wrapText="1"/>
    </xf>
    <xf numFmtId="177" fontId="16" fillId="4" borderId="6" xfId="0" applyNumberFormat="1" applyFont="1" applyFill="1" applyBorder="1" applyAlignment="1"/>
    <xf numFmtId="0" fontId="2" fillId="0" borderId="2" xfId="0" applyFont="1" applyBorder="1" applyAlignment="1">
      <alignment vertical="center"/>
    </xf>
    <xf numFmtId="0" fontId="2" fillId="0" borderId="7" xfId="0" applyFont="1" applyBorder="1" applyAlignment="1">
      <alignment vertical="center"/>
    </xf>
    <xf numFmtId="0" fontId="0" fillId="0" borderId="0" xfId="0" applyFont="1" applyAlignment="1">
      <alignment vertical="center"/>
    </xf>
    <xf numFmtId="0" fontId="2" fillId="0" borderId="5" xfId="0" applyFont="1" applyBorder="1" applyAlignment="1">
      <alignment vertical="center"/>
    </xf>
    <xf numFmtId="0" fontId="22" fillId="0" borderId="11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/>
    </xf>
    <xf numFmtId="164" fontId="22" fillId="0" borderId="11" xfId="0" applyNumberFormat="1" applyFont="1" applyBorder="1" applyAlignment="1">
      <alignment horizontal="center" vertical="center" wrapText="1"/>
    </xf>
    <xf numFmtId="0" fontId="22" fillId="0" borderId="2" xfId="0" applyFont="1" applyBorder="1" applyAlignment="1">
      <alignment horizontal="center"/>
    </xf>
    <xf numFmtId="0" fontId="22" fillId="5" borderId="1" xfId="0" applyFont="1" applyFill="1" applyBorder="1" applyAlignment="1">
      <alignment horizontal="center" vertical="center"/>
    </xf>
    <xf numFmtId="0" fontId="22" fillId="0" borderId="10" xfId="0" applyFont="1" applyBorder="1" applyAlignment="1">
      <alignment horizontal="center" vertical="center"/>
    </xf>
    <xf numFmtId="0" fontId="22" fillId="0" borderId="10" xfId="0" applyFont="1" applyBorder="1" applyAlignment="1">
      <alignment horizontal="center" vertical="center" wrapText="1"/>
    </xf>
    <xf numFmtId="0" fontId="22" fillId="0" borderId="16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/>
    </xf>
    <xf numFmtId="0" fontId="4" fillId="0" borderId="11" xfId="0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164" fontId="19" fillId="0" borderId="10" xfId="0" applyNumberFormat="1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/>
    </xf>
    <xf numFmtId="0" fontId="19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20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19" fillId="0" borderId="10" xfId="0" applyFont="1" applyBorder="1" applyAlignment="1">
      <alignment horizontal="center" vertical="center" wrapText="1"/>
    </xf>
    <xf numFmtId="0" fontId="22" fillId="0" borderId="2" xfId="0" applyFont="1" applyBorder="1" applyAlignment="1">
      <alignment horizontal="left"/>
    </xf>
    <xf numFmtId="0" fontId="22" fillId="0" borderId="1" xfId="0" applyFont="1" applyBorder="1" applyAlignment="1">
      <alignment horizontal="center"/>
    </xf>
    <xf numFmtId="0" fontId="8" fillId="0" borderId="10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top" wrapText="1"/>
    </xf>
    <xf numFmtId="0" fontId="2" fillId="0" borderId="13" xfId="0" applyFont="1" applyBorder="1" applyAlignment="1">
      <alignment vertical="center"/>
    </xf>
    <xf numFmtId="0" fontId="9" fillId="0" borderId="10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center" wrapText="1"/>
    </xf>
    <xf numFmtId="164" fontId="8" fillId="0" borderId="10" xfId="0" applyNumberFormat="1" applyFont="1" applyBorder="1" applyAlignment="1">
      <alignment horizontal="center" vertical="center" wrapText="1"/>
    </xf>
    <xf numFmtId="0" fontId="8" fillId="4" borderId="24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top" wrapText="1"/>
    </xf>
    <xf numFmtId="173" fontId="9" fillId="0" borderId="13" xfId="0" applyNumberFormat="1" applyFont="1" applyBorder="1" applyAlignment="1">
      <alignment horizontal="center" vertical="top" wrapText="1"/>
    </xf>
    <xf numFmtId="0" fontId="8" fillId="0" borderId="11" xfId="0" applyFont="1" applyBorder="1" applyAlignment="1">
      <alignment horizontal="center"/>
    </xf>
    <xf numFmtId="0" fontId="25" fillId="4" borderId="11" xfId="0" applyFont="1" applyFill="1" applyBorder="1" applyAlignment="1">
      <alignment horizontal="center" vertical="center" wrapText="1"/>
    </xf>
    <xf numFmtId="9" fontId="8" fillId="0" borderId="11" xfId="0" applyNumberFormat="1" applyFont="1" applyBorder="1" applyAlignment="1">
      <alignment horizontal="center" vertical="center" wrapText="1"/>
    </xf>
    <xf numFmtId="0" fontId="25" fillId="7" borderId="11" xfId="0" applyFont="1" applyFill="1" applyBorder="1" applyAlignment="1">
      <alignment horizontal="center" vertical="center" wrapText="1"/>
    </xf>
    <xf numFmtId="0" fontId="2" fillId="0" borderId="27" xfId="0" applyFont="1" applyBorder="1" applyAlignment="1">
      <alignment vertical="center"/>
    </xf>
    <xf numFmtId="0" fontId="8" fillId="0" borderId="11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64" fontId="8" fillId="0" borderId="11" xfId="0" applyNumberFormat="1" applyFont="1" applyBorder="1" applyAlignment="1">
      <alignment horizontal="center" vertical="center" wrapText="1"/>
    </xf>
    <xf numFmtId="0" fontId="10" fillId="0" borderId="16" xfId="0" applyFont="1" applyBorder="1" applyAlignment="1">
      <alignment horizontal="left" vertical="center" wrapText="1"/>
    </xf>
    <xf numFmtId="0" fontId="25" fillId="6" borderId="11" xfId="0" applyFont="1" applyFill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6" borderId="2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2" fillId="0" borderId="22" xfId="0" applyFont="1" applyBorder="1" applyAlignment="1">
      <alignment vertical="center"/>
    </xf>
    <xf numFmtId="0" fontId="8" fillId="0" borderId="13" xfId="0" applyFont="1" applyBorder="1" applyAlignment="1">
      <alignment horizontal="left" vertical="center" wrapText="1"/>
    </xf>
    <xf numFmtId="0" fontId="17" fillId="0" borderId="11" xfId="0" applyFont="1" applyBorder="1" applyAlignment="1">
      <alignment horizontal="center" vertical="center" wrapText="1"/>
    </xf>
    <xf numFmtId="164" fontId="17" fillId="0" borderId="11" xfId="0" applyNumberFormat="1" applyFont="1" applyBorder="1" applyAlignment="1">
      <alignment horizontal="center" vertical="center" wrapText="1"/>
    </xf>
    <xf numFmtId="0" fontId="17" fillId="0" borderId="1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top" wrapText="1"/>
    </xf>
    <xf numFmtId="173" fontId="9" fillId="0" borderId="10" xfId="0" applyNumberFormat="1" applyFont="1" applyBorder="1" applyAlignment="1">
      <alignment horizontal="center" vertical="top" wrapText="1"/>
    </xf>
    <xf numFmtId="0" fontId="22" fillId="0" borderId="11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23" fillId="6" borderId="11" xfId="0" applyFont="1" applyFill="1" applyBorder="1" applyAlignment="1">
      <alignment horizontal="center" vertical="center" wrapText="1"/>
    </xf>
    <xf numFmtId="0" fontId="2" fillId="0" borderId="19" xfId="0" applyFont="1" applyBorder="1" applyAlignment="1">
      <alignment vertical="center"/>
    </xf>
    <xf numFmtId="0" fontId="24" fillId="0" borderId="11" xfId="0" applyFont="1" applyBorder="1" applyAlignment="1">
      <alignment horizontal="center" vertical="center" wrapText="1"/>
    </xf>
    <xf numFmtId="0" fontId="28" fillId="0" borderId="0" xfId="0" applyFont="1" applyAlignment="1">
      <alignment horizontal="center"/>
    </xf>
    <xf numFmtId="0" fontId="29" fillId="1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38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0" fontId="32" fillId="0" borderId="0" xfId="0" applyFont="1" applyAlignment="1">
      <alignment horizontal="center" wrapText="1"/>
    </xf>
    <xf numFmtId="0" fontId="42" fillId="17" borderId="11" xfId="0" applyFont="1" applyFill="1" applyBorder="1" applyAlignment="1">
      <alignment horizontal="center" vertical="center"/>
    </xf>
    <xf numFmtId="0" fontId="43" fillId="17" borderId="11" xfId="0" applyFont="1" applyFill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top" wrapText="1"/>
    </xf>
    <xf numFmtId="0" fontId="10" fillId="0" borderId="11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/>
    </xf>
    <xf numFmtId="0" fontId="10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18" fillId="0" borderId="33" xfId="0" applyFont="1" applyBorder="1" applyAlignment="1">
      <alignment horizontal="center" wrapText="1"/>
    </xf>
    <xf numFmtId="0" fontId="2" fillId="0" borderId="34" xfId="0" applyFont="1" applyBorder="1" applyAlignment="1">
      <alignment vertical="center"/>
    </xf>
    <xf numFmtId="0" fontId="2" fillId="0" borderId="35" xfId="0" applyFont="1" applyBorder="1" applyAlignment="1">
      <alignment vertical="center"/>
    </xf>
    <xf numFmtId="0" fontId="17" fillId="0" borderId="33" xfId="0" applyFont="1" applyBorder="1" applyAlignment="1">
      <alignment horizontal="center" wrapText="1"/>
    </xf>
    <xf numFmtId="0" fontId="49" fillId="0" borderId="1" xfId="0" applyFont="1" applyBorder="1" applyAlignment="1">
      <alignment horizontal="center"/>
    </xf>
    <xf numFmtId="0" fontId="30" fillId="4" borderId="1" xfId="0" applyFont="1" applyFill="1" applyBorder="1" applyAlignment="1">
      <alignment horizontal="left" wrapText="1"/>
    </xf>
    <xf numFmtId="0" fontId="51" fillId="0" borderId="0" xfId="0" applyFont="1" applyAlignment="1">
      <alignment vertical="center" wrapText="1"/>
    </xf>
    <xf numFmtId="0" fontId="12" fillId="4" borderId="39" xfId="0" applyFont="1" applyFill="1" applyBorder="1" applyAlignment="1">
      <alignment horizontal="right" vertical="center"/>
    </xf>
    <xf numFmtId="0" fontId="2" fillId="0" borderId="40" xfId="0" applyFont="1" applyBorder="1" applyAlignment="1">
      <alignment vertical="center"/>
    </xf>
    <xf numFmtId="0" fontId="2" fillId="0" borderId="41" xfId="0" applyFont="1" applyBorder="1" applyAlignment="1">
      <alignment vertical="center"/>
    </xf>
    <xf numFmtId="0" fontId="52" fillId="0" borderId="0" xfId="0" applyFont="1" applyAlignment="1">
      <alignment horizont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wrapText="1"/>
    </xf>
    <xf numFmtId="0" fontId="52" fillId="0" borderId="1" xfId="0" applyFont="1" applyBorder="1" applyAlignment="1">
      <alignment horizontal="center" wrapText="1"/>
    </xf>
    <xf numFmtId="0" fontId="60" fillId="0" borderId="0" xfId="0" applyFont="1" applyAlignment="1">
      <alignment horizontal="center"/>
    </xf>
    <xf numFmtId="0" fontId="51" fillId="0" borderId="1" xfId="0" applyFont="1" applyBorder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65" fillId="0" borderId="1" xfId="0" applyFont="1" applyBorder="1" applyAlignment="1">
      <alignment horizontal="center" vertical="center"/>
    </xf>
    <xf numFmtId="1" fontId="65" fillId="0" borderId="1" xfId="0" applyNumberFormat="1" applyFont="1" applyBorder="1" applyAlignment="1">
      <alignment horizontal="center" vertical="center"/>
    </xf>
    <xf numFmtId="0" fontId="8" fillId="0" borderId="11" xfId="0" applyFont="1" applyBorder="1" applyAlignment="1">
      <alignment vertical="top"/>
    </xf>
    <xf numFmtId="0" fontId="8" fillId="0" borderId="18" xfId="0" applyFont="1" applyBorder="1" applyAlignment="1"/>
    <xf numFmtId="0" fontId="25" fillId="22" borderId="11" xfId="0" applyFont="1" applyFill="1" applyBorder="1" applyAlignment="1">
      <alignment vertical="center" wrapText="1"/>
    </xf>
    <xf numFmtId="0" fontId="2" fillId="23" borderId="10" xfId="0" applyFont="1" applyFill="1" applyBorder="1" applyAlignment="1">
      <alignment vertical="center"/>
    </xf>
    <xf numFmtId="0" fontId="67" fillId="0" borderId="4" xfId="0" applyFont="1" applyBorder="1" applyAlignment="1">
      <alignment vertical="center" wrapText="1"/>
    </xf>
    <xf numFmtId="0" fontId="68" fillId="0" borderId="13" xfId="0" applyFont="1" applyBorder="1" applyAlignment="1">
      <alignment horizontal="center" vertical="top" wrapText="1"/>
    </xf>
    <xf numFmtId="0" fontId="69" fillId="12" borderId="12" xfId="0" applyFont="1" applyFill="1" applyBorder="1" applyAlignment="1">
      <alignment horizontal="left" vertical="center" wrapText="1"/>
    </xf>
    <xf numFmtId="0" fontId="9" fillId="0" borderId="28" xfId="0" applyFont="1" applyBorder="1" applyAlignment="1">
      <alignment horizontal="center" vertical="top" wrapText="1"/>
    </xf>
    <xf numFmtId="9" fontId="8" fillId="0" borderId="28" xfId="0" applyNumberFormat="1" applyFont="1" applyBorder="1" applyAlignment="1">
      <alignment horizontal="center" vertical="center" wrapText="1"/>
    </xf>
    <xf numFmtId="0" fontId="8" fillId="0" borderId="42" xfId="0" applyFont="1" applyBorder="1" applyAlignment="1">
      <alignment wrapText="1"/>
    </xf>
    <xf numFmtId="0" fontId="8" fillId="0" borderId="42" xfId="0" applyFont="1" applyBorder="1" applyAlignment="1">
      <alignment vertical="center" wrapText="1"/>
    </xf>
    <xf numFmtId="0" fontId="8" fillId="0" borderId="42" xfId="0" applyFont="1" applyBorder="1" applyAlignment="1">
      <alignment horizontal="center" wrapText="1"/>
    </xf>
    <xf numFmtId="0" fontId="25" fillId="24" borderId="32" xfId="0" applyFont="1" applyFill="1" applyBorder="1" applyAlignment="1">
      <alignment horizontal="center" vertical="top" wrapText="1"/>
    </xf>
    <xf numFmtId="0" fontId="25" fillId="24" borderId="21" xfId="0" applyFont="1" applyFill="1" applyBorder="1" applyAlignment="1">
      <alignment horizontal="center" vertical="top" wrapText="1"/>
    </xf>
    <xf numFmtId="0" fontId="25" fillId="24" borderId="22" xfId="0" applyFont="1" applyFill="1" applyBorder="1" applyAlignment="1">
      <alignment horizontal="center" vertical="top" wrapText="1"/>
    </xf>
    <xf numFmtId="0" fontId="8" fillId="0" borderId="25" xfId="0" applyFont="1" applyBorder="1" applyAlignment="1">
      <alignment horizontal="center" vertical="top"/>
    </xf>
    <xf numFmtId="0" fontId="8" fillId="0" borderId="28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67" fillId="0" borderId="0" xfId="0" applyFont="1" applyAlignment="1"/>
    <xf numFmtId="0" fontId="67" fillId="0" borderId="2" xfId="0" applyFont="1" applyBorder="1" applyAlignment="1">
      <alignment horizontal="left"/>
    </xf>
    <xf numFmtId="0" fontId="67" fillId="0" borderId="0" xfId="0" applyFont="1" applyAlignment="1">
      <alignment vertical="center" wrapText="1"/>
    </xf>
    <xf numFmtId="0" fontId="67" fillId="0" borderId="0" xfId="0" applyFont="1" applyAlignment="1">
      <alignment wrapText="1"/>
    </xf>
    <xf numFmtId="0" fontId="10" fillId="0" borderId="12" xfId="0" applyFont="1" applyFill="1" applyBorder="1" applyAlignment="1"/>
    <xf numFmtId="0" fontId="1" fillId="2" borderId="32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3" fillId="3" borderId="42" xfId="0" applyFont="1" applyFill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5" fillId="0" borderId="42" xfId="0" applyFont="1" applyBorder="1" applyAlignment="1">
      <alignment horizontal="left" vertical="center"/>
    </xf>
    <xf numFmtId="0" fontId="6" fillId="0" borderId="42" xfId="0" applyFont="1" applyBorder="1" applyAlignment="1">
      <alignment horizontal="right" vertical="center"/>
    </xf>
    <xf numFmtId="0" fontId="14" fillId="25" borderId="0" xfId="0" applyFont="1" applyFill="1" applyAlignment="1">
      <alignment wrapText="1"/>
    </xf>
    <xf numFmtId="2" fontId="14" fillId="25" borderId="0" xfId="0" applyNumberFormat="1" applyFont="1" applyFill="1" applyAlignment="1">
      <alignment wrapText="1"/>
    </xf>
    <xf numFmtId="181" fontId="14" fillId="25" borderId="0" xfId="0" applyNumberFormat="1" applyFont="1" applyFill="1" applyAlignment="1">
      <alignment wrapText="1"/>
    </xf>
    <xf numFmtId="178" fontId="14" fillId="25" borderId="0" xfId="0" applyNumberFormat="1" applyFont="1" applyFill="1" applyAlignment="1">
      <alignment wrapText="1"/>
    </xf>
    <xf numFmtId="0" fontId="14" fillId="25" borderId="0" xfId="0" applyFont="1" applyFill="1" applyAlignment="1"/>
    <xf numFmtId="0" fontId="0" fillId="25" borderId="0" xfId="0" applyFont="1" applyFill="1" applyAlignment="1">
      <alignment vertical="center"/>
    </xf>
    <xf numFmtId="3" fontId="10" fillId="26" borderId="9" xfId="0" applyNumberFormat="1" applyFont="1" applyFill="1" applyBorder="1" applyAlignment="1"/>
    <xf numFmtId="0" fontId="72" fillId="25" borderId="0" xfId="0" applyFont="1" applyFill="1" applyAlignment="1">
      <alignment wrapText="1"/>
    </xf>
    <xf numFmtId="2" fontId="72" fillId="25" borderId="0" xfId="0" applyNumberFormat="1" applyFont="1" applyFill="1" applyAlignment="1">
      <alignment wrapText="1"/>
    </xf>
    <xf numFmtId="181" fontId="72" fillId="25" borderId="0" xfId="0" applyNumberFormat="1" applyFont="1" applyFill="1" applyAlignment="1">
      <alignment wrapText="1"/>
    </xf>
    <xf numFmtId="178" fontId="72" fillId="25" borderId="0" xfId="0" applyNumberFormat="1" applyFont="1" applyFill="1" applyAlignment="1">
      <alignment wrapText="1"/>
    </xf>
    <xf numFmtId="0" fontId="72" fillId="25" borderId="0" xfId="0" applyFont="1" applyFill="1" applyAlignment="1"/>
    <xf numFmtId="0" fontId="74" fillId="25" borderId="0" xfId="0" applyFont="1" applyFill="1" applyAlignment="1">
      <alignment vertical="center"/>
    </xf>
    <xf numFmtId="0" fontId="75" fillId="25" borderId="0" xfId="0" applyFont="1" applyFill="1" applyAlignment="1">
      <alignment horizontal="center" wrapText="1"/>
    </xf>
    <xf numFmtId="42" fontId="76" fillId="26" borderId="9" xfId="0" applyNumberFormat="1" applyFont="1" applyFill="1" applyBorder="1" applyAlignment="1"/>
    <xf numFmtId="0" fontId="77" fillId="25" borderId="42" xfId="0" applyFont="1" applyFill="1" applyBorder="1" applyAlignment="1">
      <alignment vertical="center"/>
    </xf>
    <xf numFmtId="3" fontId="77" fillId="25" borderId="42" xfId="0" applyNumberFormat="1" applyFont="1" applyFill="1" applyBorder="1" applyAlignment="1"/>
    <xf numFmtId="0" fontId="77" fillId="25" borderId="42" xfId="0" applyFont="1" applyFill="1" applyBorder="1" applyAlignment="1"/>
    <xf numFmtId="165" fontId="77" fillId="25" borderId="42" xfId="0" applyNumberFormat="1" applyFont="1" applyFill="1" applyBorder="1" applyAlignment="1">
      <alignment vertical="center"/>
    </xf>
    <xf numFmtId="0" fontId="79" fillId="25" borderId="42" xfId="0" applyFont="1" applyFill="1" applyBorder="1" applyAlignment="1">
      <alignment vertical="center"/>
    </xf>
    <xf numFmtId="42" fontId="79" fillId="25" borderId="42" xfId="0" applyNumberFormat="1" applyFont="1" applyFill="1" applyBorder="1" applyAlignment="1">
      <alignment vertical="center"/>
    </xf>
    <xf numFmtId="0" fontId="79" fillId="27" borderId="42" xfId="0" applyFont="1" applyFill="1" applyBorder="1" applyAlignment="1">
      <alignment vertical="center"/>
    </xf>
    <xf numFmtId="42" fontId="79" fillId="25" borderId="42" xfId="0" applyNumberFormat="1" applyFont="1" applyFill="1" applyBorder="1" applyAlignment="1"/>
    <xf numFmtId="0" fontId="79" fillId="27" borderId="42" xfId="0" applyFont="1" applyFill="1" applyBorder="1" applyAlignment="1">
      <alignment vertical="center" wrapText="1"/>
    </xf>
    <xf numFmtId="42" fontId="79" fillId="26" borderId="42" xfId="0" applyNumberFormat="1" applyFont="1" applyFill="1" applyBorder="1" applyAlignment="1">
      <alignment vertical="center"/>
    </xf>
    <xf numFmtId="0" fontId="10" fillId="0" borderId="9" xfId="0" applyFont="1" applyFill="1" applyBorder="1" applyAlignment="1">
      <alignment horizontal="center" vertical="center"/>
    </xf>
    <xf numFmtId="0" fontId="29" fillId="28" borderId="25" xfId="0" applyFont="1" applyFill="1" applyBorder="1" applyAlignment="1">
      <alignment horizontal="center" vertical="center"/>
    </xf>
    <xf numFmtId="0" fontId="29" fillId="28" borderId="1" xfId="0" applyFont="1" applyFill="1" applyBorder="1" applyAlignment="1">
      <alignment horizontal="center" vertical="center"/>
    </xf>
    <xf numFmtId="0" fontId="2" fillId="29" borderId="2" xfId="0" applyFont="1" applyFill="1" applyBorder="1" applyAlignment="1">
      <alignment vertical="center"/>
    </xf>
    <xf numFmtId="0" fontId="2" fillId="29" borderId="7" xfId="0" applyFont="1" applyFill="1" applyBorder="1" applyAlignment="1">
      <alignment vertical="center"/>
    </xf>
    <xf numFmtId="164" fontId="29" fillId="28" borderId="25" xfId="0" applyNumberFormat="1" applyFont="1" applyFill="1" applyBorder="1" applyAlignment="1">
      <alignment horizontal="center" vertical="center"/>
    </xf>
    <xf numFmtId="0" fontId="29" fillId="28" borderId="25" xfId="0" applyFont="1" applyFill="1" applyBorder="1" applyAlignment="1">
      <alignment horizontal="center" vertical="center" wrapText="1"/>
    </xf>
    <xf numFmtId="0" fontId="10" fillId="29" borderId="3" xfId="0" applyFont="1" applyFill="1" applyBorder="1" applyAlignment="1">
      <alignment vertical="center"/>
    </xf>
    <xf numFmtId="0" fontId="29" fillId="28" borderId="18" xfId="0" applyFont="1" applyFill="1" applyBorder="1" applyAlignment="1">
      <alignment horizontal="center" vertical="center"/>
    </xf>
    <xf numFmtId="42" fontId="21" fillId="0" borderId="0" xfId="0" applyNumberFormat="1" applyFont="1" applyAlignment="1">
      <alignment vertical="center"/>
    </xf>
    <xf numFmtId="42" fontId="29" fillId="16" borderId="17" xfId="0" applyNumberFormat="1" applyFont="1" applyFill="1" applyBorder="1" applyAlignment="1">
      <alignment horizontal="center"/>
    </xf>
    <xf numFmtId="42" fontId="11" fillId="11" borderId="12" xfId="0" applyNumberFormat="1" applyFont="1" applyFill="1" applyBorder="1" applyAlignment="1">
      <alignment horizontal="right"/>
    </xf>
    <xf numFmtId="42" fontId="21" fillId="11" borderId="12" xfId="0" applyNumberFormat="1" applyFont="1" applyFill="1" applyBorder="1" applyAlignment="1">
      <alignment horizontal="right" vertical="center"/>
    </xf>
    <xf numFmtId="42" fontId="21" fillId="11" borderId="12" xfId="0" applyNumberFormat="1" applyFont="1" applyFill="1" applyBorder="1" applyAlignment="1">
      <alignment horizontal="right" vertical="top"/>
    </xf>
    <xf numFmtId="42" fontId="21" fillId="11" borderId="12" xfId="0" applyNumberFormat="1" applyFont="1" applyFill="1" applyBorder="1" applyAlignment="1">
      <alignment horizontal="right"/>
    </xf>
    <xf numFmtId="42" fontId="0" fillId="0" borderId="0" xfId="0" applyNumberFormat="1" applyFont="1" applyAlignment="1">
      <alignment vertical="center"/>
    </xf>
    <xf numFmtId="0" fontId="13" fillId="6" borderId="25" xfId="0" applyFont="1" applyFill="1" applyBorder="1" applyAlignment="1"/>
    <xf numFmtId="0" fontId="10" fillId="6" borderId="25" xfId="0" applyFont="1" applyFill="1" applyBorder="1" applyAlignment="1"/>
    <xf numFmtId="0" fontId="21" fillId="6" borderId="18" xfId="0" applyFont="1" applyFill="1" applyBorder="1" applyAlignment="1">
      <alignment horizontal="center"/>
    </xf>
    <xf numFmtId="164" fontId="21" fillId="6" borderId="18" xfId="0" applyNumberFormat="1" applyFont="1" applyFill="1" applyBorder="1" applyAlignment="1"/>
    <xf numFmtId="0" fontId="10" fillId="11" borderId="42" xfId="0" applyFont="1" applyFill="1" applyBorder="1" applyAlignment="1">
      <alignment horizontal="center" vertical="center"/>
    </xf>
    <xf numFmtId="164" fontId="17" fillId="11" borderId="42" xfId="0" applyNumberFormat="1" applyFont="1" applyFill="1" applyBorder="1" applyAlignment="1">
      <alignment vertical="center"/>
    </xf>
    <xf numFmtId="0" fontId="21" fillId="11" borderId="42" xfId="0" applyFont="1" applyFill="1" applyBorder="1" applyAlignment="1">
      <alignment wrapText="1"/>
    </xf>
    <xf numFmtId="0" fontId="10" fillId="11" borderId="42" xfId="0" applyFont="1" applyFill="1" applyBorder="1" applyAlignment="1">
      <alignment vertical="center"/>
    </xf>
    <xf numFmtId="0" fontId="21" fillId="6" borderId="42" xfId="0" applyFont="1" applyFill="1" applyBorder="1" applyAlignment="1">
      <alignment horizontal="center" vertical="center" wrapText="1"/>
    </xf>
    <xf numFmtId="0" fontId="13" fillId="6" borderId="42" xfId="0" applyFont="1" applyFill="1" applyBorder="1" applyAlignment="1"/>
    <xf numFmtId="0" fontId="10" fillId="6" borderId="42" xfId="0" applyFont="1" applyFill="1" applyBorder="1" applyAlignment="1"/>
    <xf numFmtId="0" fontId="10" fillId="6" borderId="42" xfId="0" applyFont="1" applyFill="1" applyBorder="1" applyAlignment="1">
      <alignment horizontal="center" vertical="center"/>
    </xf>
    <xf numFmtId="0" fontId="21" fillId="6" borderId="42" xfId="0" applyFont="1" applyFill="1" applyBorder="1" applyAlignment="1">
      <alignment horizontal="center"/>
    </xf>
    <xf numFmtId="164" fontId="21" fillId="6" borderId="42" xfId="0" applyNumberFormat="1" applyFont="1" applyFill="1" applyBorder="1" applyAlignment="1"/>
    <xf numFmtId="0" fontId="21" fillId="6" borderId="42" xfId="0" applyFont="1" applyFill="1" applyBorder="1" applyAlignment="1">
      <alignment wrapText="1"/>
    </xf>
    <xf numFmtId="42" fontId="17" fillId="0" borderId="0" xfId="0" applyNumberFormat="1" applyFont="1" applyAlignment="1">
      <alignment vertical="center"/>
    </xf>
    <xf numFmtId="42" fontId="29" fillId="28" borderId="25" xfId="0" applyNumberFormat="1" applyFont="1" applyFill="1" applyBorder="1" applyAlignment="1">
      <alignment horizontal="center" vertical="center"/>
    </xf>
    <xf numFmtId="42" fontId="10" fillId="29" borderId="3" xfId="0" applyNumberFormat="1" applyFont="1" applyFill="1" applyBorder="1" applyAlignment="1">
      <alignment vertical="center"/>
    </xf>
    <xf numFmtId="42" fontId="11" fillId="11" borderId="6" xfId="0" applyNumberFormat="1" applyFont="1" applyFill="1" applyBorder="1" applyAlignment="1">
      <alignment horizontal="center" vertical="center"/>
    </xf>
    <xf numFmtId="42" fontId="21" fillId="11" borderId="6" xfId="0" applyNumberFormat="1" applyFont="1" applyFill="1" applyBorder="1" applyAlignment="1">
      <alignment horizontal="center"/>
    </xf>
    <xf numFmtId="42" fontId="21" fillId="6" borderId="6" xfId="0" applyNumberFormat="1" applyFont="1" applyFill="1" applyBorder="1" applyAlignment="1">
      <alignment horizontal="center" vertical="center"/>
    </xf>
    <xf numFmtId="42" fontId="21" fillId="11" borderId="6" xfId="0" applyNumberFormat="1" applyFont="1" applyFill="1" applyBorder="1" applyAlignment="1">
      <alignment horizontal="center" vertical="center"/>
    </xf>
    <xf numFmtId="42" fontId="21" fillId="11" borderId="6" xfId="0" applyNumberFormat="1" applyFont="1" applyFill="1" applyBorder="1" applyAlignment="1"/>
    <xf numFmtId="42" fontId="21" fillId="4" borderId="6" xfId="0" applyNumberFormat="1" applyFont="1" applyFill="1" applyBorder="1" applyAlignment="1">
      <alignment horizontal="center"/>
    </xf>
    <xf numFmtId="42" fontId="21" fillId="11" borderId="9" xfId="0" applyNumberFormat="1" applyFont="1" applyFill="1" applyBorder="1" applyAlignment="1">
      <alignment horizontal="center"/>
    </xf>
    <xf numFmtId="42" fontId="17" fillId="11" borderId="6" xfId="0" applyNumberFormat="1" applyFont="1" applyFill="1" applyBorder="1" applyAlignment="1">
      <alignment horizontal="right"/>
    </xf>
    <xf numFmtId="42" fontId="21" fillId="12" borderId="6" xfId="0" applyNumberFormat="1" applyFont="1" applyFill="1" applyBorder="1" applyAlignment="1">
      <alignment horizontal="center"/>
    </xf>
    <xf numFmtId="42" fontId="21" fillId="4" borderId="6" xfId="0" applyNumberFormat="1" applyFont="1" applyFill="1" applyBorder="1" applyAlignment="1">
      <alignment horizontal="center" vertical="center"/>
    </xf>
    <xf numFmtId="42" fontId="21" fillId="6" borderId="25" xfId="0" applyNumberFormat="1" applyFont="1" applyFill="1" applyBorder="1" applyAlignment="1">
      <alignment horizontal="center" vertical="center"/>
    </xf>
    <xf numFmtId="42" fontId="17" fillId="11" borderId="42" xfId="0" applyNumberFormat="1" applyFont="1" applyFill="1" applyBorder="1" applyAlignment="1">
      <alignment vertical="center"/>
    </xf>
    <xf numFmtId="42" fontId="21" fillId="6" borderId="42" xfId="0" applyNumberFormat="1" applyFont="1" applyFill="1" applyBorder="1" applyAlignment="1">
      <alignment horizontal="center" vertical="center"/>
    </xf>
    <xf numFmtId="42" fontId="21" fillId="6" borderId="18" xfId="0" applyNumberFormat="1" applyFont="1" applyFill="1" applyBorder="1" applyAlignment="1">
      <alignment horizontal="center" vertical="center"/>
    </xf>
    <xf numFmtId="42" fontId="21" fillId="0" borderId="6" xfId="0" applyNumberFormat="1" applyFont="1" applyBorder="1" applyAlignment="1"/>
    <xf numFmtId="42" fontId="29" fillId="16" borderId="6" xfId="0" applyNumberFormat="1" applyFont="1" applyFill="1" applyBorder="1" applyAlignment="1">
      <alignment horizontal="center"/>
    </xf>
    <xf numFmtId="42" fontId="21" fillId="4" borderId="6" xfId="0" applyNumberFormat="1" applyFont="1" applyFill="1" applyBorder="1" applyAlignment="1"/>
    <xf numFmtId="42" fontId="10" fillId="0" borderId="0" xfId="0" applyNumberFormat="1" applyFont="1" applyAlignment="1">
      <alignment vertical="center"/>
    </xf>
    <xf numFmtId="42" fontId="8" fillId="0" borderId="0" xfId="0" applyNumberFormat="1" applyFont="1" applyAlignment="1">
      <alignment vertical="center"/>
    </xf>
    <xf numFmtId="0" fontId="21" fillId="6" borderId="8" xfId="0" applyFont="1" applyFill="1" applyBorder="1" applyAlignment="1">
      <alignment horizontal="center" vertical="top"/>
    </xf>
    <xf numFmtId="0" fontId="21" fillId="6" borderId="25" xfId="0" applyFont="1" applyFill="1" applyBorder="1" applyAlignment="1">
      <alignment vertical="top"/>
    </xf>
    <xf numFmtId="0" fontId="21" fillId="6" borderId="25" xfId="0" applyFont="1" applyFill="1" applyBorder="1" applyAlignment="1">
      <alignment horizontal="center" vertical="top"/>
    </xf>
    <xf numFmtId="0" fontId="21" fillId="6" borderId="18" xfId="0" applyFont="1" applyFill="1" applyBorder="1" applyAlignment="1">
      <alignment vertical="top"/>
    </xf>
    <xf numFmtId="0" fontId="21" fillId="6" borderId="18" xfId="0" applyFont="1" applyFill="1" applyBorder="1" applyAlignment="1">
      <alignment horizontal="center" vertical="top"/>
    </xf>
    <xf numFmtId="0" fontId="21" fillId="6" borderId="42" xfId="0" applyFont="1" applyFill="1" applyBorder="1" applyAlignment="1">
      <alignment vertical="top"/>
    </xf>
    <xf numFmtId="0" fontId="21" fillId="6" borderId="42" xfId="0" applyFont="1" applyFill="1" applyBorder="1" applyAlignment="1">
      <alignment horizontal="center" vertical="top"/>
    </xf>
    <xf numFmtId="42" fontId="29" fillId="16" borderId="25" xfId="0" applyNumberFormat="1" applyFont="1" applyFill="1" applyBorder="1" applyAlignment="1">
      <alignment horizontal="center" vertical="center"/>
    </xf>
    <xf numFmtId="42" fontId="29" fillId="16" borderId="18" xfId="0" applyNumberFormat="1" applyFont="1" applyFill="1" applyBorder="1" applyAlignment="1">
      <alignment horizontal="center" vertical="center"/>
    </xf>
    <xf numFmtId="42" fontId="21" fillId="9" borderId="6" xfId="0" applyNumberFormat="1" applyFont="1" applyFill="1" applyBorder="1" applyAlignment="1">
      <alignment horizontal="center" vertical="top"/>
    </xf>
    <xf numFmtId="42" fontId="21" fillId="6" borderId="6" xfId="0" applyNumberFormat="1" applyFont="1" applyFill="1" applyBorder="1" applyAlignment="1">
      <alignment horizontal="center" vertical="top"/>
    </xf>
    <xf numFmtId="42" fontId="21" fillId="6" borderId="17" xfId="0" applyNumberFormat="1" applyFont="1" applyFill="1" applyBorder="1" applyAlignment="1">
      <alignment horizontal="center" vertical="top"/>
    </xf>
    <xf numFmtId="42" fontId="21" fillId="6" borderId="6" xfId="0" applyNumberFormat="1" applyFont="1" applyFill="1" applyBorder="1" applyAlignment="1">
      <alignment horizontal="center"/>
    </xf>
    <xf numFmtId="42" fontId="21" fillId="11" borderId="6" xfId="0" applyNumberFormat="1" applyFont="1" applyFill="1" applyBorder="1" applyAlignment="1">
      <alignment vertical="center"/>
    </xf>
    <xf numFmtId="42" fontId="21" fillId="6" borderId="6" xfId="0" applyNumberFormat="1" applyFont="1" applyFill="1" applyBorder="1" applyAlignment="1"/>
    <xf numFmtId="42" fontId="21" fillId="11" borderId="6" xfId="0" applyNumberFormat="1" applyFont="1" applyFill="1" applyBorder="1" applyAlignment="1">
      <alignment horizontal="center" vertical="top"/>
    </xf>
    <xf numFmtId="42" fontId="21" fillId="11" borderId="6" xfId="0" applyNumberFormat="1" applyFont="1" applyFill="1" applyBorder="1" applyAlignment="1">
      <alignment horizontal="left" vertical="top"/>
    </xf>
    <xf numFmtId="42" fontId="21" fillId="11" borderId="6" xfId="0" applyNumberFormat="1" applyFont="1" applyFill="1" applyBorder="1" applyAlignment="1">
      <alignment horizontal="left" vertical="center"/>
    </xf>
    <xf numFmtId="42" fontId="21" fillId="4" borderId="6" xfId="0" applyNumberFormat="1" applyFont="1" applyFill="1" applyBorder="1" applyAlignment="1">
      <alignment horizontal="left" vertical="center"/>
    </xf>
    <xf numFmtId="42" fontId="21" fillId="4" borderId="6" xfId="0" applyNumberFormat="1" applyFont="1" applyFill="1" applyBorder="1" applyAlignment="1">
      <alignment vertical="center"/>
    </xf>
    <xf numFmtId="42" fontId="21" fillId="6" borderId="6" xfId="0" applyNumberFormat="1" applyFont="1" applyFill="1" applyBorder="1" applyAlignment="1">
      <alignment vertical="top"/>
    </xf>
    <xf numFmtId="42" fontId="21" fillId="6" borderId="6" xfId="0" applyNumberFormat="1" applyFont="1" applyFill="1" applyBorder="1" applyAlignment="1">
      <alignment vertical="center"/>
    </xf>
    <xf numFmtId="42" fontId="21" fillId="6" borderId="9" xfId="0" applyNumberFormat="1" applyFont="1" applyFill="1" applyBorder="1" applyAlignment="1">
      <alignment horizontal="center" vertical="top"/>
    </xf>
    <xf numFmtId="42" fontId="21" fillId="6" borderId="9" xfId="0" applyNumberFormat="1" applyFont="1" applyFill="1" applyBorder="1" applyAlignment="1">
      <alignment vertical="center"/>
    </xf>
    <xf numFmtId="42" fontId="13" fillId="6" borderId="6" xfId="0" applyNumberFormat="1" applyFont="1" applyFill="1" applyBorder="1" applyAlignment="1">
      <alignment vertical="top"/>
    </xf>
    <xf numFmtId="42" fontId="21" fillId="6" borderId="25" xfId="0" applyNumberFormat="1" applyFont="1" applyFill="1" applyBorder="1" applyAlignment="1"/>
    <xf numFmtId="42" fontId="21" fillId="4" borderId="18" xfId="0" applyNumberFormat="1" applyFont="1" applyFill="1" applyBorder="1" applyAlignment="1">
      <alignment horizontal="center"/>
    </xf>
    <xf numFmtId="42" fontId="21" fillId="12" borderId="6" xfId="0" applyNumberFormat="1" applyFont="1" applyFill="1" applyBorder="1" applyAlignment="1">
      <alignment vertical="top"/>
    </xf>
    <xf numFmtId="42" fontId="21" fillId="12" borderId="6" xfId="0" applyNumberFormat="1" applyFont="1" applyFill="1" applyBorder="1" applyAlignment="1">
      <alignment vertical="center"/>
    </xf>
    <xf numFmtId="42" fontId="21" fillId="12" borderId="6" xfId="0" applyNumberFormat="1" applyFont="1" applyFill="1" applyBorder="1" applyAlignment="1">
      <alignment horizontal="left" vertical="top"/>
    </xf>
    <xf numFmtId="42" fontId="21" fillId="12" borderId="6" xfId="0" applyNumberFormat="1" applyFont="1" applyFill="1" applyBorder="1" applyAlignment="1"/>
    <xf numFmtId="42" fontId="21" fillId="12" borderId="6" xfId="0" applyNumberFormat="1" applyFont="1" applyFill="1" applyBorder="1" applyAlignment="1">
      <alignment horizontal="left"/>
    </xf>
    <xf numFmtId="0" fontId="8" fillId="0" borderId="28" xfId="0" applyFont="1" applyBorder="1" applyAlignment="1"/>
    <xf numFmtId="0" fontId="8" fillId="6" borderId="9" xfId="0" applyFont="1" applyFill="1" applyBorder="1" applyAlignment="1">
      <alignment wrapText="1"/>
    </xf>
    <xf numFmtId="0" fontId="10" fillId="0" borderId="25" xfId="0" applyFont="1" applyBorder="1" applyAlignment="1">
      <alignment vertical="center" wrapText="1"/>
    </xf>
    <xf numFmtId="0" fontId="8" fillId="0" borderId="23" xfId="0" applyFont="1" applyBorder="1" applyAlignment="1">
      <alignment vertical="center" wrapText="1"/>
    </xf>
    <xf numFmtId="0" fontId="2" fillId="0" borderId="9" xfId="0" applyFont="1" applyBorder="1" applyAlignment="1">
      <alignment vertical="center"/>
    </xf>
    <xf numFmtId="0" fontId="66" fillId="0" borderId="25" xfId="0" applyFont="1" applyBorder="1" applyAlignment="1">
      <alignment vertical="center" wrapText="1"/>
    </xf>
    <xf numFmtId="0" fontId="10" fillId="0" borderId="17" xfId="0" applyFont="1" applyBorder="1" applyAlignment="1">
      <alignment vertical="center" wrapText="1"/>
    </xf>
    <xf numFmtId="0" fontId="66" fillId="0" borderId="29" xfId="0" applyFont="1" applyBorder="1" applyAlignment="1">
      <alignment vertical="center" wrapText="1"/>
    </xf>
    <xf numFmtId="0" fontId="8" fillId="0" borderId="42" xfId="0" applyFont="1" applyBorder="1" applyAlignment="1"/>
    <xf numFmtId="0" fontId="8" fillId="6" borderId="42" xfId="0" applyFont="1" applyFill="1" applyBorder="1" applyAlignment="1">
      <alignment wrapText="1"/>
    </xf>
    <xf numFmtId="0" fontId="8" fillId="0" borderId="9" xfId="0" applyFont="1" applyBorder="1" applyAlignment="1"/>
    <xf numFmtId="0" fontId="66" fillId="0" borderId="32" xfId="0" applyFont="1" applyBorder="1" applyAlignment="1">
      <alignment vertical="center" wrapText="1"/>
    </xf>
    <xf numFmtId="0" fontId="67" fillId="0" borderId="43" xfId="0" applyFont="1" applyBorder="1" applyAlignment="1">
      <alignment vertical="center" wrapText="1"/>
    </xf>
    <xf numFmtId="0" fontId="67" fillId="0" borderId="9" xfId="0" applyFont="1" applyBorder="1" applyAlignment="1">
      <alignment vertical="center" wrapText="1"/>
    </xf>
    <xf numFmtId="0" fontId="8" fillId="0" borderId="32" xfId="0" applyFont="1" applyBorder="1" applyAlignment="1">
      <alignment wrapText="1"/>
    </xf>
    <xf numFmtId="0" fontId="2" fillId="0" borderId="23" xfId="0" applyFont="1" applyBorder="1" applyAlignment="1">
      <alignment vertical="center"/>
    </xf>
    <xf numFmtId="0" fontId="2" fillId="0" borderId="28" xfId="0" applyFont="1" applyBorder="1" applyAlignment="1">
      <alignment vertical="center"/>
    </xf>
    <xf numFmtId="0" fontId="8" fillId="0" borderId="18" xfId="0" applyFont="1" applyBorder="1" applyAlignment="1">
      <alignment wrapText="1"/>
    </xf>
    <xf numFmtId="0" fontId="8" fillId="0" borderId="18" xfId="0" applyFont="1" applyBorder="1" applyAlignment="1">
      <alignment vertical="center" wrapText="1"/>
    </xf>
    <xf numFmtId="164" fontId="8" fillId="0" borderId="18" xfId="0" applyNumberFormat="1" applyFont="1" applyBorder="1" applyAlignment="1">
      <alignment vertical="center" wrapText="1"/>
    </xf>
    <xf numFmtId="0" fontId="8" fillId="15" borderId="18" xfId="0" applyFont="1" applyFill="1" applyBorder="1" applyAlignment="1"/>
    <xf numFmtId="0" fontId="8" fillId="8" borderId="18" xfId="0" applyFont="1" applyFill="1" applyBorder="1" applyAlignment="1"/>
    <xf numFmtId="0" fontId="2" fillId="0" borderId="42" xfId="0" applyFont="1" applyBorder="1" applyAlignment="1">
      <alignment vertical="center"/>
    </xf>
    <xf numFmtId="0" fontId="8" fillId="4" borderId="42" xfId="0" applyFont="1" applyFill="1" applyBorder="1" applyAlignment="1"/>
    <xf numFmtId="164" fontId="8" fillId="0" borderId="42" xfId="0" applyNumberFormat="1" applyFont="1" applyBorder="1" applyAlignment="1">
      <alignment vertical="center" wrapText="1"/>
    </xf>
    <xf numFmtId="0" fontId="8" fillId="0" borderId="42" xfId="0" applyFont="1" applyBorder="1" applyAlignment="1">
      <alignment vertical="center"/>
    </xf>
    <xf numFmtId="0" fontId="67" fillId="0" borderId="10" xfId="0" applyFont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/>
    </xf>
    <xf numFmtId="0" fontId="0" fillId="0" borderId="0" xfId="0" applyFont="1" applyFill="1" applyAlignment="1">
      <alignment vertical="center"/>
    </xf>
    <xf numFmtId="0" fontId="29" fillId="30" borderId="6" xfId="0" applyFont="1" applyFill="1" applyBorder="1" applyAlignment="1">
      <alignment horizontal="center"/>
    </xf>
    <xf numFmtId="0" fontId="0" fillId="0" borderId="0" xfId="0" applyFont="1" applyFill="1" applyAlignment="1">
      <alignment horizontal="center" vertical="center"/>
    </xf>
    <xf numFmtId="42" fontId="21" fillId="6" borderId="25" xfId="0" applyNumberFormat="1" applyFont="1" applyFill="1" applyBorder="1" applyAlignment="1">
      <alignment vertical="top"/>
    </xf>
    <xf numFmtId="42" fontId="21" fillId="6" borderId="42" xfId="0" applyNumberFormat="1" applyFont="1" applyFill="1" applyBorder="1" applyAlignment="1">
      <alignment vertical="top"/>
    </xf>
    <xf numFmtId="42" fontId="21" fillId="6" borderId="18" xfId="0" applyNumberFormat="1" applyFont="1" applyFill="1" applyBorder="1" applyAlignment="1">
      <alignment vertical="top"/>
    </xf>
    <xf numFmtId="42" fontId="21" fillId="6" borderId="17" xfId="0" applyNumberFormat="1" applyFont="1" applyFill="1" applyBorder="1" applyAlignment="1">
      <alignment vertical="top"/>
    </xf>
    <xf numFmtId="42" fontId="33" fillId="6" borderId="6" xfId="0" applyNumberFormat="1" applyFont="1" applyFill="1" applyBorder="1" applyAlignment="1">
      <alignment vertical="top"/>
    </xf>
    <xf numFmtId="42" fontId="21" fillId="6" borderId="17" xfId="0" applyNumberFormat="1" applyFont="1" applyFill="1" applyBorder="1" applyAlignment="1"/>
    <xf numFmtId="42" fontId="21" fillId="6" borderId="9" xfId="0" applyNumberFormat="1" applyFont="1" applyFill="1" applyBorder="1" applyAlignment="1"/>
    <xf numFmtId="42" fontId="21" fillId="11" borderId="6" xfId="0" applyNumberFormat="1" applyFont="1" applyFill="1" applyBorder="1" applyAlignment="1">
      <alignment vertical="top"/>
    </xf>
    <xf numFmtId="42" fontId="21" fillId="6" borderId="6" xfId="0" applyNumberFormat="1" applyFont="1" applyFill="1" applyBorder="1" applyAlignment="1">
      <alignment horizontal="right"/>
    </xf>
    <xf numFmtId="42" fontId="21" fillId="4" borderId="18" xfId="0" applyNumberFormat="1" applyFont="1" applyFill="1" applyBorder="1" applyAlignment="1"/>
    <xf numFmtId="42" fontId="21" fillId="12" borderId="6" xfId="0" applyNumberFormat="1" applyFont="1" applyFill="1" applyBorder="1" applyAlignment="1">
      <alignment horizontal="right" vertical="top"/>
    </xf>
    <xf numFmtId="42" fontId="21" fillId="12" borderId="6" xfId="0" applyNumberFormat="1" applyFont="1" applyFill="1" applyBorder="1" applyAlignment="1">
      <alignment horizontal="right"/>
    </xf>
    <xf numFmtId="42" fontId="21" fillId="11" borderId="6" xfId="0" applyNumberFormat="1" applyFont="1" applyFill="1" applyBorder="1" applyAlignment="1">
      <alignment vertical="center" wrapText="1"/>
    </xf>
    <xf numFmtId="42" fontId="21" fillId="11" borderId="6" xfId="0" applyNumberFormat="1" applyFont="1" applyFill="1" applyBorder="1" applyAlignment="1">
      <alignment horizontal="left"/>
    </xf>
    <xf numFmtId="42" fontId="21" fillId="11" borderId="9" xfId="0" applyNumberFormat="1" applyFont="1" applyFill="1" applyBorder="1" applyAlignment="1">
      <alignment vertical="center"/>
    </xf>
    <xf numFmtId="0" fontId="21" fillId="6" borderId="8" xfId="0" applyFont="1" applyFill="1" applyBorder="1" applyAlignment="1">
      <alignment horizontal="center"/>
    </xf>
    <xf numFmtId="42" fontId="21" fillId="6" borderId="17" xfId="0" applyNumberFormat="1" applyFont="1" applyFill="1" applyBorder="1" applyAlignment="1">
      <alignment horizontal="center"/>
    </xf>
    <xf numFmtId="42" fontId="21" fillId="6" borderId="25" xfId="0" applyNumberFormat="1" applyFont="1" applyFill="1" applyBorder="1" applyAlignment="1">
      <alignment vertical="top" wrapText="1"/>
    </xf>
    <xf numFmtId="42" fontId="21" fillId="6" borderId="18" xfId="0" applyNumberFormat="1" applyFont="1" applyFill="1" applyBorder="1" applyAlignment="1">
      <alignment vertical="center" wrapText="1"/>
    </xf>
    <xf numFmtId="42" fontId="21" fillId="6" borderId="42" xfId="0" applyNumberFormat="1" applyFont="1" applyFill="1" applyBorder="1" applyAlignment="1">
      <alignment horizontal="center" vertical="top"/>
    </xf>
    <xf numFmtId="42" fontId="21" fillId="6" borderId="42" xfId="0" applyNumberFormat="1" applyFont="1" applyFill="1" applyBorder="1" applyAlignment="1">
      <alignment horizontal="center"/>
    </xf>
    <xf numFmtId="42" fontId="21" fillId="6" borderId="42" xfId="0" applyNumberFormat="1" applyFont="1" applyFill="1" applyBorder="1" applyAlignment="1">
      <alignment vertical="center" wrapText="1"/>
    </xf>
    <xf numFmtId="0" fontId="21" fillId="6" borderId="27" xfId="0" applyFont="1" applyFill="1" applyBorder="1" applyAlignment="1">
      <alignment horizontal="center"/>
    </xf>
    <xf numFmtId="1" fontId="21" fillId="6" borderId="17" xfId="0" applyNumberFormat="1" applyFont="1" applyFill="1" applyBorder="1" applyAlignment="1">
      <alignment vertical="center" wrapText="1"/>
    </xf>
    <xf numFmtId="0" fontId="21" fillId="6" borderId="17" xfId="0" applyFont="1" applyFill="1" applyBorder="1" applyAlignment="1">
      <alignment horizontal="center"/>
    </xf>
    <xf numFmtId="0" fontId="21" fillId="6" borderId="25" xfId="0" applyFont="1" applyFill="1" applyBorder="1" applyAlignment="1">
      <alignment vertical="top" wrapText="1"/>
    </xf>
    <xf numFmtId="0" fontId="11" fillId="6" borderId="42" xfId="0" applyFont="1" applyFill="1" applyBorder="1" applyAlignment="1"/>
    <xf numFmtId="0" fontId="21" fillId="6" borderId="42" xfId="0" applyFont="1" applyFill="1" applyBorder="1" applyAlignment="1">
      <alignment horizontal="center" vertical="center"/>
    </xf>
    <xf numFmtId="0" fontId="21" fillId="6" borderId="42" xfId="0" applyFont="1" applyFill="1" applyBorder="1" applyAlignment="1"/>
    <xf numFmtId="0" fontId="78" fillId="17" borderId="25" xfId="0" applyFont="1" applyFill="1" applyBorder="1" applyAlignment="1">
      <alignment horizontal="center" vertical="center"/>
    </xf>
    <xf numFmtId="0" fontId="78" fillId="17" borderId="25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5" fillId="0" borderId="0" xfId="0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42" fontId="22" fillId="0" borderId="0" xfId="0" applyNumberFormat="1" applyFont="1" applyAlignment="1">
      <alignment horizontal="center"/>
    </xf>
    <xf numFmtId="42" fontId="78" fillId="17" borderId="25" xfId="0" applyNumberFormat="1" applyFont="1" applyFill="1" applyBorder="1" applyAlignment="1">
      <alignment horizontal="center" vertical="center"/>
    </xf>
    <xf numFmtId="42" fontId="11" fillId="6" borderId="17" xfId="0" applyNumberFormat="1" applyFont="1" applyFill="1" applyBorder="1" applyAlignment="1">
      <alignment horizontal="center" vertical="center"/>
    </xf>
    <xf numFmtId="42" fontId="11" fillId="6" borderId="12" xfId="0" applyNumberFormat="1" applyFont="1" applyFill="1" applyBorder="1" applyAlignment="1">
      <alignment horizontal="center" vertical="center"/>
    </xf>
    <xf numFmtId="42" fontId="11" fillId="6" borderId="12" xfId="0" applyNumberFormat="1" applyFont="1" applyFill="1" applyBorder="1" applyAlignment="1">
      <alignment vertical="center"/>
    </xf>
    <xf numFmtId="42" fontId="11" fillId="6" borderId="12" xfId="0" applyNumberFormat="1" applyFont="1" applyFill="1" applyBorder="1" applyAlignment="1">
      <alignment horizontal="left" vertical="center"/>
    </xf>
    <xf numFmtId="42" fontId="8" fillId="6" borderId="12" xfId="0" applyNumberFormat="1" applyFont="1" applyFill="1" applyBorder="1" applyAlignment="1">
      <alignment vertical="center"/>
    </xf>
    <xf numFmtId="0" fontId="32" fillId="18" borderId="6" xfId="0" applyFont="1" applyFill="1" applyBorder="1" applyAlignment="1">
      <alignment vertical="center" wrapText="1"/>
    </xf>
    <xf numFmtId="42" fontId="32" fillId="18" borderId="6" xfId="0" applyNumberFormat="1" applyFont="1" applyFill="1" applyBorder="1" applyAlignment="1">
      <alignment horizontal="center" vertical="center" wrapText="1"/>
    </xf>
    <xf numFmtId="42" fontId="10" fillId="6" borderId="6" xfId="0" applyNumberFormat="1" applyFont="1" applyFill="1" applyBorder="1" applyAlignment="1"/>
    <xf numFmtId="42" fontId="10" fillId="6" borderId="6" xfId="0" applyNumberFormat="1" applyFont="1" applyFill="1" applyBorder="1" applyAlignment="1">
      <alignment vertical="top"/>
    </xf>
    <xf numFmtId="42" fontId="13" fillId="6" borderId="6" xfId="0" applyNumberFormat="1" applyFont="1" applyFill="1" applyBorder="1" applyAlignment="1"/>
    <xf numFmtId="42" fontId="13" fillId="6" borderId="6" xfId="0" applyNumberFormat="1" applyFont="1" applyFill="1" applyBorder="1" applyAlignment="1">
      <alignment horizontal="right"/>
    </xf>
    <xf numFmtId="42" fontId="13" fillId="6" borderId="6" xfId="0" applyNumberFormat="1" applyFont="1" applyFill="1" applyBorder="1" applyAlignment="1">
      <alignment horizontal="center" vertical="top"/>
    </xf>
    <xf numFmtId="42" fontId="8" fillId="4" borderId="6" xfId="0" applyNumberFormat="1" applyFont="1" applyFill="1" applyBorder="1" applyAlignment="1">
      <alignment vertical="top"/>
    </xf>
    <xf numFmtId="42" fontId="13" fillId="6" borderId="6" xfId="0" applyNumberFormat="1" applyFont="1" applyFill="1" applyBorder="1" applyAlignment="1">
      <alignment horizontal="right" vertical="top"/>
    </xf>
    <xf numFmtId="42" fontId="13" fillId="6" borderId="6" xfId="0" applyNumberFormat="1" applyFont="1" applyFill="1" applyBorder="1" applyAlignment="1">
      <alignment horizontal="center" vertical="top" wrapText="1" readingOrder="1"/>
    </xf>
    <xf numFmtId="42" fontId="10" fillId="6" borderId="6" xfId="0" applyNumberFormat="1" applyFont="1" applyFill="1" applyBorder="1" applyAlignment="1">
      <alignment horizontal="center" vertical="center"/>
    </xf>
    <xf numFmtId="42" fontId="10" fillId="6" borderId="6" xfId="0" applyNumberFormat="1" applyFont="1" applyFill="1" applyBorder="1" applyAlignment="1">
      <alignment horizontal="center"/>
    </xf>
    <xf numFmtId="42" fontId="8" fillId="6" borderId="6" xfId="0" applyNumberFormat="1" applyFont="1" applyFill="1" applyBorder="1" applyAlignment="1">
      <alignment horizontal="center"/>
    </xf>
    <xf numFmtId="42" fontId="10" fillId="6" borderId="6" xfId="0" applyNumberFormat="1" applyFont="1" applyFill="1" applyBorder="1" applyAlignment="1">
      <alignment horizontal="center" vertical="top"/>
    </xf>
    <xf numFmtId="42" fontId="8" fillId="0" borderId="0" xfId="0" applyNumberFormat="1" applyFont="1" applyAlignment="1"/>
    <xf numFmtId="42" fontId="39" fillId="16" borderId="6" xfId="0" applyNumberFormat="1" applyFont="1" applyFill="1" applyBorder="1" applyAlignment="1">
      <alignment horizontal="center"/>
    </xf>
    <xf numFmtId="42" fontId="8" fillId="6" borderId="6" xfId="0" applyNumberFormat="1" applyFont="1" applyFill="1" applyBorder="1" applyAlignment="1"/>
    <xf numFmtId="42" fontId="8" fillId="6" borderId="6" xfId="0" applyNumberFormat="1" applyFont="1" applyFill="1" applyBorder="1" applyAlignment="1">
      <alignment vertical="center"/>
    </xf>
    <xf numFmtId="42" fontId="13" fillId="6" borderId="6" xfId="0" applyNumberFormat="1" applyFont="1" applyFill="1" applyBorder="1" applyAlignment="1">
      <alignment horizontal="center" vertical="center" wrapText="1" readingOrder="1"/>
    </xf>
    <xf numFmtId="0" fontId="32" fillId="18" borderId="25" xfId="0" applyFont="1" applyFill="1" applyBorder="1" applyAlignment="1">
      <alignment horizontal="center" vertical="center" wrapText="1"/>
    </xf>
    <xf numFmtId="164" fontId="32" fillId="18" borderId="25" xfId="0" applyNumberFormat="1" applyFont="1" applyFill="1" applyBorder="1" applyAlignment="1">
      <alignment horizontal="center" vertical="center" wrapText="1"/>
    </xf>
    <xf numFmtId="0" fontId="8" fillId="0" borderId="42" xfId="0" applyFont="1" applyFill="1" applyBorder="1" applyAlignment="1"/>
    <xf numFmtId="164" fontId="8" fillId="0" borderId="42" xfId="0" applyNumberFormat="1" applyFont="1" applyFill="1" applyBorder="1" applyAlignment="1"/>
    <xf numFmtId="0" fontId="0" fillId="0" borderId="42" xfId="0" applyFont="1" applyFill="1" applyBorder="1" applyAlignment="1">
      <alignment vertical="center"/>
    </xf>
    <xf numFmtId="0" fontId="10" fillId="0" borderId="42" xfId="0" applyFont="1" applyFill="1" applyBorder="1" applyAlignment="1">
      <alignment vertical="center"/>
    </xf>
    <xf numFmtId="164" fontId="10" fillId="0" borderId="42" xfId="0" applyNumberFormat="1" applyFont="1" applyFill="1" applyBorder="1" applyAlignment="1">
      <alignment vertical="center"/>
    </xf>
    <xf numFmtId="0" fontId="8" fillId="0" borderId="6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0" fillId="0" borderId="25" xfId="0" applyFont="1" applyFill="1" applyBorder="1" applyAlignment="1">
      <alignment horizontal="center" vertical="center"/>
    </xf>
    <xf numFmtId="0" fontId="8" fillId="0" borderId="9" xfId="0" applyFont="1" applyFill="1" applyBorder="1" applyAlignment="1">
      <alignment vertical="center"/>
    </xf>
    <xf numFmtId="0" fontId="10" fillId="0" borderId="9" xfId="0" applyFont="1" applyFill="1" applyBorder="1" applyAlignment="1">
      <alignment vertical="center"/>
    </xf>
    <xf numFmtId="0" fontId="10" fillId="0" borderId="17" xfId="0" applyFont="1" applyFill="1" applyBorder="1" applyAlignment="1"/>
    <xf numFmtId="164" fontId="8" fillId="0" borderId="9" xfId="0" applyNumberFormat="1" applyFont="1" applyFill="1" applyBorder="1" applyAlignment="1">
      <alignment vertical="center"/>
    </xf>
    <xf numFmtId="42" fontId="40" fillId="16" borderId="25" xfId="0" applyNumberFormat="1" applyFont="1" applyFill="1" applyBorder="1" applyAlignment="1">
      <alignment vertical="center"/>
    </xf>
    <xf numFmtId="42" fontId="8" fillId="11" borderId="6" xfId="0" applyNumberFormat="1" applyFont="1" applyFill="1" applyBorder="1" applyAlignment="1">
      <alignment vertical="center"/>
    </xf>
    <xf numFmtId="42" fontId="10" fillId="6" borderId="6" xfId="0" applyNumberFormat="1" applyFont="1" applyFill="1" applyBorder="1" applyAlignment="1">
      <alignment vertical="center"/>
    </xf>
    <xf numFmtId="42" fontId="10" fillId="11" borderId="6" xfId="0" applyNumberFormat="1" applyFont="1" applyFill="1" applyBorder="1" applyAlignment="1">
      <alignment vertical="center"/>
    </xf>
    <xf numFmtId="42" fontId="10" fillId="11" borderId="6" xfId="0" applyNumberFormat="1" applyFont="1" applyFill="1" applyBorder="1" applyAlignment="1"/>
    <xf numFmtId="42" fontId="13" fillId="6" borderId="6" xfId="0" applyNumberFormat="1" applyFont="1" applyFill="1" applyBorder="1" applyAlignment="1">
      <alignment vertical="center"/>
    </xf>
    <xf numFmtId="42" fontId="10" fillId="12" borderId="6" xfId="0" applyNumberFormat="1" applyFont="1" applyFill="1" applyBorder="1" applyAlignment="1">
      <alignment vertical="center"/>
    </xf>
    <xf numFmtId="42" fontId="10" fillId="12" borderId="6" xfId="0" applyNumberFormat="1" applyFont="1" applyFill="1" applyBorder="1" applyAlignment="1"/>
    <xf numFmtId="42" fontId="8" fillId="9" borderId="6" xfId="0" applyNumberFormat="1" applyFont="1" applyFill="1" applyBorder="1" applyAlignment="1"/>
    <xf numFmtId="42" fontId="17" fillId="12" borderId="6" xfId="0" applyNumberFormat="1" applyFont="1" applyFill="1" applyBorder="1" applyAlignment="1">
      <alignment horizontal="center" vertical="center" wrapText="1" readingOrder="1"/>
    </xf>
    <xf numFmtId="42" fontId="17" fillId="12" borderId="6" xfId="0" applyNumberFormat="1" applyFont="1" applyFill="1" applyBorder="1" applyAlignment="1">
      <alignment horizontal="left" vertical="center" wrapText="1" readingOrder="1"/>
    </xf>
    <xf numFmtId="42" fontId="8" fillId="12" borderId="6" xfId="0" applyNumberFormat="1" applyFont="1" applyFill="1" applyBorder="1" applyAlignment="1"/>
    <xf numFmtId="42" fontId="8" fillId="12" borderId="9" xfId="0" applyNumberFormat="1" applyFont="1" applyFill="1" applyBorder="1" applyAlignment="1"/>
    <xf numFmtId="42" fontId="42" fillId="17" borderId="11" xfId="0" applyNumberFormat="1" applyFont="1" applyFill="1" applyBorder="1" applyAlignment="1">
      <alignment horizontal="center" vertical="center"/>
    </xf>
    <xf numFmtId="42" fontId="2" fillId="0" borderId="3" xfId="0" applyNumberFormat="1" applyFont="1" applyBorder="1" applyAlignment="1">
      <alignment vertical="center"/>
    </xf>
    <xf numFmtId="42" fontId="17" fillId="0" borderId="6" xfId="0" applyNumberFormat="1" applyFont="1" applyBorder="1" applyAlignment="1">
      <alignment horizontal="center" vertical="center"/>
    </xf>
    <xf numFmtId="42" fontId="10" fillId="0" borderId="6" xfId="0" applyNumberFormat="1" applyFont="1" applyBorder="1" applyAlignment="1">
      <alignment vertical="center"/>
    </xf>
    <xf numFmtId="42" fontId="13" fillId="0" borderId="6" xfId="0" applyNumberFormat="1" applyFont="1" applyBorder="1" applyAlignment="1">
      <alignment vertical="center"/>
    </xf>
    <xf numFmtId="42" fontId="10" fillId="0" borderId="6" xfId="0" applyNumberFormat="1" applyFont="1" applyBorder="1" applyAlignment="1"/>
    <xf numFmtId="0" fontId="66" fillId="0" borderId="6" xfId="0" applyFont="1" applyBorder="1" applyAlignment="1">
      <alignment vertical="center"/>
    </xf>
    <xf numFmtId="164" fontId="8" fillId="0" borderId="9" xfId="0" applyNumberFormat="1" applyFont="1" applyBorder="1" applyAlignment="1"/>
    <xf numFmtId="164" fontId="8" fillId="0" borderId="25" xfId="0" applyNumberFormat="1" applyFont="1" applyBorder="1" applyAlignment="1"/>
    <xf numFmtId="0" fontId="10" fillId="0" borderId="25" xfId="0" applyFont="1" applyBorder="1" applyAlignment="1">
      <alignment vertical="center"/>
    </xf>
    <xf numFmtId="0" fontId="0" fillId="0" borderId="9" xfId="0" applyFont="1" applyBorder="1" applyAlignment="1">
      <alignment vertical="center"/>
    </xf>
    <xf numFmtId="164" fontId="8" fillId="0" borderId="18" xfId="0" applyNumberFormat="1" applyFont="1" applyBorder="1" applyAlignment="1"/>
    <xf numFmtId="0" fontId="10" fillId="0" borderId="18" xfId="0" applyFont="1" applyBorder="1" applyAlignment="1">
      <alignment vertical="center"/>
    </xf>
    <xf numFmtId="0" fontId="10" fillId="0" borderId="9" xfId="0" applyFont="1" applyBorder="1" applyAlignment="1">
      <alignment vertical="center"/>
    </xf>
    <xf numFmtId="0" fontId="29" fillId="16" borderId="25" xfId="0" applyFont="1" applyFill="1" applyBorder="1" applyAlignment="1">
      <alignment horizontal="left"/>
    </xf>
    <xf numFmtId="0" fontId="21" fillId="0" borderId="10" xfId="0" applyFont="1" applyBorder="1" applyAlignment="1">
      <alignment horizontal="left"/>
    </xf>
    <xf numFmtId="0" fontId="0" fillId="0" borderId="0" xfId="0" applyFont="1" applyAlignment="1">
      <alignment horizontal="left" vertical="center"/>
    </xf>
    <xf numFmtId="42" fontId="29" fillId="16" borderId="9" xfId="0" applyNumberFormat="1" applyFont="1" applyFill="1" applyBorder="1" applyAlignment="1">
      <alignment horizontal="center"/>
    </xf>
    <xf numFmtId="42" fontId="21" fillId="8" borderId="6" xfId="0" applyNumberFormat="1" applyFont="1" applyFill="1" applyBorder="1" applyAlignment="1"/>
    <xf numFmtId="42" fontId="21" fillId="0" borderId="6" xfId="0" applyNumberFormat="1" applyFont="1" applyBorder="1" applyAlignment="1">
      <alignment horizontal="center" vertical="center"/>
    </xf>
    <xf numFmtId="42" fontId="11" fillId="0" borderId="6" xfId="0" applyNumberFormat="1" applyFont="1" applyBorder="1" applyAlignment="1">
      <alignment horizontal="right"/>
    </xf>
    <xf numFmtId="42" fontId="48" fillId="0" borderId="6" xfId="0" applyNumberFormat="1" applyFont="1" applyBorder="1" applyAlignment="1"/>
    <xf numFmtId="42" fontId="21" fillId="0" borderId="6" xfId="0" applyNumberFormat="1" applyFont="1" applyBorder="1" applyAlignment="1">
      <alignment vertical="center"/>
    </xf>
    <xf numFmtId="42" fontId="21" fillId="0" borderId="6" xfId="0" applyNumberFormat="1" applyFont="1" applyBorder="1" applyAlignment="1">
      <alignment horizontal="left"/>
    </xf>
    <xf numFmtId="42" fontId="11" fillId="0" borderId="6" xfId="0" applyNumberFormat="1" applyFont="1" applyBorder="1" applyAlignment="1"/>
    <xf numFmtId="42" fontId="21" fillId="0" borderId="6" xfId="0" applyNumberFormat="1" applyFont="1" applyBorder="1" applyAlignment="1">
      <alignment horizontal="center"/>
    </xf>
    <xf numFmtId="42" fontId="10" fillId="0" borderId="6" xfId="0" applyNumberFormat="1" applyFont="1" applyBorder="1" applyAlignment="1">
      <alignment vertical="top"/>
    </xf>
    <xf numFmtId="42" fontId="10" fillId="8" borderId="6" xfId="0" applyNumberFormat="1" applyFont="1" applyFill="1" applyBorder="1" applyAlignment="1">
      <alignment vertical="top"/>
    </xf>
    <xf numFmtId="42" fontId="11" fillId="0" borderId="6" xfId="0" applyNumberFormat="1" applyFont="1" applyBorder="1" applyAlignment="1">
      <alignment horizontal="center" vertical="center"/>
    </xf>
    <xf numFmtId="42" fontId="21" fillId="0" borderId="6" xfId="0" applyNumberFormat="1" applyFont="1" applyBorder="1" applyAlignment="1">
      <alignment horizontal="right"/>
    </xf>
    <xf numFmtId="42" fontId="21" fillId="0" borderId="11" xfId="0" applyNumberFormat="1" applyFont="1" applyBorder="1" applyAlignment="1">
      <alignment horizontal="center" vertical="center"/>
    </xf>
    <xf numFmtId="42" fontId="21" fillId="0" borderId="11" xfId="0" applyNumberFormat="1" applyFont="1" applyBorder="1" applyAlignment="1">
      <alignment horizontal="center"/>
    </xf>
    <xf numFmtId="42" fontId="13" fillId="0" borderId="6" xfId="0" applyNumberFormat="1" applyFont="1" applyBorder="1" applyAlignment="1">
      <alignment horizontal="center" vertical="top"/>
    </xf>
    <xf numFmtId="42" fontId="13" fillId="0" borderId="6" xfId="0" applyNumberFormat="1" applyFont="1" applyBorder="1" applyAlignment="1">
      <alignment vertical="top"/>
    </xf>
    <xf numFmtId="42" fontId="21" fillId="0" borderId="11" xfId="0" applyNumberFormat="1" applyFont="1" applyBorder="1" applyAlignment="1"/>
    <xf numFmtId="42" fontId="13" fillId="8" borderId="6" xfId="0" applyNumberFormat="1" applyFont="1" applyFill="1" applyBorder="1" applyAlignment="1">
      <alignment vertical="top"/>
    </xf>
    <xf numFmtId="42" fontId="21" fillId="0" borderId="6" xfId="0" applyNumberFormat="1" applyFont="1" applyBorder="1" applyAlignment="1">
      <alignment horizontal="center" vertical="top"/>
    </xf>
    <xf numFmtId="42" fontId="17" fillId="0" borderId="6" xfId="0" applyNumberFormat="1" applyFont="1" applyBorder="1" applyAlignment="1">
      <alignment horizontal="left"/>
    </xf>
    <xf numFmtId="42" fontId="11" fillId="0" borderId="6" xfId="0" applyNumberFormat="1" applyFont="1" applyBorder="1" applyAlignment="1">
      <alignment horizontal="center"/>
    </xf>
    <xf numFmtId="42" fontId="21" fillId="0" borderId="0" xfId="0" applyNumberFormat="1" applyFont="1" applyAlignment="1">
      <alignment horizontal="center" vertical="center"/>
    </xf>
    <xf numFmtId="42" fontId="21" fillId="0" borderId="6" xfId="0" applyNumberFormat="1" applyFont="1" applyBorder="1" applyAlignment="1">
      <alignment horizontal="left" vertical="center"/>
    </xf>
    <xf numFmtId="42" fontId="17" fillId="0" borderId="6" xfId="0" applyNumberFormat="1" applyFont="1" applyBorder="1" applyAlignment="1"/>
    <xf numFmtId="42" fontId="12" fillId="4" borderId="9" xfId="0" applyNumberFormat="1" applyFont="1" applyFill="1" applyBorder="1" applyAlignment="1">
      <alignment vertical="center"/>
    </xf>
    <xf numFmtId="0" fontId="51" fillId="29" borderId="5" xfId="0" applyFont="1" applyFill="1" applyBorder="1" applyAlignment="1">
      <alignment horizontal="left" vertical="center"/>
    </xf>
    <xf numFmtId="0" fontId="0" fillId="29" borderId="0" xfId="0" applyFont="1" applyFill="1" applyAlignment="1">
      <alignment vertical="center"/>
    </xf>
    <xf numFmtId="0" fontId="10" fillId="29" borderId="0" xfId="0" applyFont="1" applyFill="1" applyAlignment="1">
      <alignment horizontal="center" vertical="center"/>
    </xf>
    <xf numFmtId="42" fontId="10" fillId="29" borderId="0" xfId="0" applyNumberFormat="1" applyFont="1" applyFill="1" applyAlignment="1">
      <alignment vertical="center"/>
    </xf>
    <xf numFmtId="0" fontId="10" fillId="29" borderId="0" xfId="0" applyFont="1" applyFill="1" applyAlignment="1">
      <alignment horizontal="left" vertical="center"/>
    </xf>
    <xf numFmtId="0" fontId="29" fillId="28" borderId="25" xfId="0" applyFont="1" applyFill="1" applyBorder="1" applyAlignment="1">
      <alignment vertical="center"/>
    </xf>
    <xf numFmtId="0" fontId="29" fillId="28" borderId="25" xfId="0" applyFont="1" applyFill="1" applyBorder="1" applyAlignment="1">
      <alignment horizontal="left" vertical="center"/>
    </xf>
    <xf numFmtId="0" fontId="29" fillId="28" borderId="8" xfId="0" applyFont="1" applyFill="1" applyBorder="1" applyAlignment="1">
      <alignment vertical="center"/>
    </xf>
    <xf numFmtId="0" fontId="29" fillId="28" borderId="26" xfId="0" applyFont="1" applyFill="1" applyBorder="1" applyAlignment="1">
      <alignment vertical="center"/>
    </xf>
    <xf numFmtId="0" fontId="29" fillId="28" borderId="17" xfId="0" applyFont="1" applyFill="1" applyBorder="1" applyAlignment="1">
      <alignment vertical="center"/>
    </xf>
    <xf numFmtId="42" fontId="29" fillId="28" borderId="25" xfId="0" applyNumberFormat="1" applyFont="1" applyFill="1" applyBorder="1" applyAlignment="1">
      <alignment vertical="center"/>
    </xf>
    <xf numFmtId="0" fontId="29" fillId="28" borderId="25" xfId="0" applyFont="1" applyFill="1" applyBorder="1" applyAlignment="1">
      <alignment vertical="center" wrapText="1"/>
    </xf>
    <xf numFmtId="0" fontId="80" fillId="29" borderId="42" xfId="0" applyFont="1" applyFill="1" applyBorder="1" applyAlignment="1">
      <alignment vertical="center"/>
    </xf>
    <xf numFmtId="0" fontId="70" fillId="0" borderId="42" xfId="0" applyFont="1" applyBorder="1" applyAlignment="1">
      <alignment horizontal="center" vertical="center"/>
    </xf>
    <xf numFmtId="0" fontId="21" fillId="0" borderId="17" xfId="0" applyFont="1" applyBorder="1" applyAlignment="1">
      <alignment horizontal="left" vertical="center" wrapText="1"/>
    </xf>
    <xf numFmtId="0" fontId="8" fillId="0" borderId="17" xfId="0" applyFont="1" applyBorder="1" applyAlignment="1">
      <alignment horizontal="left" vertical="top"/>
    </xf>
    <xf numFmtId="0" fontId="8" fillId="8" borderId="17" xfId="0" applyFont="1" applyFill="1" applyBorder="1" applyAlignment="1">
      <alignment horizontal="left" vertical="top"/>
    </xf>
    <xf numFmtId="0" fontId="11" fillId="0" borderId="17" xfId="0" applyFont="1" applyBorder="1" applyAlignment="1">
      <alignment horizontal="left" vertical="center" wrapText="1"/>
    </xf>
    <xf numFmtId="0" fontId="21" fillId="0" borderId="29" xfId="0" applyFont="1" applyBorder="1" applyAlignment="1">
      <alignment horizontal="left" vertical="center" wrapText="1"/>
    </xf>
    <xf numFmtId="0" fontId="21" fillId="0" borderId="17" xfId="0" applyFont="1" applyBorder="1" applyAlignment="1">
      <alignment horizontal="left" vertical="center"/>
    </xf>
    <xf numFmtId="0" fontId="21" fillId="0" borderId="17" xfId="0" applyFont="1" applyBorder="1" applyAlignment="1">
      <alignment horizontal="left" vertical="top"/>
    </xf>
    <xf numFmtId="0" fontId="21" fillId="0" borderId="17" xfId="0" applyFont="1" applyBorder="1" applyAlignment="1">
      <alignment horizontal="left"/>
    </xf>
    <xf numFmtId="0" fontId="71" fillId="0" borderId="17" xfId="0" applyFont="1" applyBorder="1" applyAlignment="1">
      <alignment horizontal="left" vertical="center"/>
    </xf>
    <xf numFmtId="0" fontId="73" fillId="29" borderId="5" xfId="0" applyFont="1" applyFill="1" applyBorder="1" applyAlignment="1">
      <alignment vertical="center"/>
    </xf>
    <xf numFmtId="0" fontId="11" fillId="0" borderId="6" xfId="0" applyFont="1" applyFill="1" applyBorder="1" applyAlignment="1">
      <alignment horizontal="center" vertical="top"/>
    </xf>
    <xf numFmtId="0" fontId="21" fillId="0" borderId="6" xfId="0" applyFont="1" applyFill="1" applyBorder="1" applyAlignment="1">
      <alignment horizontal="center" vertical="top" wrapText="1"/>
    </xf>
    <xf numFmtId="0" fontId="13" fillId="0" borderId="6" xfId="0" applyFont="1" applyFill="1" applyBorder="1" applyAlignment="1">
      <alignment vertical="top"/>
    </xf>
    <xf numFmtId="0" fontId="21" fillId="0" borderId="6" xfId="0" applyFont="1" applyFill="1" applyBorder="1" applyAlignment="1">
      <alignment horizontal="center" vertical="top"/>
    </xf>
    <xf numFmtId="0" fontId="13" fillId="0" borderId="6" xfId="0" applyFont="1" applyFill="1" applyBorder="1" applyAlignment="1">
      <alignment horizontal="center" vertical="top"/>
    </xf>
    <xf numFmtId="42" fontId="13" fillId="0" borderId="6" xfId="0" applyNumberFormat="1" applyFont="1" applyFill="1" applyBorder="1" applyAlignment="1">
      <alignment vertical="top"/>
    </xf>
    <xf numFmtId="0" fontId="21" fillId="0" borderId="6" xfId="0" applyFont="1" applyFill="1" applyBorder="1" applyAlignment="1">
      <alignment vertical="top" wrapText="1"/>
    </xf>
    <xf numFmtId="0" fontId="21" fillId="0" borderId="6" xfId="0" applyFont="1" applyFill="1" applyBorder="1" applyAlignment="1">
      <alignment horizontal="left" vertical="top"/>
    </xf>
    <xf numFmtId="0" fontId="10" fillId="0" borderId="7" xfId="0" applyFont="1" applyFill="1" applyBorder="1" applyAlignment="1">
      <alignment wrapText="1"/>
    </xf>
    <xf numFmtId="0" fontId="7" fillId="0" borderId="6" xfId="0" applyFont="1" applyFill="1" applyBorder="1" applyAlignment="1">
      <alignment vertical="center"/>
    </xf>
    <xf numFmtId="0" fontId="10" fillId="0" borderId="6" xfId="0" applyFont="1" applyFill="1" applyBorder="1" applyAlignment="1">
      <alignment horizontal="center"/>
    </xf>
    <xf numFmtId="42" fontId="10" fillId="0" borderId="6" xfId="0" applyNumberFormat="1" applyFont="1" applyFill="1" applyBorder="1" applyAlignment="1">
      <alignment horizontal="center"/>
    </xf>
    <xf numFmtId="0" fontId="13" fillId="0" borderId="17" xfId="0" applyFont="1" applyFill="1" applyBorder="1" applyAlignment="1">
      <alignment vertical="top"/>
    </xf>
    <xf numFmtId="0" fontId="13" fillId="0" borderId="6" xfId="0" applyFont="1" applyFill="1" applyBorder="1" applyAlignment="1">
      <alignment vertical="top" wrapText="1"/>
    </xf>
    <xf numFmtId="0" fontId="21" fillId="0" borderId="0" xfId="0" applyFont="1" applyFill="1" applyAlignment="1">
      <alignment horizontal="center" vertical="top"/>
    </xf>
    <xf numFmtId="42" fontId="21" fillId="0" borderId="6" xfId="0" applyNumberFormat="1" applyFont="1" applyFill="1" applyBorder="1" applyAlignment="1">
      <alignment horizontal="left" vertical="top"/>
    </xf>
    <xf numFmtId="0" fontId="21" fillId="0" borderId="17" xfId="0" applyFont="1" applyFill="1" applyBorder="1" applyAlignment="1">
      <alignment vertical="top"/>
    </xf>
    <xf numFmtId="42" fontId="21" fillId="0" borderId="6" xfId="0" applyNumberFormat="1" applyFont="1" applyFill="1" applyBorder="1" applyAlignment="1">
      <alignment vertical="top"/>
    </xf>
    <xf numFmtId="0" fontId="13" fillId="0" borderId="6" xfId="0" applyFont="1" applyFill="1" applyBorder="1" applyAlignment="1">
      <alignment horizontal="center" vertical="top" wrapText="1"/>
    </xf>
    <xf numFmtId="0" fontId="13" fillId="0" borderId="6" xfId="0" applyFont="1" applyFill="1" applyBorder="1" applyAlignment="1"/>
    <xf numFmtId="0" fontId="13" fillId="0" borderId="6" xfId="0" applyFont="1" applyFill="1" applyBorder="1" applyAlignment="1">
      <alignment horizontal="center"/>
    </xf>
    <xf numFmtId="42" fontId="13" fillId="0" borderId="6" xfId="0" applyNumberFormat="1" applyFont="1" applyFill="1" applyBorder="1" applyAlignment="1"/>
    <xf numFmtId="0" fontId="13" fillId="0" borderId="6" xfId="0" applyFont="1" applyFill="1" applyBorder="1" applyAlignment="1">
      <alignment horizontal="center" wrapText="1"/>
    </xf>
    <xf numFmtId="0" fontId="13" fillId="0" borderId="28" xfId="0" applyFont="1" applyFill="1" applyBorder="1" applyAlignment="1">
      <alignment vertical="top" wrapText="1"/>
    </xf>
    <xf numFmtId="0" fontId="13" fillId="0" borderId="6" xfId="0" applyFont="1" applyFill="1" applyBorder="1" applyAlignment="1">
      <alignment horizontal="left"/>
    </xf>
    <xf numFmtId="42" fontId="13" fillId="0" borderId="6" xfId="0" applyNumberFormat="1" applyFont="1" applyFill="1" applyBorder="1" applyAlignment="1">
      <alignment horizontal="right"/>
    </xf>
    <xf numFmtId="0" fontId="10" fillId="0" borderId="17" xfId="0" applyFont="1" applyFill="1" applyBorder="1" applyAlignment="1">
      <alignment horizontal="left" vertical="top" wrapText="1" readingOrder="1"/>
    </xf>
    <xf numFmtId="0" fontId="21" fillId="0" borderId="10" xfId="0" applyFont="1" applyFill="1" applyBorder="1" applyAlignment="1">
      <alignment vertical="top" wrapText="1"/>
    </xf>
    <xf numFmtId="0" fontId="37" fillId="0" borderId="6" xfId="0" applyFont="1" applyFill="1" applyBorder="1" applyAlignment="1">
      <alignment horizontal="center" vertical="top"/>
    </xf>
    <xf numFmtId="0" fontId="10" fillId="0" borderId="7" xfId="0" applyFont="1" applyFill="1" applyBorder="1" applyAlignment="1">
      <alignment vertical="top"/>
    </xf>
    <xf numFmtId="0" fontId="21" fillId="0" borderId="6" xfId="0" applyFont="1" applyFill="1" applyBorder="1" applyAlignment="1">
      <alignment vertical="top"/>
    </xf>
    <xf numFmtId="1" fontId="21" fillId="0" borderId="6" xfId="0" applyNumberFormat="1" applyFont="1" applyFill="1" applyBorder="1" applyAlignment="1">
      <alignment horizontal="center" vertical="top"/>
    </xf>
    <xf numFmtId="42" fontId="21" fillId="0" borderId="6" xfId="0" applyNumberFormat="1" applyFont="1" applyFill="1" applyBorder="1" applyAlignment="1">
      <alignment horizontal="center" vertical="top"/>
    </xf>
    <xf numFmtId="0" fontId="21" fillId="0" borderId="6" xfId="0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vertical="center"/>
    </xf>
    <xf numFmtId="42" fontId="21" fillId="0" borderId="6" xfId="0" applyNumberFormat="1" applyFont="1" applyFill="1" applyBorder="1" applyAlignment="1">
      <alignment vertical="center"/>
    </xf>
    <xf numFmtId="0" fontId="10" fillId="0" borderId="7" xfId="0" applyFont="1" applyFill="1" applyBorder="1" applyAlignment="1">
      <alignment vertical="center" wrapText="1"/>
    </xf>
    <xf numFmtId="42" fontId="10" fillId="0" borderId="6" xfId="0" applyNumberFormat="1" applyFont="1" applyFill="1" applyBorder="1" applyAlignment="1">
      <alignment horizontal="center" vertical="center"/>
    </xf>
    <xf numFmtId="1" fontId="21" fillId="0" borderId="6" xfId="0" applyNumberFormat="1" applyFont="1" applyFill="1" applyBorder="1" applyAlignment="1">
      <alignment horizontal="center" vertical="top" wrapText="1"/>
    </xf>
    <xf numFmtId="42" fontId="21" fillId="0" borderId="6" xfId="0" applyNumberFormat="1" applyFont="1" applyFill="1" applyBorder="1" applyAlignment="1">
      <alignment vertical="top" wrapText="1"/>
    </xf>
    <xf numFmtId="0" fontId="21" fillId="0" borderId="11" xfId="0" applyFont="1" applyFill="1" applyBorder="1" applyAlignment="1">
      <alignment horizontal="center" vertical="top"/>
    </xf>
    <xf numFmtId="0" fontId="21" fillId="0" borderId="25" xfId="0" applyFont="1" applyFill="1" applyBorder="1" applyAlignment="1">
      <alignment horizontal="center" vertical="top"/>
    </xf>
    <xf numFmtId="0" fontId="21" fillId="0" borderId="6" xfId="0" applyFont="1" applyFill="1" applyBorder="1" applyAlignment="1">
      <alignment horizontal="left" vertical="top" wrapText="1"/>
    </xf>
    <xf numFmtId="171" fontId="21" fillId="0" borderId="6" xfId="0" applyNumberFormat="1" applyFont="1" applyFill="1" applyBorder="1" applyAlignment="1">
      <alignment horizontal="center" vertical="top"/>
    </xf>
    <xf numFmtId="0" fontId="11" fillId="0" borderId="6" xfId="0" applyFont="1" applyFill="1" applyBorder="1" applyAlignment="1">
      <alignment vertical="top"/>
    </xf>
    <xf numFmtId="42" fontId="11" fillId="0" borderId="6" xfId="0" applyNumberFormat="1" applyFont="1" applyFill="1" applyBorder="1" applyAlignment="1">
      <alignment horizontal="center" vertical="top"/>
    </xf>
    <xf numFmtId="0" fontId="11" fillId="0" borderId="6" xfId="0" applyFont="1" applyFill="1" applyBorder="1" applyAlignment="1">
      <alignment vertical="top" wrapText="1"/>
    </xf>
    <xf numFmtId="9" fontId="21" fillId="0" borderId="6" xfId="0" applyNumberFormat="1" applyFont="1" applyFill="1" applyBorder="1" applyAlignment="1">
      <alignment horizontal="left" vertical="top" wrapText="1"/>
    </xf>
    <xf numFmtId="0" fontId="21" fillId="0" borderId="0" xfId="0" applyFont="1" applyFill="1" applyAlignment="1">
      <alignment horizontal="left" vertical="top"/>
    </xf>
    <xf numFmtId="0" fontId="21" fillId="0" borderId="9" xfId="0" applyFont="1" applyFill="1" applyBorder="1" applyAlignment="1">
      <alignment horizontal="left" vertical="top"/>
    </xf>
    <xf numFmtId="0" fontId="10" fillId="0" borderId="6" xfId="0" applyFont="1" applyFill="1" applyBorder="1" applyAlignment="1">
      <alignment vertical="top" wrapText="1"/>
    </xf>
    <xf numFmtId="0" fontId="10" fillId="0" borderId="6" xfId="0" applyFont="1" applyFill="1" applyBorder="1" applyAlignment="1">
      <alignment vertical="top"/>
    </xf>
    <xf numFmtId="42" fontId="21" fillId="0" borderId="6" xfId="0" applyNumberFormat="1" applyFont="1" applyFill="1" applyBorder="1" applyAlignment="1">
      <alignment horizontal="right" vertical="top"/>
    </xf>
    <xf numFmtId="0" fontId="21" fillId="0" borderId="6" xfId="0" applyFont="1" applyFill="1" applyBorder="1" applyAlignment="1">
      <alignment horizontal="left" vertical="top" wrapText="1" readingOrder="1"/>
    </xf>
    <xf numFmtId="0" fontId="11" fillId="0" borderId="6" xfId="0" applyFont="1" applyFill="1" applyBorder="1" applyAlignment="1">
      <alignment horizontal="left" vertical="top"/>
    </xf>
    <xf numFmtId="0" fontId="11" fillId="0" borderId="6" xfId="0" applyFont="1" applyFill="1" applyBorder="1" applyAlignment="1">
      <alignment horizontal="left" vertical="top" wrapText="1"/>
    </xf>
    <xf numFmtId="0" fontId="21" fillId="0" borderId="3" xfId="0" applyFont="1" applyFill="1" applyBorder="1" applyAlignment="1">
      <alignment vertical="top"/>
    </xf>
    <xf numFmtId="0" fontId="21" fillId="0" borderId="3" xfId="0" applyFont="1" applyFill="1" applyBorder="1" applyAlignment="1">
      <alignment horizontal="center" vertical="top"/>
    </xf>
    <xf numFmtId="42" fontId="21" fillId="0" borderId="3" xfId="0" applyNumberFormat="1" applyFont="1" applyFill="1" applyBorder="1" applyAlignment="1">
      <alignment horizontal="left" vertical="top"/>
    </xf>
    <xf numFmtId="0" fontId="21" fillId="0" borderId="3" xfId="0" applyFont="1" applyFill="1" applyBorder="1" applyAlignment="1">
      <alignment vertical="top" wrapText="1"/>
    </xf>
    <xf numFmtId="0" fontId="21" fillId="0" borderId="10" xfId="0" applyFont="1" applyFill="1" applyBorder="1" applyAlignment="1">
      <alignment horizontal="left" vertical="top"/>
    </xf>
    <xf numFmtId="0" fontId="10" fillId="0" borderId="6" xfId="0" applyFont="1" applyFill="1" applyBorder="1" applyAlignment="1">
      <alignment horizontal="center" vertical="top"/>
    </xf>
    <xf numFmtId="0" fontId="11" fillId="0" borderId="3" xfId="0" applyFont="1" applyFill="1" applyBorder="1" applyAlignment="1">
      <alignment vertical="top"/>
    </xf>
    <xf numFmtId="0" fontId="21" fillId="0" borderId="28" xfId="0" applyFont="1" applyFill="1" applyBorder="1" applyAlignment="1">
      <alignment vertical="top"/>
    </xf>
    <xf numFmtId="0" fontId="21" fillId="0" borderId="11" xfId="0" applyFont="1" applyFill="1" applyBorder="1" applyAlignment="1">
      <alignment vertical="top"/>
    </xf>
    <xf numFmtId="42" fontId="21" fillId="0" borderId="11" xfId="0" applyNumberFormat="1" applyFont="1" applyFill="1" applyBorder="1" applyAlignment="1">
      <alignment horizontal="center" vertical="top"/>
    </xf>
    <xf numFmtId="42" fontId="21" fillId="0" borderId="25" xfId="0" applyNumberFormat="1" applyFont="1" applyFill="1" applyBorder="1" applyAlignment="1">
      <alignment horizontal="center" vertical="top"/>
    </xf>
    <xf numFmtId="0" fontId="21" fillId="0" borderId="25" xfId="0" applyFont="1" applyFill="1" applyBorder="1" applyAlignment="1">
      <alignment vertical="top" wrapText="1"/>
    </xf>
    <xf numFmtId="0" fontId="21" fillId="0" borderId="25" xfId="0" applyFont="1" applyFill="1" applyBorder="1" applyAlignment="1">
      <alignment horizontal="left" vertical="top"/>
    </xf>
    <xf numFmtId="0" fontId="21" fillId="0" borderId="28" xfId="0" applyFont="1" applyFill="1" applyBorder="1" applyAlignment="1">
      <alignment horizontal="left" vertical="top"/>
    </xf>
    <xf numFmtId="0" fontId="21" fillId="0" borderId="6" xfId="0" applyFont="1" applyFill="1" applyBorder="1" applyAlignment="1">
      <alignment horizontal="left" vertical="center" wrapText="1"/>
    </xf>
    <xf numFmtId="42" fontId="33" fillId="0" borderId="6" xfId="0" applyNumberFormat="1" applyFont="1" applyFill="1" applyBorder="1" applyAlignment="1">
      <alignment vertical="center" wrapText="1"/>
    </xf>
    <xf numFmtId="42" fontId="21" fillId="0" borderId="6" xfId="0" applyNumberFormat="1" applyFont="1" applyFill="1" applyBorder="1" applyAlignment="1">
      <alignment horizontal="center" vertical="center"/>
    </xf>
    <xf numFmtId="0" fontId="21" fillId="0" borderId="6" xfId="0" applyFont="1" applyFill="1" applyBorder="1" applyAlignment="1">
      <alignment vertical="center" wrapText="1"/>
    </xf>
    <xf numFmtId="0" fontId="21" fillId="0" borderId="10" xfId="0" applyFont="1" applyFill="1" applyBorder="1" applyAlignment="1">
      <alignment horizontal="left" vertical="center"/>
    </xf>
    <xf numFmtId="0" fontId="21" fillId="0" borderId="6" xfId="0" applyFont="1" applyFill="1" applyBorder="1" applyAlignment="1">
      <alignment horizontal="right" vertical="top"/>
    </xf>
    <xf numFmtId="0" fontId="21" fillId="0" borderId="38" xfId="0" applyFont="1" applyFill="1" applyBorder="1" applyAlignment="1">
      <alignment horizontal="left" vertical="center"/>
    </xf>
    <xf numFmtId="42" fontId="21" fillId="0" borderId="0" xfId="0" applyNumberFormat="1" applyFont="1" applyFill="1" applyAlignment="1">
      <alignment vertical="center"/>
    </xf>
    <xf numFmtId="0" fontId="21" fillId="0" borderId="7" xfId="0" applyFont="1" applyFill="1" applyBorder="1" applyAlignment="1">
      <alignment vertical="top"/>
    </xf>
    <xf numFmtId="164" fontId="21" fillId="0" borderId="6" xfId="0" applyNumberFormat="1" applyFont="1" applyFill="1" applyBorder="1" applyAlignment="1">
      <alignment vertical="top"/>
    </xf>
    <xf numFmtId="0" fontId="21" fillId="0" borderId="6" xfId="0" applyFont="1" applyFill="1" applyBorder="1" applyAlignment="1"/>
    <xf numFmtId="42" fontId="21" fillId="0" borderId="6" xfId="0" applyNumberFormat="1" applyFont="1" applyFill="1" applyBorder="1" applyAlignment="1"/>
    <xf numFmtId="0" fontId="21" fillId="0" borderId="6" xfId="0" applyFont="1" applyFill="1" applyBorder="1" applyAlignment="1">
      <alignment horizontal="left"/>
    </xf>
    <xf numFmtId="0" fontId="21" fillId="0" borderId="5" xfId="0" applyFont="1" applyFill="1" applyBorder="1" applyAlignment="1">
      <alignment vertical="center"/>
    </xf>
    <xf numFmtId="0" fontId="21" fillId="0" borderId="5" xfId="0" applyFont="1" applyFill="1" applyBorder="1" applyAlignment="1">
      <alignment horizontal="center" vertical="center"/>
    </xf>
    <xf numFmtId="42" fontId="21" fillId="0" borderId="5" xfId="0" applyNumberFormat="1" applyFont="1" applyFill="1" applyBorder="1" applyAlignment="1">
      <alignment vertical="center"/>
    </xf>
    <xf numFmtId="0" fontId="29" fillId="0" borderId="5" xfId="0" applyFont="1" applyFill="1" applyBorder="1" applyAlignment="1">
      <alignment vertical="center"/>
    </xf>
    <xf numFmtId="0" fontId="29" fillId="0" borderId="5" xfId="0" applyFont="1" applyFill="1" applyBorder="1" applyAlignment="1">
      <alignment horizontal="left" vertical="center"/>
    </xf>
    <xf numFmtId="0" fontId="29" fillId="28" borderId="29" xfId="0" applyFont="1" applyFill="1" applyBorder="1" applyAlignment="1">
      <alignment horizontal="left" vertical="center"/>
    </xf>
    <xf numFmtId="0" fontId="10" fillId="0" borderId="6" xfId="0" applyFont="1" applyFill="1" applyBorder="1" applyAlignment="1">
      <alignment horizontal="left" vertical="center"/>
    </xf>
    <xf numFmtId="0" fontId="8" fillId="0" borderId="6" xfId="0" applyFont="1" applyFill="1" applyBorder="1" applyAlignment="1">
      <alignment horizontal="left" vertical="top"/>
    </xf>
    <xf numFmtId="0" fontId="21" fillId="0" borderId="6" xfId="0" applyFont="1" applyFill="1" applyBorder="1" applyAlignment="1">
      <alignment horizontal="left" vertical="center"/>
    </xf>
    <xf numFmtId="0" fontId="21" fillId="0" borderId="11" xfId="0" applyFont="1" applyFill="1" applyBorder="1" applyAlignment="1">
      <alignment horizontal="left" vertical="top"/>
    </xf>
    <xf numFmtId="0" fontId="21" fillId="0" borderId="11" xfId="0" applyFont="1" applyFill="1" applyBorder="1" applyAlignment="1">
      <alignment horizontal="left" vertical="top" wrapText="1"/>
    </xf>
    <xf numFmtId="0" fontId="21" fillId="0" borderId="25" xfId="0" applyFont="1" applyFill="1" applyBorder="1" applyAlignment="1">
      <alignment horizontal="left" vertical="top" wrapText="1"/>
    </xf>
    <xf numFmtId="0" fontId="11" fillId="0" borderId="11" xfId="0" applyFont="1" applyFill="1" applyBorder="1" applyAlignment="1">
      <alignment horizontal="left" vertical="top" wrapText="1"/>
    </xf>
    <xf numFmtId="0" fontId="21" fillId="0" borderId="11" xfId="0" applyFont="1" applyFill="1" applyBorder="1" applyAlignment="1">
      <alignment horizontal="left" vertical="center"/>
    </xf>
    <xf numFmtId="0" fontId="21" fillId="0" borderId="5" xfId="0" applyFont="1" applyFill="1" applyBorder="1" applyAlignment="1">
      <alignment horizontal="left" vertical="center"/>
    </xf>
    <xf numFmtId="0" fontId="29" fillId="16" borderId="6" xfId="0" applyFont="1" applyFill="1" applyBorder="1" applyAlignment="1">
      <alignment horizontal="left" vertical="center"/>
    </xf>
  </cellXfs>
  <cellStyles count="1">
    <cellStyle name="Normal" xfId="0" builtinId="0"/>
  </cellStyles>
  <dxfs count="6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Copy of RINCIAN RKA 2025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Copy of BEBAN PIHAK KE 3-style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2:F8"/>
  <sheetViews>
    <sheetView workbookViewId="0">
      <selection activeCell="C11" sqref="C11"/>
    </sheetView>
  </sheetViews>
  <sheetFormatPr defaultColWidth="14.42578125" defaultRowHeight="15" customHeight="1"/>
  <cols>
    <col min="2" max="2" width="23.5703125" customWidth="1"/>
    <col min="4" max="4" width="20.28515625" customWidth="1"/>
    <col min="5" max="5" width="23.85546875" customWidth="1"/>
    <col min="6" max="6" width="21" customWidth="1"/>
  </cols>
  <sheetData>
    <row r="2" spans="2:6" ht="15" customHeight="1">
      <c r="D2" s="1253"/>
      <c r="E2" s="1253"/>
      <c r="F2" s="1253"/>
    </row>
    <row r="3" spans="2:6" ht="18.75">
      <c r="B3" s="1009" t="s">
        <v>0</v>
      </c>
      <c r="C3" s="1010"/>
      <c r="D3" s="1129"/>
      <c r="E3" s="1129"/>
      <c r="F3" s="1129"/>
    </row>
    <row r="4" spans="2:6" ht="15.75">
      <c r="B4" s="1011" t="s">
        <v>1</v>
      </c>
      <c r="C4" s="1012" t="s">
        <v>2</v>
      </c>
    </row>
    <row r="5" spans="2:6" ht="22.5" customHeight="1">
      <c r="B5" s="1013" t="s">
        <v>3</v>
      </c>
      <c r="C5" s="1014">
        <v>45</v>
      </c>
    </row>
    <row r="6" spans="2:6" ht="20.25" customHeight="1">
      <c r="B6" s="1013" t="s">
        <v>4</v>
      </c>
      <c r="C6" s="1014">
        <v>210</v>
      </c>
    </row>
    <row r="7" spans="2:6" ht="27.75" customHeight="1">
      <c r="B7" s="1013" t="s">
        <v>5</v>
      </c>
      <c r="C7" s="1014">
        <v>2</v>
      </c>
    </row>
    <row r="8" spans="2:6" ht="30" customHeight="1">
      <c r="B8" s="1013" t="s">
        <v>6</v>
      </c>
      <c r="C8" s="1014">
        <v>23</v>
      </c>
    </row>
  </sheetData>
  <mergeCells count="1">
    <mergeCell ref="B3:C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F1003"/>
  <sheetViews>
    <sheetView tabSelected="1" topLeftCell="A286" workbookViewId="0">
      <selection activeCell="E324" sqref="E324"/>
    </sheetView>
  </sheetViews>
  <sheetFormatPr defaultColWidth="14.42578125" defaultRowHeight="15"/>
  <cols>
    <col min="1" max="1" width="14.42578125" customWidth="1"/>
    <col min="2" max="2" width="29.42578125" customWidth="1"/>
    <col min="3" max="3" width="16.7109375" customWidth="1"/>
    <col min="4" max="4" width="8.5703125" customWidth="1"/>
    <col min="5" max="5" width="36.42578125" customWidth="1"/>
    <col min="6" max="6" width="42.140625" customWidth="1"/>
    <col min="7" max="7" width="39.85546875" customWidth="1"/>
    <col min="8" max="9" width="20.5703125" customWidth="1"/>
    <col min="10" max="10" width="7.140625" customWidth="1"/>
    <col min="11" max="11" width="6" customWidth="1"/>
    <col min="12" max="12" width="5.7109375" customWidth="1"/>
    <col min="13" max="13" width="6" customWidth="1"/>
    <col min="14" max="14" width="4.5703125" customWidth="1"/>
    <col min="15" max="15" width="5.140625" customWidth="1"/>
    <col min="16" max="16" width="4.28515625" customWidth="1"/>
    <col min="17" max="17" width="4.42578125" customWidth="1"/>
    <col min="18" max="18" width="5.140625" customWidth="1"/>
    <col min="19" max="19" width="4.42578125" customWidth="1"/>
    <col min="20" max="20" width="5.28515625" customWidth="1"/>
    <col min="21" max="21" width="5" customWidth="1"/>
  </cols>
  <sheetData>
    <row r="1" spans="1:32">
      <c r="A1" s="905" t="s">
        <v>14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  <c r="M1" s="890"/>
      <c r="N1" s="890"/>
      <c r="O1" s="890"/>
      <c r="P1" s="890"/>
      <c r="Q1" s="890"/>
      <c r="R1" s="890"/>
      <c r="S1" s="890"/>
      <c r="T1" s="890"/>
      <c r="U1" s="890"/>
      <c r="V1" s="890"/>
    </row>
    <row r="2" spans="1:32">
      <c r="A2" s="890"/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  <c r="M2" s="890"/>
      <c r="N2" s="890"/>
      <c r="O2" s="890"/>
      <c r="P2" s="890"/>
      <c r="Q2" s="890"/>
      <c r="R2" s="890"/>
      <c r="S2" s="890"/>
      <c r="T2" s="890"/>
      <c r="U2" s="890"/>
      <c r="V2" s="890"/>
    </row>
    <row r="3" spans="1:32" ht="17.25">
      <c r="A3" s="905" t="s">
        <v>15</v>
      </c>
      <c r="B3" s="890"/>
      <c r="C3" s="890"/>
      <c r="D3" s="890"/>
      <c r="E3" s="890"/>
      <c r="F3" s="890"/>
      <c r="G3" s="890"/>
      <c r="H3" s="890"/>
      <c r="I3" s="890"/>
      <c r="J3" s="890"/>
      <c r="K3" s="890"/>
      <c r="L3" s="890"/>
      <c r="M3" s="890"/>
      <c r="N3" s="890"/>
      <c r="O3" s="890"/>
      <c r="P3" s="890"/>
      <c r="Q3" s="890"/>
      <c r="R3" s="890"/>
      <c r="S3" s="890"/>
      <c r="T3" s="890"/>
      <c r="U3" s="890"/>
      <c r="V3" s="890"/>
    </row>
    <row r="4" spans="1:32" ht="17.25">
      <c r="A4" s="905" t="s">
        <v>16</v>
      </c>
      <c r="B4" s="890"/>
      <c r="C4" s="890"/>
      <c r="D4" s="890"/>
      <c r="E4" s="890"/>
      <c r="F4" s="890"/>
      <c r="G4" s="890"/>
      <c r="H4" s="890"/>
      <c r="I4" s="890"/>
      <c r="J4" s="890"/>
      <c r="K4" s="890"/>
      <c r="L4" s="890"/>
      <c r="M4" s="890"/>
      <c r="N4" s="890"/>
      <c r="O4" s="890"/>
      <c r="P4" s="890"/>
      <c r="Q4" s="890"/>
      <c r="R4" s="890"/>
      <c r="S4" s="890"/>
      <c r="T4" s="890"/>
      <c r="U4" s="890"/>
      <c r="V4" s="890"/>
    </row>
    <row r="5" spans="1:32" ht="17.25">
      <c r="A5" s="906" t="s">
        <v>17</v>
      </c>
      <c r="B5" s="891"/>
      <c r="C5" s="14"/>
      <c r="D5" s="14"/>
      <c r="E5" s="14"/>
      <c r="F5" s="14"/>
      <c r="G5" s="14"/>
      <c r="H5" s="14"/>
      <c r="I5" s="15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</row>
    <row r="6" spans="1:32" ht="15.75">
      <c r="A6" s="907" t="s">
        <v>18</v>
      </c>
      <c r="B6" s="908" t="s">
        <v>19</v>
      </c>
      <c r="C6" s="909" t="s">
        <v>20</v>
      </c>
      <c r="D6" s="901" t="s">
        <v>21</v>
      </c>
      <c r="E6" s="901" t="s">
        <v>22</v>
      </c>
      <c r="F6" s="901" t="s">
        <v>23</v>
      </c>
      <c r="G6" s="901" t="s">
        <v>9</v>
      </c>
      <c r="H6" s="901" t="s">
        <v>24</v>
      </c>
      <c r="I6" s="902" t="s">
        <v>25</v>
      </c>
      <c r="J6" s="910" t="s">
        <v>26</v>
      </c>
      <c r="K6" s="888"/>
      <c r="L6" s="888"/>
      <c r="M6" s="888"/>
      <c r="N6" s="888"/>
      <c r="O6" s="888"/>
      <c r="P6" s="888"/>
      <c r="Q6" s="888"/>
      <c r="R6" s="888"/>
      <c r="S6" s="888"/>
      <c r="T6" s="888"/>
      <c r="U6" s="889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</row>
    <row r="7" spans="1:32" ht="15.75">
      <c r="A7" s="893"/>
      <c r="B7" s="893"/>
      <c r="C7" s="893"/>
      <c r="D7" s="893"/>
      <c r="E7" s="893"/>
      <c r="F7" s="893"/>
      <c r="G7" s="893"/>
      <c r="H7" s="893"/>
      <c r="I7" s="893"/>
      <c r="J7" s="17" t="s">
        <v>27</v>
      </c>
      <c r="K7" s="17" t="s">
        <v>28</v>
      </c>
      <c r="L7" s="17" t="s">
        <v>29</v>
      </c>
      <c r="M7" s="17" t="s">
        <v>30</v>
      </c>
      <c r="N7" s="17" t="s">
        <v>31</v>
      </c>
      <c r="O7" s="17" t="s">
        <v>32</v>
      </c>
      <c r="P7" s="17" t="s">
        <v>33</v>
      </c>
      <c r="Q7" s="17" t="s">
        <v>34</v>
      </c>
      <c r="R7" s="17" t="s">
        <v>35</v>
      </c>
      <c r="S7" s="17" t="s">
        <v>36</v>
      </c>
      <c r="T7" s="17" t="s">
        <v>37</v>
      </c>
      <c r="U7" s="17" t="s">
        <v>38</v>
      </c>
      <c r="V7" s="16"/>
      <c r="W7" s="16"/>
      <c r="X7" s="16"/>
      <c r="Y7" s="16"/>
      <c r="Z7" s="16"/>
      <c r="AA7" s="16"/>
      <c r="AB7" s="16"/>
      <c r="AC7" s="16"/>
      <c r="AD7" s="16"/>
      <c r="AE7" s="16"/>
      <c r="AF7" s="16"/>
    </row>
    <row r="8" spans="1:32" ht="34.5">
      <c r="A8" s="18" t="s">
        <v>39</v>
      </c>
      <c r="B8" s="19" t="s">
        <v>40</v>
      </c>
      <c r="C8" s="20" t="s">
        <v>41</v>
      </c>
      <c r="D8" s="21" t="s">
        <v>42</v>
      </c>
      <c r="E8" s="20" t="s">
        <v>43</v>
      </c>
      <c r="F8" s="20" t="s">
        <v>44</v>
      </c>
      <c r="G8" s="911" t="s">
        <v>45</v>
      </c>
      <c r="H8" s="21" t="s">
        <v>46</v>
      </c>
      <c r="I8" s="903">
        <v>150000</v>
      </c>
      <c r="J8" s="22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16"/>
      <c r="W8" s="16"/>
      <c r="X8" s="16"/>
      <c r="Y8" s="16"/>
      <c r="Z8" s="16"/>
      <c r="AA8" s="16"/>
      <c r="AB8" s="16"/>
      <c r="AC8" s="16"/>
      <c r="AD8" s="16"/>
      <c r="AE8" s="16"/>
      <c r="AF8" s="16"/>
    </row>
    <row r="9" spans="1:32" ht="17.25">
      <c r="A9" s="18"/>
      <c r="B9" s="19"/>
      <c r="C9" s="20"/>
      <c r="D9" s="21"/>
      <c r="E9" s="20"/>
      <c r="F9" s="20" t="s">
        <v>47</v>
      </c>
      <c r="G9" s="904"/>
      <c r="H9" s="25" t="s">
        <v>46</v>
      </c>
      <c r="I9" s="904"/>
      <c r="J9" s="22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16"/>
      <c r="W9" s="16"/>
      <c r="X9" s="16"/>
      <c r="Y9" s="16"/>
      <c r="Z9" s="16"/>
      <c r="AA9" s="16"/>
      <c r="AB9" s="16"/>
      <c r="AC9" s="16"/>
      <c r="AD9" s="16"/>
      <c r="AE9" s="16"/>
      <c r="AF9" s="16"/>
    </row>
    <row r="10" spans="1:32" ht="34.5">
      <c r="A10" s="18"/>
      <c r="B10" s="19"/>
      <c r="C10" s="20"/>
      <c r="D10" s="21"/>
      <c r="E10" s="20"/>
      <c r="F10" s="26" t="s">
        <v>48</v>
      </c>
      <c r="G10" s="27"/>
      <c r="H10" s="28" t="s">
        <v>46</v>
      </c>
      <c r="I10" s="29">
        <v>0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16"/>
      <c r="W10" s="16"/>
      <c r="X10" s="16"/>
      <c r="Y10" s="16"/>
      <c r="Z10" s="16"/>
      <c r="AA10" s="16"/>
      <c r="AB10" s="16"/>
      <c r="AC10" s="16"/>
      <c r="AD10" s="16"/>
      <c r="AE10" s="16"/>
      <c r="AF10" s="16"/>
    </row>
    <row r="11" spans="1:32" ht="34.5">
      <c r="A11" s="18"/>
      <c r="B11" s="19"/>
      <c r="C11" s="20"/>
      <c r="D11" s="21"/>
      <c r="E11" s="20" t="s">
        <v>49</v>
      </c>
      <c r="F11" s="30" t="s">
        <v>50</v>
      </c>
      <c r="G11" s="21" t="s">
        <v>51</v>
      </c>
      <c r="H11" s="21" t="s">
        <v>52</v>
      </c>
      <c r="I11" s="31">
        <v>8000000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9"/>
      <c r="W11" s="8"/>
      <c r="X11" s="16"/>
      <c r="Y11" s="16"/>
      <c r="Z11" s="16"/>
      <c r="AA11" s="16"/>
      <c r="AB11" s="16"/>
      <c r="AC11" s="16"/>
      <c r="AD11" s="16"/>
      <c r="AE11" s="16"/>
      <c r="AF11" s="16"/>
    </row>
    <row r="12" spans="1:32" ht="17.25">
      <c r="A12" s="18"/>
      <c r="B12" s="19"/>
      <c r="C12" s="20"/>
      <c r="D12" s="21"/>
      <c r="E12" s="20"/>
      <c r="F12" s="30" t="s">
        <v>53</v>
      </c>
      <c r="G12" s="21" t="s">
        <v>54</v>
      </c>
      <c r="H12" s="21" t="s">
        <v>52</v>
      </c>
      <c r="I12" s="31">
        <v>3000000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32"/>
      <c r="W12" s="8"/>
      <c r="X12" s="16"/>
      <c r="Y12" s="16"/>
      <c r="Z12" s="16"/>
      <c r="AA12" s="16"/>
      <c r="AB12" s="16"/>
      <c r="AC12" s="16"/>
      <c r="AD12" s="16"/>
      <c r="AE12" s="16"/>
      <c r="AF12" s="16"/>
    </row>
    <row r="13" spans="1:32" ht="69">
      <c r="A13" s="18"/>
      <c r="B13" s="19"/>
      <c r="C13" s="20"/>
      <c r="D13" s="21"/>
      <c r="E13" s="20" t="s">
        <v>55</v>
      </c>
      <c r="F13" s="33" t="s">
        <v>56</v>
      </c>
      <c r="G13" s="21" t="s">
        <v>57</v>
      </c>
      <c r="H13" s="21" t="s">
        <v>58</v>
      </c>
      <c r="I13" s="31">
        <v>2242500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32"/>
      <c r="W13" s="8"/>
      <c r="X13" s="16"/>
      <c r="Y13" s="16"/>
      <c r="Z13" s="16"/>
      <c r="AA13" s="16"/>
      <c r="AB13" s="16"/>
      <c r="AC13" s="16"/>
      <c r="AD13" s="16"/>
      <c r="AE13" s="16"/>
      <c r="AF13" s="16"/>
    </row>
    <row r="14" spans="1:32" ht="17.25">
      <c r="A14" s="18"/>
      <c r="B14" s="19"/>
      <c r="C14" s="20"/>
      <c r="D14" s="21"/>
      <c r="E14" s="20"/>
      <c r="F14" s="33"/>
      <c r="G14" s="21" t="s">
        <v>59</v>
      </c>
      <c r="H14" s="21" t="s">
        <v>60</v>
      </c>
      <c r="I14" s="31">
        <v>1000000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32"/>
      <c r="W14" s="8"/>
      <c r="X14" s="16"/>
      <c r="Y14" s="16"/>
      <c r="Z14" s="16"/>
      <c r="AA14" s="16"/>
      <c r="AB14" s="16"/>
      <c r="AC14" s="16"/>
      <c r="AD14" s="16"/>
      <c r="AE14" s="16"/>
      <c r="AF14" s="16"/>
    </row>
    <row r="15" spans="1:32" ht="17.25">
      <c r="A15" s="18"/>
      <c r="B15" s="19"/>
      <c r="C15" s="20"/>
      <c r="D15" s="21"/>
      <c r="E15" s="20"/>
      <c r="F15" s="30" t="s">
        <v>61</v>
      </c>
      <c r="G15" s="21" t="s">
        <v>54</v>
      </c>
      <c r="H15" s="21" t="s">
        <v>52</v>
      </c>
      <c r="I15" s="31">
        <v>3000000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32"/>
      <c r="W15" s="8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2" ht="34.5">
      <c r="A16" s="18"/>
      <c r="B16" s="19"/>
      <c r="C16" s="20" t="s">
        <v>62</v>
      </c>
      <c r="D16" s="34">
        <v>0.09</v>
      </c>
      <c r="E16" s="20" t="s">
        <v>63</v>
      </c>
      <c r="F16" s="20" t="s">
        <v>64</v>
      </c>
      <c r="G16" s="21"/>
      <c r="H16" s="21" t="s">
        <v>46</v>
      </c>
      <c r="I16" s="31">
        <v>0</v>
      </c>
      <c r="J16" s="22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ht="17.25">
      <c r="A17" s="18"/>
      <c r="B17" s="19"/>
      <c r="C17" s="20"/>
      <c r="D17" s="21"/>
      <c r="E17" s="20"/>
      <c r="F17" s="20" t="s">
        <v>65</v>
      </c>
      <c r="G17" s="21" t="s">
        <v>45</v>
      </c>
      <c r="H17" s="21" t="s">
        <v>46</v>
      </c>
      <c r="I17" s="31">
        <v>150000</v>
      </c>
      <c r="J17" s="22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16"/>
      <c r="W17" s="35" t="s">
        <v>66</v>
      </c>
      <c r="X17" s="36"/>
      <c r="Y17" s="36">
        <v>2</v>
      </c>
      <c r="Z17" s="36">
        <v>2</v>
      </c>
      <c r="AA17" s="37">
        <v>460000</v>
      </c>
      <c r="AB17" s="38">
        <f t="shared" ref="AB17:AB19" si="0">AA17*Z17</f>
        <v>920000</v>
      </c>
      <c r="AC17" s="16"/>
      <c r="AD17" s="16"/>
      <c r="AE17" s="16"/>
      <c r="AF17" s="16"/>
    </row>
    <row r="18" spans="1:32" ht="34.5">
      <c r="A18" s="18"/>
      <c r="B18" s="19"/>
      <c r="C18" s="20"/>
      <c r="D18" s="21"/>
      <c r="E18" s="20"/>
      <c r="F18" s="20" t="s">
        <v>67</v>
      </c>
      <c r="G18" s="21" t="s">
        <v>68</v>
      </c>
      <c r="H18" s="21" t="s">
        <v>46</v>
      </c>
      <c r="I18" s="31">
        <v>0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16"/>
      <c r="W18" s="35" t="s">
        <v>69</v>
      </c>
      <c r="X18" s="36"/>
      <c r="Y18" s="36">
        <v>1</v>
      </c>
      <c r="Z18" s="36">
        <v>1</v>
      </c>
      <c r="AA18" s="37">
        <v>862500</v>
      </c>
      <c r="AB18" s="38">
        <f t="shared" si="0"/>
        <v>862500</v>
      </c>
      <c r="AC18" s="16"/>
      <c r="AD18" s="16"/>
      <c r="AE18" s="16"/>
      <c r="AF18" s="16"/>
    </row>
    <row r="19" spans="1:32" ht="34.5">
      <c r="A19" s="18"/>
      <c r="B19" s="19" t="s">
        <v>70</v>
      </c>
      <c r="C19" s="20" t="s">
        <v>71</v>
      </c>
      <c r="D19" s="21" t="s">
        <v>72</v>
      </c>
      <c r="E19" s="20" t="s">
        <v>73</v>
      </c>
      <c r="F19" s="20" t="s">
        <v>74</v>
      </c>
      <c r="G19" s="21"/>
      <c r="H19" s="21" t="s">
        <v>46</v>
      </c>
      <c r="I19" s="31">
        <v>0</v>
      </c>
      <c r="J19" s="22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16"/>
      <c r="W19" s="35" t="s">
        <v>75</v>
      </c>
      <c r="X19" s="36"/>
      <c r="Y19" s="36">
        <v>1</v>
      </c>
      <c r="Z19" s="36">
        <v>1</v>
      </c>
      <c r="AA19" s="37">
        <v>460000</v>
      </c>
      <c r="AB19" s="38">
        <f t="shared" si="0"/>
        <v>460000</v>
      </c>
      <c r="AC19" s="16"/>
      <c r="AD19" s="16"/>
      <c r="AE19" s="16"/>
      <c r="AF19" s="16"/>
    </row>
    <row r="20" spans="1:32" ht="34.5">
      <c r="A20" s="18"/>
      <c r="B20" s="19"/>
      <c r="C20" s="20"/>
      <c r="D20" s="21"/>
      <c r="E20" s="20"/>
      <c r="F20" s="20" t="s">
        <v>76</v>
      </c>
      <c r="G20" s="21"/>
      <c r="H20" s="21" t="s">
        <v>46</v>
      </c>
      <c r="I20" s="31">
        <v>0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</row>
    <row r="21" spans="1:32" ht="17.25">
      <c r="A21" s="18"/>
      <c r="B21" s="19"/>
      <c r="C21" s="20"/>
      <c r="D21" s="21"/>
      <c r="E21" s="39"/>
      <c r="F21" s="20" t="s">
        <v>77</v>
      </c>
      <c r="G21" s="21" t="s">
        <v>78</v>
      </c>
      <c r="H21" s="21" t="s">
        <v>46</v>
      </c>
      <c r="I21" s="31">
        <v>500000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</row>
    <row r="22" spans="1:32" ht="34.5">
      <c r="A22" s="18"/>
      <c r="B22" s="19"/>
      <c r="C22" s="20"/>
      <c r="D22" s="21"/>
      <c r="E22" s="40" t="s">
        <v>79</v>
      </c>
      <c r="F22" s="40" t="s">
        <v>80</v>
      </c>
      <c r="G22" s="41"/>
      <c r="H22" s="42" t="s">
        <v>81</v>
      </c>
      <c r="I22" s="43">
        <v>0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16"/>
      <c r="W22" s="16"/>
      <c r="X22" s="16"/>
      <c r="Y22" s="16"/>
      <c r="Z22" s="16"/>
      <c r="AA22" s="16"/>
      <c r="AB22" s="16"/>
      <c r="AC22" s="16"/>
      <c r="AD22" s="16"/>
      <c r="AE22" s="16"/>
      <c r="AF22" s="16"/>
    </row>
    <row r="23" spans="1:32" ht="105.75">
      <c r="A23" s="18"/>
      <c r="B23" s="19"/>
      <c r="C23" s="20"/>
      <c r="D23" s="21"/>
      <c r="E23" s="44"/>
      <c r="F23" s="45" t="s">
        <v>82</v>
      </c>
      <c r="G23" s="46" t="s">
        <v>83</v>
      </c>
      <c r="H23" s="42" t="s">
        <v>81</v>
      </c>
      <c r="I23" s="43">
        <v>7300000</v>
      </c>
      <c r="J23" s="47"/>
      <c r="K23" s="47"/>
      <c r="L23" s="48"/>
      <c r="M23" s="47"/>
      <c r="N23" s="47"/>
      <c r="O23" s="48"/>
      <c r="P23" s="47"/>
      <c r="Q23" s="47"/>
      <c r="R23" s="48"/>
      <c r="S23" s="47"/>
      <c r="T23" s="47"/>
      <c r="U23" s="48"/>
      <c r="V23" s="16"/>
      <c r="W23" s="16"/>
      <c r="X23" s="16"/>
      <c r="Y23" s="16"/>
      <c r="Z23" s="16"/>
      <c r="AA23" s="16"/>
      <c r="AB23" s="16"/>
      <c r="AC23" s="16"/>
      <c r="AD23" s="16"/>
      <c r="AE23" s="16"/>
      <c r="AF23" s="16"/>
    </row>
    <row r="24" spans="1:32" ht="17.25">
      <c r="A24" s="18"/>
      <c r="B24" s="19"/>
      <c r="C24" s="20"/>
      <c r="D24" s="49"/>
      <c r="E24" s="50"/>
      <c r="F24" s="51" t="s">
        <v>84</v>
      </c>
      <c r="G24" s="52" t="s">
        <v>85</v>
      </c>
      <c r="H24" s="42" t="s">
        <v>52</v>
      </c>
      <c r="I24" s="53">
        <v>1200000</v>
      </c>
      <c r="J24" s="47"/>
      <c r="K24" s="47"/>
      <c r="L24" s="48"/>
      <c r="M24" s="47"/>
      <c r="N24" s="47"/>
      <c r="O24" s="48"/>
      <c r="P24" s="47"/>
      <c r="Q24" s="47"/>
      <c r="R24" s="48"/>
      <c r="S24" s="47"/>
      <c r="T24" s="47"/>
      <c r="U24" s="48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  <row r="25" spans="1:32" ht="34.5">
      <c r="A25" s="18"/>
      <c r="B25" s="19"/>
      <c r="C25" s="20" t="s">
        <v>86</v>
      </c>
      <c r="D25" s="21" t="s">
        <v>87</v>
      </c>
      <c r="E25" s="54" t="s">
        <v>88</v>
      </c>
      <c r="F25" s="55" t="s">
        <v>89</v>
      </c>
      <c r="G25" s="911" t="s">
        <v>90</v>
      </c>
      <c r="H25" s="21" t="s">
        <v>91</v>
      </c>
      <c r="I25" s="903">
        <v>200000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</row>
    <row r="26" spans="1:32" ht="34.5">
      <c r="A26" s="18"/>
      <c r="B26" s="19"/>
      <c r="C26" s="20"/>
      <c r="D26" s="21"/>
      <c r="E26" s="56"/>
      <c r="F26" s="20" t="s">
        <v>92</v>
      </c>
      <c r="G26" s="893"/>
      <c r="H26" s="21" t="s">
        <v>91</v>
      </c>
      <c r="I26" s="893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16"/>
      <c r="W26" s="16"/>
      <c r="X26" s="16"/>
      <c r="Y26" s="16"/>
      <c r="Z26" s="16"/>
      <c r="AA26" s="16"/>
      <c r="AB26" s="16"/>
      <c r="AC26" s="16"/>
      <c r="AD26" s="16"/>
      <c r="AE26" s="16"/>
      <c r="AF26" s="16"/>
    </row>
    <row r="27" spans="1:32" ht="34.5">
      <c r="A27" s="18"/>
      <c r="B27" s="19"/>
      <c r="C27" s="20" t="s">
        <v>93</v>
      </c>
      <c r="D27" s="21" t="s">
        <v>94</v>
      </c>
      <c r="E27" s="20" t="s">
        <v>95</v>
      </c>
      <c r="F27" s="20" t="s">
        <v>96</v>
      </c>
      <c r="G27" s="911" t="s">
        <v>90</v>
      </c>
      <c r="H27" s="21" t="s">
        <v>91</v>
      </c>
      <c r="I27" s="903">
        <v>200000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</row>
    <row r="28" spans="1:32" ht="34.5">
      <c r="A28" s="18"/>
      <c r="B28" s="19"/>
      <c r="C28" s="20"/>
      <c r="D28" s="21"/>
      <c r="E28" s="20"/>
      <c r="F28" s="40" t="s">
        <v>97</v>
      </c>
      <c r="G28" s="893"/>
      <c r="H28" s="21" t="s">
        <v>91</v>
      </c>
      <c r="I28" s="893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</row>
    <row r="29" spans="1:32" ht="69">
      <c r="A29" s="18"/>
      <c r="B29" s="19" t="s">
        <v>98</v>
      </c>
      <c r="C29" s="20" t="s">
        <v>99</v>
      </c>
      <c r="D29" s="21" t="s">
        <v>100</v>
      </c>
      <c r="E29" s="20" t="s">
        <v>101</v>
      </c>
      <c r="F29" s="40" t="s">
        <v>102</v>
      </c>
      <c r="G29" s="21" t="s">
        <v>103</v>
      </c>
      <c r="H29" s="21" t="s">
        <v>91</v>
      </c>
      <c r="I29" s="31">
        <v>2000000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</row>
    <row r="30" spans="1:32" ht="17.25">
      <c r="A30" s="18"/>
      <c r="B30" s="19"/>
      <c r="C30" s="20"/>
      <c r="D30" s="21"/>
      <c r="E30" s="20"/>
      <c r="F30" s="20" t="s">
        <v>104</v>
      </c>
      <c r="G30" s="21"/>
      <c r="H30" s="21" t="s">
        <v>91</v>
      </c>
      <c r="I30" s="31">
        <v>0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16"/>
      <c r="W30" s="16"/>
      <c r="X30" s="16"/>
      <c r="Y30" s="16"/>
      <c r="Z30" s="16"/>
      <c r="AA30" s="16"/>
      <c r="AB30" s="16"/>
      <c r="AC30" s="16"/>
      <c r="AD30" s="16"/>
      <c r="AE30" s="16"/>
      <c r="AF30" s="16"/>
    </row>
    <row r="31" spans="1:32" ht="17.25">
      <c r="A31" s="18"/>
      <c r="B31" s="19"/>
      <c r="C31" s="20"/>
      <c r="D31" s="21"/>
      <c r="E31" s="20"/>
      <c r="F31" s="20" t="s">
        <v>105</v>
      </c>
      <c r="G31" s="21"/>
      <c r="H31" s="21" t="s">
        <v>91</v>
      </c>
      <c r="I31" s="31">
        <v>0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16"/>
      <c r="W31" s="16"/>
      <c r="X31" s="16"/>
      <c r="Y31" s="16"/>
      <c r="Z31" s="16"/>
      <c r="AA31" s="16"/>
      <c r="AB31" s="16"/>
      <c r="AC31" s="16"/>
      <c r="AD31" s="16"/>
      <c r="AE31" s="16"/>
      <c r="AF31" s="16"/>
    </row>
    <row r="32" spans="1:32" ht="34.5">
      <c r="A32" s="18"/>
      <c r="B32" s="19"/>
      <c r="C32" s="20"/>
      <c r="D32" s="21"/>
      <c r="E32" s="20"/>
      <c r="F32" s="20" t="s">
        <v>106</v>
      </c>
      <c r="G32" s="21" t="s">
        <v>78</v>
      </c>
      <c r="H32" s="21" t="s">
        <v>91</v>
      </c>
      <c r="I32" s="31">
        <v>500000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16"/>
      <c r="W32" s="16"/>
      <c r="X32" s="16"/>
      <c r="Y32" s="16"/>
      <c r="Z32" s="16"/>
      <c r="AA32" s="16"/>
      <c r="AB32" s="16"/>
      <c r="AC32" s="16"/>
      <c r="AD32" s="16"/>
      <c r="AE32" s="16"/>
      <c r="AF32" s="16"/>
    </row>
    <row r="33" spans="1:32" ht="34.5">
      <c r="A33" s="18"/>
      <c r="B33" s="19"/>
      <c r="C33" s="20" t="s">
        <v>107</v>
      </c>
      <c r="D33" s="34">
        <v>0.06</v>
      </c>
      <c r="E33" s="20" t="s">
        <v>108</v>
      </c>
      <c r="F33" s="20" t="s">
        <v>109</v>
      </c>
      <c r="G33" s="21"/>
      <c r="H33" s="21" t="s">
        <v>91</v>
      </c>
      <c r="I33" s="31">
        <v>0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</row>
    <row r="34" spans="1:32" ht="17.25">
      <c r="A34" s="57"/>
      <c r="B34" s="58"/>
      <c r="C34" s="59"/>
      <c r="D34" s="60"/>
      <c r="E34" s="61"/>
      <c r="F34" s="40" t="s">
        <v>110</v>
      </c>
      <c r="G34" s="61"/>
      <c r="H34" s="21" t="s">
        <v>91</v>
      </c>
      <c r="I34" s="43">
        <v>0</v>
      </c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</row>
    <row r="35" spans="1:32">
      <c r="A35" s="896" t="s">
        <v>7</v>
      </c>
      <c r="B35" s="888"/>
      <c r="C35" s="888"/>
      <c r="D35" s="888"/>
      <c r="E35" s="888"/>
      <c r="F35" s="889"/>
      <c r="G35" s="63"/>
      <c r="H35" s="63"/>
      <c r="I35" s="64">
        <f>SUM(I8:I34)</f>
        <v>29442500</v>
      </c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</row>
    <row r="36" spans="1:32">
      <c r="A36" s="912" t="s">
        <v>111</v>
      </c>
      <c r="B36" s="888"/>
      <c r="C36" s="66"/>
      <c r="D36" s="67"/>
      <c r="E36" s="66"/>
      <c r="F36" s="66"/>
      <c r="G36" s="66"/>
      <c r="H36" s="68"/>
      <c r="I36" s="69"/>
      <c r="J36" s="70"/>
      <c r="K36" s="70"/>
      <c r="L36" s="70"/>
      <c r="M36" s="70"/>
      <c r="N36" s="70"/>
      <c r="O36" s="70"/>
      <c r="P36" s="70"/>
      <c r="Q36" s="70"/>
      <c r="R36" s="70"/>
      <c r="S36" s="70"/>
      <c r="T36" s="70"/>
      <c r="U36" s="70"/>
      <c r="V36" s="16"/>
      <c r="W36" s="16"/>
      <c r="X36" s="16"/>
      <c r="Y36" s="16"/>
      <c r="Z36" s="16"/>
      <c r="AA36" s="16"/>
      <c r="AB36" s="16"/>
      <c r="AC36" s="16"/>
      <c r="AD36" s="16"/>
      <c r="AE36" s="16"/>
      <c r="AF36" s="16"/>
    </row>
    <row r="37" spans="1:32">
      <c r="A37" s="897" t="s">
        <v>18</v>
      </c>
      <c r="B37" s="898" t="s">
        <v>19</v>
      </c>
      <c r="C37" s="892" t="s">
        <v>20</v>
      </c>
      <c r="D37" s="892" t="s">
        <v>21</v>
      </c>
      <c r="E37" s="892" t="s">
        <v>22</v>
      </c>
      <c r="F37" s="892" t="s">
        <v>23</v>
      </c>
      <c r="G37" s="892" t="s">
        <v>9</v>
      </c>
      <c r="H37" s="892" t="s">
        <v>24</v>
      </c>
      <c r="I37" s="894" t="s">
        <v>25</v>
      </c>
      <c r="J37" s="913" t="s">
        <v>26</v>
      </c>
      <c r="K37" s="888"/>
      <c r="L37" s="888"/>
      <c r="M37" s="888"/>
      <c r="N37" s="888"/>
      <c r="O37" s="888"/>
      <c r="P37" s="888"/>
      <c r="Q37" s="888"/>
      <c r="R37" s="888"/>
      <c r="S37" s="888"/>
      <c r="T37" s="888"/>
      <c r="U37" s="889"/>
      <c r="V37" s="16"/>
      <c r="W37" s="16"/>
      <c r="X37" s="16"/>
      <c r="Y37" s="16"/>
      <c r="Z37" s="16"/>
      <c r="AA37" s="16"/>
      <c r="AB37" s="16"/>
      <c r="AC37" s="16"/>
      <c r="AD37" s="16"/>
      <c r="AE37" s="16"/>
      <c r="AF37" s="16"/>
    </row>
    <row r="38" spans="1:32">
      <c r="A38" s="893"/>
      <c r="B38" s="893"/>
      <c r="C38" s="893"/>
      <c r="D38" s="893"/>
      <c r="E38" s="893"/>
      <c r="F38" s="893"/>
      <c r="G38" s="893"/>
      <c r="H38" s="893"/>
      <c r="I38" s="893"/>
      <c r="J38" s="71" t="s">
        <v>27</v>
      </c>
      <c r="K38" s="71" t="s">
        <v>28</v>
      </c>
      <c r="L38" s="71" t="s">
        <v>29</v>
      </c>
      <c r="M38" s="71" t="s">
        <v>30</v>
      </c>
      <c r="N38" s="71" t="s">
        <v>31</v>
      </c>
      <c r="O38" s="71" t="s">
        <v>32</v>
      </c>
      <c r="P38" s="71" t="s">
        <v>33</v>
      </c>
      <c r="Q38" s="71" t="s">
        <v>34</v>
      </c>
      <c r="R38" s="71" t="s">
        <v>35</v>
      </c>
      <c r="S38" s="71" t="s">
        <v>36</v>
      </c>
      <c r="T38" s="71" t="s">
        <v>37</v>
      </c>
      <c r="U38" s="71" t="s">
        <v>38</v>
      </c>
      <c r="V38" s="16"/>
      <c r="W38" s="16"/>
      <c r="X38" s="16"/>
      <c r="Y38" s="16"/>
      <c r="Z38" s="16"/>
      <c r="AA38" s="16"/>
      <c r="AB38" s="16"/>
      <c r="AC38" s="16"/>
      <c r="AD38" s="16"/>
      <c r="AE38" s="16"/>
      <c r="AF38" s="16"/>
    </row>
    <row r="39" spans="1:32" ht="90">
      <c r="A39" s="72" t="s">
        <v>112</v>
      </c>
      <c r="B39" s="992" t="s">
        <v>113</v>
      </c>
      <c r="C39" s="74" t="s">
        <v>114</v>
      </c>
      <c r="D39" s="75">
        <v>0.05</v>
      </c>
      <c r="E39" s="60" t="s">
        <v>115</v>
      </c>
      <c r="F39" s="76" t="s">
        <v>116</v>
      </c>
      <c r="G39" s="61" t="s">
        <v>117</v>
      </c>
      <c r="H39" s="42" t="s">
        <v>118</v>
      </c>
      <c r="I39" s="77">
        <v>5800000</v>
      </c>
      <c r="J39" s="78"/>
      <c r="K39" s="78"/>
      <c r="L39" s="78"/>
      <c r="M39" s="79"/>
      <c r="N39" s="78"/>
      <c r="O39" s="78"/>
      <c r="P39" s="78"/>
      <c r="Q39" s="78"/>
      <c r="R39" s="78"/>
      <c r="S39" s="78"/>
      <c r="T39" s="78"/>
      <c r="U39" s="78"/>
      <c r="V39" s="16"/>
      <c r="W39" s="16"/>
      <c r="X39" s="16"/>
      <c r="Y39" s="16"/>
      <c r="Z39" s="16"/>
      <c r="AA39" s="16"/>
      <c r="AB39" s="16"/>
      <c r="AC39" s="16"/>
      <c r="AD39" s="16"/>
      <c r="AE39" s="16"/>
      <c r="AF39" s="16"/>
    </row>
    <row r="40" spans="1:32" ht="90">
      <c r="A40" s="72"/>
      <c r="B40" s="73"/>
      <c r="C40" s="74"/>
      <c r="D40" s="42"/>
      <c r="E40" s="60" t="s">
        <v>119</v>
      </c>
      <c r="F40" s="76" t="s">
        <v>120</v>
      </c>
      <c r="G40" s="61" t="s">
        <v>121</v>
      </c>
      <c r="H40" s="42" t="s">
        <v>118</v>
      </c>
      <c r="I40" s="77">
        <v>4950000</v>
      </c>
      <c r="J40" s="78"/>
      <c r="K40" s="79"/>
      <c r="L40" s="78"/>
      <c r="M40" s="78"/>
      <c r="N40" s="78"/>
      <c r="O40" s="78"/>
      <c r="P40" s="78"/>
      <c r="Q40" s="78"/>
      <c r="R40" s="78"/>
      <c r="S40" s="78"/>
      <c r="T40" s="78"/>
      <c r="U40" s="78"/>
      <c r="V40" s="16"/>
      <c r="W40" s="16"/>
      <c r="X40" s="16"/>
      <c r="Y40" s="16"/>
      <c r="Z40" s="16"/>
      <c r="AA40" s="16"/>
      <c r="AB40" s="16"/>
      <c r="AC40" s="16"/>
      <c r="AD40" s="16"/>
      <c r="AE40" s="16"/>
      <c r="AF40" s="16"/>
    </row>
    <row r="41" spans="1:32" ht="45">
      <c r="A41" s="72"/>
      <c r="B41" s="73"/>
      <c r="C41" s="74"/>
      <c r="D41" s="42"/>
      <c r="E41" s="61" t="s">
        <v>122</v>
      </c>
      <c r="F41" s="80" t="s">
        <v>123</v>
      </c>
      <c r="G41" s="81" t="s">
        <v>124</v>
      </c>
      <c r="H41" s="42" t="s">
        <v>118</v>
      </c>
      <c r="I41" s="77">
        <v>44250000</v>
      </c>
      <c r="J41" s="78"/>
      <c r="K41" s="79"/>
      <c r="L41" s="78"/>
      <c r="M41" s="78"/>
      <c r="N41" s="78"/>
      <c r="O41" s="78"/>
      <c r="P41" s="78"/>
      <c r="Q41" s="78"/>
      <c r="R41" s="78"/>
      <c r="S41" s="78"/>
      <c r="T41" s="78"/>
      <c r="U41" s="78"/>
      <c r="V41" s="16"/>
      <c r="W41" s="16"/>
      <c r="X41" s="16"/>
      <c r="Y41" s="16"/>
      <c r="Z41" s="16"/>
      <c r="AA41" s="16"/>
      <c r="AB41" s="16"/>
      <c r="AC41" s="16"/>
      <c r="AD41" s="16"/>
      <c r="AE41" s="16"/>
      <c r="AF41" s="16"/>
    </row>
    <row r="42" spans="1:32" ht="85.5">
      <c r="A42" s="57"/>
      <c r="B42" s="58"/>
      <c r="C42" s="82" t="s">
        <v>125</v>
      </c>
      <c r="D42" s="75">
        <v>0.95</v>
      </c>
      <c r="E42" s="60" t="s">
        <v>126</v>
      </c>
      <c r="F42" s="83" t="s">
        <v>127</v>
      </c>
      <c r="G42" s="84"/>
      <c r="H42" s="42" t="s">
        <v>128</v>
      </c>
      <c r="I42" s="77">
        <v>0</v>
      </c>
      <c r="J42" s="79"/>
      <c r="K42" s="79"/>
      <c r="L42" s="79"/>
      <c r="M42" s="79"/>
      <c r="N42" s="79"/>
      <c r="O42" s="79"/>
      <c r="P42" s="79"/>
      <c r="Q42" s="79"/>
      <c r="R42" s="79"/>
      <c r="S42" s="79"/>
      <c r="T42" s="79"/>
      <c r="U42" s="79"/>
      <c r="V42" s="16"/>
      <c r="W42" s="16"/>
      <c r="X42" s="16"/>
      <c r="Y42" s="16"/>
      <c r="Z42" s="16"/>
      <c r="AA42" s="16"/>
      <c r="AB42" s="16"/>
      <c r="AC42" s="16"/>
      <c r="AD42" s="16"/>
      <c r="AE42" s="16"/>
      <c r="AF42" s="16"/>
    </row>
    <row r="43" spans="1:32" ht="30">
      <c r="A43" s="57"/>
      <c r="B43" s="58"/>
      <c r="C43" s="82"/>
      <c r="D43" s="42"/>
      <c r="E43" s="60"/>
      <c r="F43" s="76" t="s">
        <v>129</v>
      </c>
      <c r="G43" s="61" t="s">
        <v>130</v>
      </c>
      <c r="H43" s="42" t="s">
        <v>118</v>
      </c>
      <c r="I43" s="77">
        <v>1300000</v>
      </c>
      <c r="J43" s="79"/>
      <c r="K43" s="79"/>
      <c r="L43" s="79"/>
      <c r="M43" s="79"/>
      <c r="N43" s="79"/>
      <c r="O43" s="79"/>
      <c r="P43" s="79"/>
      <c r="Q43" s="79"/>
      <c r="R43" s="79"/>
      <c r="S43" s="79"/>
      <c r="T43" s="79"/>
      <c r="U43" s="79"/>
      <c r="V43" s="16"/>
      <c r="W43" s="16"/>
      <c r="X43" s="16"/>
      <c r="Y43" s="16"/>
      <c r="Z43" s="16"/>
      <c r="AA43" s="16"/>
      <c r="AB43" s="16"/>
      <c r="AC43" s="16"/>
      <c r="AD43" s="16"/>
      <c r="AE43" s="16"/>
      <c r="AF43" s="16"/>
    </row>
    <row r="44" spans="1:32" ht="30">
      <c r="A44" s="57"/>
      <c r="B44" s="85" t="s">
        <v>131</v>
      </c>
      <c r="C44" s="82" t="s">
        <v>132</v>
      </c>
      <c r="D44" s="75">
        <v>0.9</v>
      </c>
      <c r="E44" s="60" t="s">
        <v>133</v>
      </c>
      <c r="F44" s="60" t="s">
        <v>134</v>
      </c>
      <c r="G44" s="86"/>
      <c r="H44" s="42" t="s">
        <v>135</v>
      </c>
      <c r="I44" s="77">
        <v>0</v>
      </c>
      <c r="J44" s="79"/>
      <c r="K44" s="79"/>
      <c r="L44" s="79"/>
      <c r="M44" s="79"/>
      <c r="N44" s="79"/>
      <c r="O44" s="79"/>
      <c r="P44" s="79"/>
      <c r="Q44" s="79"/>
      <c r="R44" s="79"/>
      <c r="S44" s="79"/>
      <c r="T44" s="79"/>
      <c r="U44" s="79"/>
      <c r="V44" s="16"/>
      <c r="W44" s="16"/>
      <c r="X44" s="16"/>
      <c r="Y44" s="16"/>
      <c r="Z44" s="16"/>
      <c r="AA44" s="16"/>
      <c r="AB44" s="16"/>
      <c r="AC44" s="16"/>
      <c r="AD44" s="16"/>
      <c r="AE44" s="16"/>
      <c r="AF44" s="16"/>
    </row>
    <row r="45" spans="1:32" ht="30">
      <c r="A45" s="57"/>
      <c r="B45" s="85"/>
      <c r="C45" s="82"/>
      <c r="D45" s="42"/>
      <c r="E45" s="60"/>
      <c r="F45" s="60" t="s">
        <v>136</v>
      </c>
      <c r="G45" s="60" t="s">
        <v>137</v>
      </c>
      <c r="H45" s="42" t="s">
        <v>135</v>
      </c>
      <c r="I45" s="77">
        <v>432000</v>
      </c>
      <c r="J45" s="79"/>
      <c r="K45" s="79"/>
      <c r="L45" s="79"/>
      <c r="M45" s="79"/>
      <c r="N45" s="79"/>
      <c r="O45" s="79"/>
      <c r="P45" s="79"/>
      <c r="Q45" s="79"/>
      <c r="R45" s="79"/>
      <c r="S45" s="79"/>
      <c r="T45" s="79"/>
      <c r="U45" s="79"/>
      <c r="V45" s="16"/>
      <c r="W45" s="16"/>
      <c r="X45" s="16"/>
      <c r="Y45" s="16"/>
      <c r="Z45" s="16"/>
      <c r="AA45" s="16"/>
      <c r="AB45" s="16"/>
      <c r="AC45" s="16"/>
      <c r="AD45" s="16"/>
      <c r="AE45" s="16"/>
      <c r="AF45" s="16"/>
    </row>
    <row r="46" spans="1:32" ht="45">
      <c r="A46" s="57"/>
      <c r="B46" s="58"/>
      <c r="C46" s="61" t="s">
        <v>138</v>
      </c>
      <c r="D46" s="87">
        <v>45326</v>
      </c>
      <c r="E46" s="61" t="s">
        <v>139</v>
      </c>
      <c r="F46" s="61" t="s">
        <v>140</v>
      </c>
      <c r="G46" s="84"/>
      <c r="H46" s="42" t="s">
        <v>141</v>
      </c>
      <c r="I46" s="88">
        <v>0</v>
      </c>
      <c r="J46" s="79"/>
      <c r="K46" s="79"/>
      <c r="L46" s="79"/>
      <c r="M46" s="79"/>
      <c r="N46" s="79"/>
      <c r="O46" s="79"/>
      <c r="P46" s="79"/>
      <c r="Q46" s="79"/>
      <c r="R46" s="79"/>
      <c r="S46" s="79"/>
      <c r="T46" s="79"/>
      <c r="U46" s="79"/>
      <c r="V46" s="16"/>
      <c r="W46" s="16"/>
      <c r="X46" s="16"/>
      <c r="Y46" s="16"/>
      <c r="Z46" s="16"/>
      <c r="AA46" s="16"/>
      <c r="AB46" s="16"/>
      <c r="AC46" s="16"/>
      <c r="AD46" s="16"/>
      <c r="AE46" s="16"/>
      <c r="AF46" s="16"/>
    </row>
    <row r="47" spans="1:32" ht="75">
      <c r="A47" s="57"/>
      <c r="B47" s="58"/>
      <c r="C47" s="61"/>
      <c r="D47" s="42"/>
      <c r="E47" s="61" t="s">
        <v>142</v>
      </c>
      <c r="F47" s="61" t="s">
        <v>143</v>
      </c>
      <c r="G47" s="61" t="s">
        <v>144</v>
      </c>
      <c r="H47" s="42" t="s">
        <v>118</v>
      </c>
      <c r="I47" s="88">
        <v>1470000</v>
      </c>
      <c r="J47" s="78"/>
      <c r="K47" s="78"/>
      <c r="L47" s="79"/>
      <c r="M47" s="78"/>
      <c r="N47" s="78"/>
      <c r="O47" s="78"/>
      <c r="P47" s="78"/>
      <c r="Q47" s="79"/>
      <c r="R47" s="78"/>
      <c r="S47" s="79"/>
      <c r="T47" s="78"/>
      <c r="U47" s="78"/>
      <c r="V47" s="16"/>
      <c r="W47" s="16"/>
      <c r="X47" s="16"/>
      <c r="Y47" s="16"/>
      <c r="Z47" s="16"/>
      <c r="AA47" s="16"/>
      <c r="AB47" s="16"/>
      <c r="AC47" s="16"/>
      <c r="AD47" s="16"/>
      <c r="AE47" s="16"/>
      <c r="AF47" s="16"/>
    </row>
    <row r="48" spans="1:32" ht="60">
      <c r="A48" s="57"/>
      <c r="B48" s="58"/>
      <c r="C48" s="61"/>
      <c r="D48" s="42"/>
      <c r="E48" s="61" t="s">
        <v>145</v>
      </c>
      <c r="F48" s="61" t="s">
        <v>146</v>
      </c>
      <c r="G48" s="61" t="s">
        <v>147</v>
      </c>
      <c r="H48" s="42" t="s">
        <v>118</v>
      </c>
      <c r="I48" s="88">
        <v>58000000</v>
      </c>
      <c r="J48" s="78"/>
      <c r="K48" s="78"/>
      <c r="L48" s="79"/>
      <c r="M48" s="78"/>
      <c r="N48" s="78"/>
      <c r="O48" s="78"/>
      <c r="P48" s="78"/>
      <c r="Q48" s="79"/>
      <c r="R48" s="78"/>
      <c r="S48" s="79"/>
      <c r="T48" s="78"/>
      <c r="U48" s="78"/>
      <c r="V48" s="16"/>
      <c r="W48" s="16"/>
      <c r="X48" s="16"/>
      <c r="Y48" s="16"/>
      <c r="Z48" s="16"/>
      <c r="AA48" s="16"/>
      <c r="AB48" s="16"/>
      <c r="AC48" s="16"/>
      <c r="AD48" s="16"/>
      <c r="AE48" s="16"/>
      <c r="AF48" s="16"/>
    </row>
    <row r="49" spans="1:32">
      <c r="A49" s="57"/>
      <c r="B49" s="58"/>
      <c r="C49" s="61"/>
      <c r="D49" s="42"/>
      <c r="E49" s="61"/>
      <c r="F49" s="61" t="s">
        <v>148</v>
      </c>
      <c r="G49" s="61" t="s">
        <v>149</v>
      </c>
      <c r="H49" s="42" t="s">
        <v>118</v>
      </c>
      <c r="I49" s="88">
        <v>1000000</v>
      </c>
      <c r="J49" s="78"/>
      <c r="K49" s="78"/>
      <c r="L49" s="79"/>
      <c r="M49" s="78"/>
      <c r="N49" s="78"/>
      <c r="O49" s="78"/>
      <c r="P49" s="78"/>
      <c r="Q49" s="79"/>
      <c r="R49" s="78"/>
      <c r="S49" s="79"/>
      <c r="T49" s="78"/>
      <c r="U49" s="78"/>
      <c r="V49" s="16"/>
      <c r="W49" s="16"/>
      <c r="X49" s="16"/>
      <c r="Y49" s="16"/>
      <c r="Z49" s="16"/>
      <c r="AA49" s="16"/>
      <c r="AB49" s="16"/>
      <c r="AC49" s="16"/>
      <c r="AD49" s="16"/>
      <c r="AE49" s="16"/>
      <c r="AF49" s="16"/>
    </row>
    <row r="50" spans="1:32">
      <c r="A50" s="986"/>
      <c r="B50" s="988"/>
      <c r="C50" s="991" t="s">
        <v>4168</v>
      </c>
      <c r="D50" s="943">
        <v>45543</v>
      </c>
      <c r="E50" s="914" t="s">
        <v>210</v>
      </c>
      <c r="F50" s="914" t="s">
        <v>211</v>
      </c>
      <c r="G50" s="61" t="s">
        <v>212</v>
      </c>
      <c r="H50" s="990" t="s">
        <v>4167</v>
      </c>
      <c r="I50" s="99">
        <v>0</v>
      </c>
      <c r="J50" s="78"/>
      <c r="K50" s="78"/>
      <c r="L50" s="78"/>
      <c r="M50" s="78"/>
      <c r="N50" s="78"/>
      <c r="O50" s="78"/>
      <c r="P50" s="78"/>
      <c r="Q50" s="78"/>
      <c r="R50" s="78"/>
      <c r="S50" s="78"/>
      <c r="T50" s="78"/>
      <c r="U50" s="78"/>
    </row>
    <row r="51" spans="1:32">
      <c r="A51" s="24"/>
      <c r="B51" s="989"/>
      <c r="C51" s="916"/>
      <c r="D51" s="904"/>
      <c r="E51" s="893"/>
      <c r="F51" s="893"/>
      <c r="G51" s="61" t="s">
        <v>213</v>
      </c>
      <c r="H51" s="990" t="s">
        <v>4167</v>
      </c>
      <c r="I51" s="99">
        <v>0</v>
      </c>
      <c r="J51" s="78"/>
      <c r="K51" s="78"/>
      <c r="L51" s="78"/>
      <c r="M51" s="78"/>
      <c r="N51" s="78"/>
      <c r="O51" s="78"/>
      <c r="P51" s="78"/>
      <c r="Q51" s="78"/>
      <c r="R51" s="78"/>
      <c r="S51" s="78"/>
      <c r="T51" s="78"/>
      <c r="U51" s="78"/>
    </row>
    <row r="52" spans="1:32">
      <c r="A52" s="24"/>
      <c r="B52" s="989"/>
      <c r="C52" s="916"/>
      <c r="D52" s="904"/>
      <c r="E52" s="914" t="s">
        <v>214</v>
      </c>
      <c r="F52" s="914" t="s">
        <v>211</v>
      </c>
      <c r="G52" s="61" t="s">
        <v>215</v>
      </c>
      <c r="H52" s="990" t="s">
        <v>4167</v>
      </c>
      <c r="I52" s="99">
        <v>0</v>
      </c>
      <c r="J52" s="78"/>
      <c r="K52" s="78"/>
      <c r="L52" s="78"/>
      <c r="M52" s="78"/>
      <c r="N52" s="78"/>
      <c r="O52" s="78"/>
      <c r="P52" s="78"/>
      <c r="Q52" s="78"/>
      <c r="R52" s="78"/>
      <c r="S52" s="78"/>
      <c r="T52" s="78"/>
      <c r="U52" s="78"/>
    </row>
    <row r="53" spans="1:32">
      <c r="A53" s="24"/>
      <c r="B53" s="989"/>
      <c r="C53" s="916"/>
      <c r="D53" s="904"/>
      <c r="E53" s="904"/>
      <c r="F53" s="904"/>
      <c r="G53" s="61" t="s">
        <v>216</v>
      </c>
      <c r="H53" s="990" t="s">
        <v>4167</v>
      </c>
      <c r="I53" s="99">
        <v>0</v>
      </c>
      <c r="J53" s="78"/>
      <c r="K53" s="78"/>
      <c r="L53" s="78"/>
      <c r="M53" s="78"/>
      <c r="N53" s="78"/>
      <c r="O53" s="78"/>
      <c r="P53" s="78"/>
      <c r="Q53" s="78"/>
      <c r="R53" s="78"/>
      <c r="S53" s="78"/>
      <c r="T53" s="78"/>
      <c r="U53" s="78"/>
    </row>
    <row r="54" spans="1:32">
      <c r="A54" s="24"/>
      <c r="B54" s="989"/>
      <c r="C54" s="916"/>
      <c r="D54" s="904"/>
      <c r="E54" s="893"/>
      <c r="F54" s="893"/>
      <c r="G54" s="61" t="s">
        <v>217</v>
      </c>
      <c r="H54" s="990" t="s">
        <v>4167</v>
      </c>
      <c r="I54" s="99">
        <v>0</v>
      </c>
      <c r="J54" s="78"/>
      <c r="K54" s="78"/>
      <c r="L54" s="78"/>
      <c r="M54" s="78"/>
      <c r="N54" s="78"/>
      <c r="O54" s="78"/>
      <c r="P54" s="78"/>
      <c r="Q54" s="78"/>
      <c r="R54" s="78"/>
      <c r="S54" s="78"/>
      <c r="T54" s="78"/>
      <c r="U54" s="78"/>
    </row>
    <row r="55" spans="1:32">
      <c r="A55" s="24"/>
      <c r="B55" s="989"/>
      <c r="C55" s="916"/>
      <c r="D55" s="904"/>
      <c r="E55" s="914" t="s">
        <v>218</v>
      </c>
      <c r="F55" s="914" t="s">
        <v>211</v>
      </c>
      <c r="G55" s="61" t="s">
        <v>219</v>
      </c>
      <c r="H55" s="990" t="s">
        <v>4167</v>
      </c>
      <c r="I55" s="99">
        <v>0</v>
      </c>
      <c r="J55" s="78"/>
      <c r="K55" s="78"/>
      <c r="L55" s="78"/>
      <c r="M55" s="78"/>
      <c r="N55" s="78"/>
      <c r="O55" s="78"/>
      <c r="P55" s="78"/>
      <c r="Q55" s="78"/>
      <c r="R55" s="78"/>
      <c r="S55" s="78"/>
      <c r="T55" s="78"/>
      <c r="U55" s="78"/>
    </row>
    <row r="56" spans="1:32">
      <c r="A56" s="24"/>
      <c r="B56" s="989"/>
      <c r="C56" s="916"/>
      <c r="D56" s="904"/>
      <c r="E56" s="904"/>
      <c r="F56" s="904"/>
      <c r="G56" s="61" t="s">
        <v>220</v>
      </c>
      <c r="H56" s="990" t="s">
        <v>4167</v>
      </c>
      <c r="I56" s="99">
        <v>0</v>
      </c>
      <c r="J56" s="78"/>
      <c r="K56" s="78"/>
      <c r="L56" s="78"/>
      <c r="M56" s="78"/>
      <c r="N56" s="78"/>
      <c r="O56" s="78"/>
      <c r="P56" s="78"/>
      <c r="Q56" s="78"/>
      <c r="R56" s="78"/>
      <c r="S56" s="78"/>
      <c r="T56" s="78"/>
      <c r="U56" s="78"/>
    </row>
    <row r="57" spans="1:32">
      <c r="A57" s="24"/>
      <c r="B57" s="989"/>
      <c r="C57" s="916"/>
      <c r="D57" s="904"/>
      <c r="E57" s="904"/>
      <c r="F57" s="893"/>
      <c r="G57" s="61" t="s">
        <v>221</v>
      </c>
      <c r="H57" s="990" t="s">
        <v>4167</v>
      </c>
      <c r="I57" s="99">
        <v>0</v>
      </c>
      <c r="J57" s="78"/>
      <c r="K57" s="78"/>
      <c r="L57" s="78"/>
      <c r="M57" s="78"/>
      <c r="N57" s="78"/>
      <c r="O57" s="78"/>
      <c r="P57" s="78"/>
      <c r="Q57" s="78"/>
      <c r="R57" s="78"/>
      <c r="S57" s="78"/>
      <c r="T57" s="78"/>
      <c r="U57" s="78"/>
    </row>
    <row r="58" spans="1:32">
      <c r="A58" s="24"/>
      <c r="B58" s="989"/>
      <c r="C58" s="900"/>
      <c r="D58" s="893"/>
      <c r="E58" s="893"/>
      <c r="F58" s="61" t="s">
        <v>222</v>
      </c>
      <c r="G58" s="61" t="s">
        <v>223</v>
      </c>
      <c r="H58" s="990" t="s">
        <v>4167</v>
      </c>
      <c r="I58" s="99">
        <v>0</v>
      </c>
      <c r="J58" s="78"/>
      <c r="K58" s="78"/>
      <c r="L58" s="78"/>
      <c r="M58" s="78"/>
      <c r="N58" s="78"/>
      <c r="O58" s="78"/>
      <c r="P58" s="78"/>
      <c r="Q58" s="78"/>
      <c r="R58" s="78"/>
      <c r="S58" s="78"/>
      <c r="T58" s="78"/>
      <c r="U58" s="78"/>
    </row>
    <row r="59" spans="1:32" ht="75">
      <c r="A59" s="57"/>
      <c r="B59" s="85" t="s">
        <v>150</v>
      </c>
      <c r="C59" s="61" t="s">
        <v>151</v>
      </c>
      <c r="D59" s="60" t="s">
        <v>152</v>
      </c>
      <c r="E59" s="60" t="s">
        <v>153</v>
      </c>
      <c r="F59" s="76" t="s">
        <v>154</v>
      </c>
      <c r="G59" s="61" t="s">
        <v>155</v>
      </c>
      <c r="H59" s="42" t="s">
        <v>118</v>
      </c>
      <c r="I59" s="77">
        <v>2200000</v>
      </c>
      <c r="J59" s="79"/>
      <c r="K59" s="89"/>
      <c r="L59" s="79"/>
      <c r="M59" s="89"/>
      <c r="N59" s="79"/>
      <c r="O59" s="89"/>
      <c r="P59" s="79"/>
      <c r="Q59" s="78"/>
      <c r="R59" s="89"/>
      <c r="S59" s="78"/>
      <c r="T59" s="78"/>
      <c r="U59" s="78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</row>
    <row r="60" spans="1:32" ht="45">
      <c r="A60" s="57"/>
      <c r="B60" s="85"/>
      <c r="C60" s="61"/>
      <c r="D60" s="60"/>
      <c r="E60" s="60"/>
      <c r="F60" s="76" t="s">
        <v>156</v>
      </c>
      <c r="G60" s="61" t="s">
        <v>157</v>
      </c>
      <c r="H60" s="42" t="s">
        <v>118</v>
      </c>
      <c r="I60" s="77">
        <v>1400000</v>
      </c>
      <c r="J60" s="89"/>
      <c r="K60" s="79"/>
      <c r="L60" s="89"/>
      <c r="M60" s="79"/>
      <c r="N60" s="89"/>
      <c r="O60" s="79"/>
      <c r="P60" s="78"/>
      <c r="Q60" s="79"/>
      <c r="R60" s="78"/>
      <c r="S60" s="78"/>
      <c r="T60" s="78"/>
      <c r="U60" s="78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</row>
    <row r="61" spans="1:32" ht="120">
      <c r="A61" s="57"/>
      <c r="B61" s="85"/>
      <c r="C61" s="61"/>
      <c r="D61" s="60"/>
      <c r="E61" s="60"/>
      <c r="F61" s="60" t="s">
        <v>158</v>
      </c>
      <c r="G61" s="61" t="s">
        <v>159</v>
      </c>
      <c r="H61" s="42" t="s">
        <v>118</v>
      </c>
      <c r="I61" s="77">
        <v>6500000</v>
      </c>
      <c r="J61" s="89"/>
      <c r="K61" s="78"/>
      <c r="L61" s="78"/>
      <c r="M61" s="78"/>
      <c r="N61" s="78"/>
      <c r="O61" s="79"/>
      <c r="P61" s="79"/>
      <c r="Q61" s="78"/>
      <c r="R61" s="79"/>
      <c r="S61" s="78"/>
      <c r="T61" s="79"/>
      <c r="U61" s="78"/>
      <c r="V61" s="16"/>
      <c r="W61" s="16"/>
      <c r="X61" s="16"/>
      <c r="Y61" s="16"/>
      <c r="Z61" s="16"/>
      <c r="AA61" s="16"/>
      <c r="AB61" s="16"/>
      <c r="AC61" s="16"/>
      <c r="AD61" s="16"/>
      <c r="AE61" s="16"/>
      <c r="AF61" s="16"/>
    </row>
    <row r="62" spans="1:32" ht="45">
      <c r="A62" s="57"/>
      <c r="B62" s="85"/>
      <c r="C62" s="61"/>
      <c r="D62" s="60"/>
      <c r="E62" s="60"/>
      <c r="F62" s="60" t="s">
        <v>160</v>
      </c>
      <c r="G62" s="61" t="s">
        <v>161</v>
      </c>
      <c r="H62" s="42"/>
      <c r="I62" s="77">
        <v>12150000</v>
      </c>
      <c r="J62" s="89"/>
      <c r="K62" s="78"/>
      <c r="L62" s="78"/>
      <c r="M62" s="78"/>
      <c r="N62" s="78"/>
      <c r="O62" s="79"/>
      <c r="P62" s="79"/>
      <c r="Q62" s="78"/>
      <c r="R62" s="79"/>
      <c r="S62" s="78"/>
      <c r="T62" s="79"/>
      <c r="U62" s="78"/>
      <c r="V62" s="16"/>
      <c r="W62" s="16"/>
      <c r="X62" s="16"/>
      <c r="Y62" s="16"/>
      <c r="Z62" s="16"/>
      <c r="AA62" s="16"/>
      <c r="AB62" s="16"/>
      <c r="AC62" s="16"/>
      <c r="AD62" s="16"/>
      <c r="AE62" s="16"/>
      <c r="AF62" s="16"/>
    </row>
    <row r="63" spans="1:32" ht="30">
      <c r="A63" s="57"/>
      <c r="B63" s="85"/>
      <c r="C63" s="61"/>
      <c r="D63" s="60"/>
      <c r="E63" s="60"/>
      <c r="F63" s="61" t="s">
        <v>162</v>
      </c>
      <c r="G63" s="61" t="s">
        <v>163</v>
      </c>
      <c r="H63" s="42"/>
      <c r="I63" s="77">
        <v>3000000</v>
      </c>
      <c r="J63" s="89"/>
      <c r="K63" s="78"/>
      <c r="L63" s="78"/>
      <c r="M63" s="78"/>
      <c r="N63" s="78"/>
      <c r="O63" s="79"/>
      <c r="P63" s="79"/>
      <c r="Q63" s="78"/>
      <c r="R63" s="79"/>
      <c r="S63" s="78"/>
      <c r="T63" s="79"/>
      <c r="U63" s="78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</row>
    <row r="64" spans="1:32">
      <c r="A64" s="57"/>
      <c r="B64" s="85"/>
      <c r="C64" s="61"/>
      <c r="D64" s="60"/>
      <c r="E64" s="60"/>
      <c r="F64" s="61" t="s">
        <v>164</v>
      </c>
      <c r="G64" s="61" t="s">
        <v>165</v>
      </c>
      <c r="H64" s="42"/>
      <c r="I64" s="77">
        <v>20000000</v>
      </c>
      <c r="J64" s="89"/>
      <c r="K64" s="78"/>
      <c r="L64" s="78"/>
      <c r="M64" s="78"/>
      <c r="N64" s="78"/>
      <c r="O64" s="79"/>
      <c r="P64" s="79"/>
      <c r="Q64" s="78"/>
      <c r="R64" s="79"/>
      <c r="S64" s="78"/>
      <c r="T64" s="79"/>
      <c r="U64" s="78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</row>
    <row r="65" spans="1:32" ht="90">
      <c r="A65" s="57"/>
      <c r="B65" s="58"/>
      <c r="C65" s="61" t="s">
        <v>166</v>
      </c>
      <c r="D65" s="60" t="s">
        <v>167</v>
      </c>
      <c r="E65" s="61" t="s">
        <v>168</v>
      </c>
      <c r="F65" s="76" t="s">
        <v>169</v>
      </c>
      <c r="G65" s="61" t="s">
        <v>170</v>
      </c>
      <c r="H65" s="42" t="s">
        <v>118</v>
      </c>
      <c r="I65" s="88">
        <v>4250000</v>
      </c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  <c r="U65" s="79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</row>
    <row r="66" spans="1:32">
      <c r="A66" s="57"/>
      <c r="B66" s="58"/>
      <c r="C66" s="61"/>
      <c r="D66" s="60"/>
      <c r="E66" s="61"/>
      <c r="F66" s="76" t="s">
        <v>171</v>
      </c>
      <c r="G66" s="61" t="s">
        <v>172</v>
      </c>
      <c r="H66" s="42"/>
      <c r="I66" s="88">
        <v>400000</v>
      </c>
      <c r="J66" s="78"/>
      <c r="K66" s="78"/>
      <c r="L66" s="78"/>
      <c r="M66" s="78"/>
      <c r="N66" s="78"/>
      <c r="O66" s="79"/>
      <c r="P66" s="78"/>
      <c r="Q66" s="78"/>
      <c r="R66" s="78"/>
      <c r="S66" s="78"/>
      <c r="T66" s="78"/>
      <c r="U66" s="78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</row>
    <row r="67" spans="1:32" ht="45">
      <c r="A67" s="57"/>
      <c r="B67" s="58"/>
      <c r="C67" s="61"/>
      <c r="D67" s="60"/>
      <c r="E67" s="61"/>
      <c r="F67" s="76" t="s">
        <v>173</v>
      </c>
      <c r="G67" s="61" t="s">
        <v>174</v>
      </c>
      <c r="H67" s="42"/>
      <c r="I67" s="88">
        <v>2800000</v>
      </c>
      <c r="J67" s="78"/>
      <c r="K67" s="78"/>
      <c r="L67" s="78"/>
      <c r="M67" s="78"/>
      <c r="N67" s="78"/>
      <c r="O67" s="78"/>
      <c r="P67" s="79"/>
      <c r="Q67" s="78"/>
      <c r="R67" s="78"/>
      <c r="S67" s="78"/>
      <c r="T67" s="78"/>
      <c r="U67" s="78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</row>
    <row r="68" spans="1:32" ht="45">
      <c r="A68" s="57"/>
      <c r="B68" s="58"/>
      <c r="C68" s="61"/>
      <c r="D68" s="60"/>
      <c r="E68" s="61"/>
      <c r="F68" s="76" t="s">
        <v>175</v>
      </c>
      <c r="G68" s="61" t="s">
        <v>176</v>
      </c>
      <c r="H68" s="42"/>
      <c r="I68" s="88">
        <v>3600000</v>
      </c>
      <c r="J68" s="78"/>
      <c r="K68" s="78"/>
      <c r="L68" s="78"/>
      <c r="M68" s="78"/>
      <c r="N68" s="78"/>
      <c r="O68" s="78"/>
      <c r="P68" s="78"/>
      <c r="Q68" s="78"/>
      <c r="R68" s="79"/>
      <c r="S68" s="78"/>
      <c r="T68" s="78"/>
      <c r="U68" s="78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</row>
    <row r="69" spans="1:32" ht="30">
      <c r="A69" s="57"/>
      <c r="B69" s="58"/>
      <c r="C69" s="61"/>
      <c r="D69" s="60"/>
      <c r="E69" s="61"/>
      <c r="F69" s="76" t="s">
        <v>177</v>
      </c>
      <c r="G69" s="61" t="s">
        <v>178</v>
      </c>
      <c r="H69" s="42"/>
      <c r="I69" s="88">
        <v>1100000</v>
      </c>
      <c r="J69" s="78"/>
      <c r="K69" s="78"/>
      <c r="L69" s="78"/>
      <c r="M69" s="78"/>
      <c r="N69" s="78"/>
      <c r="O69" s="78"/>
      <c r="P69" s="79"/>
      <c r="Q69" s="78"/>
      <c r="R69" s="78"/>
      <c r="S69" s="78"/>
      <c r="T69" s="78"/>
      <c r="U69" s="78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</row>
    <row r="70" spans="1:32" ht="30">
      <c r="A70" s="57"/>
      <c r="B70" s="58"/>
      <c r="C70" s="61"/>
      <c r="D70" s="60"/>
      <c r="E70" s="61"/>
      <c r="F70" s="61" t="s">
        <v>179</v>
      </c>
      <c r="G70" s="61" t="s">
        <v>180</v>
      </c>
      <c r="H70" s="42"/>
      <c r="I70" s="88">
        <v>4000000</v>
      </c>
      <c r="J70" s="78"/>
      <c r="K70" s="78"/>
      <c r="L70" s="78"/>
      <c r="M70" s="78"/>
      <c r="N70" s="78"/>
      <c r="O70" s="78"/>
      <c r="P70" s="78"/>
      <c r="Q70" s="78"/>
      <c r="R70" s="78"/>
      <c r="S70" s="78"/>
      <c r="T70" s="79"/>
      <c r="U70" s="78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</row>
    <row r="71" spans="1:32" ht="90">
      <c r="A71" s="57"/>
      <c r="B71" s="58"/>
      <c r="C71" s="61"/>
      <c r="D71" s="60"/>
      <c r="E71" s="61"/>
      <c r="F71" s="61" t="s">
        <v>181</v>
      </c>
      <c r="G71" s="61" t="s">
        <v>182</v>
      </c>
      <c r="H71" s="42" t="s">
        <v>118</v>
      </c>
      <c r="I71" s="88">
        <v>26600000</v>
      </c>
      <c r="J71" s="78"/>
      <c r="K71" s="78"/>
      <c r="L71" s="78"/>
      <c r="M71" s="78"/>
      <c r="N71" s="78"/>
      <c r="O71" s="78"/>
      <c r="P71" s="78"/>
      <c r="Q71" s="78"/>
      <c r="R71" s="78"/>
      <c r="S71" s="78"/>
      <c r="T71" s="79"/>
      <c r="U71" s="78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</row>
    <row r="72" spans="1:32" ht="45">
      <c r="A72" s="57"/>
      <c r="B72" s="58"/>
      <c r="C72" s="61" t="s">
        <v>183</v>
      </c>
      <c r="D72" s="75">
        <v>0.6</v>
      </c>
      <c r="E72" s="61" t="s">
        <v>184</v>
      </c>
      <c r="F72" s="76" t="s">
        <v>185</v>
      </c>
      <c r="G72" s="61" t="s">
        <v>186</v>
      </c>
      <c r="H72" s="42"/>
      <c r="I72" s="88">
        <v>1600000</v>
      </c>
      <c r="J72" s="78"/>
      <c r="K72" s="78"/>
      <c r="L72" s="78"/>
      <c r="M72" s="78"/>
      <c r="N72" s="78"/>
      <c r="O72" s="78"/>
      <c r="P72" s="78"/>
      <c r="Q72" s="78"/>
      <c r="R72" s="78"/>
      <c r="S72" s="78"/>
      <c r="T72" s="78"/>
      <c r="U72" s="78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</row>
    <row r="73" spans="1:32">
      <c r="A73" s="57"/>
      <c r="B73" s="58"/>
      <c r="C73" s="61"/>
      <c r="D73" s="42"/>
      <c r="E73" s="61"/>
      <c r="F73" s="76" t="s">
        <v>187</v>
      </c>
      <c r="G73" s="84">
        <v>0</v>
      </c>
      <c r="H73" s="42" t="s">
        <v>118</v>
      </c>
      <c r="I73" s="88">
        <v>0</v>
      </c>
      <c r="J73" s="78"/>
      <c r="K73" s="78"/>
      <c r="L73" s="78"/>
      <c r="M73" s="78"/>
      <c r="N73" s="78"/>
      <c r="O73" s="78"/>
      <c r="P73" s="78"/>
      <c r="Q73" s="78"/>
      <c r="R73" s="78"/>
      <c r="S73" s="78"/>
      <c r="T73" s="78"/>
      <c r="U73" s="78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</row>
    <row r="74" spans="1:32" ht="120">
      <c r="A74" s="57"/>
      <c r="B74" s="58"/>
      <c r="C74" s="61"/>
      <c r="D74" s="42"/>
      <c r="E74" s="61"/>
      <c r="F74" s="76" t="s">
        <v>188</v>
      </c>
      <c r="G74" s="59" t="s">
        <v>189</v>
      </c>
      <c r="H74" s="42" t="s">
        <v>118</v>
      </c>
      <c r="I74" s="88">
        <v>11630000</v>
      </c>
      <c r="J74" s="78"/>
      <c r="K74" s="78"/>
      <c r="L74" s="78"/>
      <c r="M74" s="78"/>
      <c r="N74" s="78"/>
      <c r="O74" s="78"/>
      <c r="P74" s="78"/>
      <c r="Q74" s="78"/>
      <c r="R74" s="78"/>
      <c r="S74" s="78"/>
      <c r="T74" s="78"/>
      <c r="U74" s="78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</row>
    <row r="75" spans="1:32" ht="28.5">
      <c r="A75" s="57"/>
      <c r="B75" s="85" t="s">
        <v>193</v>
      </c>
      <c r="C75" s="74" t="s">
        <v>194</v>
      </c>
      <c r="D75" s="90">
        <v>1</v>
      </c>
      <c r="E75" s="61" t="s">
        <v>195</v>
      </c>
      <c r="F75" s="76" t="s">
        <v>196</v>
      </c>
      <c r="G75" s="61" t="s">
        <v>197</v>
      </c>
      <c r="H75" s="42" t="s">
        <v>118</v>
      </c>
      <c r="I75" s="88">
        <v>200000</v>
      </c>
      <c r="J75" s="78"/>
      <c r="K75" s="78"/>
      <c r="L75" s="79"/>
      <c r="M75" s="78"/>
      <c r="N75" s="78"/>
      <c r="O75" s="78"/>
      <c r="P75" s="78"/>
      <c r="Q75" s="78"/>
      <c r="R75" s="78"/>
      <c r="S75" s="78"/>
      <c r="T75" s="78"/>
      <c r="U75" s="78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</row>
    <row r="76" spans="1:32" ht="57">
      <c r="A76" s="57"/>
      <c r="B76" s="58"/>
      <c r="C76" s="82" t="s">
        <v>198</v>
      </c>
      <c r="D76" s="60" t="s">
        <v>199</v>
      </c>
      <c r="E76" s="61" t="s">
        <v>200</v>
      </c>
      <c r="F76" s="76" t="s">
        <v>201</v>
      </c>
      <c r="G76" s="61" t="s">
        <v>197</v>
      </c>
      <c r="H76" s="42" t="s">
        <v>118</v>
      </c>
      <c r="I76" s="88">
        <v>200000</v>
      </c>
      <c r="J76" s="78"/>
      <c r="K76" s="78"/>
      <c r="L76" s="78"/>
      <c r="M76" s="79"/>
      <c r="N76" s="78"/>
      <c r="O76" s="78"/>
      <c r="P76" s="78"/>
      <c r="Q76" s="78"/>
      <c r="R76" s="78"/>
      <c r="S76" s="78"/>
      <c r="T76" s="78"/>
      <c r="U76" s="78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</row>
    <row r="77" spans="1:32" ht="30">
      <c r="A77" s="57"/>
      <c r="B77" s="58"/>
      <c r="C77" s="61"/>
      <c r="D77" s="60"/>
      <c r="E77" s="61"/>
      <c r="F77" s="76" t="s">
        <v>202</v>
      </c>
      <c r="G77" s="61" t="s">
        <v>197</v>
      </c>
      <c r="H77" s="42" t="s">
        <v>118</v>
      </c>
      <c r="I77" s="88">
        <v>200000</v>
      </c>
      <c r="J77" s="78"/>
      <c r="K77" s="78"/>
      <c r="L77" s="78"/>
      <c r="M77" s="78"/>
      <c r="N77" s="79"/>
      <c r="O77" s="78"/>
      <c r="P77" s="78"/>
      <c r="Q77" s="78"/>
      <c r="R77" s="78"/>
      <c r="S77" s="78"/>
      <c r="T77" s="78"/>
      <c r="U77" s="78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</row>
    <row r="78" spans="1:32">
      <c r="A78" s="57"/>
      <c r="B78" s="58"/>
      <c r="C78" s="61"/>
      <c r="D78" s="60"/>
      <c r="E78" s="61"/>
      <c r="F78" s="61" t="s">
        <v>203</v>
      </c>
      <c r="G78" s="61" t="s">
        <v>197</v>
      </c>
      <c r="H78" s="42" t="s">
        <v>118</v>
      </c>
      <c r="I78" s="88">
        <v>200000</v>
      </c>
      <c r="J78" s="78"/>
      <c r="K78" s="78"/>
      <c r="L78" s="78"/>
      <c r="M78" s="78"/>
      <c r="N78" s="78"/>
      <c r="O78" s="79"/>
      <c r="P78" s="78"/>
      <c r="Q78" s="78"/>
      <c r="R78" s="78"/>
      <c r="S78" s="78"/>
      <c r="T78" s="78"/>
      <c r="U78" s="78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</row>
    <row r="79" spans="1:32" ht="30">
      <c r="A79" s="91"/>
      <c r="B79" s="92"/>
      <c r="C79" s="93"/>
      <c r="D79" s="94"/>
      <c r="E79" s="93"/>
      <c r="F79" s="61" t="s">
        <v>204</v>
      </c>
      <c r="G79" s="61" t="s">
        <v>205</v>
      </c>
      <c r="H79" s="42" t="s">
        <v>118</v>
      </c>
      <c r="I79" s="88">
        <v>1200000</v>
      </c>
      <c r="J79" s="78"/>
      <c r="K79" s="78"/>
      <c r="L79" s="78"/>
      <c r="M79" s="78"/>
      <c r="N79" s="78"/>
      <c r="O79" s="79"/>
      <c r="P79" s="78"/>
      <c r="Q79" s="78"/>
      <c r="R79" s="78"/>
      <c r="S79" s="78"/>
      <c r="T79" s="78"/>
      <c r="U79" s="78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</row>
    <row r="80" spans="1:32" ht="15.75">
      <c r="A80" s="896" t="s">
        <v>7</v>
      </c>
      <c r="B80" s="888"/>
      <c r="C80" s="888"/>
      <c r="D80" s="888"/>
      <c r="E80" s="888"/>
      <c r="F80" s="889"/>
      <c r="G80" s="95"/>
      <c r="H80" s="96"/>
      <c r="I80" s="97">
        <f>SUM(I39:I79)</f>
        <v>220432000</v>
      </c>
      <c r="J80" s="98"/>
      <c r="K80" s="98"/>
      <c r="L80" s="98"/>
      <c r="M80" s="98"/>
      <c r="N80" s="98"/>
      <c r="O80" s="98"/>
      <c r="P80" s="98"/>
      <c r="Q80" s="98"/>
      <c r="R80" s="98"/>
      <c r="S80" s="98"/>
      <c r="T80" s="98"/>
      <c r="U80" s="98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</row>
    <row r="81" spans="1:22">
      <c r="A81" s="1005" t="s">
        <v>4169</v>
      </c>
      <c r="B81" s="888"/>
      <c r="C81" s="66"/>
      <c r="D81" s="67"/>
      <c r="E81" s="66"/>
      <c r="F81" s="66"/>
      <c r="G81" s="66"/>
      <c r="H81" s="66"/>
      <c r="I81" s="69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</row>
    <row r="82" spans="1:22">
      <c r="A82" s="897" t="s">
        <v>18</v>
      </c>
      <c r="B82" s="898" t="s">
        <v>19</v>
      </c>
      <c r="C82" s="899" t="s">
        <v>20</v>
      </c>
      <c r="D82" s="892" t="s">
        <v>21</v>
      </c>
      <c r="E82" s="892" t="s">
        <v>22</v>
      </c>
      <c r="F82" s="892" t="s">
        <v>23</v>
      </c>
      <c r="G82" s="892" t="s">
        <v>9</v>
      </c>
      <c r="H82" s="892" t="s">
        <v>24</v>
      </c>
      <c r="I82" s="894" t="s">
        <v>206</v>
      </c>
      <c r="J82" s="895" t="s">
        <v>26</v>
      </c>
      <c r="K82" s="888"/>
      <c r="L82" s="888"/>
      <c r="M82" s="888"/>
      <c r="N82" s="888"/>
      <c r="O82" s="888"/>
      <c r="P82" s="888"/>
      <c r="Q82" s="888"/>
      <c r="R82" s="888"/>
      <c r="S82" s="888"/>
      <c r="T82" s="888"/>
      <c r="U82" s="889"/>
    </row>
    <row r="83" spans="1:22">
      <c r="A83" s="893"/>
      <c r="B83" s="893"/>
      <c r="C83" s="900"/>
      <c r="D83" s="893"/>
      <c r="E83" s="893"/>
      <c r="F83" s="893"/>
      <c r="G83" s="893"/>
      <c r="H83" s="893"/>
      <c r="I83" s="893"/>
      <c r="J83" s="71" t="s">
        <v>27</v>
      </c>
      <c r="K83" s="71" t="s">
        <v>28</v>
      </c>
      <c r="L83" s="71" t="s">
        <v>29</v>
      </c>
      <c r="M83" s="71" t="s">
        <v>30</v>
      </c>
      <c r="N83" s="71" t="s">
        <v>31</v>
      </c>
      <c r="O83" s="71" t="s">
        <v>32</v>
      </c>
      <c r="P83" s="71" t="s">
        <v>207</v>
      </c>
      <c r="Q83" s="71" t="s">
        <v>34</v>
      </c>
      <c r="R83" s="71" t="s">
        <v>35</v>
      </c>
      <c r="S83" s="71" t="s">
        <v>36</v>
      </c>
      <c r="T83" s="71" t="s">
        <v>37</v>
      </c>
      <c r="U83" s="71" t="s">
        <v>38</v>
      </c>
    </row>
    <row r="84" spans="1:22">
      <c r="A84" s="1001" t="s">
        <v>208</v>
      </c>
      <c r="B84" s="998" t="s">
        <v>209</v>
      </c>
      <c r="C84" s="915" t="s">
        <v>224</v>
      </c>
      <c r="D84" s="917" t="s">
        <v>225</v>
      </c>
      <c r="E84" s="914" t="s">
        <v>226</v>
      </c>
      <c r="F84" s="61" t="s">
        <v>211</v>
      </c>
      <c r="G84" s="61"/>
      <c r="H84" s="60" t="s">
        <v>227</v>
      </c>
      <c r="I84" s="99">
        <v>0</v>
      </c>
      <c r="J84" s="79"/>
      <c r="K84" s="78"/>
      <c r="L84" s="79"/>
      <c r="M84" s="78"/>
      <c r="N84" s="79"/>
      <c r="O84" s="78"/>
      <c r="P84" s="78"/>
      <c r="Q84" s="79"/>
      <c r="R84" s="78"/>
      <c r="S84" s="78"/>
      <c r="T84" s="78"/>
      <c r="U84" s="78"/>
    </row>
    <row r="85" spans="1:22" ht="30">
      <c r="A85" s="1002"/>
      <c r="B85" s="999"/>
      <c r="C85" s="916"/>
      <c r="D85" s="904"/>
      <c r="E85" s="904"/>
      <c r="F85" s="61" t="s">
        <v>228</v>
      </c>
      <c r="G85" s="61" t="s">
        <v>229</v>
      </c>
      <c r="H85" s="60" t="s">
        <v>227</v>
      </c>
      <c r="I85" s="99">
        <v>5000000</v>
      </c>
      <c r="J85" s="79"/>
      <c r="K85" s="78"/>
      <c r="L85" s="79"/>
      <c r="M85" s="78"/>
      <c r="N85" s="79"/>
      <c r="O85" s="78"/>
      <c r="P85" s="78"/>
      <c r="Q85" s="79"/>
      <c r="R85" s="78"/>
      <c r="S85" s="78"/>
      <c r="T85" s="78"/>
      <c r="U85" s="78"/>
    </row>
    <row r="86" spans="1:22">
      <c r="A86" s="1002"/>
      <c r="B86" s="999"/>
      <c r="C86" s="916"/>
      <c r="D86" s="904"/>
      <c r="E86" s="904"/>
      <c r="F86" s="61" t="s">
        <v>230</v>
      </c>
      <c r="G86" s="61" t="s">
        <v>231</v>
      </c>
      <c r="H86" s="60" t="s">
        <v>227</v>
      </c>
      <c r="I86" s="99">
        <v>0</v>
      </c>
      <c r="J86" s="79"/>
      <c r="K86" s="78"/>
      <c r="L86" s="79"/>
      <c r="M86" s="78"/>
      <c r="N86" s="79"/>
      <c r="O86" s="78"/>
      <c r="P86" s="78"/>
      <c r="Q86" s="79"/>
      <c r="R86" s="78"/>
      <c r="S86" s="78"/>
      <c r="T86" s="78"/>
      <c r="U86" s="78"/>
    </row>
    <row r="87" spans="1:22">
      <c r="A87" s="1002"/>
      <c r="B87" s="999"/>
      <c r="C87" s="916"/>
      <c r="D87" s="904"/>
      <c r="E87" s="904"/>
      <c r="F87" s="61" t="s">
        <v>232</v>
      </c>
      <c r="G87" s="61" t="s">
        <v>233</v>
      </c>
      <c r="H87" s="60"/>
      <c r="I87" s="99">
        <f>15907625+30000000+1287499</f>
        <v>47195124</v>
      </c>
      <c r="J87" s="79"/>
      <c r="K87" s="78"/>
      <c r="L87" s="79"/>
      <c r="M87" s="78"/>
      <c r="N87" s="79"/>
      <c r="O87" s="78"/>
      <c r="P87" s="78"/>
      <c r="Q87" s="79"/>
      <c r="R87" s="78"/>
      <c r="S87" s="78"/>
      <c r="T87" s="78"/>
      <c r="U87" s="78"/>
    </row>
    <row r="88" spans="1:22">
      <c r="A88" s="1002"/>
      <c r="B88" s="999"/>
      <c r="C88" s="900"/>
      <c r="D88" s="893"/>
      <c r="E88" s="893"/>
      <c r="F88" s="61" t="s">
        <v>217</v>
      </c>
      <c r="G88" s="61" t="s">
        <v>234</v>
      </c>
      <c r="H88" s="60" t="s">
        <v>227</v>
      </c>
      <c r="I88" s="99">
        <v>400000</v>
      </c>
      <c r="J88" s="79"/>
      <c r="K88" s="78"/>
      <c r="L88" s="79"/>
      <c r="M88" s="78"/>
      <c r="N88" s="79"/>
      <c r="O88" s="78"/>
      <c r="P88" s="78"/>
      <c r="Q88" s="79"/>
      <c r="R88" s="78"/>
      <c r="S88" s="78"/>
      <c r="T88" s="78"/>
      <c r="U88" s="78"/>
    </row>
    <row r="89" spans="1:22">
      <c r="A89" s="1002"/>
      <c r="B89" s="999"/>
      <c r="C89" s="915" t="s">
        <v>235</v>
      </c>
      <c r="D89" s="921" t="s">
        <v>236</v>
      </c>
      <c r="E89" s="914" t="s">
        <v>237</v>
      </c>
      <c r="F89" s="61" t="s">
        <v>211</v>
      </c>
      <c r="G89" s="61"/>
      <c r="H89" s="60"/>
      <c r="I89" s="99">
        <v>0</v>
      </c>
      <c r="J89" s="78"/>
      <c r="K89" s="78"/>
      <c r="L89" s="78"/>
      <c r="M89" s="78"/>
      <c r="N89" s="78"/>
      <c r="O89" s="78"/>
      <c r="P89" s="78"/>
      <c r="Q89" s="78"/>
      <c r="R89" s="78"/>
      <c r="S89" s="78"/>
      <c r="T89" s="78"/>
      <c r="U89" s="78"/>
    </row>
    <row r="90" spans="1:22" ht="45">
      <c r="A90" s="1002"/>
      <c r="B90" s="999"/>
      <c r="C90" s="916"/>
      <c r="D90" s="904"/>
      <c r="E90" s="904"/>
      <c r="F90" s="61" t="s">
        <v>238</v>
      </c>
      <c r="G90" s="61" t="s">
        <v>239</v>
      </c>
      <c r="H90" s="60"/>
      <c r="I90" s="99">
        <f>41220975+55117017</f>
        <v>96337992</v>
      </c>
      <c r="J90" s="78"/>
      <c r="K90" s="78"/>
      <c r="L90" s="78"/>
      <c r="M90" s="78"/>
      <c r="N90" s="78"/>
      <c r="O90" s="78"/>
      <c r="P90" s="78"/>
      <c r="Q90" s="78"/>
      <c r="R90" s="78"/>
      <c r="S90" s="78"/>
      <c r="T90" s="78"/>
      <c r="U90" s="78"/>
    </row>
    <row r="91" spans="1:22">
      <c r="A91" s="1002"/>
      <c r="B91" s="999"/>
      <c r="C91" s="916"/>
      <c r="D91" s="904"/>
      <c r="E91" s="904"/>
      <c r="F91" s="61" t="s">
        <v>240</v>
      </c>
      <c r="G91" s="61" t="s">
        <v>241</v>
      </c>
      <c r="H91" s="60"/>
      <c r="I91" s="99">
        <v>1000000</v>
      </c>
      <c r="J91" s="78"/>
      <c r="K91" s="78"/>
      <c r="L91" s="78"/>
      <c r="M91" s="78"/>
      <c r="N91" s="78"/>
      <c r="O91" s="78"/>
      <c r="P91" s="78"/>
      <c r="Q91" s="78"/>
      <c r="R91" s="78"/>
      <c r="S91" s="78"/>
      <c r="T91" s="78"/>
      <c r="U91" s="78"/>
    </row>
    <row r="92" spans="1:22">
      <c r="A92" s="1002"/>
      <c r="B92" s="999"/>
      <c r="C92" s="900"/>
      <c r="D92" s="893"/>
      <c r="E92" s="893"/>
      <c r="F92" s="61" t="s">
        <v>217</v>
      </c>
      <c r="G92" s="61" t="s">
        <v>242</v>
      </c>
      <c r="H92" s="60"/>
      <c r="I92" s="99">
        <f>7467500+400000</f>
        <v>7867500</v>
      </c>
      <c r="J92" s="78"/>
      <c r="K92" s="78"/>
      <c r="L92" s="78"/>
      <c r="M92" s="78"/>
      <c r="N92" s="78"/>
      <c r="O92" s="78"/>
      <c r="P92" s="78"/>
      <c r="Q92" s="78"/>
      <c r="R92" s="78"/>
      <c r="S92" s="78"/>
      <c r="T92" s="78"/>
      <c r="U92" s="78"/>
    </row>
    <row r="93" spans="1:22" ht="30">
      <c r="A93" s="1002"/>
      <c r="B93" s="999"/>
      <c r="C93" s="942" t="s">
        <v>243</v>
      </c>
      <c r="D93" s="914" t="s">
        <v>244</v>
      </c>
      <c r="E93" s="60" t="s">
        <v>245</v>
      </c>
      <c r="F93" s="60" t="s">
        <v>246</v>
      </c>
      <c r="G93" s="100" t="s">
        <v>247</v>
      </c>
      <c r="H93" s="60"/>
      <c r="I93" s="99">
        <v>10000000</v>
      </c>
      <c r="J93" s="78"/>
      <c r="K93" s="78"/>
      <c r="L93" s="78"/>
      <c r="M93" s="78"/>
      <c r="N93" s="78"/>
      <c r="O93" s="78"/>
      <c r="P93" s="78"/>
      <c r="Q93" s="78"/>
      <c r="R93" s="78"/>
      <c r="S93" s="78"/>
      <c r="T93" s="78"/>
      <c r="U93" s="78"/>
    </row>
    <row r="94" spans="1:22" ht="45">
      <c r="A94" s="1002"/>
      <c r="B94" s="999"/>
      <c r="C94" s="890"/>
      <c r="D94" s="904"/>
      <c r="E94" s="60" t="s">
        <v>248</v>
      </c>
      <c r="F94" s="60" t="s">
        <v>249</v>
      </c>
      <c r="G94" s="60"/>
      <c r="H94" s="60"/>
      <c r="I94" s="99">
        <v>0</v>
      </c>
      <c r="J94" s="78"/>
      <c r="K94" s="78"/>
      <c r="L94" s="78"/>
      <c r="M94" s="78"/>
      <c r="N94" s="78"/>
      <c r="O94" s="78"/>
      <c r="P94" s="78"/>
      <c r="Q94" s="78"/>
      <c r="R94" s="78"/>
      <c r="S94" s="78"/>
      <c r="T94" s="78"/>
      <c r="U94" s="78"/>
    </row>
    <row r="95" spans="1:22" ht="60">
      <c r="A95" s="1002"/>
      <c r="B95" s="999"/>
      <c r="C95" s="890"/>
      <c r="D95" s="904"/>
      <c r="E95" s="60" t="s">
        <v>250</v>
      </c>
      <c r="F95" s="61" t="s">
        <v>251</v>
      </c>
      <c r="G95" s="60"/>
      <c r="H95" s="60"/>
      <c r="I95" s="99">
        <v>0</v>
      </c>
      <c r="J95" s="78"/>
      <c r="K95" s="78"/>
      <c r="L95" s="78"/>
      <c r="M95" s="78"/>
      <c r="N95" s="78"/>
      <c r="O95" s="78"/>
      <c r="P95" s="78"/>
      <c r="Q95" s="78"/>
      <c r="R95" s="78"/>
      <c r="S95" s="78"/>
      <c r="T95" s="78"/>
      <c r="U95" s="78"/>
    </row>
    <row r="96" spans="1:22" ht="45">
      <c r="A96" s="1002"/>
      <c r="B96" s="999"/>
      <c r="C96" s="890"/>
      <c r="D96" s="904"/>
      <c r="E96" s="60" t="s">
        <v>252</v>
      </c>
      <c r="F96" s="61" t="s">
        <v>253</v>
      </c>
      <c r="G96" s="60"/>
      <c r="H96" s="60"/>
      <c r="I96" s="99">
        <v>0</v>
      </c>
      <c r="J96" s="78"/>
      <c r="K96" s="78"/>
      <c r="L96" s="78"/>
      <c r="M96" s="78"/>
      <c r="N96" s="78"/>
      <c r="O96" s="78"/>
      <c r="P96" s="78"/>
      <c r="Q96" s="78"/>
      <c r="R96" s="78"/>
      <c r="S96" s="78"/>
      <c r="T96" s="78"/>
      <c r="U96" s="78"/>
    </row>
    <row r="97" spans="1:21" ht="60">
      <c r="A97" s="1002"/>
      <c r="B97" s="999"/>
      <c r="C97" s="890"/>
      <c r="D97" s="904"/>
      <c r="E97" s="60" t="s">
        <v>254</v>
      </c>
      <c r="F97" s="61" t="s">
        <v>255</v>
      </c>
      <c r="G97" s="60"/>
      <c r="H97" s="60"/>
      <c r="I97" s="99">
        <v>0</v>
      </c>
      <c r="J97" s="78"/>
      <c r="K97" s="78"/>
      <c r="L97" s="78"/>
      <c r="M97" s="78"/>
      <c r="N97" s="78"/>
      <c r="O97" s="78"/>
      <c r="P97" s="78"/>
      <c r="Q97" s="78"/>
      <c r="R97" s="78"/>
      <c r="S97" s="78"/>
      <c r="T97" s="78"/>
      <c r="U97" s="78"/>
    </row>
    <row r="98" spans="1:21" ht="45">
      <c r="A98" s="1002"/>
      <c r="B98" s="999"/>
      <c r="C98" s="890"/>
      <c r="D98" s="904"/>
      <c r="E98" s="60" t="s">
        <v>256</v>
      </c>
      <c r="F98" s="61" t="s">
        <v>257</v>
      </c>
      <c r="G98" s="60"/>
      <c r="H98" s="60"/>
      <c r="I98" s="99">
        <v>0</v>
      </c>
      <c r="J98" s="78"/>
      <c r="K98" s="78"/>
      <c r="L98" s="78"/>
      <c r="M98" s="78"/>
      <c r="N98" s="78"/>
      <c r="O98" s="78"/>
      <c r="P98" s="78"/>
      <c r="Q98" s="78"/>
      <c r="R98" s="78"/>
      <c r="S98" s="78"/>
      <c r="T98" s="78"/>
      <c r="U98" s="78"/>
    </row>
    <row r="99" spans="1:21" ht="45">
      <c r="A99" s="1002"/>
      <c r="B99" s="999"/>
      <c r="C99" s="890"/>
      <c r="D99" s="928" t="s">
        <v>258</v>
      </c>
      <c r="E99" s="66" t="s">
        <v>259</v>
      </c>
      <c r="F99" s="101" t="s">
        <v>260</v>
      </c>
      <c r="G99" s="60"/>
      <c r="H99" s="60"/>
      <c r="I99" s="99">
        <f>7467500+5000000</f>
        <v>12467500</v>
      </c>
      <c r="J99" s="78"/>
      <c r="K99" s="78"/>
      <c r="L99" s="78"/>
      <c r="M99" s="78"/>
      <c r="N99" s="78"/>
      <c r="O99" s="78"/>
      <c r="P99" s="78"/>
      <c r="Q99" s="78"/>
      <c r="R99" s="78"/>
      <c r="S99" s="78"/>
      <c r="T99" s="78"/>
      <c r="U99" s="78"/>
    </row>
    <row r="100" spans="1:21" ht="90">
      <c r="A100" s="1002"/>
      <c r="B100" s="999"/>
      <c r="C100" s="890"/>
      <c r="D100" s="904"/>
      <c r="E100" s="102" t="s">
        <v>261</v>
      </c>
      <c r="F100" s="61" t="s">
        <v>262</v>
      </c>
      <c r="G100" s="60"/>
      <c r="H100" s="60"/>
      <c r="I100" s="99">
        <v>0</v>
      </c>
      <c r="J100" s="78"/>
      <c r="K100" s="78"/>
      <c r="L100" s="78"/>
      <c r="M100" s="78"/>
      <c r="N100" s="78"/>
      <c r="O100" s="78"/>
      <c r="P100" s="78"/>
      <c r="Q100" s="78"/>
      <c r="R100" s="78"/>
      <c r="S100" s="78"/>
      <c r="T100" s="78"/>
      <c r="U100" s="78"/>
    </row>
    <row r="101" spans="1:21" ht="75">
      <c r="A101" s="1002"/>
      <c r="B101" s="999"/>
      <c r="C101" s="890"/>
      <c r="D101" s="904"/>
      <c r="E101" s="60" t="s">
        <v>263</v>
      </c>
      <c r="F101" s="61" t="s">
        <v>264</v>
      </c>
      <c r="G101" s="60"/>
      <c r="H101" s="60"/>
      <c r="I101" s="99">
        <v>0</v>
      </c>
      <c r="J101" s="78"/>
      <c r="K101" s="78"/>
      <c r="L101" s="78"/>
      <c r="M101" s="78"/>
      <c r="N101" s="78"/>
      <c r="O101" s="78"/>
      <c r="P101" s="78"/>
      <c r="Q101" s="78"/>
      <c r="R101" s="78"/>
      <c r="S101" s="78"/>
      <c r="T101" s="78"/>
      <c r="U101" s="78"/>
    </row>
    <row r="102" spans="1:21" ht="30">
      <c r="A102" s="1002"/>
      <c r="B102" s="999"/>
      <c r="C102" s="891"/>
      <c r="D102" s="893"/>
      <c r="E102" s="60" t="s">
        <v>265</v>
      </c>
      <c r="F102" s="60" t="s">
        <v>266</v>
      </c>
      <c r="G102" s="60"/>
      <c r="H102" s="60"/>
      <c r="I102" s="99">
        <v>0</v>
      </c>
      <c r="J102" s="78"/>
      <c r="K102" s="78"/>
      <c r="L102" s="78"/>
      <c r="M102" s="78"/>
      <c r="N102" s="78"/>
      <c r="O102" s="78"/>
      <c r="P102" s="78"/>
      <c r="Q102" s="78"/>
      <c r="R102" s="78"/>
      <c r="S102" s="78"/>
      <c r="T102" s="78"/>
      <c r="U102" s="78"/>
    </row>
    <row r="103" spans="1:21" ht="30">
      <c r="A103" s="1002"/>
      <c r="B103" s="999"/>
      <c r="C103" s="915" t="s">
        <v>267</v>
      </c>
      <c r="D103" s="921" t="s">
        <v>268</v>
      </c>
      <c r="E103" s="914" t="s">
        <v>269</v>
      </c>
      <c r="F103" s="61" t="s">
        <v>211</v>
      </c>
      <c r="G103" s="61" t="s">
        <v>270</v>
      </c>
      <c r="H103" s="61"/>
      <c r="I103" s="43">
        <v>0</v>
      </c>
      <c r="J103" s="78"/>
      <c r="K103" s="78"/>
      <c r="L103" s="78"/>
      <c r="M103" s="78"/>
      <c r="N103" s="78"/>
      <c r="O103" s="78"/>
      <c r="P103" s="78"/>
      <c r="Q103" s="78"/>
      <c r="R103" s="78"/>
      <c r="S103" s="78"/>
      <c r="T103" s="78"/>
      <c r="U103" s="78"/>
    </row>
    <row r="104" spans="1:21" ht="30">
      <c r="A104" s="1002"/>
      <c r="B104" s="999"/>
      <c r="C104" s="916"/>
      <c r="D104" s="904"/>
      <c r="E104" s="904"/>
      <c r="F104" s="61" t="s">
        <v>238</v>
      </c>
      <c r="G104" s="61" t="s">
        <v>271</v>
      </c>
      <c r="H104" s="61"/>
      <c r="I104" s="43">
        <v>37220975</v>
      </c>
      <c r="J104" s="78"/>
      <c r="K104" s="78"/>
      <c r="L104" s="78"/>
      <c r="M104" s="78"/>
      <c r="N104" s="78"/>
      <c r="O104" s="78"/>
      <c r="P104" s="78"/>
      <c r="Q104" s="78"/>
      <c r="R104" s="78"/>
      <c r="S104" s="78"/>
      <c r="T104" s="78"/>
      <c r="U104" s="78"/>
    </row>
    <row r="105" spans="1:21">
      <c r="A105" s="1002"/>
      <c r="B105" s="999"/>
      <c r="C105" s="916"/>
      <c r="D105" s="904"/>
      <c r="E105" s="904"/>
      <c r="F105" s="61" t="s">
        <v>240</v>
      </c>
      <c r="G105" s="61" t="s">
        <v>272</v>
      </c>
      <c r="H105" s="61"/>
      <c r="I105" s="43">
        <v>0</v>
      </c>
      <c r="J105" s="78"/>
      <c r="K105" s="78"/>
      <c r="L105" s="78"/>
      <c r="M105" s="78"/>
      <c r="N105" s="78"/>
      <c r="O105" s="78"/>
      <c r="P105" s="78"/>
      <c r="Q105" s="78"/>
      <c r="R105" s="78"/>
      <c r="S105" s="78"/>
      <c r="T105" s="78"/>
      <c r="U105" s="78"/>
    </row>
    <row r="106" spans="1:21">
      <c r="A106" s="1002"/>
      <c r="B106" s="999"/>
      <c r="C106" s="916"/>
      <c r="D106" s="904"/>
      <c r="E106" s="904"/>
      <c r="F106" s="61" t="s">
        <v>273</v>
      </c>
      <c r="G106" s="61" t="s">
        <v>274</v>
      </c>
      <c r="H106" s="61"/>
      <c r="I106" s="43">
        <v>5000000</v>
      </c>
      <c r="J106" s="78"/>
      <c r="K106" s="78"/>
      <c r="L106" s="78"/>
      <c r="M106" s="78"/>
      <c r="N106" s="78"/>
      <c r="O106" s="78"/>
      <c r="P106" s="78"/>
      <c r="Q106" s="78"/>
      <c r="R106" s="78"/>
      <c r="S106" s="78"/>
      <c r="T106" s="78"/>
      <c r="U106" s="78"/>
    </row>
    <row r="107" spans="1:21">
      <c r="A107" s="1002"/>
      <c r="B107" s="999"/>
      <c r="C107" s="900"/>
      <c r="D107" s="893"/>
      <c r="E107" s="893"/>
      <c r="F107" s="61" t="s">
        <v>217</v>
      </c>
      <c r="G107" s="67"/>
      <c r="H107" s="61"/>
      <c r="I107" s="103">
        <v>100000</v>
      </c>
      <c r="J107" s="78"/>
      <c r="K107" s="78"/>
      <c r="L107" s="78"/>
      <c r="M107" s="78"/>
      <c r="N107" s="78"/>
      <c r="O107" s="78"/>
      <c r="P107" s="78"/>
      <c r="Q107" s="78"/>
      <c r="R107" s="78"/>
      <c r="S107" s="78"/>
      <c r="T107" s="78"/>
      <c r="U107" s="78"/>
    </row>
    <row r="108" spans="1:21">
      <c r="A108" s="1002"/>
      <c r="B108" s="999"/>
      <c r="C108" s="915" t="s">
        <v>275</v>
      </c>
      <c r="D108" s="921" t="s">
        <v>276</v>
      </c>
      <c r="E108" s="914" t="s">
        <v>277</v>
      </c>
      <c r="F108" s="61" t="s">
        <v>211</v>
      </c>
      <c r="G108" s="61" t="s">
        <v>278</v>
      </c>
      <c r="H108" s="61"/>
      <c r="I108" s="43">
        <v>500000</v>
      </c>
      <c r="J108" s="78"/>
      <c r="K108" s="78"/>
      <c r="L108" s="78"/>
      <c r="M108" s="78"/>
      <c r="N108" s="78"/>
      <c r="O108" s="78"/>
      <c r="P108" s="78"/>
      <c r="Q108" s="78"/>
      <c r="R108" s="78"/>
      <c r="S108" s="78"/>
      <c r="T108" s="78"/>
      <c r="U108" s="78"/>
    </row>
    <row r="109" spans="1:21">
      <c r="A109" s="1002"/>
      <c r="B109" s="999"/>
      <c r="C109" s="916"/>
      <c r="D109" s="904"/>
      <c r="E109" s="904"/>
      <c r="F109" s="61" t="s">
        <v>279</v>
      </c>
      <c r="G109" s="61" t="s">
        <v>280</v>
      </c>
      <c r="H109" s="61"/>
      <c r="I109" s="43">
        <v>1000000</v>
      </c>
      <c r="J109" s="78"/>
      <c r="K109" s="78"/>
      <c r="L109" s="78"/>
      <c r="M109" s="78"/>
      <c r="N109" s="78"/>
      <c r="O109" s="78"/>
      <c r="P109" s="78"/>
      <c r="Q109" s="78"/>
      <c r="R109" s="78"/>
      <c r="S109" s="78"/>
      <c r="T109" s="78"/>
      <c r="U109" s="78"/>
    </row>
    <row r="110" spans="1:21">
      <c r="A110" s="1002"/>
      <c r="B110" s="999"/>
      <c r="C110" s="916"/>
      <c r="D110" s="904"/>
      <c r="E110" s="904"/>
      <c r="F110" s="61" t="s">
        <v>281</v>
      </c>
      <c r="G110" s="61" t="s">
        <v>282</v>
      </c>
      <c r="H110" s="61"/>
      <c r="I110" s="43">
        <v>2000000</v>
      </c>
      <c r="J110" s="78"/>
      <c r="K110" s="78"/>
      <c r="L110" s="78"/>
      <c r="M110" s="78"/>
      <c r="N110" s="78"/>
      <c r="O110" s="78"/>
      <c r="P110" s="78"/>
      <c r="Q110" s="78"/>
      <c r="R110" s="78"/>
      <c r="S110" s="78"/>
      <c r="T110" s="78"/>
      <c r="U110" s="78"/>
    </row>
    <row r="111" spans="1:21" ht="30">
      <c r="A111" s="1002"/>
      <c r="B111" s="999"/>
      <c r="C111" s="900"/>
      <c r="D111" s="893"/>
      <c r="E111" s="893"/>
      <c r="F111" s="61" t="s">
        <v>217</v>
      </c>
      <c r="G111" s="61" t="s">
        <v>283</v>
      </c>
      <c r="H111" s="61"/>
      <c r="I111" s="43">
        <v>15907625</v>
      </c>
      <c r="J111" s="78"/>
      <c r="K111" s="78"/>
      <c r="L111" s="78"/>
      <c r="M111" s="78"/>
      <c r="N111" s="78"/>
      <c r="O111" s="78"/>
      <c r="P111" s="78"/>
      <c r="Q111" s="78"/>
      <c r="R111" s="78"/>
      <c r="S111" s="78"/>
      <c r="T111" s="78"/>
      <c r="U111" s="78"/>
    </row>
    <row r="112" spans="1:21">
      <c r="A112" s="1002"/>
      <c r="B112" s="999"/>
      <c r="C112" s="915" t="s">
        <v>284</v>
      </c>
      <c r="D112" s="921" t="s">
        <v>285</v>
      </c>
      <c r="E112" s="914" t="s">
        <v>286</v>
      </c>
      <c r="F112" s="61" t="s">
        <v>211</v>
      </c>
      <c r="G112" s="61"/>
      <c r="H112" s="61"/>
      <c r="I112" s="43">
        <v>100000</v>
      </c>
      <c r="J112" s="78"/>
      <c r="K112" s="78"/>
      <c r="L112" s="78"/>
      <c r="M112" s="78"/>
      <c r="N112" s="78"/>
      <c r="O112" s="78"/>
      <c r="P112" s="78"/>
      <c r="Q112" s="78"/>
      <c r="R112" s="78"/>
      <c r="S112" s="78"/>
      <c r="T112" s="78"/>
      <c r="U112" s="78"/>
    </row>
    <row r="113" spans="1:32">
      <c r="A113" s="1002"/>
      <c r="B113" s="999"/>
      <c r="C113" s="916"/>
      <c r="D113" s="904"/>
      <c r="E113" s="904"/>
      <c r="F113" s="61" t="s">
        <v>287</v>
      </c>
      <c r="G113" s="61"/>
      <c r="H113" s="61"/>
      <c r="I113" s="43">
        <v>0</v>
      </c>
      <c r="J113" s="78"/>
      <c r="K113" s="78"/>
      <c r="L113" s="78"/>
      <c r="M113" s="78"/>
      <c r="N113" s="78"/>
      <c r="O113" s="78"/>
      <c r="P113" s="78"/>
      <c r="Q113" s="78"/>
      <c r="R113" s="78"/>
      <c r="S113" s="78"/>
      <c r="T113" s="78"/>
      <c r="U113" s="78"/>
    </row>
    <row r="114" spans="1:32" ht="30">
      <c r="A114" s="1002"/>
      <c r="B114" s="999"/>
      <c r="C114" s="916"/>
      <c r="D114" s="904"/>
      <c r="E114" s="904"/>
      <c r="F114" s="61" t="s">
        <v>288</v>
      </c>
      <c r="G114" s="61"/>
      <c r="H114" s="61"/>
      <c r="I114" s="43">
        <v>10000000</v>
      </c>
      <c r="J114" s="78"/>
      <c r="K114" s="78"/>
      <c r="L114" s="78"/>
      <c r="M114" s="78"/>
      <c r="N114" s="78"/>
      <c r="O114" s="78"/>
      <c r="P114" s="78"/>
      <c r="Q114" s="78"/>
      <c r="R114" s="78"/>
      <c r="S114" s="78"/>
      <c r="T114" s="78"/>
      <c r="U114" s="78"/>
    </row>
    <row r="115" spans="1:32">
      <c r="A115" s="1002"/>
      <c r="B115" s="999"/>
      <c r="C115" s="900"/>
      <c r="D115" s="893"/>
      <c r="E115" s="893"/>
      <c r="F115" s="61" t="s">
        <v>217</v>
      </c>
      <c r="G115" s="61" t="s">
        <v>289</v>
      </c>
      <c r="H115" s="61"/>
      <c r="I115" s="43">
        <v>7467500</v>
      </c>
      <c r="J115" s="78"/>
      <c r="K115" s="78"/>
      <c r="L115" s="78"/>
      <c r="M115" s="78"/>
      <c r="N115" s="78"/>
      <c r="O115" s="78"/>
      <c r="P115" s="78"/>
      <c r="Q115" s="78"/>
      <c r="R115" s="78"/>
      <c r="S115" s="78"/>
      <c r="T115" s="78"/>
      <c r="U115" s="78"/>
    </row>
    <row r="116" spans="1:32">
      <c r="A116" s="1002"/>
      <c r="B116" s="999"/>
      <c r="C116" s="915" t="s">
        <v>290</v>
      </c>
      <c r="D116" s="921" t="s">
        <v>291</v>
      </c>
      <c r="E116" s="914" t="s">
        <v>292</v>
      </c>
      <c r="F116" s="61" t="s">
        <v>211</v>
      </c>
      <c r="G116" s="61" t="s">
        <v>293</v>
      </c>
      <c r="H116" s="61"/>
      <c r="I116" s="43">
        <v>0</v>
      </c>
      <c r="J116" s="78"/>
      <c r="K116" s="78"/>
      <c r="L116" s="78"/>
      <c r="M116" s="78"/>
      <c r="N116" s="78"/>
      <c r="O116" s="78"/>
      <c r="P116" s="78"/>
      <c r="Q116" s="78"/>
      <c r="R116" s="78"/>
      <c r="S116" s="78"/>
      <c r="T116" s="78"/>
      <c r="U116" s="78"/>
    </row>
    <row r="117" spans="1:32">
      <c r="A117" s="1002"/>
      <c r="B117" s="999"/>
      <c r="C117" s="916"/>
      <c r="D117" s="904"/>
      <c r="E117" s="904"/>
      <c r="F117" s="61" t="s">
        <v>294</v>
      </c>
      <c r="G117" s="61" t="s">
        <v>295</v>
      </c>
      <c r="H117" s="61"/>
      <c r="I117" s="43">
        <v>1000000</v>
      </c>
      <c r="J117" s="78"/>
      <c r="K117" s="78"/>
      <c r="L117" s="78"/>
      <c r="M117" s="78"/>
      <c r="N117" s="78"/>
      <c r="O117" s="78"/>
      <c r="P117" s="78"/>
      <c r="Q117" s="78"/>
      <c r="R117" s="78"/>
      <c r="S117" s="78"/>
      <c r="T117" s="78"/>
      <c r="U117" s="78"/>
    </row>
    <row r="118" spans="1:32" ht="30">
      <c r="A118" s="1002"/>
      <c r="B118" s="999"/>
      <c r="C118" s="900"/>
      <c r="D118" s="893"/>
      <c r="E118" s="893"/>
      <c r="F118" s="61" t="s">
        <v>296</v>
      </c>
      <c r="G118" s="61" t="s">
        <v>297</v>
      </c>
      <c r="H118" s="61"/>
      <c r="I118" s="43">
        <f>15907625+1800000</f>
        <v>17707625</v>
      </c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U118" s="78"/>
    </row>
    <row r="119" spans="1:32" ht="30">
      <c r="A119" s="1002"/>
      <c r="B119" s="999"/>
      <c r="C119" s="915" t="s">
        <v>298</v>
      </c>
      <c r="D119" s="921" t="s">
        <v>299</v>
      </c>
      <c r="E119" s="61" t="s">
        <v>300</v>
      </c>
      <c r="F119" s="61" t="s">
        <v>211</v>
      </c>
      <c r="G119" s="61" t="s">
        <v>301</v>
      </c>
      <c r="H119" s="61"/>
      <c r="I119" s="43">
        <v>0</v>
      </c>
      <c r="J119" s="78"/>
      <c r="K119" s="78"/>
      <c r="L119" s="78"/>
      <c r="M119" s="78"/>
      <c r="N119" s="78"/>
      <c r="O119" s="78"/>
      <c r="P119" s="78"/>
      <c r="Q119" s="78"/>
      <c r="R119" s="78"/>
      <c r="S119" s="78"/>
      <c r="T119" s="78"/>
      <c r="U119" s="78"/>
    </row>
    <row r="120" spans="1:32" ht="30">
      <c r="A120" s="1002"/>
      <c r="B120" s="999"/>
      <c r="C120" s="916"/>
      <c r="D120" s="904"/>
      <c r="E120" s="61"/>
      <c r="F120" s="61" t="s">
        <v>302</v>
      </c>
      <c r="G120" s="61" t="s">
        <v>303</v>
      </c>
      <c r="H120" s="61"/>
      <c r="I120" s="43">
        <v>5000000</v>
      </c>
      <c r="J120" s="78"/>
      <c r="K120" s="78"/>
      <c r="L120" s="78"/>
      <c r="M120" s="78"/>
      <c r="N120" s="78"/>
      <c r="O120" s="78"/>
      <c r="P120" s="78"/>
      <c r="Q120" s="78"/>
      <c r="R120" s="78"/>
      <c r="S120" s="78"/>
      <c r="T120" s="78"/>
      <c r="U120" s="78"/>
    </row>
    <row r="121" spans="1:32" ht="30">
      <c r="A121" s="1002"/>
      <c r="B121" s="999"/>
      <c r="C121" s="916"/>
      <c r="D121" s="904"/>
      <c r="E121" s="61"/>
      <c r="F121" s="61" t="s">
        <v>304</v>
      </c>
      <c r="G121" s="67" t="s">
        <v>305</v>
      </c>
      <c r="H121" s="61"/>
      <c r="I121" s="103">
        <f>15907625+4035000+1740000+400000</f>
        <v>22082625</v>
      </c>
      <c r="J121" s="78"/>
      <c r="K121" s="78"/>
      <c r="L121" s="78"/>
      <c r="M121" s="78"/>
      <c r="N121" s="78"/>
      <c r="O121" s="78"/>
      <c r="P121" s="78"/>
      <c r="Q121" s="78"/>
      <c r="R121" s="78"/>
      <c r="S121" s="78"/>
      <c r="T121" s="78"/>
      <c r="U121" s="78"/>
    </row>
    <row r="122" spans="1:32" ht="30">
      <c r="A122" s="1002"/>
      <c r="B122" s="999"/>
      <c r="C122" s="916"/>
      <c r="D122" s="904"/>
      <c r="E122" s="61" t="s">
        <v>306</v>
      </c>
      <c r="F122" s="61" t="s">
        <v>211</v>
      </c>
      <c r="G122" s="61" t="s">
        <v>307</v>
      </c>
      <c r="H122" s="61"/>
      <c r="I122" s="43">
        <v>0</v>
      </c>
      <c r="J122" s="78"/>
      <c r="K122" s="78"/>
      <c r="L122" s="78"/>
      <c r="M122" s="78"/>
      <c r="N122" s="78"/>
      <c r="O122" s="78"/>
      <c r="P122" s="78"/>
      <c r="Q122" s="78"/>
      <c r="R122" s="78"/>
      <c r="S122" s="78"/>
      <c r="T122" s="78"/>
      <c r="U122" s="78"/>
    </row>
    <row r="123" spans="1:32">
      <c r="A123" s="1002"/>
      <c r="B123" s="999"/>
      <c r="C123" s="916"/>
      <c r="D123" s="904"/>
      <c r="E123" s="61"/>
      <c r="F123" s="61" t="s">
        <v>302</v>
      </c>
      <c r="G123" s="61" t="s">
        <v>308</v>
      </c>
      <c r="H123" s="61"/>
      <c r="I123" s="43">
        <v>0</v>
      </c>
      <c r="J123" s="78"/>
      <c r="K123" s="78"/>
      <c r="L123" s="78"/>
      <c r="M123" s="78"/>
      <c r="N123" s="78"/>
      <c r="O123" s="78"/>
      <c r="P123" s="78"/>
      <c r="Q123" s="78"/>
      <c r="R123" s="78"/>
      <c r="S123" s="78"/>
      <c r="T123" s="78"/>
      <c r="U123" s="78"/>
    </row>
    <row r="124" spans="1:32" ht="30">
      <c r="A124" s="1002"/>
      <c r="B124" s="999"/>
      <c r="C124" s="916"/>
      <c r="D124" s="904"/>
      <c r="E124" s="61"/>
      <c r="F124" s="61" t="s">
        <v>304</v>
      </c>
      <c r="G124" s="61" t="s">
        <v>309</v>
      </c>
      <c r="H124" s="61"/>
      <c r="I124" s="43">
        <f>20313350+400000</f>
        <v>20713350</v>
      </c>
      <c r="J124" s="78"/>
      <c r="K124" s="78"/>
      <c r="L124" s="78"/>
      <c r="M124" s="78"/>
      <c r="N124" s="78"/>
      <c r="O124" s="78"/>
      <c r="P124" s="78"/>
      <c r="Q124" s="78"/>
      <c r="R124" s="78"/>
      <c r="S124" s="78"/>
      <c r="T124" s="78"/>
      <c r="U124" s="78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</row>
    <row r="125" spans="1:32">
      <c r="A125" s="1003"/>
      <c r="B125" s="1000"/>
      <c r="C125" s="997" t="s">
        <v>190</v>
      </c>
      <c r="D125" s="996" t="s">
        <v>191</v>
      </c>
      <c r="E125" s="61" t="s">
        <v>192</v>
      </c>
      <c r="F125" s="76" t="s">
        <v>4166</v>
      </c>
      <c r="G125" s="84">
        <v>0</v>
      </c>
      <c r="H125" s="42" t="s">
        <v>135</v>
      </c>
      <c r="I125" s="88">
        <v>0</v>
      </c>
      <c r="J125" s="79"/>
      <c r="K125" s="79"/>
      <c r="L125" s="79"/>
      <c r="M125" s="79"/>
      <c r="N125" s="79"/>
      <c r="O125" s="79"/>
      <c r="P125" s="79"/>
      <c r="Q125" s="79"/>
      <c r="R125" s="79"/>
      <c r="S125" s="79"/>
      <c r="T125" s="79"/>
      <c r="U125" s="79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</row>
    <row r="126" spans="1:32" ht="30">
      <c r="A126" s="923"/>
      <c r="B126" s="924" t="s">
        <v>310</v>
      </c>
      <c r="C126" s="993" t="s">
        <v>311</v>
      </c>
      <c r="D126" s="994">
        <v>1</v>
      </c>
      <c r="E126" s="105" t="s">
        <v>312</v>
      </c>
      <c r="F126" s="61" t="s">
        <v>313</v>
      </c>
      <c r="G126" s="61"/>
      <c r="H126" s="61"/>
      <c r="I126" s="99">
        <f>12538500+12538500</f>
        <v>25077000</v>
      </c>
      <c r="J126" s="78"/>
      <c r="K126" s="78"/>
      <c r="L126" s="78"/>
      <c r="M126" s="78"/>
      <c r="N126" s="78"/>
      <c r="O126" s="78"/>
      <c r="P126" s="78"/>
      <c r="Q126" s="78"/>
      <c r="R126" s="78"/>
      <c r="S126" s="78"/>
      <c r="T126" s="78"/>
      <c r="U126" s="78"/>
    </row>
    <row r="127" spans="1:32">
      <c r="A127" s="904"/>
      <c r="B127" s="904"/>
      <c r="C127" s="904"/>
      <c r="D127" s="904"/>
      <c r="E127" s="61"/>
      <c r="F127" s="61" t="s">
        <v>314</v>
      </c>
      <c r="G127" s="61"/>
      <c r="H127" s="61"/>
      <c r="I127" s="43">
        <v>7467500</v>
      </c>
      <c r="J127" s="78"/>
      <c r="K127" s="78"/>
      <c r="L127" s="78"/>
      <c r="M127" s="78"/>
      <c r="N127" s="78"/>
      <c r="O127" s="78"/>
      <c r="P127" s="78"/>
      <c r="Q127" s="78"/>
      <c r="R127" s="78"/>
      <c r="S127" s="78"/>
      <c r="T127" s="78"/>
      <c r="U127" s="78"/>
    </row>
    <row r="128" spans="1:32">
      <c r="A128" s="904"/>
      <c r="B128" s="904"/>
      <c r="C128" s="904"/>
      <c r="D128" s="904"/>
      <c r="E128" s="61"/>
      <c r="F128" s="61" t="s">
        <v>315</v>
      </c>
      <c r="G128" s="61" t="s">
        <v>316</v>
      </c>
      <c r="H128" s="61"/>
      <c r="I128" s="43">
        <v>3832500</v>
      </c>
      <c r="J128" s="78"/>
      <c r="K128" s="78"/>
      <c r="L128" s="78"/>
      <c r="M128" s="78"/>
      <c r="N128" s="78"/>
      <c r="O128" s="78"/>
      <c r="P128" s="78"/>
      <c r="Q128" s="78"/>
      <c r="R128" s="78"/>
      <c r="S128" s="78"/>
      <c r="T128" s="78"/>
      <c r="U128" s="78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</row>
    <row r="129" spans="1:32">
      <c r="A129" s="904"/>
      <c r="B129" s="904"/>
      <c r="C129" s="904"/>
      <c r="D129" s="904"/>
      <c r="E129" s="61" t="s">
        <v>317</v>
      </c>
      <c r="F129" s="61" t="s">
        <v>318</v>
      </c>
      <c r="G129" s="61" t="s">
        <v>319</v>
      </c>
      <c r="H129" s="61"/>
      <c r="I129" s="43">
        <v>4526667</v>
      </c>
      <c r="J129" s="78"/>
      <c r="K129" s="78"/>
      <c r="L129" s="78"/>
      <c r="M129" s="78"/>
      <c r="N129" s="78"/>
      <c r="O129" s="78"/>
      <c r="P129" s="78"/>
      <c r="Q129" s="78"/>
      <c r="R129" s="78"/>
      <c r="S129" s="78"/>
      <c r="T129" s="78"/>
      <c r="U129" s="78"/>
    </row>
    <row r="130" spans="1:32">
      <c r="A130" s="904"/>
      <c r="B130" s="904"/>
      <c r="C130" s="904"/>
      <c r="D130" s="904"/>
      <c r="E130" s="61"/>
      <c r="F130" s="61" t="s">
        <v>320</v>
      </c>
      <c r="G130" s="61" t="s">
        <v>321</v>
      </c>
      <c r="H130" s="61"/>
      <c r="I130" s="43">
        <v>4526667</v>
      </c>
      <c r="J130" s="78"/>
      <c r="K130" s="78"/>
      <c r="L130" s="78"/>
      <c r="M130" s="78"/>
      <c r="N130" s="78"/>
      <c r="O130" s="78"/>
      <c r="P130" s="78"/>
      <c r="Q130" s="78"/>
      <c r="R130" s="78"/>
      <c r="S130" s="78"/>
      <c r="T130" s="78"/>
      <c r="U130" s="78"/>
    </row>
    <row r="131" spans="1:32">
      <c r="A131" s="893"/>
      <c r="B131" s="893"/>
      <c r="C131" s="893"/>
      <c r="D131" s="893"/>
      <c r="E131" s="61"/>
      <c r="F131" s="61" t="s">
        <v>322</v>
      </c>
      <c r="G131" s="61" t="s">
        <v>323</v>
      </c>
      <c r="H131" s="61"/>
      <c r="I131" s="43">
        <v>300000</v>
      </c>
      <c r="J131" s="78"/>
      <c r="K131" s="78"/>
      <c r="L131" s="78"/>
      <c r="M131" s="78"/>
      <c r="N131" s="78"/>
      <c r="O131" s="78"/>
      <c r="P131" s="78"/>
      <c r="Q131" s="78"/>
      <c r="R131" s="78"/>
      <c r="S131" s="78"/>
      <c r="T131" s="78"/>
      <c r="U131" s="78"/>
    </row>
    <row r="132" spans="1:32">
      <c r="A132" s="923"/>
      <c r="B132" s="926" t="s">
        <v>324</v>
      </c>
      <c r="C132" s="917" t="s">
        <v>325</v>
      </c>
      <c r="D132" s="922">
        <v>45543</v>
      </c>
      <c r="E132" s="921" t="s">
        <v>326</v>
      </c>
      <c r="F132" s="914" t="s">
        <v>327</v>
      </c>
      <c r="G132" s="61" t="s">
        <v>328</v>
      </c>
      <c r="H132" s="61"/>
      <c r="I132" s="43">
        <v>600000</v>
      </c>
      <c r="J132" s="78"/>
      <c r="K132" s="78"/>
      <c r="L132" s="78"/>
      <c r="M132" s="78"/>
      <c r="N132" s="78"/>
      <c r="O132" s="78"/>
      <c r="P132" s="78"/>
      <c r="Q132" s="78"/>
      <c r="R132" s="78"/>
      <c r="S132" s="78"/>
      <c r="T132" s="78"/>
      <c r="U132" s="78"/>
    </row>
    <row r="133" spans="1:32" ht="30">
      <c r="A133" s="904"/>
      <c r="B133" s="904"/>
      <c r="C133" s="904"/>
      <c r="D133" s="916"/>
      <c r="E133" s="904"/>
      <c r="F133" s="904"/>
      <c r="G133" s="61" t="s">
        <v>329</v>
      </c>
      <c r="H133" s="61"/>
      <c r="I133" s="43">
        <v>5000000</v>
      </c>
      <c r="J133" s="78"/>
      <c r="K133" s="78"/>
      <c r="L133" s="78"/>
      <c r="M133" s="78"/>
      <c r="N133" s="78"/>
      <c r="O133" s="78"/>
      <c r="P133" s="78"/>
      <c r="Q133" s="78"/>
      <c r="R133" s="78"/>
      <c r="S133" s="78"/>
      <c r="T133" s="78"/>
      <c r="U133" s="78"/>
    </row>
    <row r="134" spans="1:32">
      <c r="A134" s="904"/>
      <c r="B134" s="904"/>
      <c r="C134" s="904"/>
      <c r="D134" s="916"/>
      <c r="E134" s="904"/>
      <c r="F134" s="904"/>
      <c r="G134" s="61" t="s">
        <v>330</v>
      </c>
      <c r="H134" s="61"/>
      <c r="I134" s="43">
        <v>10000000</v>
      </c>
      <c r="J134" s="78"/>
      <c r="K134" s="78"/>
      <c r="L134" s="78"/>
      <c r="M134" s="78"/>
      <c r="N134" s="78"/>
      <c r="O134" s="78"/>
      <c r="P134" s="78"/>
      <c r="Q134" s="78"/>
      <c r="R134" s="78"/>
      <c r="S134" s="78"/>
      <c r="T134" s="78"/>
      <c r="U134" s="78"/>
    </row>
    <row r="135" spans="1:32">
      <c r="A135" s="904"/>
      <c r="B135" s="904"/>
      <c r="C135" s="904"/>
      <c r="D135" s="916"/>
      <c r="E135" s="893"/>
      <c r="F135" s="893"/>
      <c r="G135" s="61" t="s">
        <v>331</v>
      </c>
      <c r="H135" s="61"/>
      <c r="I135" s="43">
        <v>600000</v>
      </c>
      <c r="J135" s="78"/>
      <c r="K135" s="78"/>
      <c r="L135" s="78"/>
      <c r="M135" s="78"/>
      <c r="N135" s="78"/>
      <c r="O135" s="78"/>
      <c r="P135" s="78"/>
      <c r="Q135" s="78"/>
      <c r="R135" s="78"/>
      <c r="S135" s="78"/>
      <c r="T135" s="78"/>
      <c r="U135" s="78"/>
    </row>
    <row r="136" spans="1:32">
      <c r="A136" s="904"/>
      <c r="B136" s="904"/>
      <c r="C136" s="904"/>
      <c r="D136" s="916"/>
      <c r="E136" s="921" t="s">
        <v>332</v>
      </c>
      <c r="F136" s="914" t="s">
        <v>333</v>
      </c>
      <c r="G136" s="61" t="s">
        <v>334</v>
      </c>
      <c r="H136" s="61"/>
      <c r="I136" s="43">
        <v>0</v>
      </c>
      <c r="J136" s="78"/>
      <c r="K136" s="78"/>
      <c r="L136" s="78"/>
      <c r="M136" s="78"/>
      <c r="N136" s="78"/>
      <c r="O136" s="78"/>
      <c r="P136" s="78"/>
      <c r="Q136" s="78"/>
      <c r="R136" s="78"/>
      <c r="S136" s="78"/>
      <c r="T136" s="78"/>
      <c r="U136" s="78"/>
    </row>
    <row r="137" spans="1:32">
      <c r="A137" s="904"/>
      <c r="B137" s="904"/>
      <c r="C137" s="904"/>
      <c r="D137" s="916"/>
      <c r="E137" s="904"/>
      <c r="F137" s="904"/>
      <c r="G137" s="61" t="s">
        <v>335</v>
      </c>
      <c r="H137" s="61"/>
      <c r="I137" s="43">
        <v>2000000</v>
      </c>
      <c r="J137" s="78"/>
      <c r="K137" s="78"/>
      <c r="L137" s="78"/>
      <c r="M137" s="78"/>
      <c r="N137" s="78"/>
      <c r="O137" s="78"/>
      <c r="P137" s="78"/>
      <c r="Q137" s="78"/>
      <c r="R137" s="78"/>
      <c r="S137" s="78"/>
      <c r="T137" s="78"/>
      <c r="U137" s="78"/>
    </row>
    <row r="138" spans="1:32">
      <c r="A138" s="893"/>
      <c r="B138" s="893"/>
      <c r="C138" s="893"/>
      <c r="D138" s="916"/>
      <c r="E138" s="904"/>
      <c r="F138" s="904"/>
      <c r="G138" s="46" t="s">
        <v>336</v>
      </c>
      <c r="H138" s="46"/>
      <c r="I138" s="53">
        <v>500000</v>
      </c>
      <c r="J138" s="106"/>
      <c r="K138" s="106"/>
      <c r="L138" s="106"/>
      <c r="M138" s="106"/>
      <c r="N138" s="106"/>
      <c r="O138" s="106"/>
      <c r="P138" s="106"/>
      <c r="Q138" s="106"/>
      <c r="R138" s="106"/>
      <c r="S138" s="106"/>
      <c r="T138" s="106"/>
      <c r="U138" s="106"/>
    </row>
    <row r="139" spans="1:32">
      <c r="A139" s="896" t="s">
        <v>7</v>
      </c>
      <c r="B139" s="888"/>
      <c r="C139" s="888"/>
      <c r="D139" s="888"/>
      <c r="E139" s="888"/>
      <c r="F139" s="889"/>
      <c r="G139" s="107"/>
      <c r="H139" s="107"/>
      <c r="I139" s="108">
        <f>SUM(I84:I138)</f>
        <v>390498150</v>
      </c>
      <c r="J139" s="109"/>
      <c r="K139" s="109"/>
      <c r="L139" s="109"/>
      <c r="M139" s="109"/>
      <c r="N139" s="109"/>
      <c r="O139" s="109"/>
      <c r="P139" s="109"/>
      <c r="Q139" s="109"/>
      <c r="R139" s="109"/>
      <c r="S139" s="109"/>
      <c r="T139" s="109"/>
      <c r="U139" s="109"/>
    </row>
    <row r="140" spans="1:32">
      <c r="A140" s="1004" t="s">
        <v>4170</v>
      </c>
      <c r="B140" s="66"/>
      <c r="C140" s="66"/>
      <c r="D140" s="67"/>
      <c r="E140" s="66"/>
      <c r="F140" s="66"/>
      <c r="G140" s="66"/>
      <c r="H140" s="66"/>
      <c r="I140" s="69"/>
      <c r="J140" s="70"/>
      <c r="K140" s="70"/>
      <c r="L140" s="70"/>
      <c r="M140" s="70"/>
      <c r="N140" s="70"/>
      <c r="O140" s="70"/>
      <c r="P140" s="70"/>
      <c r="Q140" s="70"/>
      <c r="R140" s="70"/>
      <c r="S140" s="70"/>
      <c r="T140" s="70"/>
      <c r="U140" s="70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</row>
    <row r="141" spans="1:32">
      <c r="A141" s="944" t="s">
        <v>18</v>
      </c>
      <c r="B141" s="892" t="s">
        <v>19</v>
      </c>
      <c r="C141" s="892" t="s">
        <v>20</v>
      </c>
      <c r="D141" s="892" t="s">
        <v>21</v>
      </c>
      <c r="E141" s="892" t="s">
        <v>22</v>
      </c>
      <c r="F141" s="892" t="s">
        <v>23</v>
      </c>
      <c r="G141" s="892" t="s">
        <v>9</v>
      </c>
      <c r="H141" s="892" t="s">
        <v>24</v>
      </c>
      <c r="I141" s="894" t="s">
        <v>25</v>
      </c>
      <c r="J141" s="895" t="s">
        <v>26</v>
      </c>
      <c r="K141" s="888"/>
      <c r="L141" s="888"/>
      <c r="M141" s="888"/>
      <c r="N141" s="888"/>
      <c r="O141" s="888"/>
      <c r="P141" s="888"/>
      <c r="Q141" s="888"/>
      <c r="R141" s="888"/>
      <c r="S141" s="888"/>
      <c r="T141" s="888"/>
      <c r="U141" s="889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</row>
    <row r="142" spans="1:32">
      <c r="A142" s="893"/>
      <c r="B142" s="893"/>
      <c r="C142" s="893"/>
      <c r="D142" s="904"/>
      <c r="E142" s="893"/>
      <c r="F142" s="893"/>
      <c r="G142" s="893"/>
      <c r="H142" s="893"/>
      <c r="I142" s="893"/>
      <c r="J142" s="71" t="s">
        <v>27</v>
      </c>
      <c r="K142" s="71" t="s">
        <v>28</v>
      </c>
      <c r="L142" s="71" t="s">
        <v>29</v>
      </c>
      <c r="M142" s="71" t="s">
        <v>30</v>
      </c>
      <c r="N142" s="71" t="s">
        <v>31</v>
      </c>
      <c r="O142" s="71" t="s">
        <v>32</v>
      </c>
      <c r="P142" s="71" t="s">
        <v>337</v>
      </c>
      <c r="Q142" s="71" t="s">
        <v>34</v>
      </c>
      <c r="R142" s="71" t="s">
        <v>35</v>
      </c>
      <c r="S142" s="71" t="s">
        <v>36</v>
      </c>
      <c r="T142" s="71" t="s">
        <v>37</v>
      </c>
      <c r="U142" s="71" t="s">
        <v>38</v>
      </c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</row>
    <row r="143" spans="1:32" ht="30">
      <c r="A143" s="945" t="s">
        <v>338</v>
      </c>
      <c r="B143" s="946" t="s">
        <v>339</v>
      </c>
      <c r="C143" s="948" t="s">
        <v>340</v>
      </c>
      <c r="D143" s="925">
        <v>0.8</v>
      </c>
      <c r="E143" s="110" t="s">
        <v>341</v>
      </c>
      <c r="F143" s="30" t="s">
        <v>342</v>
      </c>
      <c r="G143" s="111" t="s">
        <v>343</v>
      </c>
      <c r="H143" s="60" t="s">
        <v>344</v>
      </c>
      <c r="I143" s="69">
        <v>725000</v>
      </c>
      <c r="J143" s="112"/>
      <c r="K143" s="79"/>
      <c r="L143" s="79"/>
      <c r="M143" s="79"/>
      <c r="N143" s="79"/>
      <c r="O143" s="79"/>
      <c r="P143" s="79"/>
      <c r="Q143" s="79"/>
      <c r="R143" s="79"/>
      <c r="S143" s="79"/>
      <c r="T143" s="79"/>
      <c r="U143" s="79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</row>
    <row r="144" spans="1:32">
      <c r="A144" s="904"/>
      <c r="B144" s="904"/>
      <c r="C144" s="904"/>
      <c r="D144" s="904"/>
      <c r="E144" s="113" t="s">
        <v>345</v>
      </c>
      <c r="F144" s="113" t="s">
        <v>346</v>
      </c>
      <c r="G144" s="114" t="s">
        <v>347</v>
      </c>
      <c r="H144" s="60" t="s">
        <v>344</v>
      </c>
      <c r="I144" s="69">
        <v>660000</v>
      </c>
      <c r="J144" s="112"/>
      <c r="K144" s="79"/>
      <c r="L144" s="79"/>
      <c r="M144" s="79"/>
      <c r="N144" s="79"/>
      <c r="O144" s="79"/>
      <c r="P144" s="79"/>
      <c r="Q144" s="79"/>
      <c r="R144" s="79"/>
      <c r="S144" s="79"/>
      <c r="T144" s="79"/>
      <c r="U144" s="79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</row>
    <row r="145" spans="1:32">
      <c r="A145" s="904"/>
      <c r="B145" s="904"/>
      <c r="C145" s="904"/>
      <c r="D145" s="904"/>
      <c r="E145" s="113" t="s">
        <v>348</v>
      </c>
      <c r="F145" s="113" t="s">
        <v>349</v>
      </c>
      <c r="G145" s="114" t="s">
        <v>350</v>
      </c>
      <c r="H145" s="60" t="s">
        <v>351</v>
      </c>
      <c r="I145" s="69">
        <v>1200000</v>
      </c>
      <c r="J145" s="112"/>
      <c r="K145" s="79"/>
      <c r="L145" s="79"/>
      <c r="M145" s="79"/>
      <c r="N145" s="79"/>
      <c r="O145" s="79"/>
      <c r="P145" s="79"/>
      <c r="Q145" s="79"/>
      <c r="R145" s="79"/>
      <c r="S145" s="79"/>
      <c r="T145" s="79"/>
      <c r="U145" s="79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</row>
    <row r="146" spans="1:32" ht="30">
      <c r="A146" s="904"/>
      <c r="B146" s="904"/>
      <c r="C146" s="893"/>
      <c r="D146" s="893"/>
      <c r="E146" s="113" t="s">
        <v>352</v>
      </c>
      <c r="F146" s="113" t="s">
        <v>353</v>
      </c>
      <c r="G146" s="114"/>
      <c r="H146" s="60" t="s">
        <v>354</v>
      </c>
      <c r="I146" s="69">
        <v>10000000</v>
      </c>
      <c r="J146" s="112"/>
      <c r="K146" s="79"/>
      <c r="L146" s="79"/>
      <c r="M146" s="79"/>
      <c r="N146" s="79"/>
      <c r="O146" s="79"/>
      <c r="P146" s="79"/>
      <c r="Q146" s="79"/>
      <c r="R146" s="79"/>
      <c r="S146" s="79"/>
      <c r="T146" s="79"/>
      <c r="U146" s="79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</row>
    <row r="147" spans="1:32" ht="48">
      <c r="A147" s="904"/>
      <c r="B147" s="904"/>
      <c r="C147" s="74" t="s">
        <v>355</v>
      </c>
      <c r="D147" s="75">
        <v>0.65</v>
      </c>
      <c r="E147" s="60" t="s">
        <v>356</v>
      </c>
      <c r="F147" s="61" t="s">
        <v>357</v>
      </c>
      <c r="G147" s="60" t="s">
        <v>358</v>
      </c>
      <c r="H147" s="60" t="s">
        <v>351</v>
      </c>
      <c r="I147" s="69">
        <v>51769000</v>
      </c>
      <c r="J147" s="112"/>
      <c r="K147" s="79"/>
      <c r="L147" s="79"/>
      <c r="M147" s="79"/>
      <c r="N147" s="79"/>
      <c r="O147" s="79"/>
      <c r="P147" s="79"/>
      <c r="Q147" s="79"/>
      <c r="R147" s="79"/>
      <c r="S147" s="79"/>
      <c r="T147" s="79"/>
      <c r="U147" s="79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</row>
    <row r="148" spans="1:32" ht="28.5">
      <c r="A148" s="893"/>
      <c r="B148" s="947"/>
      <c r="C148" s="115" t="s">
        <v>359</v>
      </c>
      <c r="D148" s="116">
        <v>1</v>
      </c>
      <c r="E148" s="117" t="s">
        <v>360</v>
      </c>
      <c r="F148" s="61" t="s">
        <v>361</v>
      </c>
      <c r="G148" s="60" t="s">
        <v>358</v>
      </c>
      <c r="H148" s="60" t="s">
        <v>351</v>
      </c>
      <c r="I148" s="69">
        <v>183500000</v>
      </c>
      <c r="J148" s="112"/>
      <c r="K148" s="79"/>
      <c r="L148" s="79"/>
      <c r="M148" s="79"/>
      <c r="N148" s="79"/>
      <c r="O148" s="79"/>
      <c r="P148" s="79"/>
      <c r="Q148" s="79"/>
      <c r="R148" s="79"/>
      <c r="S148" s="79"/>
      <c r="T148" s="79"/>
      <c r="U148" s="79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</row>
    <row r="149" spans="1:32" ht="45">
      <c r="A149" s="923"/>
      <c r="B149" s="932" t="s">
        <v>362</v>
      </c>
      <c r="C149" s="933" t="s">
        <v>363</v>
      </c>
      <c r="D149" s="925">
        <v>1</v>
      </c>
      <c r="E149" s="928" t="s">
        <v>364</v>
      </c>
      <c r="F149" s="60" t="s">
        <v>365</v>
      </c>
      <c r="G149" s="60" t="s">
        <v>366</v>
      </c>
      <c r="H149" s="60" t="s">
        <v>354</v>
      </c>
      <c r="I149" s="118">
        <v>800000</v>
      </c>
      <c r="J149" s="78"/>
      <c r="K149" s="78"/>
      <c r="L149" s="79"/>
      <c r="M149" s="78"/>
      <c r="N149" s="78"/>
      <c r="O149" s="79"/>
      <c r="P149" s="78"/>
      <c r="Q149" s="78"/>
      <c r="R149" s="79"/>
      <c r="S149" s="78"/>
      <c r="T149" s="78"/>
      <c r="U149" s="79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</row>
    <row r="150" spans="1:32" ht="87" customHeight="1">
      <c r="A150" s="904"/>
      <c r="B150" s="904"/>
      <c r="C150" s="893"/>
      <c r="D150" s="893"/>
      <c r="E150" s="893"/>
      <c r="F150" s="119" t="s">
        <v>367</v>
      </c>
      <c r="G150" s="120" t="s">
        <v>368</v>
      </c>
      <c r="H150" s="60" t="s">
        <v>354</v>
      </c>
      <c r="I150" s="121">
        <v>55000000</v>
      </c>
      <c r="J150" s="78"/>
      <c r="K150" s="78"/>
      <c r="L150" s="78"/>
      <c r="M150" s="78"/>
      <c r="N150" s="78"/>
      <c r="O150" s="78"/>
      <c r="P150" s="78"/>
      <c r="Q150" s="78"/>
      <c r="R150" s="78"/>
      <c r="S150" s="78"/>
      <c r="T150" s="78"/>
      <c r="U150" s="79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</row>
    <row r="151" spans="1:32" ht="30">
      <c r="A151" s="904"/>
      <c r="B151" s="904"/>
      <c r="C151" s="928" t="s">
        <v>369</v>
      </c>
      <c r="D151" s="925">
        <v>0.7</v>
      </c>
      <c r="E151" s="928" t="s">
        <v>370</v>
      </c>
      <c r="F151" s="122" t="s">
        <v>371</v>
      </c>
      <c r="G151" s="123" t="s">
        <v>372</v>
      </c>
      <c r="H151" s="94" t="s">
        <v>354</v>
      </c>
      <c r="I151" s="124">
        <v>0</v>
      </c>
      <c r="J151" s="78"/>
      <c r="K151" s="78"/>
      <c r="L151" s="78"/>
      <c r="M151" s="78"/>
      <c r="N151" s="78"/>
      <c r="O151" s="78"/>
      <c r="P151" s="78"/>
      <c r="Q151" s="78"/>
      <c r="R151" s="78"/>
      <c r="S151" s="78"/>
      <c r="T151" s="78"/>
      <c r="U151" s="79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</row>
    <row r="152" spans="1:32" ht="30">
      <c r="A152" s="904"/>
      <c r="B152" s="904"/>
      <c r="C152" s="904"/>
      <c r="D152" s="904"/>
      <c r="E152" s="904"/>
      <c r="F152" s="929" t="s">
        <v>373</v>
      </c>
      <c r="G152" s="61" t="s">
        <v>374</v>
      </c>
      <c r="H152" s="94" t="s">
        <v>354</v>
      </c>
      <c r="I152" s="930">
        <v>70200000</v>
      </c>
      <c r="J152" s="78"/>
      <c r="K152" s="78"/>
      <c r="L152" s="78"/>
      <c r="M152" s="78"/>
      <c r="N152" s="78"/>
      <c r="O152" s="78"/>
      <c r="P152" s="78"/>
      <c r="Q152" s="78"/>
      <c r="R152" s="78"/>
      <c r="S152" s="78"/>
      <c r="T152" s="78"/>
      <c r="U152" s="78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</row>
    <row r="153" spans="1:32" ht="60">
      <c r="A153" s="904"/>
      <c r="B153" s="904"/>
      <c r="C153" s="904"/>
      <c r="D153" s="904"/>
      <c r="E153" s="904"/>
      <c r="F153" s="916"/>
      <c r="G153" s="61" t="s">
        <v>375</v>
      </c>
      <c r="H153" s="94" t="s">
        <v>354</v>
      </c>
      <c r="I153" s="904"/>
      <c r="J153" s="78"/>
      <c r="K153" s="78"/>
      <c r="L153" s="78"/>
      <c r="M153" s="78"/>
      <c r="N153" s="78"/>
      <c r="O153" s="78"/>
      <c r="P153" s="78"/>
      <c r="Q153" s="78"/>
      <c r="R153" s="78"/>
      <c r="S153" s="78"/>
      <c r="T153" s="78"/>
      <c r="U153" s="78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</row>
    <row r="154" spans="1:32" ht="45">
      <c r="A154" s="904"/>
      <c r="B154" s="904"/>
      <c r="C154" s="904"/>
      <c r="D154" s="904"/>
      <c r="E154" s="904"/>
      <c r="F154" s="916"/>
      <c r="G154" s="61" t="s">
        <v>376</v>
      </c>
      <c r="H154" s="94" t="s">
        <v>354</v>
      </c>
      <c r="I154" s="904"/>
      <c r="J154" s="78"/>
      <c r="K154" s="78"/>
      <c r="L154" s="78"/>
      <c r="M154" s="78"/>
      <c r="N154" s="78"/>
      <c r="O154" s="78"/>
      <c r="P154" s="78"/>
      <c r="Q154" s="78"/>
      <c r="R154" s="78"/>
      <c r="S154" s="78"/>
      <c r="T154" s="78"/>
      <c r="U154" s="78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</row>
    <row r="155" spans="1:32" ht="45">
      <c r="A155" s="904"/>
      <c r="B155" s="904"/>
      <c r="C155" s="904"/>
      <c r="D155" s="904"/>
      <c r="E155" s="904"/>
      <c r="F155" s="900"/>
      <c r="G155" s="61" t="s">
        <v>377</v>
      </c>
      <c r="H155" s="94" t="s">
        <v>354</v>
      </c>
      <c r="I155" s="893"/>
      <c r="J155" s="78"/>
      <c r="K155" s="78"/>
      <c r="L155" s="78"/>
      <c r="M155" s="78"/>
      <c r="N155" s="78"/>
      <c r="O155" s="78"/>
      <c r="P155" s="78"/>
      <c r="Q155" s="78"/>
      <c r="R155" s="78"/>
      <c r="S155" s="78"/>
      <c r="T155" s="78"/>
      <c r="U155" s="78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</row>
    <row r="156" spans="1:32" ht="30">
      <c r="A156" s="904"/>
      <c r="B156" s="904"/>
      <c r="C156" s="904"/>
      <c r="D156" s="904"/>
      <c r="E156" s="904"/>
      <c r="F156" s="931" t="s">
        <v>378</v>
      </c>
      <c r="G156" s="125" t="s">
        <v>379</v>
      </c>
      <c r="H156" s="60" t="s">
        <v>354</v>
      </c>
      <c r="I156" s="126">
        <v>29750000</v>
      </c>
      <c r="J156" s="78"/>
      <c r="K156" s="78"/>
      <c r="L156" s="79"/>
      <c r="M156" s="78"/>
      <c r="N156" s="78"/>
      <c r="O156" s="78"/>
      <c r="P156" s="78"/>
      <c r="Q156" s="78"/>
      <c r="R156" s="78"/>
      <c r="S156" s="78"/>
      <c r="T156" s="78"/>
      <c r="U156" s="78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</row>
    <row r="157" spans="1:32" ht="30">
      <c r="A157" s="904"/>
      <c r="B157" s="904"/>
      <c r="C157" s="904"/>
      <c r="D157" s="904"/>
      <c r="E157" s="904"/>
      <c r="F157" s="916"/>
      <c r="G157" s="125" t="s">
        <v>380</v>
      </c>
      <c r="H157" s="60" t="s">
        <v>354</v>
      </c>
      <c r="I157" s="124">
        <v>15500000</v>
      </c>
      <c r="J157" s="78"/>
      <c r="K157" s="78"/>
      <c r="L157" s="79"/>
      <c r="M157" s="78"/>
      <c r="N157" s="78"/>
      <c r="O157" s="78"/>
      <c r="P157" s="78"/>
      <c r="Q157" s="78"/>
      <c r="R157" s="78"/>
      <c r="S157" s="78"/>
      <c r="T157" s="78"/>
      <c r="U157" s="78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</row>
    <row r="158" spans="1:32" ht="30">
      <c r="A158" s="904"/>
      <c r="B158" s="904"/>
      <c r="C158" s="893"/>
      <c r="D158" s="893"/>
      <c r="E158" s="893"/>
      <c r="F158" s="900"/>
      <c r="G158" s="125" t="s">
        <v>381</v>
      </c>
      <c r="H158" s="60" t="s">
        <v>354</v>
      </c>
      <c r="I158" s="124">
        <v>2400000</v>
      </c>
      <c r="J158" s="78"/>
      <c r="K158" s="78"/>
      <c r="L158" s="79"/>
      <c r="M158" s="78"/>
      <c r="N158" s="78"/>
      <c r="O158" s="78"/>
      <c r="P158" s="78"/>
      <c r="Q158" s="78"/>
      <c r="R158" s="78"/>
      <c r="S158" s="78"/>
      <c r="T158" s="78"/>
      <c r="U158" s="78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</row>
    <row r="159" spans="1:32" ht="30">
      <c r="A159" s="893"/>
      <c r="B159" s="893"/>
      <c r="C159" s="127" t="s">
        <v>382</v>
      </c>
      <c r="D159" s="127" t="s">
        <v>383</v>
      </c>
      <c r="E159" s="52" t="s">
        <v>384</v>
      </c>
      <c r="F159" s="60" t="s">
        <v>385</v>
      </c>
      <c r="G159" s="61" t="s">
        <v>386</v>
      </c>
      <c r="H159" s="60" t="s">
        <v>354</v>
      </c>
      <c r="I159" s="69">
        <v>0</v>
      </c>
      <c r="J159" s="57"/>
      <c r="K159" s="78"/>
      <c r="L159" s="78"/>
      <c r="M159" s="78"/>
      <c r="N159" s="78"/>
      <c r="O159" s="79"/>
      <c r="P159" s="78"/>
      <c r="Q159" s="78"/>
      <c r="R159" s="78"/>
      <c r="S159" s="78"/>
      <c r="T159" s="78"/>
      <c r="U159" s="78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</row>
    <row r="160" spans="1:32" ht="30">
      <c r="A160" s="923"/>
      <c r="B160" s="934" t="s">
        <v>387</v>
      </c>
      <c r="C160" s="928" t="s">
        <v>388</v>
      </c>
      <c r="D160" s="925">
        <v>0.8</v>
      </c>
      <c r="E160" s="928" t="s">
        <v>389</v>
      </c>
      <c r="F160" s="61" t="s">
        <v>390</v>
      </c>
      <c r="G160" s="61" t="s">
        <v>391</v>
      </c>
      <c r="H160" s="60" t="s">
        <v>354</v>
      </c>
      <c r="I160" s="128">
        <v>0</v>
      </c>
      <c r="J160" s="78"/>
      <c r="K160" s="78"/>
      <c r="L160" s="78"/>
      <c r="M160" s="78"/>
      <c r="N160" s="78"/>
      <c r="O160" s="78"/>
      <c r="P160" s="78"/>
      <c r="Q160" s="78"/>
      <c r="R160" s="78"/>
      <c r="S160" s="78"/>
      <c r="T160" s="78"/>
      <c r="U160" s="78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</row>
    <row r="161" spans="1:32" ht="30">
      <c r="A161" s="904"/>
      <c r="B161" s="935"/>
      <c r="C161" s="904"/>
      <c r="D161" s="904"/>
      <c r="E161" s="904"/>
      <c r="F161" s="46" t="s">
        <v>392</v>
      </c>
      <c r="G161" s="61" t="s">
        <v>393</v>
      </c>
      <c r="H161" s="60" t="s">
        <v>354</v>
      </c>
      <c r="I161" s="43">
        <v>3400000</v>
      </c>
      <c r="J161" s="78"/>
      <c r="K161" s="79"/>
      <c r="L161" s="79"/>
      <c r="M161" s="79"/>
      <c r="N161" s="79"/>
      <c r="O161" s="79"/>
      <c r="P161" s="79"/>
      <c r="Q161" s="79"/>
      <c r="R161" s="79"/>
      <c r="S161" s="79"/>
      <c r="T161" s="79"/>
      <c r="U161" s="79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</row>
    <row r="162" spans="1:32" ht="30">
      <c r="A162" s="904"/>
      <c r="B162" s="935"/>
      <c r="C162" s="904"/>
      <c r="D162" s="904"/>
      <c r="E162" s="904"/>
      <c r="F162" s="929" t="s">
        <v>394</v>
      </c>
      <c r="G162" s="125" t="s">
        <v>395</v>
      </c>
      <c r="H162" s="60" t="s">
        <v>354</v>
      </c>
      <c r="I162" s="124">
        <v>30000000</v>
      </c>
      <c r="J162" s="78"/>
      <c r="K162" s="78"/>
      <c r="L162" s="78"/>
      <c r="M162" s="78"/>
      <c r="N162" s="78"/>
      <c r="O162" s="78"/>
      <c r="P162" s="79"/>
      <c r="Q162" s="78"/>
      <c r="R162" s="78"/>
      <c r="S162" s="78"/>
      <c r="T162" s="78"/>
      <c r="U162" s="78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</row>
    <row r="163" spans="1:32" ht="30">
      <c r="A163" s="904"/>
      <c r="B163" s="935"/>
      <c r="C163" s="904"/>
      <c r="D163" s="904"/>
      <c r="E163" s="904"/>
      <c r="F163" s="916"/>
      <c r="G163" s="125" t="s">
        <v>396</v>
      </c>
      <c r="H163" s="60" t="s">
        <v>354</v>
      </c>
      <c r="I163" s="124">
        <v>13500000</v>
      </c>
      <c r="J163" s="78"/>
      <c r="K163" s="78"/>
      <c r="L163" s="78"/>
      <c r="M163" s="78"/>
      <c r="N163" s="78"/>
      <c r="O163" s="78"/>
      <c r="P163" s="79"/>
      <c r="Q163" s="78"/>
      <c r="R163" s="78"/>
      <c r="S163" s="78"/>
      <c r="T163" s="78"/>
      <c r="U163" s="78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</row>
    <row r="164" spans="1:32" ht="30">
      <c r="A164" s="904"/>
      <c r="B164" s="935"/>
      <c r="C164" s="904"/>
      <c r="D164" s="904"/>
      <c r="E164" s="904"/>
      <c r="F164" s="916"/>
      <c r="G164" s="125" t="s">
        <v>397</v>
      </c>
      <c r="H164" s="60" t="s">
        <v>354</v>
      </c>
      <c r="I164" s="124">
        <v>27000000</v>
      </c>
      <c r="J164" s="78"/>
      <c r="K164" s="78"/>
      <c r="L164" s="78"/>
      <c r="M164" s="78"/>
      <c r="N164" s="78"/>
      <c r="O164" s="78"/>
      <c r="P164" s="79"/>
      <c r="Q164" s="78"/>
      <c r="R164" s="78"/>
      <c r="S164" s="78"/>
      <c r="T164" s="78"/>
      <c r="U164" s="78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</row>
    <row r="165" spans="1:32" ht="30">
      <c r="A165" s="904"/>
      <c r="B165" s="935"/>
      <c r="C165" s="904"/>
      <c r="D165" s="904"/>
      <c r="E165" s="904"/>
      <c r="F165" s="916"/>
      <c r="G165" s="125" t="s">
        <v>398</v>
      </c>
      <c r="H165" s="60" t="s">
        <v>354</v>
      </c>
      <c r="I165" s="124">
        <v>90000000</v>
      </c>
      <c r="J165" s="78"/>
      <c r="K165" s="78"/>
      <c r="L165" s="78"/>
      <c r="M165" s="78"/>
      <c r="N165" s="78"/>
      <c r="O165" s="78"/>
      <c r="P165" s="79"/>
      <c r="Q165" s="78"/>
      <c r="R165" s="78"/>
      <c r="S165" s="78"/>
      <c r="T165" s="78"/>
      <c r="U165" s="78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</row>
    <row r="166" spans="1:32" ht="30">
      <c r="A166" s="904"/>
      <c r="B166" s="935"/>
      <c r="C166" s="904"/>
      <c r="D166" s="904"/>
      <c r="E166" s="904"/>
      <c r="F166" s="916"/>
      <c r="G166" s="120" t="s">
        <v>399</v>
      </c>
      <c r="H166" s="60" t="s">
        <v>354</v>
      </c>
      <c r="I166" s="124">
        <v>9000000</v>
      </c>
      <c r="J166" s="78"/>
      <c r="K166" s="78"/>
      <c r="L166" s="78"/>
      <c r="M166" s="78"/>
      <c r="N166" s="78"/>
      <c r="O166" s="78"/>
      <c r="P166" s="79"/>
      <c r="Q166" s="78"/>
      <c r="R166" s="78"/>
      <c r="S166" s="78"/>
      <c r="T166" s="78"/>
      <c r="U166" s="78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</row>
    <row r="167" spans="1:32" ht="30">
      <c r="A167" s="904"/>
      <c r="B167" s="935"/>
      <c r="C167" s="904"/>
      <c r="D167" s="904"/>
      <c r="E167" s="904"/>
      <c r="F167" s="900"/>
      <c r="G167" s="125" t="s">
        <v>400</v>
      </c>
      <c r="H167" s="60" t="s">
        <v>354</v>
      </c>
      <c r="I167" s="124">
        <v>67500000</v>
      </c>
      <c r="J167" s="78"/>
      <c r="K167" s="78"/>
      <c r="L167" s="78"/>
      <c r="M167" s="78"/>
      <c r="N167" s="78"/>
      <c r="O167" s="78"/>
      <c r="P167" s="79"/>
      <c r="Q167" s="78"/>
      <c r="R167" s="78"/>
      <c r="S167" s="78"/>
      <c r="T167" s="78"/>
      <c r="U167" s="78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</row>
    <row r="168" spans="1:32">
      <c r="A168" s="904"/>
      <c r="B168" s="935"/>
      <c r="C168" s="904"/>
      <c r="D168" s="904"/>
      <c r="E168" s="904"/>
      <c r="F168" s="937" t="s">
        <v>401</v>
      </c>
      <c r="G168" s="129" t="s">
        <v>402</v>
      </c>
      <c r="H168" s="60" t="s">
        <v>403</v>
      </c>
      <c r="I168" s="130">
        <v>7000000</v>
      </c>
      <c r="J168" s="78"/>
      <c r="K168" s="78"/>
      <c r="L168" s="78"/>
      <c r="M168" s="78"/>
      <c r="N168" s="79"/>
      <c r="O168" s="78"/>
      <c r="P168" s="78"/>
      <c r="Q168" s="78"/>
      <c r="R168" s="78"/>
      <c r="S168" s="78"/>
      <c r="T168" s="78"/>
      <c r="U168" s="78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</row>
    <row r="169" spans="1:32">
      <c r="A169" s="904"/>
      <c r="B169" s="935"/>
      <c r="C169" s="904"/>
      <c r="D169" s="904"/>
      <c r="E169" s="904"/>
      <c r="F169" s="916"/>
      <c r="G169" s="129" t="s">
        <v>404</v>
      </c>
      <c r="H169" s="60" t="s">
        <v>403</v>
      </c>
      <c r="I169" s="130">
        <v>14000000</v>
      </c>
      <c r="J169" s="78"/>
      <c r="K169" s="78"/>
      <c r="L169" s="78"/>
      <c r="M169" s="78"/>
      <c r="N169" s="79"/>
      <c r="O169" s="78"/>
      <c r="P169" s="78"/>
      <c r="Q169" s="78"/>
      <c r="R169" s="78"/>
      <c r="S169" s="78"/>
      <c r="T169" s="78"/>
      <c r="U169" s="78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</row>
    <row r="170" spans="1:32">
      <c r="A170" s="904"/>
      <c r="B170" s="935"/>
      <c r="C170" s="904"/>
      <c r="D170" s="904"/>
      <c r="E170" s="904"/>
      <c r="F170" s="916"/>
      <c r="G170" s="129" t="s">
        <v>405</v>
      </c>
      <c r="H170" s="60" t="s">
        <v>403</v>
      </c>
      <c r="I170" s="130">
        <v>7200000</v>
      </c>
      <c r="J170" s="78"/>
      <c r="K170" s="78"/>
      <c r="L170" s="78"/>
      <c r="M170" s="78"/>
      <c r="N170" s="79"/>
      <c r="O170" s="78"/>
      <c r="P170" s="78"/>
      <c r="Q170" s="78"/>
      <c r="R170" s="78"/>
      <c r="S170" s="78"/>
      <c r="T170" s="78"/>
      <c r="U170" s="78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</row>
    <row r="171" spans="1:32">
      <c r="A171" s="904"/>
      <c r="B171" s="935"/>
      <c r="C171" s="904"/>
      <c r="D171" s="904"/>
      <c r="E171" s="904"/>
      <c r="F171" s="900"/>
      <c r="G171" s="129" t="s">
        <v>406</v>
      </c>
      <c r="H171" s="60" t="s">
        <v>403</v>
      </c>
      <c r="I171" s="130">
        <v>1750000</v>
      </c>
      <c r="J171" s="78"/>
      <c r="K171" s="78"/>
      <c r="L171" s="78"/>
      <c r="M171" s="78"/>
      <c r="N171" s="79"/>
      <c r="O171" s="78"/>
      <c r="P171" s="78"/>
      <c r="Q171" s="78"/>
      <c r="R171" s="78"/>
      <c r="S171" s="78"/>
      <c r="T171" s="78"/>
      <c r="U171" s="78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</row>
    <row r="172" spans="1:32">
      <c r="A172" s="904"/>
      <c r="B172" s="935"/>
      <c r="C172" s="904"/>
      <c r="D172" s="904"/>
      <c r="E172" s="904"/>
      <c r="F172" s="929" t="s">
        <v>407</v>
      </c>
      <c r="G172" s="129" t="s">
        <v>408</v>
      </c>
      <c r="H172" s="60" t="s">
        <v>403</v>
      </c>
      <c r="I172" s="130">
        <v>4500000</v>
      </c>
      <c r="J172" s="79"/>
      <c r="K172" s="79"/>
      <c r="L172" s="79"/>
      <c r="M172" s="79"/>
      <c r="N172" s="79"/>
      <c r="O172" s="79"/>
      <c r="P172" s="79"/>
      <c r="Q172" s="79"/>
      <c r="R172" s="79"/>
      <c r="S172" s="79"/>
      <c r="T172" s="79"/>
      <c r="U172" s="79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</row>
    <row r="173" spans="1:32">
      <c r="A173" s="904"/>
      <c r="B173" s="935"/>
      <c r="C173" s="904"/>
      <c r="D173" s="904"/>
      <c r="E173" s="904"/>
      <c r="F173" s="900"/>
      <c r="G173" s="129" t="s">
        <v>409</v>
      </c>
      <c r="H173" s="60" t="s">
        <v>403</v>
      </c>
      <c r="I173" s="124">
        <v>4800000</v>
      </c>
      <c r="J173" s="79"/>
      <c r="K173" s="79"/>
      <c r="L173" s="79"/>
      <c r="M173" s="79"/>
      <c r="N173" s="79"/>
      <c r="O173" s="79"/>
      <c r="P173" s="79"/>
      <c r="Q173" s="79"/>
      <c r="R173" s="79"/>
      <c r="S173" s="79"/>
      <c r="T173" s="79"/>
      <c r="U173" s="79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</row>
    <row r="174" spans="1:32" ht="30">
      <c r="A174" s="904"/>
      <c r="B174" s="935"/>
      <c r="C174" s="904"/>
      <c r="D174" s="904"/>
      <c r="E174" s="904"/>
      <c r="F174" s="61" t="s">
        <v>410</v>
      </c>
      <c r="G174" s="120" t="s">
        <v>411</v>
      </c>
      <c r="H174" s="60" t="s">
        <v>403</v>
      </c>
      <c r="I174" s="124">
        <v>500000</v>
      </c>
      <c r="J174" s="78"/>
      <c r="K174" s="78"/>
      <c r="L174" s="78"/>
      <c r="M174" s="78"/>
      <c r="N174" s="78"/>
      <c r="O174" s="79"/>
      <c r="P174" s="78"/>
      <c r="Q174" s="78"/>
      <c r="R174" s="78"/>
      <c r="S174" s="78"/>
      <c r="T174" s="78"/>
      <c r="U174" s="78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</row>
    <row r="175" spans="1:32">
      <c r="A175" s="904"/>
      <c r="B175" s="935"/>
      <c r="C175" s="904"/>
      <c r="D175" s="904"/>
      <c r="E175" s="904"/>
      <c r="F175" s="61"/>
      <c r="G175" s="129" t="s">
        <v>412</v>
      </c>
      <c r="H175" s="60" t="s">
        <v>403</v>
      </c>
      <c r="I175" s="124">
        <v>500000</v>
      </c>
      <c r="J175" s="78"/>
      <c r="K175" s="78"/>
      <c r="L175" s="78"/>
      <c r="M175" s="78"/>
      <c r="N175" s="78"/>
      <c r="O175" s="79"/>
      <c r="P175" s="78"/>
      <c r="Q175" s="78"/>
      <c r="R175" s="78"/>
      <c r="S175" s="78"/>
      <c r="T175" s="78"/>
      <c r="U175" s="78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</row>
    <row r="176" spans="1:32">
      <c r="A176" s="904"/>
      <c r="B176" s="935"/>
      <c r="C176" s="904"/>
      <c r="D176" s="904"/>
      <c r="E176" s="904"/>
      <c r="F176" s="61"/>
      <c r="G176" s="129" t="s">
        <v>413</v>
      </c>
      <c r="H176" s="60" t="s">
        <v>403</v>
      </c>
      <c r="I176" s="124">
        <v>500000</v>
      </c>
      <c r="J176" s="78"/>
      <c r="K176" s="78"/>
      <c r="L176" s="78"/>
      <c r="M176" s="78"/>
      <c r="N176" s="78"/>
      <c r="O176" s="79"/>
      <c r="P176" s="78"/>
      <c r="Q176" s="78"/>
      <c r="R176" s="78"/>
      <c r="S176" s="78"/>
      <c r="T176" s="78"/>
      <c r="U176" s="78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</row>
    <row r="177" spans="1:32">
      <c r="A177" s="904"/>
      <c r="B177" s="935"/>
      <c r="C177" s="904"/>
      <c r="D177" s="904"/>
      <c r="E177" s="904"/>
      <c r="F177" s="61"/>
      <c r="G177" s="129" t="s">
        <v>414</v>
      </c>
      <c r="H177" s="60" t="s">
        <v>403</v>
      </c>
      <c r="I177" s="124">
        <v>5400000</v>
      </c>
      <c r="J177" s="78"/>
      <c r="K177" s="78"/>
      <c r="L177" s="78"/>
      <c r="M177" s="78"/>
      <c r="N177" s="78"/>
      <c r="O177" s="79"/>
      <c r="P177" s="78"/>
      <c r="Q177" s="78"/>
      <c r="R177" s="78"/>
      <c r="S177" s="78"/>
      <c r="T177" s="78"/>
      <c r="U177" s="78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</row>
    <row r="178" spans="1:32">
      <c r="A178" s="904"/>
      <c r="B178" s="935"/>
      <c r="C178" s="904"/>
      <c r="D178" s="904"/>
      <c r="E178" s="904"/>
      <c r="F178" s="61"/>
      <c r="G178" s="129" t="s">
        <v>415</v>
      </c>
      <c r="H178" s="60" t="s">
        <v>403</v>
      </c>
      <c r="I178" s="124">
        <v>500000</v>
      </c>
      <c r="J178" s="78"/>
      <c r="K178" s="78"/>
      <c r="L178" s="78"/>
      <c r="M178" s="78"/>
      <c r="N178" s="78"/>
      <c r="O178" s="79"/>
      <c r="P178" s="78"/>
      <c r="Q178" s="78"/>
      <c r="R178" s="78"/>
      <c r="S178" s="78"/>
      <c r="T178" s="78"/>
      <c r="U178" s="78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</row>
    <row r="179" spans="1:32">
      <c r="A179" s="904"/>
      <c r="B179" s="935"/>
      <c r="C179" s="904"/>
      <c r="D179" s="904"/>
      <c r="E179" s="904"/>
      <c r="F179" s="61"/>
      <c r="G179" s="129" t="s">
        <v>416</v>
      </c>
      <c r="H179" s="60" t="s">
        <v>403</v>
      </c>
      <c r="I179" s="124">
        <v>700000</v>
      </c>
      <c r="J179" s="78"/>
      <c r="K179" s="78"/>
      <c r="L179" s="78"/>
      <c r="M179" s="78"/>
      <c r="N179" s="78"/>
      <c r="O179" s="79"/>
      <c r="P179" s="78"/>
      <c r="Q179" s="78"/>
      <c r="R179" s="78"/>
      <c r="S179" s="78"/>
      <c r="T179" s="78"/>
      <c r="U179" s="78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</row>
    <row r="180" spans="1:32">
      <c r="A180" s="904"/>
      <c r="B180" s="935"/>
      <c r="C180" s="904"/>
      <c r="D180" s="904"/>
      <c r="E180" s="904"/>
      <c r="F180" s="66"/>
      <c r="G180" s="129" t="s">
        <v>417</v>
      </c>
      <c r="H180" s="60" t="s">
        <v>403</v>
      </c>
      <c r="I180" s="124">
        <v>25000000</v>
      </c>
      <c r="J180" s="78"/>
      <c r="K180" s="78"/>
      <c r="L180" s="78"/>
      <c r="M180" s="78"/>
      <c r="N180" s="78"/>
      <c r="O180" s="79"/>
      <c r="P180" s="78"/>
      <c r="Q180" s="78"/>
      <c r="R180" s="78"/>
      <c r="S180" s="78"/>
      <c r="T180" s="78"/>
      <c r="U180" s="78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</row>
    <row r="181" spans="1:32" ht="30">
      <c r="A181" s="904"/>
      <c r="B181" s="935"/>
      <c r="C181" s="904"/>
      <c r="D181" s="904"/>
      <c r="E181" s="904"/>
      <c r="F181" s="67" t="s">
        <v>418</v>
      </c>
      <c r="G181" s="131" t="s">
        <v>419</v>
      </c>
      <c r="H181" s="60" t="s">
        <v>354</v>
      </c>
      <c r="I181" s="132">
        <v>35000000</v>
      </c>
      <c r="J181" s="78"/>
      <c r="K181" s="78"/>
      <c r="L181" s="78"/>
      <c r="M181" s="78"/>
      <c r="N181" s="78"/>
      <c r="O181" s="78"/>
      <c r="P181" s="79"/>
      <c r="Q181" s="78"/>
      <c r="R181" s="78"/>
      <c r="S181" s="78"/>
      <c r="T181" s="78"/>
      <c r="U181" s="78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</row>
    <row r="182" spans="1:32" ht="30">
      <c r="A182" s="904"/>
      <c r="B182" s="935"/>
      <c r="C182" s="904"/>
      <c r="D182" s="904"/>
      <c r="E182" s="904"/>
      <c r="F182" s="133" t="s">
        <v>420</v>
      </c>
      <c r="G182" s="120" t="s">
        <v>421</v>
      </c>
      <c r="H182" s="60" t="s">
        <v>403</v>
      </c>
      <c r="I182" s="134">
        <v>1500000</v>
      </c>
      <c r="J182" s="78"/>
      <c r="K182" s="79"/>
      <c r="L182" s="78"/>
      <c r="M182" s="78"/>
      <c r="N182" s="78"/>
      <c r="O182" s="78"/>
      <c r="P182" s="78"/>
      <c r="Q182" s="78"/>
      <c r="R182" s="78"/>
      <c r="S182" s="78"/>
      <c r="T182" s="78"/>
      <c r="U182" s="78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</row>
    <row r="183" spans="1:32">
      <c r="A183" s="904"/>
      <c r="B183" s="935"/>
      <c r="C183" s="904"/>
      <c r="D183" s="904"/>
      <c r="E183" s="904"/>
      <c r="F183" s="67"/>
      <c r="G183" s="120" t="s">
        <v>422</v>
      </c>
      <c r="H183" s="60" t="s">
        <v>403</v>
      </c>
      <c r="I183" s="134">
        <v>1500000</v>
      </c>
      <c r="J183" s="78"/>
      <c r="K183" s="79"/>
      <c r="L183" s="78"/>
      <c r="M183" s="78"/>
      <c r="N183" s="78"/>
      <c r="O183" s="78"/>
      <c r="P183" s="78"/>
      <c r="Q183" s="78"/>
      <c r="R183" s="78"/>
      <c r="S183" s="78"/>
      <c r="T183" s="78"/>
      <c r="U183" s="78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</row>
    <row r="184" spans="1:32">
      <c r="A184" s="904"/>
      <c r="B184" s="935"/>
      <c r="C184" s="904"/>
      <c r="D184" s="904"/>
      <c r="E184" s="904"/>
      <c r="F184" s="67"/>
      <c r="G184" s="120" t="s">
        <v>423</v>
      </c>
      <c r="H184" s="60" t="s">
        <v>403</v>
      </c>
      <c r="I184" s="134">
        <v>12000000</v>
      </c>
      <c r="J184" s="78"/>
      <c r="K184" s="79"/>
      <c r="L184" s="78"/>
      <c r="M184" s="78"/>
      <c r="N184" s="78"/>
      <c r="O184" s="78"/>
      <c r="P184" s="78"/>
      <c r="Q184" s="78"/>
      <c r="R184" s="78"/>
      <c r="S184" s="78"/>
      <c r="T184" s="78"/>
      <c r="U184" s="78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</row>
    <row r="185" spans="1:32">
      <c r="A185" s="904"/>
      <c r="B185" s="935"/>
      <c r="C185" s="904"/>
      <c r="D185" s="904"/>
      <c r="E185" s="904"/>
      <c r="F185" s="67"/>
      <c r="G185" s="135" t="s">
        <v>424</v>
      </c>
      <c r="H185" s="60" t="s">
        <v>403</v>
      </c>
      <c r="I185" s="134">
        <v>27000000</v>
      </c>
      <c r="J185" s="78"/>
      <c r="K185" s="79"/>
      <c r="L185" s="78"/>
      <c r="M185" s="78"/>
      <c r="N185" s="78"/>
      <c r="O185" s="78"/>
      <c r="P185" s="78"/>
      <c r="Q185" s="78"/>
      <c r="R185" s="78"/>
      <c r="S185" s="78"/>
      <c r="T185" s="78"/>
      <c r="U185" s="78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</row>
    <row r="186" spans="1:32" ht="45">
      <c r="A186" s="893"/>
      <c r="B186" s="936"/>
      <c r="C186" s="893"/>
      <c r="D186" s="893"/>
      <c r="E186" s="893"/>
      <c r="F186" s="110" t="s">
        <v>425</v>
      </c>
      <c r="G186" s="120" t="s">
        <v>426</v>
      </c>
      <c r="H186" s="60" t="s">
        <v>403</v>
      </c>
      <c r="I186" s="134">
        <v>9450000</v>
      </c>
      <c r="J186" s="78"/>
      <c r="K186" s="78"/>
      <c r="L186" s="79"/>
      <c r="M186" s="78"/>
      <c r="N186" s="78"/>
      <c r="O186" s="78"/>
      <c r="P186" s="78"/>
      <c r="Q186" s="78"/>
      <c r="R186" s="78"/>
      <c r="S186" s="78"/>
      <c r="T186" s="78"/>
      <c r="U186" s="78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</row>
    <row r="187" spans="1:32" ht="63">
      <c r="A187" s="136" t="s">
        <v>427</v>
      </c>
      <c r="B187" s="137" t="s">
        <v>428</v>
      </c>
      <c r="C187" s="136" t="s">
        <v>429</v>
      </c>
      <c r="D187" s="138">
        <v>0.8</v>
      </c>
      <c r="E187" s="136" t="s">
        <v>430</v>
      </c>
      <c r="F187" s="139" t="s">
        <v>431</v>
      </c>
      <c r="G187" s="136"/>
      <c r="H187" s="140"/>
      <c r="I187" s="141"/>
      <c r="J187" s="142"/>
      <c r="K187" s="143"/>
      <c r="L187" s="143"/>
      <c r="M187" s="143"/>
      <c r="N187" s="143"/>
      <c r="O187" s="143"/>
      <c r="P187" s="143"/>
      <c r="Q187" s="143"/>
      <c r="R187" s="143"/>
      <c r="S187" s="143"/>
      <c r="T187" s="143"/>
      <c r="U187" s="143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</row>
    <row r="188" spans="1:32" ht="31.5">
      <c r="A188" s="136"/>
      <c r="B188" s="144"/>
      <c r="C188" s="136"/>
      <c r="D188" s="136"/>
      <c r="E188" s="136"/>
      <c r="F188" s="111" t="s">
        <v>432</v>
      </c>
      <c r="G188" s="136" t="s">
        <v>433</v>
      </c>
      <c r="H188" s="140" t="s">
        <v>434</v>
      </c>
      <c r="I188" s="141">
        <v>0</v>
      </c>
      <c r="J188" s="145" t="s">
        <v>435</v>
      </c>
      <c r="K188" s="32" t="s">
        <v>435</v>
      </c>
      <c r="L188" s="32" t="s">
        <v>435</v>
      </c>
      <c r="M188" s="32" t="s">
        <v>435</v>
      </c>
      <c r="N188" s="32" t="s">
        <v>435</v>
      </c>
      <c r="O188" s="32" t="s">
        <v>435</v>
      </c>
      <c r="P188" s="32" t="s">
        <v>435</v>
      </c>
      <c r="Q188" s="32" t="s">
        <v>435</v>
      </c>
      <c r="R188" s="32" t="s">
        <v>435</v>
      </c>
      <c r="S188" s="32" t="s">
        <v>435</v>
      </c>
      <c r="T188" s="32" t="s">
        <v>435</v>
      </c>
      <c r="U188" s="32" t="s">
        <v>435</v>
      </c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</row>
    <row r="189" spans="1:32" ht="31.5">
      <c r="A189" s="136"/>
      <c r="B189" s="144"/>
      <c r="C189" s="136"/>
      <c r="D189" s="136"/>
      <c r="E189" s="136"/>
      <c r="F189" s="30" t="s">
        <v>436</v>
      </c>
      <c r="G189" s="30" t="s">
        <v>437</v>
      </c>
      <c r="H189" s="140" t="s">
        <v>434</v>
      </c>
      <c r="I189" s="141">
        <v>150000</v>
      </c>
      <c r="J189" s="145" t="s">
        <v>435</v>
      </c>
      <c r="K189" s="32" t="s">
        <v>435</v>
      </c>
      <c r="L189" s="32" t="s">
        <v>435</v>
      </c>
      <c r="M189" s="32" t="s">
        <v>435</v>
      </c>
      <c r="N189" s="32" t="s">
        <v>435</v>
      </c>
      <c r="O189" s="32" t="s">
        <v>435</v>
      </c>
      <c r="P189" s="32" t="s">
        <v>435</v>
      </c>
      <c r="Q189" s="32" t="s">
        <v>435</v>
      </c>
      <c r="R189" s="32" t="s">
        <v>435</v>
      </c>
      <c r="S189" s="32" t="s">
        <v>435</v>
      </c>
      <c r="T189" s="32" t="s">
        <v>435</v>
      </c>
      <c r="U189" s="32" t="s">
        <v>435</v>
      </c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</row>
    <row r="190" spans="1:32" ht="31.5">
      <c r="A190" s="136"/>
      <c r="B190" s="144"/>
      <c r="C190" s="136"/>
      <c r="D190" s="136"/>
      <c r="E190" s="136"/>
      <c r="F190" s="111"/>
      <c r="G190" s="111" t="s">
        <v>438</v>
      </c>
      <c r="H190" s="140" t="s">
        <v>434</v>
      </c>
      <c r="I190" s="141">
        <v>3000000</v>
      </c>
      <c r="J190" s="145" t="s">
        <v>435</v>
      </c>
      <c r="K190" s="32" t="s">
        <v>435</v>
      </c>
      <c r="L190" s="32" t="s">
        <v>435</v>
      </c>
      <c r="M190" s="32" t="s">
        <v>435</v>
      </c>
      <c r="N190" s="32" t="s">
        <v>435</v>
      </c>
      <c r="O190" s="32" t="s">
        <v>435</v>
      </c>
      <c r="P190" s="32" t="s">
        <v>435</v>
      </c>
      <c r="Q190" s="32" t="s">
        <v>435</v>
      </c>
      <c r="R190" s="32" t="s">
        <v>435</v>
      </c>
      <c r="S190" s="32" t="s">
        <v>435</v>
      </c>
      <c r="T190" s="32" t="s">
        <v>435</v>
      </c>
      <c r="U190" s="32" t="s">
        <v>435</v>
      </c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</row>
    <row r="191" spans="1:32" ht="31.5">
      <c r="A191" s="136"/>
      <c r="B191" s="144"/>
      <c r="C191" s="136"/>
      <c r="D191" s="136"/>
      <c r="E191" s="136"/>
      <c r="F191" s="111"/>
      <c r="G191" s="136" t="s">
        <v>439</v>
      </c>
      <c r="H191" s="140" t="s">
        <v>434</v>
      </c>
      <c r="I191" s="141">
        <v>14000000</v>
      </c>
      <c r="J191" s="145" t="s">
        <v>435</v>
      </c>
      <c r="K191" s="32" t="s">
        <v>435</v>
      </c>
      <c r="L191" s="32" t="s">
        <v>435</v>
      </c>
      <c r="M191" s="32" t="s">
        <v>435</v>
      </c>
      <c r="N191" s="32" t="s">
        <v>435</v>
      </c>
      <c r="O191" s="32" t="s">
        <v>435</v>
      </c>
      <c r="P191" s="32" t="s">
        <v>435</v>
      </c>
      <c r="Q191" s="32" t="s">
        <v>435</v>
      </c>
      <c r="R191" s="32" t="s">
        <v>435</v>
      </c>
      <c r="S191" s="32" t="s">
        <v>435</v>
      </c>
      <c r="T191" s="32" t="s">
        <v>435</v>
      </c>
      <c r="U191" s="32" t="s">
        <v>435</v>
      </c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</row>
    <row r="192" spans="1:32" ht="31.5">
      <c r="A192" s="136"/>
      <c r="B192" s="144"/>
      <c r="C192" s="136"/>
      <c r="D192" s="136"/>
      <c r="E192" s="136"/>
      <c r="F192" s="146"/>
      <c r="G192" s="147" t="s">
        <v>440</v>
      </c>
      <c r="H192" s="140" t="s">
        <v>434</v>
      </c>
      <c r="I192" s="141">
        <v>24500000</v>
      </c>
      <c r="J192" s="145" t="s">
        <v>435</v>
      </c>
      <c r="K192" s="32" t="s">
        <v>435</v>
      </c>
      <c r="L192" s="32" t="s">
        <v>435</v>
      </c>
      <c r="M192" s="32" t="s">
        <v>435</v>
      </c>
      <c r="N192" s="32" t="s">
        <v>435</v>
      </c>
      <c r="O192" s="32" t="s">
        <v>435</v>
      </c>
      <c r="P192" s="32" t="s">
        <v>435</v>
      </c>
      <c r="Q192" s="32" t="s">
        <v>435</v>
      </c>
      <c r="R192" s="32" t="s">
        <v>435</v>
      </c>
      <c r="S192" s="32" t="s">
        <v>435</v>
      </c>
      <c r="T192" s="32" t="s">
        <v>435</v>
      </c>
      <c r="U192" s="32" t="s">
        <v>435</v>
      </c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</row>
    <row r="193" spans="1:32" ht="31.5">
      <c r="A193" s="136"/>
      <c r="B193" s="144"/>
      <c r="C193" s="136"/>
      <c r="D193" s="136"/>
      <c r="E193" s="136"/>
      <c r="F193" s="30"/>
      <c r="G193" s="111" t="s">
        <v>441</v>
      </c>
      <c r="H193" s="140" t="s">
        <v>434</v>
      </c>
      <c r="I193" s="141">
        <v>5000000</v>
      </c>
      <c r="J193" s="145" t="s">
        <v>435</v>
      </c>
      <c r="K193" s="32" t="s">
        <v>435</v>
      </c>
      <c r="L193" s="32" t="s">
        <v>435</v>
      </c>
      <c r="M193" s="32" t="s">
        <v>435</v>
      </c>
      <c r="N193" s="32" t="s">
        <v>435</v>
      </c>
      <c r="O193" s="32" t="s">
        <v>435</v>
      </c>
      <c r="P193" s="32" t="s">
        <v>435</v>
      </c>
      <c r="Q193" s="32" t="s">
        <v>435</v>
      </c>
      <c r="R193" s="32" t="s">
        <v>435</v>
      </c>
      <c r="S193" s="32" t="s">
        <v>435</v>
      </c>
      <c r="T193" s="32" t="s">
        <v>435</v>
      </c>
      <c r="U193" s="32" t="s">
        <v>435</v>
      </c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</row>
    <row r="194" spans="1:32" ht="31.5">
      <c r="A194" s="136"/>
      <c r="B194" s="144"/>
      <c r="C194" s="136"/>
      <c r="D194" s="136"/>
      <c r="E194" s="136"/>
      <c r="F194" s="136"/>
      <c r="G194" s="111" t="s">
        <v>442</v>
      </c>
      <c r="H194" s="136" t="s">
        <v>434</v>
      </c>
      <c r="I194" s="141">
        <v>10000000</v>
      </c>
      <c r="J194" s="32" t="s">
        <v>435</v>
      </c>
      <c r="K194" s="32" t="s">
        <v>435</v>
      </c>
      <c r="L194" s="32" t="s">
        <v>435</v>
      </c>
      <c r="M194" s="32" t="s">
        <v>435</v>
      </c>
      <c r="N194" s="32" t="s">
        <v>435</v>
      </c>
      <c r="O194" s="32" t="s">
        <v>435</v>
      </c>
      <c r="P194" s="32" t="s">
        <v>435</v>
      </c>
      <c r="Q194" s="32" t="s">
        <v>435</v>
      </c>
      <c r="R194" s="32" t="s">
        <v>435</v>
      </c>
      <c r="S194" s="32" t="s">
        <v>435</v>
      </c>
      <c r="T194" s="32" t="s">
        <v>435</v>
      </c>
      <c r="U194" s="32" t="s">
        <v>435</v>
      </c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</row>
    <row r="195" spans="1:32" ht="31.5">
      <c r="A195" s="136"/>
      <c r="B195" s="144"/>
      <c r="C195" s="136"/>
      <c r="D195" s="136"/>
      <c r="E195" s="136"/>
      <c r="F195" s="111"/>
      <c r="G195" s="111" t="s">
        <v>443</v>
      </c>
      <c r="H195" s="136" t="s">
        <v>434</v>
      </c>
      <c r="I195" s="141">
        <v>1000000</v>
      </c>
      <c r="J195" s="32" t="s">
        <v>435</v>
      </c>
      <c r="K195" s="32" t="s">
        <v>435</v>
      </c>
      <c r="L195" s="32" t="s">
        <v>435</v>
      </c>
      <c r="M195" s="32" t="s">
        <v>435</v>
      </c>
      <c r="N195" s="32" t="s">
        <v>435</v>
      </c>
      <c r="O195" s="32" t="s">
        <v>435</v>
      </c>
      <c r="P195" s="32" t="s">
        <v>435</v>
      </c>
      <c r="Q195" s="32" t="s">
        <v>435</v>
      </c>
      <c r="R195" s="32" t="s">
        <v>435</v>
      </c>
      <c r="S195" s="32" t="s">
        <v>435</v>
      </c>
      <c r="T195" s="32" t="s">
        <v>435</v>
      </c>
      <c r="U195" s="32" t="s">
        <v>435</v>
      </c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</row>
    <row r="196" spans="1:32" ht="31.5">
      <c r="A196" s="136"/>
      <c r="B196" s="144"/>
      <c r="C196" s="136"/>
      <c r="D196" s="136"/>
      <c r="E196" s="136"/>
      <c r="F196" s="146"/>
      <c r="G196" s="146" t="s">
        <v>444</v>
      </c>
      <c r="H196" s="136" t="s">
        <v>434</v>
      </c>
      <c r="I196" s="141">
        <v>2400000</v>
      </c>
      <c r="J196" s="32" t="s">
        <v>435</v>
      </c>
      <c r="K196" s="32" t="s">
        <v>435</v>
      </c>
      <c r="L196" s="32" t="s">
        <v>435</v>
      </c>
      <c r="M196" s="32" t="s">
        <v>435</v>
      </c>
      <c r="N196" s="32" t="s">
        <v>435</v>
      </c>
      <c r="O196" s="32" t="s">
        <v>435</v>
      </c>
      <c r="P196" s="32" t="s">
        <v>435</v>
      </c>
      <c r="Q196" s="32" t="s">
        <v>435</v>
      </c>
      <c r="R196" s="32" t="s">
        <v>435</v>
      </c>
      <c r="S196" s="32" t="s">
        <v>435</v>
      </c>
      <c r="T196" s="32" t="s">
        <v>435</v>
      </c>
      <c r="U196" s="32" t="s">
        <v>435</v>
      </c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</row>
    <row r="197" spans="1:32" ht="31.5">
      <c r="A197" s="136"/>
      <c r="B197" s="144"/>
      <c r="C197" s="136"/>
      <c r="D197" s="136"/>
      <c r="E197" s="136"/>
      <c r="F197" s="111"/>
      <c r="G197" s="111" t="s">
        <v>445</v>
      </c>
      <c r="H197" s="136" t="s">
        <v>434</v>
      </c>
      <c r="I197" s="141">
        <v>7500000</v>
      </c>
      <c r="J197" s="32"/>
      <c r="K197" s="32"/>
      <c r="L197" s="32" t="s">
        <v>435</v>
      </c>
      <c r="M197" s="32"/>
      <c r="N197" s="32"/>
      <c r="O197" s="32"/>
      <c r="P197" s="32"/>
      <c r="Q197" s="32"/>
      <c r="R197" s="32"/>
      <c r="S197" s="32"/>
      <c r="T197" s="32"/>
      <c r="U197" s="32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</row>
    <row r="198" spans="1:32" ht="31.5">
      <c r="A198" s="136"/>
      <c r="B198" s="144"/>
      <c r="C198" s="136"/>
      <c r="D198" s="136"/>
      <c r="E198" s="136"/>
      <c r="F198" s="148"/>
      <c r="G198" s="111" t="s">
        <v>446</v>
      </c>
      <c r="H198" s="136" t="s">
        <v>434</v>
      </c>
      <c r="I198" s="141">
        <v>15000000</v>
      </c>
      <c r="J198" s="32" t="s">
        <v>435</v>
      </c>
      <c r="K198" s="32" t="s">
        <v>435</v>
      </c>
      <c r="L198" s="32" t="s">
        <v>435</v>
      </c>
      <c r="M198" s="32" t="s">
        <v>435</v>
      </c>
      <c r="N198" s="32" t="s">
        <v>435</v>
      </c>
      <c r="O198" s="32" t="s">
        <v>435</v>
      </c>
      <c r="P198" s="32" t="s">
        <v>435</v>
      </c>
      <c r="Q198" s="32" t="s">
        <v>435</v>
      </c>
      <c r="R198" s="32" t="s">
        <v>435</v>
      </c>
      <c r="S198" s="32" t="s">
        <v>435</v>
      </c>
      <c r="T198" s="32" t="s">
        <v>435</v>
      </c>
      <c r="U198" s="32" t="s">
        <v>435</v>
      </c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</row>
    <row r="199" spans="1:32" ht="31.5">
      <c r="A199" s="136"/>
      <c r="B199" s="144"/>
      <c r="C199" s="136"/>
      <c r="D199" s="136"/>
      <c r="E199" s="136"/>
      <c r="F199" s="111" t="s">
        <v>447</v>
      </c>
      <c r="G199" s="111" t="s">
        <v>448</v>
      </c>
      <c r="H199" s="136" t="s">
        <v>434</v>
      </c>
      <c r="I199" s="141">
        <v>30000000</v>
      </c>
      <c r="J199" s="32"/>
      <c r="K199" s="32"/>
      <c r="L199" s="32"/>
      <c r="M199" s="32"/>
      <c r="N199" s="32"/>
      <c r="O199" s="32"/>
      <c r="P199" s="32"/>
      <c r="Q199" s="32"/>
      <c r="R199" s="32"/>
      <c r="S199" s="32" t="s">
        <v>435</v>
      </c>
      <c r="T199" s="32" t="s">
        <v>435</v>
      </c>
      <c r="U199" s="32" t="s">
        <v>435</v>
      </c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</row>
    <row r="200" spans="1:32" ht="31.5">
      <c r="A200" s="136"/>
      <c r="B200" s="144"/>
      <c r="C200" s="136"/>
      <c r="D200" s="136"/>
      <c r="E200" s="136"/>
      <c r="F200" s="149" t="s">
        <v>449</v>
      </c>
      <c r="G200" s="111" t="s">
        <v>450</v>
      </c>
      <c r="H200" s="136" t="s">
        <v>434</v>
      </c>
      <c r="I200" s="141">
        <v>25000000</v>
      </c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 t="s">
        <v>435</v>
      </c>
      <c r="U200" s="32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</row>
    <row r="201" spans="1:32" ht="31.5">
      <c r="A201" s="136"/>
      <c r="B201" s="144"/>
      <c r="C201" s="136"/>
      <c r="D201" s="136"/>
      <c r="E201" s="136"/>
      <c r="F201" s="111"/>
      <c r="G201" s="111" t="s">
        <v>451</v>
      </c>
      <c r="H201" s="136" t="s">
        <v>434</v>
      </c>
      <c r="I201" s="141">
        <v>20000000</v>
      </c>
      <c r="J201" s="32"/>
      <c r="K201" s="32"/>
      <c r="L201" s="32"/>
      <c r="M201" s="32"/>
      <c r="N201" s="32"/>
      <c r="O201" s="32"/>
      <c r="P201" s="32"/>
      <c r="Q201" s="32" t="s">
        <v>435</v>
      </c>
      <c r="R201" s="32"/>
      <c r="S201" s="32"/>
      <c r="T201" s="32"/>
      <c r="U201" s="32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</row>
    <row r="202" spans="1:32" ht="31.5">
      <c r="A202" s="136"/>
      <c r="B202" s="144"/>
      <c r="C202" s="136"/>
      <c r="D202" s="136"/>
      <c r="E202" s="136"/>
      <c r="F202" s="111"/>
      <c r="G202" s="111" t="s">
        <v>452</v>
      </c>
      <c r="H202" s="136" t="s">
        <v>434</v>
      </c>
      <c r="I202" s="141">
        <v>10000000</v>
      </c>
      <c r="J202" s="32"/>
      <c r="K202" s="32"/>
      <c r="L202" s="32"/>
      <c r="M202" s="32"/>
      <c r="N202" s="32"/>
      <c r="O202" s="32"/>
      <c r="P202" s="32" t="s">
        <v>435</v>
      </c>
      <c r="Q202" s="32"/>
      <c r="R202" s="32"/>
      <c r="S202" s="32"/>
      <c r="T202" s="32"/>
      <c r="U202" s="32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</row>
    <row r="203" spans="1:32" ht="31.5">
      <c r="A203" s="136"/>
      <c r="B203" s="144"/>
      <c r="C203" s="136"/>
      <c r="D203" s="136"/>
      <c r="E203" s="136"/>
      <c r="F203" s="146"/>
      <c r="G203" s="111" t="s">
        <v>453</v>
      </c>
      <c r="H203" s="136" t="s">
        <v>434</v>
      </c>
      <c r="I203" s="141">
        <v>10000000</v>
      </c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 t="s">
        <v>435</v>
      </c>
      <c r="U203" s="32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</row>
    <row r="204" spans="1:32" ht="15.75">
      <c r="A204" s="136"/>
      <c r="B204" s="144"/>
      <c r="C204" s="136"/>
      <c r="D204" s="136"/>
      <c r="E204" s="136"/>
      <c r="F204" s="139" t="s">
        <v>454</v>
      </c>
      <c r="G204" s="136"/>
      <c r="H204" s="136"/>
      <c r="I204" s="141">
        <v>0</v>
      </c>
      <c r="J204" s="143"/>
      <c r="K204" s="143"/>
      <c r="L204" s="143"/>
      <c r="M204" s="143"/>
      <c r="N204" s="143"/>
      <c r="O204" s="143"/>
      <c r="P204" s="143"/>
      <c r="Q204" s="143"/>
      <c r="R204" s="143"/>
      <c r="S204" s="143"/>
      <c r="T204" s="143"/>
      <c r="U204" s="143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</row>
    <row r="205" spans="1:32" ht="31.5">
      <c r="A205" s="136"/>
      <c r="B205" s="144"/>
      <c r="C205" s="136"/>
      <c r="D205" s="136"/>
      <c r="E205" s="136"/>
      <c r="F205" s="146" t="s">
        <v>455</v>
      </c>
      <c r="G205" s="136" t="s">
        <v>456</v>
      </c>
      <c r="H205" s="136" t="s">
        <v>457</v>
      </c>
      <c r="I205" s="141">
        <f>45517750+4800000</f>
        <v>50317750</v>
      </c>
      <c r="J205" s="32" t="s">
        <v>435</v>
      </c>
      <c r="K205" s="32" t="s">
        <v>435</v>
      </c>
      <c r="L205" s="32" t="s">
        <v>435</v>
      </c>
      <c r="M205" s="32" t="s">
        <v>435</v>
      </c>
      <c r="N205" s="32" t="s">
        <v>435</v>
      </c>
      <c r="O205" s="32" t="s">
        <v>435</v>
      </c>
      <c r="P205" s="32" t="s">
        <v>435</v>
      </c>
      <c r="Q205" s="32" t="s">
        <v>435</v>
      </c>
      <c r="R205" s="32" t="s">
        <v>435</v>
      </c>
      <c r="S205" s="32" t="s">
        <v>435</v>
      </c>
      <c r="T205" s="32" t="s">
        <v>435</v>
      </c>
      <c r="U205" s="32" t="s">
        <v>435</v>
      </c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</row>
    <row r="206" spans="1:32" ht="105">
      <c r="A206" s="136"/>
      <c r="B206" s="144"/>
      <c r="C206" s="136"/>
      <c r="D206" s="136"/>
      <c r="E206" s="136"/>
      <c r="F206" s="146" t="s">
        <v>458</v>
      </c>
      <c r="G206" s="136" t="s">
        <v>459</v>
      </c>
      <c r="H206" s="136" t="s">
        <v>460</v>
      </c>
      <c r="I206" s="141">
        <v>0</v>
      </c>
      <c r="J206" s="30" t="s">
        <v>461</v>
      </c>
      <c r="K206" s="30" t="s">
        <v>461</v>
      </c>
      <c r="L206" s="30" t="s">
        <v>461</v>
      </c>
      <c r="M206" s="30" t="s">
        <v>461</v>
      </c>
      <c r="N206" s="30" t="s">
        <v>461</v>
      </c>
      <c r="O206" s="30" t="s">
        <v>461</v>
      </c>
      <c r="P206" s="30" t="s">
        <v>461</v>
      </c>
      <c r="Q206" s="30" t="s">
        <v>461</v>
      </c>
      <c r="R206" s="30" t="s">
        <v>461</v>
      </c>
      <c r="S206" s="30" t="s">
        <v>461</v>
      </c>
      <c r="T206" s="30" t="s">
        <v>461</v>
      </c>
      <c r="U206" s="30" t="s">
        <v>461</v>
      </c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</row>
    <row r="207" spans="1:32" ht="47.25">
      <c r="A207" s="136"/>
      <c r="B207" s="144"/>
      <c r="C207" s="136"/>
      <c r="D207" s="136"/>
      <c r="E207" s="136"/>
      <c r="F207" s="146" t="s">
        <v>462</v>
      </c>
      <c r="G207" s="136" t="s">
        <v>459</v>
      </c>
      <c r="H207" s="136" t="s">
        <v>460</v>
      </c>
      <c r="I207" s="141">
        <v>0</v>
      </c>
      <c r="J207" s="32" t="s">
        <v>435</v>
      </c>
      <c r="K207" s="32" t="s">
        <v>435</v>
      </c>
      <c r="L207" s="32" t="s">
        <v>435</v>
      </c>
      <c r="M207" s="32" t="s">
        <v>435</v>
      </c>
      <c r="N207" s="32" t="s">
        <v>435</v>
      </c>
      <c r="O207" s="32" t="s">
        <v>435</v>
      </c>
      <c r="P207" s="32" t="s">
        <v>435</v>
      </c>
      <c r="Q207" s="32" t="s">
        <v>435</v>
      </c>
      <c r="R207" s="32" t="s">
        <v>435</v>
      </c>
      <c r="S207" s="32" t="s">
        <v>435</v>
      </c>
      <c r="T207" s="32" t="s">
        <v>435</v>
      </c>
      <c r="U207" s="32" t="s">
        <v>435</v>
      </c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</row>
    <row r="208" spans="1:32" ht="15.75">
      <c r="A208" s="136"/>
      <c r="B208" s="144"/>
      <c r="C208" s="136"/>
      <c r="D208" s="136"/>
      <c r="E208" s="136"/>
      <c r="F208" s="150" t="s">
        <v>463</v>
      </c>
      <c r="G208" s="136" t="s">
        <v>464</v>
      </c>
      <c r="H208" s="136" t="s">
        <v>465</v>
      </c>
      <c r="I208" s="141">
        <v>0</v>
      </c>
      <c r="J208" s="32"/>
      <c r="K208" s="32"/>
      <c r="L208" s="32"/>
      <c r="M208" s="32"/>
      <c r="N208" s="32"/>
      <c r="O208" s="32"/>
      <c r="P208" s="32"/>
      <c r="Q208" s="32"/>
      <c r="R208" s="32"/>
      <c r="S208" s="32" t="s">
        <v>435</v>
      </c>
      <c r="T208" s="32"/>
      <c r="U208" s="32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</row>
    <row r="209" spans="1:32" ht="15.75">
      <c r="A209" s="136"/>
      <c r="B209" s="144"/>
      <c r="C209" s="136"/>
      <c r="D209" s="136"/>
      <c r="E209" s="136"/>
      <c r="F209" s="139" t="s">
        <v>466</v>
      </c>
      <c r="G209" s="136"/>
      <c r="H209" s="136"/>
      <c r="I209" s="141">
        <v>0</v>
      </c>
      <c r="J209" s="143"/>
      <c r="K209" s="143"/>
      <c r="L209" s="143"/>
      <c r="M209" s="143"/>
      <c r="N209" s="143"/>
      <c r="O209" s="143"/>
      <c r="P209" s="143"/>
      <c r="Q209" s="143"/>
      <c r="R209" s="143"/>
      <c r="S209" s="143"/>
      <c r="T209" s="143"/>
      <c r="U209" s="143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</row>
    <row r="210" spans="1:32" ht="15.75">
      <c r="A210" s="136"/>
      <c r="B210" s="144"/>
      <c r="C210" s="136"/>
      <c r="D210" s="136"/>
      <c r="E210" s="136"/>
      <c r="F210" s="111" t="s">
        <v>467</v>
      </c>
      <c r="G210" s="136" t="s">
        <v>468</v>
      </c>
      <c r="H210" s="938" t="s">
        <v>469</v>
      </c>
      <c r="I210" s="939">
        <f>15950000+12500000</f>
        <v>28450000</v>
      </c>
      <c r="J210" s="940" t="s">
        <v>435</v>
      </c>
      <c r="K210" s="940" t="s">
        <v>435</v>
      </c>
      <c r="L210" s="940" t="s">
        <v>435</v>
      </c>
      <c r="M210" s="940" t="s">
        <v>435</v>
      </c>
      <c r="N210" s="940" t="s">
        <v>435</v>
      </c>
      <c r="O210" s="940" t="s">
        <v>435</v>
      </c>
      <c r="P210" s="940" t="s">
        <v>435</v>
      </c>
      <c r="Q210" s="940" t="s">
        <v>435</v>
      </c>
      <c r="R210" s="940" t="s">
        <v>435</v>
      </c>
      <c r="S210" s="940" t="s">
        <v>435</v>
      </c>
      <c r="T210" s="940" t="s">
        <v>435</v>
      </c>
      <c r="U210" s="940" t="s">
        <v>435</v>
      </c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</row>
    <row r="211" spans="1:32" ht="31.5">
      <c r="A211" s="136"/>
      <c r="B211" s="144"/>
      <c r="C211" s="136"/>
      <c r="D211" s="136"/>
      <c r="E211" s="136"/>
      <c r="F211" s="30"/>
      <c r="G211" s="136" t="s">
        <v>470</v>
      </c>
      <c r="H211" s="893"/>
      <c r="I211" s="893"/>
      <c r="J211" s="893"/>
      <c r="K211" s="893"/>
      <c r="L211" s="893"/>
      <c r="M211" s="893"/>
      <c r="N211" s="893"/>
      <c r="O211" s="893"/>
      <c r="P211" s="893"/>
      <c r="Q211" s="893"/>
      <c r="R211" s="893"/>
      <c r="S211" s="893"/>
      <c r="T211" s="893"/>
      <c r="U211" s="893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</row>
    <row r="212" spans="1:32" ht="15.75">
      <c r="A212" s="136"/>
      <c r="B212" s="144"/>
      <c r="C212" s="136"/>
      <c r="D212" s="136"/>
      <c r="E212" s="136"/>
      <c r="F212" s="111"/>
      <c r="G212" s="111" t="s">
        <v>471</v>
      </c>
      <c r="H212" s="136" t="s">
        <v>469</v>
      </c>
      <c r="I212" s="141">
        <v>0</v>
      </c>
      <c r="J212" s="1" t="s">
        <v>435</v>
      </c>
      <c r="K212" s="1" t="s">
        <v>435</v>
      </c>
      <c r="L212" s="1" t="s">
        <v>435</v>
      </c>
      <c r="M212" s="1" t="s">
        <v>435</v>
      </c>
      <c r="N212" s="1" t="s">
        <v>435</v>
      </c>
      <c r="O212" s="1" t="s">
        <v>435</v>
      </c>
      <c r="P212" s="1" t="s">
        <v>435</v>
      </c>
      <c r="Q212" s="1" t="s">
        <v>435</v>
      </c>
      <c r="R212" s="1" t="s">
        <v>435</v>
      </c>
      <c r="S212" s="1" t="s">
        <v>435</v>
      </c>
      <c r="T212" s="1" t="s">
        <v>435</v>
      </c>
      <c r="U212" s="1" t="s">
        <v>435</v>
      </c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</row>
    <row r="213" spans="1:32" ht="15.75">
      <c r="A213" s="136"/>
      <c r="B213" s="144"/>
      <c r="C213" s="136"/>
      <c r="D213" s="136"/>
      <c r="E213" s="136"/>
      <c r="F213" s="111" t="s">
        <v>472</v>
      </c>
      <c r="G213" s="136" t="s">
        <v>459</v>
      </c>
      <c r="H213" s="136" t="s">
        <v>469</v>
      </c>
      <c r="I213" s="141">
        <v>0</v>
      </c>
      <c r="J213" s="1" t="s">
        <v>435</v>
      </c>
      <c r="K213" s="1" t="s">
        <v>435</v>
      </c>
      <c r="L213" s="1" t="s">
        <v>435</v>
      </c>
      <c r="M213" s="1" t="s">
        <v>435</v>
      </c>
      <c r="N213" s="1" t="s">
        <v>435</v>
      </c>
      <c r="O213" s="1" t="s">
        <v>435</v>
      </c>
      <c r="P213" s="1" t="s">
        <v>435</v>
      </c>
      <c r="Q213" s="1" t="s">
        <v>435</v>
      </c>
      <c r="R213" s="1" t="s">
        <v>435</v>
      </c>
      <c r="S213" s="1" t="s">
        <v>435</v>
      </c>
      <c r="T213" s="1" t="s">
        <v>435</v>
      </c>
      <c r="U213" s="1" t="s">
        <v>435</v>
      </c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</row>
    <row r="214" spans="1:32" ht="31.5">
      <c r="A214" s="136"/>
      <c r="B214" s="144"/>
      <c r="C214" s="136"/>
      <c r="D214" s="136"/>
      <c r="E214" s="136"/>
      <c r="F214" s="146" t="s">
        <v>458</v>
      </c>
      <c r="G214" s="136" t="s">
        <v>459</v>
      </c>
      <c r="H214" s="136" t="s">
        <v>473</v>
      </c>
      <c r="I214" s="141">
        <v>0</v>
      </c>
      <c r="J214" s="1" t="s">
        <v>435</v>
      </c>
      <c r="K214" s="1" t="s">
        <v>435</v>
      </c>
      <c r="L214" s="1" t="s">
        <v>435</v>
      </c>
      <c r="M214" s="1" t="s">
        <v>435</v>
      </c>
      <c r="N214" s="1" t="s">
        <v>435</v>
      </c>
      <c r="O214" s="1" t="s">
        <v>435</v>
      </c>
      <c r="P214" s="1" t="s">
        <v>435</v>
      </c>
      <c r="Q214" s="1" t="s">
        <v>435</v>
      </c>
      <c r="R214" s="1" t="s">
        <v>435</v>
      </c>
      <c r="S214" s="1" t="s">
        <v>435</v>
      </c>
      <c r="T214" s="1" t="s">
        <v>435</v>
      </c>
      <c r="U214" s="1" t="s">
        <v>435</v>
      </c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</row>
    <row r="215" spans="1:32" ht="31.5">
      <c r="A215" s="136"/>
      <c r="B215" s="144"/>
      <c r="C215" s="136"/>
      <c r="D215" s="136"/>
      <c r="E215" s="136"/>
      <c r="F215" s="146" t="s">
        <v>462</v>
      </c>
      <c r="G215" s="136" t="s">
        <v>459</v>
      </c>
      <c r="H215" s="136" t="s">
        <v>473</v>
      </c>
      <c r="I215" s="141">
        <v>0</v>
      </c>
      <c r="J215" s="1" t="s">
        <v>435</v>
      </c>
      <c r="K215" s="1" t="s">
        <v>435</v>
      </c>
      <c r="L215" s="1" t="s">
        <v>435</v>
      </c>
      <c r="M215" s="1" t="s">
        <v>435</v>
      </c>
      <c r="N215" s="1" t="s">
        <v>435</v>
      </c>
      <c r="O215" s="1" t="s">
        <v>435</v>
      </c>
      <c r="P215" s="1" t="s">
        <v>435</v>
      </c>
      <c r="Q215" s="1" t="s">
        <v>435</v>
      </c>
      <c r="R215" s="1" t="s">
        <v>435</v>
      </c>
      <c r="S215" s="1" t="s">
        <v>435</v>
      </c>
      <c r="T215" s="1" t="s">
        <v>435</v>
      </c>
      <c r="U215" s="1" t="s">
        <v>435</v>
      </c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</row>
    <row r="216" spans="1:32" ht="15.75">
      <c r="A216" s="136"/>
      <c r="B216" s="144"/>
      <c r="C216" s="136"/>
      <c r="D216" s="136"/>
      <c r="E216" s="136"/>
      <c r="F216" s="139" t="s">
        <v>474</v>
      </c>
      <c r="G216" s="136"/>
      <c r="H216" s="136"/>
      <c r="I216" s="141">
        <v>0</v>
      </c>
      <c r="J216" s="143"/>
      <c r="K216" s="143"/>
      <c r="L216" s="143"/>
      <c r="M216" s="143"/>
      <c r="N216" s="143"/>
      <c r="O216" s="143"/>
      <c r="P216" s="143"/>
      <c r="Q216" s="143"/>
      <c r="R216" s="143"/>
      <c r="S216" s="143"/>
      <c r="T216" s="143"/>
      <c r="U216" s="143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</row>
    <row r="217" spans="1:32" ht="15.75">
      <c r="A217" s="136"/>
      <c r="B217" s="144"/>
      <c r="C217" s="136"/>
      <c r="D217" s="136"/>
      <c r="E217" s="136"/>
      <c r="F217" s="30" t="s">
        <v>475</v>
      </c>
      <c r="G217" s="136" t="s">
        <v>476</v>
      </c>
      <c r="H217" s="136" t="s">
        <v>477</v>
      </c>
      <c r="I217" s="141">
        <v>4900000</v>
      </c>
      <c r="J217" s="1" t="s">
        <v>435</v>
      </c>
      <c r="K217" s="1" t="s">
        <v>435</v>
      </c>
      <c r="L217" s="1" t="s">
        <v>435</v>
      </c>
      <c r="M217" s="1" t="s">
        <v>435</v>
      </c>
      <c r="N217" s="1" t="s">
        <v>435</v>
      </c>
      <c r="O217" s="1" t="s">
        <v>435</v>
      </c>
      <c r="P217" s="1" t="s">
        <v>435</v>
      </c>
      <c r="Q217" s="1" t="s">
        <v>435</v>
      </c>
      <c r="R217" s="1" t="s">
        <v>435</v>
      </c>
      <c r="S217" s="1" t="s">
        <v>435</v>
      </c>
      <c r="T217" s="1" t="s">
        <v>435</v>
      </c>
      <c r="U217" s="1" t="s">
        <v>435</v>
      </c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</row>
    <row r="218" spans="1:32" ht="45">
      <c r="A218" s="136"/>
      <c r="B218" s="144"/>
      <c r="C218" s="136"/>
      <c r="D218" s="136"/>
      <c r="E218" s="136"/>
      <c r="F218" s="111" t="s">
        <v>478</v>
      </c>
      <c r="G218" s="136"/>
      <c r="H218" s="136" t="s">
        <v>477</v>
      </c>
      <c r="I218" s="141">
        <v>0</v>
      </c>
      <c r="J218" s="1" t="s">
        <v>435</v>
      </c>
      <c r="K218" s="1" t="s">
        <v>435</v>
      </c>
      <c r="L218" s="1" t="s">
        <v>435</v>
      </c>
      <c r="M218" s="1" t="s">
        <v>435</v>
      </c>
      <c r="N218" s="1" t="s">
        <v>435</v>
      </c>
      <c r="O218" s="1" t="s">
        <v>435</v>
      </c>
      <c r="P218" s="1" t="s">
        <v>435</v>
      </c>
      <c r="Q218" s="1" t="s">
        <v>435</v>
      </c>
      <c r="R218" s="1" t="s">
        <v>435</v>
      </c>
      <c r="S218" s="1" t="s">
        <v>435</v>
      </c>
      <c r="T218" s="1" t="s">
        <v>435</v>
      </c>
      <c r="U218" s="1" t="s">
        <v>435</v>
      </c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</row>
    <row r="219" spans="1:32" ht="15.75">
      <c r="A219" s="136"/>
      <c r="B219" s="144"/>
      <c r="C219" s="136"/>
      <c r="D219" s="136"/>
      <c r="E219" s="136"/>
      <c r="F219" s="30" t="s">
        <v>479</v>
      </c>
      <c r="G219" s="136"/>
      <c r="H219" s="136" t="s">
        <v>477</v>
      </c>
      <c r="I219" s="141">
        <v>0</v>
      </c>
      <c r="J219" s="1" t="s">
        <v>435</v>
      </c>
      <c r="K219" s="1" t="s">
        <v>435</v>
      </c>
      <c r="L219" s="1" t="s">
        <v>435</v>
      </c>
      <c r="M219" s="1" t="s">
        <v>435</v>
      </c>
      <c r="N219" s="1" t="s">
        <v>435</v>
      </c>
      <c r="O219" s="1" t="s">
        <v>435</v>
      </c>
      <c r="P219" s="1" t="s">
        <v>435</v>
      </c>
      <c r="Q219" s="1" t="s">
        <v>435</v>
      </c>
      <c r="R219" s="1" t="s">
        <v>435</v>
      </c>
      <c r="S219" s="1" t="s">
        <v>435</v>
      </c>
      <c r="T219" s="1" t="s">
        <v>435</v>
      </c>
      <c r="U219" s="1" t="s">
        <v>435</v>
      </c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</row>
    <row r="220" spans="1:32" ht="31.5">
      <c r="A220" s="136"/>
      <c r="B220" s="144"/>
      <c r="C220" s="136"/>
      <c r="D220" s="136"/>
      <c r="E220" s="136"/>
      <c r="F220" s="30" t="s">
        <v>480</v>
      </c>
      <c r="G220" s="136" t="s">
        <v>481</v>
      </c>
      <c r="H220" s="136" t="s">
        <v>477</v>
      </c>
      <c r="I220" s="141">
        <v>35200000</v>
      </c>
      <c r="J220" s="1" t="s">
        <v>435</v>
      </c>
      <c r="K220" s="1" t="s">
        <v>435</v>
      </c>
      <c r="L220" s="1" t="s">
        <v>435</v>
      </c>
      <c r="M220" s="1" t="s">
        <v>435</v>
      </c>
      <c r="N220" s="1" t="s">
        <v>435</v>
      </c>
      <c r="O220" s="1" t="s">
        <v>435</v>
      </c>
      <c r="P220" s="1" t="s">
        <v>435</v>
      </c>
      <c r="Q220" s="1" t="s">
        <v>435</v>
      </c>
      <c r="R220" s="1" t="s">
        <v>435</v>
      </c>
      <c r="S220" s="1" t="s">
        <v>435</v>
      </c>
      <c r="T220" s="1" t="s">
        <v>435</v>
      </c>
      <c r="U220" s="1" t="s">
        <v>435</v>
      </c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</row>
    <row r="221" spans="1:32" ht="157.5">
      <c r="A221" s="136"/>
      <c r="B221" s="151" t="s">
        <v>482</v>
      </c>
      <c r="C221" s="136" t="s">
        <v>483</v>
      </c>
      <c r="D221" s="152">
        <v>0.8</v>
      </c>
      <c r="E221" s="136" t="s">
        <v>484</v>
      </c>
      <c r="F221" s="139" t="s">
        <v>431</v>
      </c>
      <c r="G221" s="136"/>
      <c r="H221" s="136"/>
      <c r="I221" s="141">
        <v>0</v>
      </c>
      <c r="J221" s="143"/>
      <c r="K221" s="143"/>
      <c r="L221" s="143"/>
      <c r="M221" s="143"/>
      <c r="N221" s="143"/>
      <c r="O221" s="143"/>
      <c r="P221" s="143"/>
      <c r="Q221" s="143"/>
      <c r="R221" s="143"/>
      <c r="S221" s="143"/>
      <c r="T221" s="143"/>
      <c r="U221" s="143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</row>
    <row r="222" spans="1:32" ht="45">
      <c r="A222" s="136"/>
      <c r="B222" s="144"/>
      <c r="C222" s="136"/>
      <c r="D222" s="136"/>
      <c r="E222" s="136"/>
      <c r="F222" s="111" t="s">
        <v>485</v>
      </c>
      <c r="G222" s="136" t="s">
        <v>486</v>
      </c>
      <c r="H222" s="136" t="s">
        <v>434</v>
      </c>
      <c r="I222" s="141">
        <v>500000</v>
      </c>
      <c r="J222" s="1" t="s">
        <v>435</v>
      </c>
      <c r="K222" s="1" t="s">
        <v>435</v>
      </c>
      <c r="L222" s="1" t="s">
        <v>435</v>
      </c>
      <c r="M222" s="1" t="s">
        <v>435</v>
      </c>
      <c r="N222" s="1" t="s">
        <v>435</v>
      </c>
      <c r="O222" s="1" t="s">
        <v>435</v>
      </c>
      <c r="P222" s="1" t="s">
        <v>435</v>
      </c>
      <c r="Q222" s="1" t="s">
        <v>435</v>
      </c>
      <c r="R222" s="1" t="s">
        <v>435</v>
      </c>
      <c r="S222" s="1" t="s">
        <v>435</v>
      </c>
      <c r="T222" s="1" t="s">
        <v>435</v>
      </c>
      <c r="U222" s="1" t="s">
        <v>435</v>
      </c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</row>
    <row r="223" spans="1:32" ht="31.5">
      <c r="A223" s="136"/>
      <c r="B223" s="144"/>
      <c r="C223" s="136"/>
      <c r="D223" s="136"/>
      <c r="E223" s="136"/>
      <c r="F223" s="111" t="s">
        <v>487</v>
      </c>
      <c r="G223" s="146" t="s">
        <v>488</v>
      </c>
      <c r="H223" s="136" t="s">
        <v>434</v>
      </c>
      <c r="I223" s="141">
        <v>20000000</v>
      </c>
      <c r="J223" s="143"/>
      <c r="K223" s="143"/>
      <c r="L223" s="143"/>
      <c r="M223" s="143"/>
      <c r="N223" s="143"/>
      <c r="O223" s="143"/>
      <c r="P223" s="143"/>
      <c r="Q223" s="143"/>
      <c r="R223" s="143"/>
      <c r="S223" s="1" t="s">
        <v>435</v>
      </c>
      <c r="T223" s="1" t="s">
        <v>435</v>
      </c>
      <c r="U223" s="1" t="s">
        <v>435</v>
      </c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</row>
    <row r="224" spans="1:32" ht="31.5">
      <c r="A224" s="136"/>
      <c r="B224" s="144"/>
      <c r="C224" s="136"/>
      <c r="D224" s="136"/>
      <c r="E224" s="136"/>
      <c r="F224" s="111"/>
      <c r="G224" s="111" t="s">
        <v>489</v>
      </c>
      <c r="H224" s="136" t="s">
        <v>434</v>
      </c>
      <c r="I224" s="141">
        <v>180000</v>
      </c>
      <c r="J224" s="32" t="s">
        <v>435</v>
      </c>
      <c r="K224" s="32" t="s">
        <v>435</v>
      </c>
      <c r="L224" s="32" t="s">
        <v>435</v>
      </c>
      <c r="M224" s="32" t="s">
        <v>435</v>
      </c>
      <c r="N224" s="32" t="s">
        <v>435</v>
      </c>
      <c r="O224" s="32" t="s">
        <v>435</v>
      </c>
      <c r="P224" s="32" t="s">
        <v>435</v>
      </c>
      <c r="Q224" s="32" t="s">
        <v>435</v>
      </c>
      <c r="R224" s="32" t="s">
        <v>435</v>
      </c>
      <c r="S224" s="32" t="s">
        <v>435</v>
      </c>
      <c r="T224" s="32" t="s">
        <v>435</v>
      </c>
      <c r="U224" s="32" t="s">
        <v>435</v>
      </c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</row>
    <row r="225" spans="1:32" ht="15.75">
      <c r="A225" s="136"/>
      <c r="B225" s="144"/>
      <c r="C225" s="136"/>
      <c r="D225" s="136"/>
      <c r="E225" s="136"/>
      <c r="F225" s="139" t="s">
        <v>490</v>
      </c>
      <c r="G225" s="136"/>
      <c r="H225" s="136"/>
      <c r="I225" s="141">
        <v>0</v>
      </c>
      <c r="J225" s="143"/>
      <c r="K225" s="143"/>
      <c r="L225" s="143"/>
      <c r="M225" s="143"/>
      <c r="N225" s="143"/>
      <c r="O225" s="143"/>
      <c r="P225" s="143"/>
      <c r="Q225" s="143"/>
      <c r="R225" s="143"/>
      <c r="S225" s="143"/>
      <c r="T225" s="143"/>
      <c r="U225" s="143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</row>
    <row r="226" spans="1:32" ht="31.5">
      <c r="A226" s="136"/>
      <c r="B226" s="144"/>
      <c r="C226" s="136"/>
      <c r="D226" s="136"/>
      <c r="E226" s="136"/>
      <c r="F226" s="30" t="s">
        <v>491</v>
      </c>
      <c r="G226" s="136" t="s">
        <v>492</v>
      </c>
      <c r="H226" s="136" t="s">
        <v>493</v>
      </c>
      <c r="I226" s="141">
        <v>1000000</v>
      </c>
      <c r="J226" s="143"/>
      <c r="K226" s="143"/>
      <c r="L226" s="1" t="s">
        <v>435</v>
      </c>
      <c r="M226" s="143"/>
      <c r="N226" s="143"/>
      <c r="O226" s="143"/>
      <c r="P226" s="143"/>
      <c r="Q226" s="143"/>
      <c r="R226" s="143"/>
      <c r="S226" s="143"/>
      <c r="T226" s="143"/>
      <c r="U226" s="143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</row>
    <row r="227" spans="1:32" ht="31.5">
      <c r="A227" s="136"/>
      <c r="B227" s="144"/>
      <c r="C227" s="136"/>
      <c r="D227" s="136"/>
      <c r="E227" s="136"/>
      <c r="F227" s="30" t="s">
        <v>494</v>
      </c>
      <c r="G227" s="136" t="s">
        <v>495</v>
      </c>
      <c r="H227" s="136" t="s">
        <v>493</v>
      </c>
      <c r="I227" s="141">
        <v>8830000</v>
      </c>
      <c r="J227" s="143"/>
      <c r="K227" s="143"/>
      <c r="L227" s="1" t="s">
        <v>435</v>
      </c>
      <c r="M227" s="143"/>
      <c r="N227" s="143"/>
      <c r="O227" s="143"/>
      <c r="P227" s="143"/>
      <c r="Q227" s="143"/>
      <c r="R227" s="143"/>
      <c r="S227" s="143"/>
      <c r="T227" s="143"/>
      <c r="U227" s="143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</row>
    <row r="228" spans="1:32" ht="15.75">
      <c r="A228" s="136"/>
      <c r="B228" s="144"/>
      <c r="C228" s="136"/>
      <c r="D228" s="136"/>
      <c r="E228" s="136"/>
      <c r="F228" s="139" t="s">
        <v>454</v>
      </c>
      <c r="G228" s="136"/>
      <c r="H228" s="136"/>
      <c r="I228" s="141">
        <v>0</v>
      </c>
      <c r="J228" s="143"/>
      <c r="K228" s="143"/>
      <c r="L228" s="143"/>
      <c r="M228" s="143"/>
      <c r="N228" s="143"/>
      <c r="O228" s="143"/>
      <c r="P228" s="143"/>
      <c r="Q228" s="143"/>
      <c r="R228" s="143"/>
      <c r="S228" s="143"/>
      <c r="T228" s="143"/>
      <c r="U228" s="143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</row>
    <row r="229" spans="1:32" ht="31.5">
      <c r="A229" s="136"/>
      <c r="B229" s="144"/>
      <c r="C229" s="136"/>
      <c r="D229" s="136"/>
      <c r="E229" s="111"/>
      <c r="F229" s="136" t="s">
        <v>496</v>
      </c>
      <c r="G229" s="111" t="s">
        <v>497</v>
      </c>
      <c r="H229" s="136" t="s">
        <v>457</v>
      </c>
      <c r="I229" s="141">
        <v>0</v>
      </c>
      <c r="J229" s="1" t="s">
        <v>435</v>
      </c>
      <c r="K229" s="1" t="s">
        <v>435</v>
      </c>
      <c r="L229" s="1" t="s">
        <v>435</v>
      </c>
      <c r="M229" s="1" t="s">
        <v>435</v>
      </c>
      <c r="N229" s="1" t="s">
        <v>435</v>
      </c>
      <c r="O229" s="1" t="s">
        <v>435</v>
      </c>
      <c r="P229" s="1" t="s">
        <v>435</v>
      </c>
      <c r="Q229" s="1" t="s">
        <v>435</v>
      </c>
      <c r="R229" s="1" t="s">
        <v>435</v>
      </c>
      <c r="S229" s="1" t="s">
        <v>435</v>
      </c>
      <c r="T229" s="1" t="s">
        <v>435</v>
      </c>
      <c r="U229" s="1" t="s">
        <v>435</v>
      </c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</row>
    <row r="230" spans="1:32" ht="31.5">
      <c r="A230" s="136"/>
      <c r="B230" s="144"/>
      <c r="C230" s="136"/>
      <c r="D230" s="136"/>
      <c r="E230" s="111"/>
      <c r="F230" s="136" t="s">
        <v>498</v>
      </c>
      <c r="G230" s="111" t="s">
        <v>499</v>
      </c>
      <c r="H230" s="136" t="s">
        <v>477</v>
      </c>
      <c r="I230" s="141">
        <v>0</v>
      </c>
      <c r="J230" s="1" t="s">
        <v>435</v>
      </c>
      <c r="K230" s="1" t="s">
        <v>435</v>
      </c>
      <c r="L230" s="1" t="s">
        <v>435</v>
      </c>
      <c r="M230" s="1" t="s">
        <v>435</v>
      </c>
      <c r="N230" s="1" t="s">
        <v>435</v>
      </c>
      <c r="O230" s="1" t="s">
        <v>435</v>
      </c>
      <c r="P230" s="1" t="s">
        <v>435</v>
      </c>
      <c r="Q230" s="1" t="s">
        <v>435</v>
      </c>
      <c r="R230" s="1" t="s">
        <v>435</v>
      </c>
      <c r="S230" s="1" t="s">
        <v>435</v>
      </c>
      <c r="T230" s="1" t="s">
        <v>435</v>
      </c>
      <c r="U230" s="1" t="s">
        <v>435</v>
      </c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</row>
    <row r="231" spans="1:32" ht="15.75">
      <c r="A231" s="136"/>
      <c r="B231" s="144"/>
      <c r="C231" s="136"/>
      <c r="D231" s="136"/>
      <c r="E231" s="136"/>
      <c r="F231" s="139" t="s">
        <v>466</v>
      </c>
      <c r="G231" s="136"/>
      <c r="H231" s="136"/>
      <c r="I231" s="141">
        <v>0</v>
      </c>
      <c r="J231" s="143"/>
      <c r="K231" s="143"/>
      <c r="L231" s="143"/>
      <c r="M231" s="143"/>
      <c r="N231" s="143"/>
      <c r="O231" s="143"/>
      <c r="P231" s="143"/>
      <c r="Q231" s="143"/>
      <c r="R231" s="143"/>
      <c r="S231" s="143"/>
      <c r="T231" s="143"/>
      <c r="U231" s="143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</row>
    <row r="232" spans="1:32" ht="31.5">
      <c r="A232" s="136"/>
      <c r="B232" s="144"/>
      <c r="C232" s="136"/>
      <c r="D232" s="136"/>
      <c r="E232" s="111"/>
      <c r="F232" s="136" t="s">
        <v>500</v>
      </c>
      <c r="G232" s="136" t="s">
        <v>501</v>
      </c>
      <c r="H232" s="136" t="s">
        <v>469</v>
      </c>
      <c r="I232" s="141">
        <v>0</v>
      </c>
      <c r="J232" s="1" t="s">
        <v>435</v>
      </c>
      <c r="K232" s="1" t="s">
        <v>435</v>
      </c>
      <c r="L232" s="1" t="s">
        <v>435</v>
      </c>
      <c r="M232" s="1" t="s">
        <v>435</v>
      </c>
      <c r="N232" s="1" t="s">
        <v>435</v>
      </c>
      <c r="O232" s="1" t="s">
        <v>435</v>
      </c>
      <c r="P232" s="1" t="s">
        <v>435</v>
      </c>
      <c r="Q232" s="1" t="s">
        <v>435</v>
      </c>
      <c r="R232" s="1" t="s">
        <v>435</v>
      </c>
      <c r="S232" s="1" t="s">
        <v>435</v>
      </c>
      <c r="T232" s="1" t="s">
        <v>435</v>
      </c>
      <c r="U232" s="1" t="s">
        <v>435</v>
      </c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</row>
    <row r="233" spans="1:32" ht="45">
      <c r="A233" s="153" t="s">
        <v>502</v>
      </c>
      <c r="B233" s="154" t="s">
        <v>503</v>
      </c>
      <c r="C233" s="27" t="s">
        <v>504</v>
      </c>
      <c r="D233" s="155">
        <v>1</v>
      </c>
      <c r="E233" s="27" t="s">
        <v>505</v>
      </c>
      <c r="F233" s="27" t="s">
        <v>506</v>
      </c>
      <c r="G233" s="27" t="s">
        <v>507</v>
      </c>
      <c r="H233" s="156" t="s">
        <v>508</v>
      </c>
      <c r="I233" s="29">
        <v>0</v>
      </c>
      <c r="J233" s="157"/>
      <c r="K233" s="158"/>
      <c r="L233" s="158"/>
      <c r="M233" s="158"/>
      <c r="N233" s="158"/>
      <c r="O233" s="158"/>
      <c r="P233" s="158"/>
      <c r="Q233" s="158"/>
      <c r="R233" s="158"/>
      <c r="S233" s="158"/>
      <c r="T233" s="158"/>
      <c r="U233" s="158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</row>
    <row r="234" spans="1:32">
      <c r="A234" s="153"/>
      <c r="B234" s="154"/>
      <c r="C234" s="27"/>
      <c r="D234" s="27"/>
      <c r="E234" s="27"/>
      <c r="F234" s="27" t="s">
        <v>509</v>
      </c>
      <c r="G234" s="27" t="s">
        <v>510</v>
      </c>
      <c r="H234" s="156" t="s">
        <v>508</v>
      </c>
      <c r="I234" s="29">
        <v>0</v>
      </c>
      <c r="J234" s="157"/>
      <c r="K234" s="158"/>
      <c r="L234" s="158"/>
      <c r="M234" s="158"/>
      <c r="N234" s="158"/>
      <c r="O234" s="158"/>
      <c r="P234" s="158"/>
      <c r="Q234" s="158"/>
      <c r="R234" s="158"/>
      <c r="S234" s="158"/>
      <c r="T234" s="158"/>
      <c r="U234" s="158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</row>
    <row r="235" spans="1:32" ht="30">
      <c r="A235" s="72"/>
      <c r="B235" s="159"/>
      <c r="C235" s="60"/>
      <c r="D235" s="60"/>
      <c r="E235" s="60"/>
      <c r="F235" s="60" t="s">
        <v>511</v>
      </c>
      <c r="G235" s="60" t="s">
        <v>512</v>
      </c>
      <c r="H235" s="86" t="s">
        <v>508</v>
      </c>
      <c r="I235" s="29">
        <v>0</v>
      </c>
      <c r="J235" s="160"/>
      <c r="K235" s="79"/>
      <c r="L235" s="79"/>
      <c r="M235" s="79"/>
      <c r="N235" s="79"/>
      <c r="O235" s="79"/>
      <c r="P235" s="79"/>
      <c r="Q235" s="79"/>
      <c r="R235" s="79"/>
      <c r="S235" s="79"/>
      <c r="T235" s="79"/>
      <c r="U235" s="79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</row>
    <row r="236" spans="1:32" ht="30">
      <c r="A236" s="72"/>
      <c r="B236" s="159"/>
      <c r="C236" s="60"/>
      <c r="D236" s="60"/>
      <c r="E236" s="60"/>
      <c r="F236" s="60" t="s">
        <v>513</v>
      </c>
      <c r="G236" s="60" t="s">
        <v>514</v>
      </c>
      <c r="H236" s="86" t="s">
        <v>508</v>
      </c>
      <c r="I236" s="29">
        <v>0</v>
      </c>
      <c r="J236" s="160"/>
      <c r="K236" s="79"/>
      <c r="L236" s="79"/>
      <c r="M236" s="79"/>
      <c r="N236" s="79"/>
      <c r="O236" s="79"/>
      <c r="P236" s="79"/>
      <c r="Q236" s="79"/>
      <c r="R236" s="79"/>
      <c r="S236" s="79"/>
      <c r="T236" s="79"/>
      <c r="U236" s="79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</row>
    <row r="237" spans="1:32">
      <c r="A237" s="57"/>
      <c r="B237" s="161"/>
      <c r="C237" s="60"/>
      <c r="D237" s="61"/>
      <c r="E237" s="61"/>
      <c r="F237" s="60" t="s">
        <v>515</v>
      </c>
      <c r="G237" s="61" t="s">
        <v>516</v>
      </c>
      <c r="H237" s="86" t="s">
        <v>508</v>
      </c>
      <c r="I237" s="29">
        <v>0</v>
      </c>
      <c r="J237" s="79"/>
      <c r="K237" s="79"/>
      <c r="L237" s="79"/>
      <c r="M237" s="79"/>
      <c r="N237" s="79"/>
      <c r="O237" s="79"/>
      <c r="P237" s="79"/>
      <c r="Q237" s="79"/>
      <c r="R237" s="79"/>
      <c r="S237" s="79"/>
      <c r="T237" s="79"/>
      <c r="U237" s="79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</row>
    <row r="238" spans="1:32" ht="30">
      <c r="A238" s="57"/>
      <c r="B238" s="161"/>
      <c r="C238" s="60"/>
      <c r="D238" s="61"/>
      <c r="E238" s="61"/>
      <c r="F238" s="60" t="s">
        <v>517</v>
      </c>
      <c r="G238" s="61" t="s">
        <v>518</v>
      </c>
      <c r="H238" s="86" t="s">
        <v>508</v>
      </c>
      <c r="I238" s="29">
        <v>0</v>
      </c>
      <c r="J238" s="79"/>
      <c r="K238" s="79"/>
      <c r="L238" s="79"/>
      <c r="M238" s="79"/>
      <c r="N238" s="79"/>
      <c r="O238" s="79"/>
      <c r="P238" s="79"/>
      <c r="Q238" s="79"/>
      <c r="R238" s="79"/>
      <c r="S238" s="79"/>
      <c r="T238" s="79"/>
      <c r="U238" s="79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</row>
    <row r="239" spans="1:32">
      <c r="A239" s="57"/>
      <c r="B239" s="161"/>
      <c r="C239" s="60"/>
      <c r="D239" s="61"/>
      <c r="E239" s="61"/>
      <c r="F239" s="60" t="s">
        <v>519</v>
      </c>
      <c r="G239" s="61" t="s">
        <v>520</v>
      </c>
      <c r="H239" s="86" t="s">
        <v>508</v>
      </c>
      <c r="I239" s="29">
        <v>0</v>
      </c>
      <c r="J239" s="79"/>
      <c r="K239" s="79"/>
      <c r="L239" s="79"/>
      <c r="M239" s="79"/>
      <c r="N239" s="79"/>
      <c r="O239" s="79"/>
      <c r="P239" s="79"/>
      <c r="Q239" s="79"/>
      <c r="R239" s="79"/>
      <c r="S239" s="79"/>
      <c r="T239" s="79"/>
      <c r="U239" s="79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</row>
    <row r="240" spans="1:32">
      <c r="A240" s="57"/>
      <c r="B240" s="161"/>
      <c r="C240" s="60"/>
      <c r="D240" s="61"/>
      <c r="E240" s="61"/>
      <c r="F240" s="60" t="s">
        <v>521</v>
      </c>
      <c r="G240" s="61" t="s">
        <v>522</v>
      </c>
      <c r="H240" s="86" t="s">
        <v>508</v>
      </c>
      <c r="I240" s="29">
        <v>0</v>
      </c>
      <c r="J240" s="79"/>
      <c r="K240" s="79"/>
      <c r="L240" s="79"/>
      <c r="M240" s="79"/>
      <c r="N240" s="79"/>
      <c r="O240" s="79"/>
      <c r="P240" s="79"/>
      <c r="Q240" s="79"/>
      <c r="R240" s="79"/>
      <c r="S240" s="79"/>
      <c r="T240" s="79"/>
      <c r="U240" s="79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</row>
    <row r="241" spans="1:32">
      <c r="A241" s="57"/>
      <c r="B241" s="161"/>
      <c r="C241" s="60"/>
      <c r="D241" s="61"/>
      <c r="E241" s="61"/>
      <c r="F241" s="60" t="s">
        <v>523</v>
      </c>
      <c r="G241" s="61" t="s">
        <v>524</v>
      </c>
      <c r="H241" s="86" t="s">
        <v>508</v>
      </c>
      <c r="I241" s="29">
        <v>0</v>
      </c>
      <c r="J241" s="79"/>
      <c r="K241" s="79"/>
      <c r="L241" s="79"/>
      <c r="M241" s="79"/>
      <c r="N241" s="79"/>
      <c r="O241" s="79"/>
      <c r="P241" s="79"/>
      <c r="Q241" s="79"/>
      <c r="R241" s="79"/>
      <c r="S241" s="79"/>
      <c r="T241" s="79"/>
      <c r="U241" s="79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</row>
    <row r="242" spans="1:32" ht="135">
      <c r="A242" s="57"/>
      <c r="B242" s="161"/>
      <c r="C242" s="60" t="s">
        <v>525</v>
      </c>
      <c r="D242" s="162">
        <v>0.9</v>
      </c>
      <c r="E242" s="61" t="s">
        <v>526</v>
      </c>
      <c r="F242" s="60" t="s">
        <v>527</v>
      </c>
      <c r="G242" s="61" t="s">
        <v>528</v>
      </c>
      <c r="H242" s="163" t="s">
        <v>529</v>
      </c>
      <c r="I242" s="43">
        <v>8406000</v>
      </c>
      <c r="J242" s="79"/>
      <c r="K242" s="79"/>
      <c r="L242" s="79"/>
      <c r="M242" s="79"/>
      <c r="N242" s="79"/>
      <c r="O242" s="79"/>
      <c r="P242" s="79"/>
      <c r="Q242" s="79"/>
      <c r="R242" s="79"/>
      <c r="S242" s="79"/>
      <c r="T242" s="79"/>
      <c r="U242" s="79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</row>
    <row r="243" spans="1:32">
      <c r="A243" s="57"/>
      <c r="B243" s="161"/>
      <c r="C243" s="60"/>
      <c r="D243" s="61"/>
      <c r="E243" s="61"/>
      <c r="F243" s="60" t="s">
        <v>530</v>
      </c>
      <c r="G243" s="61" t="s">
        <v>531</v>
      </c>
      <c r="H243" s="163" t="s">
        <v>529</v>
      </c>
      <c r="I243" s="43">
        <v>0</v>
      </c>
      <c r="J243" s="79"/>
      <c r="K243" s="79"/>
      <c r="L243" s="79"/>
      <c r="M243" s="79"/>
      <c r="N243" s="79"/>
      <c r="O243" s="79"/>
      <c r="P243" s="79"/>
      <c r="Q243" s="79"/>
      <c r="R243" s="79"/>
      <c r="S243" s="79"/>
      <c r="T243" s="79"/>
      <c r="U243" s="79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</row>
    <row r="244" spans="1:32">
      <c r="A244" s="57"/>
      <c r="B244" s="161"/>
      <c r="C244" s="60"/>
      <c r="D244" s="61"/>
      <c r="E244" s="61"/>
      <c r="F244" s="60" t="s">
        <v>532</v>
      </c>
      <c r="G244" s="61" t="s">
        <v>533</v>
      </c>
      <c r="H244" s="163" t="s">
        <v>529</v>
      </c>
      <c r="I244" s="43">
        <v>0</v>
      </c>
      <c r="J244" s="79"/>
      <c r="K244" s="79"/>
      <c r="L244" s="79"/>
      <c r="M244" s="79"/>
      <c r="N244" s="79"/>
      <c r="O244" s="79"/>
      <c r="P244" s="79"/>
      <c r="Q244" s="79"/>
      <c r="R244" s="79"/>
      <c r="S244" s="79"/>
      <c r="T244" s="79"/>
      <c r="U244" s="79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</row>
    <row r="245" spans="1:32">
      <c r="A245" s="57"/>
      <c r="B245" s="161"/>
      <c r="C245" s="117"/>
      <c r="D245" s="46"/>
      <c r="E245" s="46"/>
      <c r="F245" s="117" t="s">
        <v>534</v>
      </c>
      <c r="G245" s="46" t="s">
        <v>535</v>
      </c>
      <c r="H245" s="163" t="s">
        <v>529</v>
      </c>
      <c r="I245" s="53">
        <v>1280000</v>
      </c>
      <c r="J245" s="79"/>
      <c r="K245" s="79"/>
      <c r="L245" s="79"/>
      <c r="M245" s="79"/>
      <c r="N245" s="79"/>
      <c r="O245" s="79"/>
      <c r="P245" s="79"/>
      <c r="Q245" s="79"/>
      <c r="R245" s="79"/>
      <c r="S245" s="79"/>
      <c r="T245" s="79"/>
      <c r="U245" s="79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</row>
    <row r="246" spans="1:32">
      <c r="A246" s="57"/>
      <c r="B246" s="164"/>
      <c r="C246" s="27"/>
      <c r="D246" s="52"/>
      <c r="E246" s="52"/>
      <c r="F246" s="102" t="s">
        <v>536</v>
      </c>
      <c r="G246" s="52" t="s">
        <v>537</v>
      </c>
      <c r="H246" s="163" t="s">
        <v>529</v>
      </c>
      <c r="I246" s="165">
        <v>100977000</v>
      </c>
      <c r="J246" s="166"/>
      <c r="K246" s="79"/>
      <c r="L246" s="79"/>
      <c r="M246" s="79"/>
      <c r="N246" s="79"/>
      <c r="O246" s="79"/>
      <c r="P246" s="79"/>
      <c r="Q246" s="79"/>
      <c r="R246" s="79"/>
      <c r="S246" s="79"/>
      <c r="T246" s="79"/>
      <c r="U246" s="79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</row>
    <row r="247" spans="1:32" ht="60">
      <c r="A247" s="57"/>
      <c r="B247" s="164"/>
      <c r="C247" s="27" t="s">
        <v>538</v>
      </c>
      <c r="D247" s="167">
        <v>1</v>
      </c>
      <c r="E247" s="27" t="s">
        <v>539</v>
      </c>
      <c r="F247" s="61" t="s">
        <v>540</v>
      </c>
      <c r="G247" s="918" t="s">
        <v>541</v>
      </c>
      <c r="H247" s="1151" t="s">
        <v>542</v>
      </c>
      <c r="I247" s="919">
        <v>36000000</v>
      </c>
      <c r="J247" s="920"/>
      <c r="K247" s="79"/>
      <c r="L247" s="79"/>
      <c r="M247" s="79"/>
      <c r="N247" s="79"/>
      <c r="O247" s="79"/>
      <c r="P247" s="79"/>
      <c r="Q247" s="79"/>
      <c r="R247" s="79"/>
      <c r="S247" s="79"/>
      <c r="T247" s="79"/>
      <c r="U247" s="79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</row>
    <row r="248" spans="1:32">
      <c r="A248" s="57"/>
      <c r="B248" s="164"/>
      <c r="C248" s="111"/>
      <c r="D248" s="111"/>
      <c r="E248" s="111"/>
      <c r="F248" s="60" t="s">
        <v>543</v>
      </c>
      <c r="G248" s="916"/>
      <c r="H248" s="904"/>
      <c r="I248" s="904"/>
      <c r="J248" s="904"/>
      <c r="K248" s="79"/>
      <c r="L248" s="79"/>
      <c r="M248" s="79"/>
      <c r="N248" s="79"/>
      <c r="O248" s="79"/>
      <c r="P248" s="79"/>
      <c r="Q248" s="79"/>
      <c r="R248" s="79"/>
      <c r="S248" s="79"/>
      <c r="T248" s="79"/>
      <c r="U248" s="79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</row>
    <row r="249" spans="1:32">
      <c r="A249" s="57"/>
      <c r="B249" s="164"/>
      <c r="C249" s="111"/>
      <c r="D249" s="111"/>
      <c r="E249" s="111"/>
      <c r="F249" s="113" t="s">
        <v>544</v>
      </c>
      <c r="G249" s="916"/>
      <c r="H249" s="904"/>
      <c r="I249" s="904"/>
      <c r="J249" s="904"/>
      <c r="K249" s="79"/>
      <c r="L249" s="79"/>
      <c r="M249" s="79"/>
      <c r="N249" s="79"/>
      <c r="O249" s="79"/>
      <c r="P249" s="79"/>
      <c r="Q249" s="79"/>
      <c r="R249" s="79"/>
      <c r="S249" s="79"/>
      <c r="T249" s="79"/>
      <c r="U249" s="79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</row>
    <row r="250" spans="1:32">
      <c r="A250" s="57"/>
      <c r="B250" s="164"/>
      <c r="C250" s="111"/>
      <c r="D250" s="111"/>
      <c r="E250" s="111"/>
      <c r="F250" s="113" t="s">
        <v>545</v>
      </c>
      <c r="G250" s="916"/>
      <c r="H250" s="904"/>
      <c r="I250" s="904"/>
      <c r="J250" s="904"/>
      <c r="K250" s="79"/>
      <c r="L250" s="79"/>
      <c r="M250" s="79"/>
      <c r="N250" s="79"/>
      <c r="O250" s="79"/>
      <c r="P250" s="79"/>
      <c r="Q250" s="79"/>
      <c r="R250" s="79"/>
      <c r="S250" s="79"/>
      <c r="T250" s="79"/>
      <c r="U250" s="79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</row>
    <row r="251" spans="1:32">
      <c r="A251" s="1125"/>
      <c r="B251" s="1126"/>
      <c r="C251" s="111"/>
      <c r="D251" s="111"/>
      <c r="E251" s="111"/>
      <c r="F251" s="113" t="s">
        <v>546</v>
      </c>
      <c r="G251" s="916"/>
      <c r="H251" s="904"/>
      <c r="I251" s="904"/>
      <c r="J251" s="904"/>
      <c r="K251" s="79"/>
      <c r="L251" s="79"/>
      <c r="M251" s="79"/>
      <c r="N251" s="79"/>
      <c r="O251" s="79"/>
      <c r="P251" s="79"/>
      <c r="Q251" s="79"/>
      <c r="R251" s="79"/>
      <c r="S251" s="79"/>
      <c r="T251" s="79"/>
      <c r="U251" s="79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</row>
    <row r="252" spans="1:32">
      <c r="A252" s="1133"/>
      <c r="B252" s="1134"/>
      <c r="C252" s="1131"/>
      <c r="D252" s="111"/>
      <c r="E252" s="111"/>
      <c r="F252" s="1128" t="s">
        <v>547</v>
      </c>
      <c r="G252" s="1140"/>
      <c r="H252" s="1141"/>
      <c r="I252" s="1141"/>
      <c r="J252" s="1141"/>
      <c r="K252" s="166"/>
      <c r="L252" s="166"/>
      <c r="M252" s="166"/>
      <c r="N252" s="166"/>
      <c r="O252" s="166"/>
      <c r="P252" s="166"/>
      <c r="Q252" s="166"/>
      <c r="R252" s="166"/>
      <c r="S252" s="166"/>
      <c r="T252" s="166"/>
      <c r="U252" s="166"/>
      <c r="V252" s="16"/>
      <c r="W252" s="16"/>
      <c r="X252" s="16"/>
      <c r="Y252" s="16"/>
      <c r="Z252" s="16"/>
      <c r="AA252" s="16"/>
      <c r="AB252" s="16"/>
      <c r="AC252" s="16"/>
      <c r="AD252" s="16"/>
      <c r="AE252" s="16"/>
      <c r="AF252" s="16"/>
    </row>
    <row r="253" spans="1:32" ht="30">
      <c r="A253" s="1133"/>
      <c r="B253" s="1134"/>
      <c r="C253" s="1132" t="s">
        <v>4173</v>
      </c>
      <c r="D253" s="1127">
        <v>3.5</v>
      </c>
      <c r="E253" s="1136" t="s">
        <v>4174</v>
      </c>
      <c r="F253" s="1137" t="s">
        <v>4175</v>
      </c>
      <c r="G253" s="1147"/>
      <c r="H253" s="1147" t="s">
        <v>542</v>
      </c>
      <c r="I253" s="1147">
        <v>0</v>
      </c>
      <c r="J253" s="1147"/>
      <c r="K253" s="1148"/>
      <c r="L253" s="1148"/>
      <c r="M253" s="1148"/>
      <c r="N253" s="1148"/>
      <c r="O253" s="1148"/>
      <c r="P253" s="1148"/>
      <c r="Q253" s="1148"/>
      <c r="R253" s="1148"/>
      <c r="S253" s="1148"/>
      <c r="T253" s="1148"/>
      <c r="U253" s="1148"/>
      <c r="V253" s="16"/>
      <c r="W253" s="16"/>
      <c r="X253" s="16"/>
      <c r="Y253" s="16"/>
      <c r="Z253" s="16"/>
      <c r="AA253" s="16"/>
      <c r="AB253" s="16"/>
      <c r="AC253" s="16"/>
      <c r="AD253" s="16"/>
      <c r="AE253" s="16"/>
      <c r="AF253" s="16"/>
    </row>
    <row r="254" spans="1:32">
      <c r="A254" s="1135"/>
      <c r="B254" s="1126"/>
      <c r="C254" s="1132"/>
      <c r="D254" s="1127"/>
      <c r="E254" s="1136"/>
      <c r="F254" s="1137" t="s">
        <v>4177</v>
      </c>
      <c r="G254" s="1147"/>
      <c r="H254" s="1147" t="s">
        <v>542</v>
      </c>
      <c r="I254" s="1147">
        <v>0</v>
      </c>
      <c r="J254" s="1147"/>
      <c r="K254" s="1148"/>
      <c r="L254" s="1148"/>
      <c r="M254" s="1148"/>
      <c r="N254" s="1148"/>
      <c r="O254" s="1148"/>
      <c r="P254" s="1148"/>
      <c r="Q254" s="1148"/>
      <c r="R254" s="1148"/>
      <c r="S254" s="1148"/>
      <c r="T254" s="1148"/>
      <c r="U254" s="1148"/>
      <c r="V254" s="16"/>
      <c r="W254" s="16"/>
      <c r="X254" s="16"/>
      <c r="Y254" s="16"/>
      <c r="Z254" s="16"/>
      <c r="AA254" s="16"/>
      <c r="AB254" s="16"/>
      <c r="AC254" s="16"/>
      <c r="AD254" s="16"/>
      <c r="AE254" s="16"/>
      <c r="AF254" s="16"/>
    </row>
    <row r="255" spans="1:32">
      <c r="A255" s="1125"/>
      <c r="B255" s="1126"/>
      <c r="C255" s="1130"/>
      <c r="D255" s="1127"/>
      <c r="E255" s="1130"/>
      <c r="F255" s="1138" t="s">
        <v>4176</v>
      </c>
      <c r="G255" s="1147"/>
      <c r="H255" s="1147" t="s">
        <v>542</v>
      </c>
      <c r="I255" s="1147">
        <v>0</v>
      </c>
      <c r="J255" s="1147"/>
      <c r="K255" s="1148"/>
      <c r="L255" s="1148"/>
      <c r="M255" s="1148"/>
      <c r="N255" s="1148"/>
      <c r="O255" s="1148"/>
      <c r="P255" s="1148"/>
      <c r="Q255" s="1148"/>
      <c r="R255" s="1148"/>
      <c r="S255" s="1148"/>
      <c r="T255" s="1148"/>
      <c r="U255" s="1148"/>
      <c r="V255" s="16"/>
      <c r="W255" s="16"/>
      <c r="X255" s="16"/>
      <c r="Y255" s="16"/>
      <c r="Z255" s="16"/>
      <c r="AA255" s="16"/>
      <c r="AB255" s="16"/>
      <c r="AC255" s="16"/>
      <c r="AD255" s="16"/>
      <c r="AE255" s="16"/>
      <c r="AF255" s="16"/>
    </row>
    <row r="256" spans="1:32" ht="48">
      <c r="A256" s="27" t="s">
        <v>548</v>
      </c>
      <c r="B256" s="168" t="s">
        <v>549</v>
      </c>
      <c r="C256" s="169" t="s">
        <v>550</v>
      </c>
      <c r="D256" s="104">
        <v>1</v>
      </c>
      <c r="E256" s="170" t="s">
        <v>551</v>
      </c>
      <c r="F256" s="1139" t="s">
        <v>552</v>
      </c>
      <c r="G256" s="995">
        <v>0</v>
      </c>
      <c r="H256" s="996" t="s">
        <v>553</v>
      </c>
      <c r="I256" s="1149">
        <v>0</v>
      </c>
      <c r="J256" s="1150"/>
      <c r="K256" s="1150"/>
      <c r="L256" s="1150"/>
      <c r="M256" s="1150"/>
      <c r="N256" s="1150"/>
      <c r="O256" s="1150"/>
      <c r="P256" s="1150"/>
      <c r="Q256" s="1150"/>
      <c r="R256" s="1150"/>
      <c r="S256" s="1150"/>
      <c r="T256" s="1150"/>
      <c r="U256" s="1150"/>
      <c r="V256" s="16"/>
      <c r="W256" s="16"/>
      <c r="X256" s="16"/>
      <c r="Y256" s="16"/>
      <c r="Z256" s="16"/>
      <c r="AA256" s="16"/>
      <c r="AB256" s="16"/>
      <c r="AC256" s="16"/>
      <c r="AD256" s="16"/>
      <c r="AE256" s="16"/>
      <c r="AF256" s="16"/>
    </row>
    <row r="257" spans="1:32" ht="30">
      <c r="A257" s="153"/>
      <c r="B257" s="154"/>
      <c r="C257" s="27"/>
      <c r="D257" s="155"/>
      <c r="E257" s="27"/>
      <c r="F257" s="52" t="s">
        <v>554</v>
      </c>
      <c r="G257" s="1142">
        <v>0</v>
      </c>
      <c r="H257" s="1143" t="s">
        <v>553</v>
      </c>
      <c r="I257" s="1144">
        <v>0</v>
      </c>
      <c r="J257" s="1145"/>
      <c r="K257" s="1145"/>
      <c r="L257" s="112"/>
      <c r="M257" s="1145"/>
      <c r="N257" s="1145"/>
      <c r="O257" s="112"/>
      <c r="P257" s="1146"/>
      <c r="Q257" s="1145"/>
      <c r="R257" s="112"/>
      <c r="S257" s="987"/>
      <c r="T257" s="987"/>
      <c r="U257" s="112"/>
      <c r="V257" s="16"/>
      <c r="W257" s="16"/>
      <c r="X257" s="16"/>
      <c r="Y257" s="16"/>
      <c r="Z257" s="16"/>
      <c r="AA257" s="16"/>
      <c r="AB257" s="16"/>
      <c r="AC257" s="16"/>
      <c r="AD257" s="16"/>
      <c r="AE257" s="16"/>
      <c r="AF257" s="16"/>
    </row>
    <row r="258" spans="1:32">
      <c r="A258" s="153"/>
      <c r="B258" s="154"/>
      <c r="C258" s="27"/>
      <c r="D258" s="155"/>
      <c r="E258" s="27"/>
      <c r="F258" s="52" t="s">
        <v>555</v>
      </c>
      <c r="G258" s="52" t="s">
        <v>556</v>
      </c>
      <c r="H258" s="27" t="s">
        <v>557</v>
      </c>
      <c r="I258" s="29">
        <v>300000</v>
      </c>
      <c r="J258" s="158"/>
      <c r="K258" s="158"/>
      <c r="L258" s="158"/>
      <c r="M258" s="158"/>
      <c r="N258" s="158"/>
      <c r="O258" s="158"/>
      <c r="P258" s="158"/>
      <c r="Q258" s="158"/>
      <c r="R258" s="158"/>
      <c r="S258" s="158"/>
      <c r="T258" s="158"/>
      <c r="U258" s="158"/>
      <c r="V258" s="16"/>
      <c r="W258" s="16"/>
      <c r="X258" s="16"/>
      <c r="Y258" s="16"/>
      <c r="Z258" s="16"/>
      <c r="AA258" s="16"/>
      <c r="AB258" s="16"/>
      <c r="AC258" s="16"/>
      <c r="AD258" s="16"/>
      <c r="AE258" s="16"/>
      <c r="AF258" s="16"/>
    </row>
    <row r="259" spans="1:32">
      <c r="A259" s="153"/>
      <c r="B259" s="154"/>
      <c r="C259" s="27"/>
      <c r="D259" s="155"/>
      <c r="E259" s="27"/>
      <c r="F259" s="52" t="s">
        <v>558</v>
      </c>
      <c r="G259" s="52"/>
      <c r="H259" s="27" t="s">
        <v>559</v>
      </c>
      <c r="I259" s="29">
        <v>0</v>
      </c>
      <c r="J259" s="158"/>
      <c r="K259" s="158"/>
      <c r="L259" s="158"/>
      <c r="M259" s="158"/>
      <c r="N259" s="158"/>
      <c r="O259" s="158"/>
      <c r="P259" s="158"/>
      <c r="Q259" s="158"/>
      <c r="R259" s="158"/>
      <c r="S259" s="158"/>
      <c r="T259" s="158"/>
      <c r="U259" s="158"/>
      <c r="V259" s="16"/>
      <c r="W259" s="16"/>
      <c r="X259" s="16"/>
      <c r="Y259" s="16"/>
      <c r="Z259" s="16"/>
      <c r="AA259" s="16"/>
      <c r="AB259" s="16"/>
      <c r="AC259" s="16"/>
      <c r="AD259" s="16"/>
      <c r="AE259" s="16"/>
      <c r="AF259" s="16"/>
    </row>
    <row r="260" spans="1:32" ht="30">
      <c r="A260" s="153"/>
      <c r="B260" s="154"/>
      <c r="C260" s="27"/>
      <c r="D260" s="155"/>
      <c r="E260" s="173" t="s">
        <v>560</v>
      </c>
      <c r="F260" s="27" t="s">
        <v>561</v>
      </c>
      <c r="G260" s="27"/>
      <c r="H260" s="27" t="s">
        <v>562</v>
      </c>
      <c r="I260" s="29">
        <v>0</v>
      </c>
      <c r="J260" s="158"/>
      <c r="K260" s="158"/>
      <c r="L260" s="158"/>
      <c r="M260" s="158"/>
      <c r="N260" s="158"/>
      <c r="O260" s="158"/>
      <c r="P260" s="158"/>
      <c r="Q260" s="158"/>
      <c r="R260" s="158"/>
      <c r="S260" s="158"/>
      <c r="T260" s="158"/>
      <c r="U260" s="158"/>
      <c r="V260" s="16"/>
      <c r="W260" s="16"/>
      <c r="X260" s="16"/>
      <c r="Y260" s="16"/>
      <c r="Z260" s="16"/>
      <c r="AA260" s="16"/>
      <c r="AB260" s="16"/>
      <c r="AC260" s="16"/>
      <c r="AD260" s="16"/>
      <c r="AE260" s="16"/>
      <c r="AF260" s="16"/>
    </row>
    <row r="261" spans="1:32" ht="30">
      <c r="A261" s="153"/>
      <c r="B261" s="154"/>
      <c r="C261" s="27"/>
      <c r="D261" s="155"/>
      <c r="E261" s="52"/>
      <c r="F261" s="52" t="s">
        <v>563</v>
      </c>
      <c r="G261" s="174" t="s">
        <v>564</v>
      </c>
      <c r="H261" s="27" t="s">
        <v>553</v>
      </c>
      <c r="I261" s="29">
        <v>20500000</v>
      </c>
      <c r="J261" s="172"/>
      <c r="K261" s="172"/>
      <c r="L261" s="172"/>
      <c r="M261" s="172"/>
      <c r="N261" s="172"/>
      <c r="O261" s="172"/>
      <c r="P261" s="172"/>
      <c r="Q261" s="172"/>
      <c r="R261" s="172"/>
      <c r="S261" s="172"/>
      <c r="T261" s="172"/>
      <c r="U261" s="158"/>
      <c r="V261" s="16"/>
      <c r="W261" s="16"/>
      <c r="X261" s="16"/>
      <c r="Y261" s="16"/>
      <c r="Z261" s="16"/>
      <c r="AA261" s="16"/>
      <c r="AB261" s="16"/>
      <c r="AC261" s="16"/>
      <c r="AD261" s="16"/>
      <c r="AE261" s="16"/>
      <c r="AF261" s="16"/>
    </row>
    <row r="262" spans="1:32">
      <c r="A262" s="153"/>
      <c r="B262" s="154"/>
      <c r="C262" s="27"/>
      <c r="D262" s="155"/>
      <c r="E262" s="52"/>
      <c r="F262" s="52" t="s">
        <v>565</v>
      </c>
      <c r="G262" s="27"/>
      <c r="H262" s="27" t="s">
        <v>562</v>
      </c>
      <c r="I262" s="29">
        <v>0</v>
      </c>
      <c r="J262" s="172"/>
      <c r="K262" s="158"/>
      <c r="L262" s="172"/>
      <c r="M262" s="172"/>
      <c r="N262" s="172"/>
      <c r="O262" s="172"/>
      <c r="P262" s="172"/>
      <c r="Q262" s="158"/>
      <c r="R262" s="172"/>
      <c r="S262" s="172"/>
      <c r="T262" s="172"/>
      <c r="U262" s="172"/>
      <c r="V262" s="16"/>
      <c r="W262" s="16"/>
      <c r="X262" s="16"/>
      <c r="Y262" s="16"/>
      <c r="Z262" s="16"/>
      <c r="AA262" s="16"/>
      <c r="AB262" s="16"/>
      <c r="AC262" s="16"/>
      <c r="AD262" s="16"/>
      <c r="AE262" s="16"/>
      <c r="AF262" s="16"/>
    </row>
    <row r="263" spans="1:32">
      <c r="A263" s="153"/>
      <c r="B263" s="154"/>
      <c r="C263" s="27"/>
      <c r="D263" s="155"/>
      <c r="E263" s="52"/>
      <c r="F263" s="52" t="s">
        <v>566</v>
      </c>
      <c r="G263" s="27"/>
      <c r="H263" s="27" t="s">
        <v>562</v>
      </c>
      <c r="I263" s="29">
        <v>0</v>
      </c>
      <c r="J263" s="172"/>
      <c r="K263" s="172"/>
      <c r="L263" s="158"/>
      <c r="M263" s="172"/>
      <c r="N263" s="172"/>
      <c r="O263" s="158"/>
      <c r="P263" s="172"/>
      <c r="Q263" s="172"/>
      <c r="R263" s="158"/>
      <c r="S263" s="172"/>
      <c r="T263" s="172"/>
      <c r="U263" s="158"/>
      <c r="V263" s="16"/>
      <c r="W263" s="16"/>
      <c r="X263" s="16"/>
      <c r="Y263" s="16"/>
      <c r="Z263" s="16"/>
      <c r="AA263" s="16"/>
      <c r="AB263" s="16"/>
      <c r="AC263" s="16"/>
      <c r="AD263" s="16"/>
      <c r="AE263" s="16"/>
      <c r="AF263" s="16"/>
    </row>
    <row r="264" spans="1:32">
      <c r="A264" s="153"/>
      <c r="B264" s="154"/>
      <c r="C264" s="27"/>
      <c r="D264" s="155"/>
      <c r="E264" s="52"/>
      <c r="F264" s="52" t="s">
        <v>567</v>
      </c>
      <c r="G264" s="27"/>
      <c r="H264" s="27"/>
      <c r="I264" s="29">
        <v>49390000</v>
      </c>
      <c r="J264" s="172"/>
      <c r="K264" s="172"/>
      <c r="L264" s="158"/>
      <c r="M264" s="172"/>
      <c r="N264" s="172"/>
      <c r="O264" s="158"/>
      <c r="P264" s="172"/>
      <c r="Q264" s="172"/>
      <c r="R264" s="158"/>
      <c r="S264" s="172"/>
      <c r="T264" s="172"/>
      <c r="U264" s="158"/>
      <c r="V264" s="16"/>
      <c r="W264" s="16"/>
      <c r="X264" s="16"/>
      <c r="Y264" s="16"/>
      <c r="Z264" s="16"/>
      <c r="AA264" s="16"/>
      <c r="AB264" s="16"/>
      <c r="AC264" s="16"/>
      <c r="AD264" s="16"/>
      <c r="AE264" s="16"/>
      <c r="AF264" s="16"/>
    </row>
    <row r="265" spans="1:32">
      <c r="A265" s="153"/>
      <c r="B265" s="154"/>
      <c r="C265" s="27"/>
      <c r="D265" s="167"/>
      <c r="E265" s="175" t="s">
        <v>568</v>
      </c>
      <c r="F265" s="176" t="s">
        <v>569</v>
      </c>
      <c r="G265" s="27">
        <v>0</v>
      </c>
      <c r="H265" s="52" t="s">
        <v>553</v>
      </c>
      <c r="I265" s="165">
        <v>0</v>
      </c>
      <c r="J265" s="158"/>
      <c r="K265" s="158"/>
      <c r="L265" s="158"/>
      <c r="M265" s="158"/>
      <c r="N265" s="158"/>
      <c r="O265" s="158"/>
      <c r="P265" s="158"/>
      <c r="Q265" s="158"/>
      <c r="R265" s="158"/>
      <c r="S265" s="158"/>
      <c r="T265" s="158"/>
      <c r="U265" s="158"/>
      <c r="V265" s="16"/>
      <c r="W265" s="16"/>
      <c r="X265" s="16"/>
      <c r="Y265" s="16"/>
      <c r="Z265" s="16"/>
      <c r="AA265" s="16"/>
      <c r="AB265" s="16"/>
      <c r="AC265" s="16"/>
      <c r="AD265" s="16"/>
      <c r="AE265" s="16"/>
      <c r="AF265" s="16"/>
    </row>
    <row r="266" spans="1:32" ht="45">
      <c r="A266" s="153"/>
      <c r="B266" s="154"/>
      <c r="C266" s="27"/>
      <c r="D266" s="167"/>
      <c r="E266" s="52"/>
      <c r="F266" s="52" t="s">
        <v>570</v>
      </c>
      <c r="G266" s="27"/>
      <c r="H266" s="52" t="s">
        <v>571</v>
      </c>
      <c r="I266" s="165">
        <v>0</v>
      </c>
      <c r="J266" s="158"/>
      <c r="K266" s="158"/>
      <c r="L266" s="158"/>
      <c r="M266" s="158"/>
      <c r="N266" s="158"/>
      <c r="O266" s="158"/>
      <c r="P266" s="158"/>
      <c r="Q266" s="158"/>
      <c r="R266" s="158"/>
      <c r="S266" s="158"/>
      <c r="T266" s="158"/>
      <c r="U266" s="158"/>
      <c r="V266" s="16"/>
      <c r="W266" s="16"/>
      <c r="X266" s="16"/>
      <c r="Y266" s="16"/>
      <c r="Z266" s="16"/>
      <c r="AA266" s="16"/>
      <c r="AB266" s="16"/>
      <c r="AC266" s="16"/>
      <c r="AD266" s="16"/>
      <c r="AE266" s="16"/>
      <c r="AF266" s="16"/>
    </row>
    <row r="267" spans="1:32">
      <c r="A267" s="153"/>
      <c r="B267" s="154"/>
      <c r="C267" s="27"/>
      <c r="D267" s="167"/>
      <c r="E267" s="52"/>
      <c r="F267" s="52" t="s">
        <v>572</v>
      </c>
      <c r="G267" s="27"/>
      <c r="H267" s="52" t="s">
        <v>553</v>
      </c>
      <c r="I267" s="165">
        <v>0</v>
      </c>
      <c r="J267" s="172"/>
      <c r="K267" s="172"/>
      <c r="L267" s="172"/>
      <c r="M267" s="172"/>
      <c r="N267" s="172"/>
      <c r="O267" s="172"/>
      <c r="P267" s="172"/>
      <c r="Q267" s="172"/>
      <c r="R267" s="172"/>
      <c r="S267" s="172"/>
      <c r="T267" s="172"/>
      <c r="U267" s="172"/>
      <c r="V267" s="16"/>
      <c r="W267" s="16"/>
      <c r="X267" s="16"/>
      <c r="Y267" s="16"/>
      <c r="Z267" s="16"/>
      <c r="AA267" s="16"/>
      <c r="AB267" s="16"/>
      <c r="AC267" s="16"/>
      <c r="AD267" s="16"/>
      <c r="AE267" s="16"/>
      <c r="AF267" s="16"/>
    </row>
    <row r="268" spans="1:32">
      <c r="A268" s="153"/>
      <c r="B268" s="154"/>
      <c r="C268" s="27"/>
      <c r="D268" s="167"/>
      <c r="E268" s="52"/>
      <c r="F268" s="52" t="s">
        <v>573</v>
      </c>
      <c r="G268" s="27"/>
      <c r="H268" s="52" t="s">
        <v>553</v>
      </c>
      <c r="I268" s="165">
        <v>0</v>
      </c>
      <c r="J268" s="172"/>
      <c r="K268" s="172"/>
      <c r="L268" s="172"/>
      <c r="M268" s="172"/>
      <c r="N268" s="172"/>
      <c r="O268" s="172"/>
      <c r="P268" s="172"/>
      <c r="Q268" s="172"/>
      <c r="R268" s="172"/>
      <c r="S268" s="172"/>
      <c r="T268" s="172"/>
      <c r="U268" s="172"/>
      <c r="V268" s="16"/>
      <c r="W268" s="16"/>
      <c r="X268" s="16"/>
      <c r="Y268" s="16"/>
      <c r="Z268" s="16"/>
      <c r="AA268" s="16"/>
      <c r="AB268" s="16"/>
      <c r="AC268" s="16"/>
      <c r="AD268" s="16"/>
      <c r="AE268" s="16"/>
      <c r="AF268" s="16"/>
    </row>
    <row r="269" spans="1:32">
      <c r="A269" s="153"/>
      <c r="B269" s="154"/>
      <c r="C269" s="27"/>
      <c r="D269" s="167"/>
      <c r="E269" s="52"/>
      <c r="F269" s="177" t="s">
        <v>574</v>
      </c>
      <c r="G269" s="27"/>
      <c r="H269" s="52" t="s">
        <v>553</v>
      </c>
      <c r="I269" s="165">
        <v>0</v>
      </c>
      <c r="J269" s="172"/>
      <c r="K269" s="172"/>
      <c r="L269" s="172"/>
      <c r="M269" s="172"/>
      <c r="N269" s="172"/>
      <c r="O269" s="158"/>
      <c r="P269" s="172"/>
      <c r="Q269" s="172"/>
      <c r="R269" s="172"/>
      <c r="S269" s="172"/>
      <c r="T269" s="172"/>
      <c r="U269" s="158"/>
      <c r="V269" s="16"/>
      <c r="W269" s="16"/>
      <c r="X269" s="16"/>
      <c r="Y269" s="16"/>
      <c r="Z269" s="16"/>
      <c r="AA269" s="16"/>
      <c r="AB269" s="16"/>
      <c r="AC269" s="16"/>
      <c r="AD269" s="16"/>
      <c r="AE269" s="16"/>
      <c r="AF269" s="16"/>
    </row>
    <row r="270" spans="1:32" ht="30">
      <c r="A270" s="153"/>
      <c r="B270" s="154"/>
      <c r="C270" s="27"/>
      <c r="D270" s="167"/>
      <c r="E270" s="175" t="s">
        <v>575</v>
      </c>
      <c r="F270" s="52" t="s">
        <v>576</v>
      </c>
      <c r="G270" s="27"/>
      <c r="H270" s="177" t="s">
        <v>577</v>
      </c>
      <c r="I270" s="165">
        <v>0</v>
      </c>
      <c r="J270" s="172"/>
      <c r="K270" s="172"/>
      <c r="L270" s="172"/>
      <c r="M270" s="172"/>
      <c r="N270" s="172"/>
      <c r="O270" s="158"/>
      <c r="P270" s="172"/>
      <c r="Q270" s="172"/>
      <c r="R270" s="172"/>
      <c r="S270" s="172"/>
      <c r="T270" s="172"/>
      <c r="U270" s="158"/>
      <c r="V270" s="16"/>
      <c r="W270" s="16"/>
      <c r="X270" s="16"/>
      <c r="Y270" s="16"/>
      <c r="Z270" s="16"/>
      <c r="AA270" s="16"/>
      <c r="AB270" s="16"/>
      <c r="AC270" s="16"/>
      <c r="AD270" s="16"/>
      <c r="AE270" s="16"/>
      <c r="AF270" s="16"/>
    </row>
    <row r="271" spans="1:32">
      <c r="A271" s="153"/>
      <c r="B271" s="154"/>
      <c r="C271" s="27"/>
      <c r="D271" s="167"/>
      <c r="E271" s="175"/>
      <c r="F271" s="52" t="s">
        <v>578</v>
      </c>
      <c r="G271" s="27" t="s">
        <v>579</v>
      </c>
      <c r="H271" s="52" t="s">
        <v>580</v>
      </c>
      <c r="I271" s="165">
        <v>750000</v>
      </c>
      <c r="J271" s="158"/>
      <c r="K271" s="158"/>
      <c r="L271" s="158"/>
      <c r="M271" s="158"/>
      <c r="N271" s="158"/>
      <c r="O271" s="158"/>
      <c r="P271" s="158"/>
      <c r="Q271" s="158"/>
      <c r="R271" s="158"/>
      <c r="S271" s="158"/>
      <c r="T271" s="158"/>
      <c r="U271" s="158"/>
      <c r="V271" s="16"/>
      <c r="W271" s="16"/>
      <c r="X271" s="16"/>
      <c r="Y271" s="16"/>
      <c r="Z271" s="16"/>
      <c r="AA271" s="16"/>
      <c r="AB271" s="16"/>
      <c r="AC271" s="16"/>
      <c r="AD271" s="16"/>
      <c r="AE271" s="16"/>
      <c r="AF271" s="16"/>
    </row>
    <row r="272" spans="1:32" ht="45">
      <c r="A272" s="153"/>
      <c r="B272" s="154"/>
      <c r="C272" s="27"/>
      <c r="D272" s="167"/>
      <c r="E272" s="175"/>
      <c r="F272" s="52" t="s">
        <v>581</v>
      </c>
      <c r="G272" s="27" t="s">
        <v>582</v>
      </c>
      <c r="H272" s="52" t="s">
        <v>583</v>
      </c>
      <c r="I272" s="165">
        <v>37380000</v>
      </c>
      <c r="J272" s="158"/>
      <c r="K272" s="158"/>
      <c r="L272" s="158"/>
      <c r="M272" s="158"/>
      <c r="N272" s="158"/>
      <c r="O272" s="158"/>
      <c r="P272" s="158"/>
      <c r="Q272" s="158"/>
      <c r="R272" s="158"/>
      <c r="S272" s="158"/>
      <c r="T272" s="158"/>
      <c r="U272" s="158"/>
      <c r="V272" s="16"/>
      <c r="W272" s="16"/>
      <c r="X272" s="16"/>
      <c r="Y272" s="16"/>
      <c r="Z272" s="16"/>
      <c r="AA272" s="16"/>
      <c r="AB272" s="16"/>
      <c r="AC272" s="16"/>
      <c r="AD272" s="16"/>
      <c r="AE272" s="16"/>
      <c r="AF272" s="16"/>
    </row>
    <row r="273" spans="1:32" ht="30">
      <c r="A273" s="153"/>
      <c r="B273" s="154"/>
      <c r="C273" s="27"/>
      <c r="D273" s="167"/>
      <c r="E273" s="175"/>
      <c r="F273" s="52" t="s">
        <v>584</v>
      </c>
      <c r="G273" s="27"/>
      <c r="H273" s="52" t="s">
        <v>580</v>
      </c>
      <c r="I273" s="165">
        <v>300000</v>
      </c>
      <c r="J273" s="172"/>
      <c r="K273" s="172"/>
      <c r="L273" s="158"/>
      <c r="M273" s="172"/>
      <c r="N273" s="172"/>
      <c r="O273" s="158"/>
      <c r="P273" s="172"/>
      <c r="Q273" s="172"/>
      <c r="R273" s="158"/>
      <c r="S273" s="172"/>
      <c r="T273" s="172"/>
      <c r="U273" s="158"/>
      <c r="V273" s="16"/>
      <c r="W273" s="16"/>
      <c r="X273" s="16"/>
      <c r="Y273" s="16"/>
      <c r="Z273" s="16"/>
      <c r="AA273" s="16"/>
      <c r="AB273" s="16"/>
      <c r="AC273" s="16"/>
      <c r="AD273" s="16"/>
      <c r="AE273" s="16"/>
      <c r="AF273" s="16"/>
    </row>
    <row r="274" spans="1:32" ht="30">
      <c r="A274" s="153"/>
      <c r="B274" s="154"/>
      <c r="C274" s="27"/>
      <c r="D274" s="167"/>
      <c r="E274" s="178"/>
      <c r="F274" s="52" t="s">
        <v>585</v>
      </c>
      <c r="G274" s="27"/>
      <c r="H274" s="52" t="s">
        <v>562</v>
      </c>
      <c r="I274" s="165">
        <v>0</v>
      </c>
      <c r="J274" s="172"/>
      <c r="K274" s="172"/>
      <c r="L274" s="172"/>
      <c r="M274" s="158"/>
      <c r="N274" s="172"/>
      <c r="O274" s="172"/>
      <c r="P274" s="172"/>
      <c r="Q274" s="172"/>
      <c r="R274" s="172"/>
      <c r="S274" s="172"/>
      <c r="T274" s="172"/>
      <c r="U274" s="172"/>
      <c r="V274" s="16"/>
      <c r="W274" s="16"/>
      <c r="X274" s="16"/>
      <c r="Y274" s="16"/>
      <c r="Z274" s="16"/>
      <c r="AA274" s="16"/>
      <c r="AB274" s="16"/>
      <c r="AC274" s="16"/>
      <c r="AD274" s="16"/>
      <c r="AE274" s="16"/>
      <c r="AF274" s="16"/>
    </row>
    <row r="275" spans="1:32" ht="45">
      <c r="A275" s="153"/>
      <c r="B275" s="154"/>
      <c r="C275" s="27"/>
      <c r="D275" s="167"/>
      <c r="E275" s="178" t="s">
        <v>586</v>
      </c>
      <c r="F275" s="52" t="s">
        <v>587</v>
      </c>
      <c r="G275" s="27"/>
      <c r="H275" s="52" t="s">
        <v>562</v>
      </c>
      <c r="I275" s="165">
        <v>0</v>
      </c>
      <c r="J275" s="172"/>
      <c r="K275" s="172"/>
      <c r="L275" s="172"/>
      <c r="M275" s="172"/>
      <c r="N275" s="172"/>
      <c r="O275" s="172"/>
      <c r="P275" s="172"/>
      <c r="Q275" s="158"/>
      <c r="R275" s="172"/>
      <c r="S275" s="172"/>
      <c r="T275" s="172"/>
      <c r="U275" s="172"/>
      <c r="V275" s="16"/>
      <c r="W275" s="16"/>
      <c r="X275" s="16"/>
      <c r="Y275" s="16"/>
      <c r="Z275" s="16"/>
      <c r="AA275" s="16"/>
      <c r="AB275" s="16"/>
      <c r="AC275" s="16"/>
      <c r="AD275" s="16"/>
      <c r="AE275" s="16"/>
      <c r="AF275" s="16"/>
    </row>
    <row r="276" spans="1:32" ht="30">
      <c r="A276" s="153"/>
      <c r="B276" s="154"/>
      <c r="C276" s="27"/>
      <c r="D276" s="167"/>
      <c r="E276" s="178"/>
      <c r="F276" s="52" t="s">
        <v>588</v>
      </c>
      <c r="G276" s="27"/>
      <c r="H276" s="52" t="s">
        <v>562</v>
      </c>
      <c r="I276" s="165">
        <v>0</v>
      </c>
      <c r="J276" s="172"/>
      <c r="K276" s="158"/>
      <c r="L276" s="172"/>
      <c r="M276" s="172"/>
      <c r="N276" s="172"/>
      <c r="O276" s="172"/>
      <c r="P276" s="172"/>
      <c r="Q276" s="172"/>
      <c r="R276" s="172"/>
      <c r="S276" s="172"/>
      <c r="T276" s="172"/>
      <c r="U276" s="172"/>
      <c r="V276" s="16"/>
      <c r="W276" s="16"/>
      <c r="X276" s="16"/>
      <c r="Y276" s="16"/>
      <c r="Z276" s="16"/>
      <c r="AA276" s="16"/>
      <c r="AB276" s="16"/>
      <c r="AC276" s="16"/>
      <c r="AD276" s="16"/>
      <c r="AE276" s="16"/>
      <c r="AF276" s="16"/>
    </row>
    <row r="277" spans="1:32">
      <c r="A277" s="153"/>
      <c r="B277" s="154"/>
      <c r="C277" s="27"/>
      <c r="D277" s="167"/>
      <c r="E277" s="178"/>
      <c r="F277" s="52" t="s">
        <v>589</v>
      </c>
      <c r="G277" s="27" t="s">
        <v>590</v>
      </c>
      <c r="H277" s="52" t="s">
        <v>562</v>
      </c>
      <c r="I277" s="165">
        <v>28500000</v>
      </c>
      <c r="J277" s="158"/>
      <c r="K277" s="172"/>
      <c r="L277" s="172"/>
      <c r="M277" s="172"/>
      <c r="N277" s="172"/>
      <c r="O277" s="172"/>
      <c r="P277" s="172"/>
      <c r="Q277" s="172"/>
      <c r="R277" s="172"/>
      <c r="S277" s="172"/>
      <c r="T277" s="172"/>
      <c r="U277" s="172"/>
      <c r="V277" s="16"/>
      <c r="W277" s="16"/>
      <c r="X277" s="16"/>
      <c r="Y277" s="16"/>
      <c r="Z277" s="16"/>
      <c r="AA277" s="16"/>
      <c r="AB277" s="16"/>
      <c r="AC277" s="16"/>
      <c r="AD277" s="16"/>
      <c r="AE277" s="16"/>
      <c r="AF277" s="16"/>
    </row>
    <row r="278" spans="1:32">
      <c r="A278" s="153"/>
      <c r="B278" s="154"/>
      <c r="C278" s="27"/>
      <c r="D278" s="167"/>
      <c r="E278" s="178"/>
      <c r="F278" s="52" t="s">
        <v>591</v>
      </c>
      <c r="G278" s="27"/>
      <c r="H278" s="52" t="s">
        <v>562</v>
      </c>
      <c r="I278" s="165">
        <v>0</v>
      </c>
      <c r="J278" s="158"/>
      <c r="K278" s="172"/>
      <c r="L278" s="172"/>
      <c r="M278" s="172"/>
      <c r="N278" s="172"/>
      <c r="O278" s="172"/>
      <c r="P278" s="172"/>
      <c r="Q278" s="172"/>
      <c r="R278" s="172"/>
      <c r="S278" s="172"/>
      <c r="T278" s="172"/>
      <c r="U278" s="172"/>
      <c r="V278" s="16"/>
      <c r="W278" s="16"/>
      <c r="X278" s="16"/>
      <c r="Y278" s="16"/>
      <c r="Z278" s="16"/>
      <c r="AA278" s="16"/>
      <c r="AB278" s="16"/>
      <c r="AC278" s="16"/>
      <c r="AD278" s="16"/>
      <c r="AE278" s="16"/>
      <c r="AF278" s="16"/>
    </row>
    <row r="279" spans="1:32" ht="30">
      <c r="A279" s="153"/>
      <c r="B279" s="154"/>
      <c r="C279" s="27"/>
      <c r="D279" s="167"/>
      <c r="E279" s="178" t="s">
        <v>592</v>
      </c>
      <c r="F279" s="52" t="s">
        <v>593</v>
      </c>
      <c r="G279" s="27"/>
      <c r="H279" s="52" t="s">
        <v>594</v>
      </c>
      <c r="I279" s="165">
        <v>0</v>
      </c>
      <c r="J279" s="172"/>
      <c r="K279" s="172"/>
      <c r="L279" s="158"/>
      <c r="M279" s="172"/>
      <c r="N279" s="172"/>
      <c r="O279" s="172"/>
      <c r="P279" s="172"/>
      <c r="Q279" s="172"/>
      <c r="R279" s="172"/>
      <c r="S279" s="172"/>
      <c r="T279" s="172"/>
      <c r="U279" s="172"/>
      <c r="V279" s="16"/>
      <c r="W279" s="16"/>
      <c r="X279" s="16"/>
      <c r="Y279" s="16"/>
      <c r="Z279" s="16"/>
      <c r="AA279" s="16"/>
      <c r="AB279" s="16"/>
      <c r="AC279" s="16"/>
      <c r="AD279" s="16"/>
      <c r="AE279" s="16"/>
      <c r="AF279" s="16"/>
    </row>
    <row r="280" spans="1:32">
      <c r="A280" s="153"/>
      <c r="B280" s="154"/>
      <c r="C280" s="27"/>
      <c r="D280" s="167"/>
      <c r="E280" s="178"/>
      <c r="F280" s="52" t="s">
        <v>595</v>
      </c>
      <c r="G280" s="27"/>
      <c r="H280" s="52" t="s">
        <v>594</v>
      </c>
      <c r="I280" s="165">
        <v>0</v>
      </c>
      <c r="J280" s="172"/>
      <c r="K280" s="172"/>
      <c r="L280" s="172"/>
      <c r="M280" s="172"/>
      <c r="N280" s="172"/>
      <c r="O280" s="172"/>
      <c r="P280" s="158"/>
      <c r="Q280" s="158"/>
      <c r="R280" s="158"/>
      <c r="S280" s="158"/>
      <c r="T280" s="172"/>
      <c r="U280" s="172"/>
      <c r="V280" s="16"/>
      <c r="W280" s="16"/>
      <c r="X280" s="16"/>
      <c r="Y280" s="16"/>
      <c r="Z280" s="16"/>
      <c r="AA280" s="16"/>
      <c r="AB280" s="16"/>
      <c r="AC280" s="16"/>
      <c r="AD280" s="16"/>
      <c r="AE280" s="16"/>
      <c r="AF280" s="16"/>
    </row>
    <row r="281" spans="1:32">
      <c r="A281" s="153"/>
      <c r="B281" s="154"/>
      <c r="C281" s="27"/>
      <c r="D281" s="167"/>
      <c r="E281" s="178"/>
      <c r="F281" s="52" t="s">
        <v>596</v>
      </c>
      <c r="G281" s="27"/>
      <c r="H281" s="52" t="s">
        <v>594</v>
      </c>
      <c r="I281" s="165">
        <v>0</v>
      </c>
      <c r="J281" s="158"/>
      <c r="K281" s="172"/>
      <c r="L281" s="172"/>
      <c r="M281" s="172"/>
      <c r="N281" s="172"/>
      <c r="O281" s="172"/>
      <c r="P281" s="172"/>
      <c r="Q281" s="172"/>
      <c r="R281" s="172"/>
      <c r="S281" s="172"/>
      <c r="T281" s="172"/>
      <c r="U281" s="172"/>
      <c r="V281" s="16"/>
      <c r="W281" s="16"/>
      <c r="X281" s="16"/>
      <c r="Y281" s="16"/>
      <c r="Z281" s="16"/>
      <c r="AA281" s="16"/>
      <c r="AB281" s="16"/>
      <c r="AC281" s="16"/>
      <c r="AD281" s="16"/>
      <c r="AE281" s="16"/>
      <c r="AF281" s="16"/>
    </row>
    <row r="282" spans="1:32">
      <c r="A282" s="153"/>
      <c r="B282" s="154"/>
      <c r="C282" s="27"/>
      <c r="D282" s="167"/>
      <c r="E282" s="178" t="s">
        <v>597</v>
      </c>
      <c r="F282" s="52" t="s">
        <v>598</v>
      </c>
      <c r="G282" s="27"/>
      <c r="H282" s="52" t="s">
        <v>562</v>
      </c>
      <c r="I282" s="165">
        <v>0</v>
      </c>
      <c r="J282" s="941" t="s">
        <v>599</v>
      </c>
      <c r="K282" s="888"/>
      <c r="L282" s="888"/>
      <c r="M282" s="888"/>
      <c r="N282" s="888"/>
      <c r="O282" s="888"/>
      <c r="P282" s="888"/>
      <c r="Q282" s="888"/>
      <c r="R282" s="888"/>
      <c r="S282" s="888"/>
      <c r="T282" s="888"/>
      <c r="U282" s="889"/>
      <c r="V282" s="16"/>
      <c r="W282" s="16"/>
      <c r="X282" s="16"/>
      <c r="Y282" s="16"/>
      <c r="Z282" s="16"/>
      <c r="AA282" s="16"/>
      <c r="AB282" s="16"/>
      <c r="AC282" s="16"/>
      <c r="AD282" s="16"/>
      <c r="AE282" s="16"/>
      <c r="AF282" s="16"/>
    </row>
    <row r="283" spans="1:32">
      <c r="A283" s="153"/>
      <c r="B283" s="154"/>
      <c r="C283" s="27"/>
      <c r="D283" s="167"/>
      <c r="E283" s="178"/>
      <c r="F283" s="52" t="s">
        <v>600</v>
      </c>
      <c r="G283" s="27"/>
      <c r="H283" s="52"/>
      <c r="I283" s="165">
        <v>337742000</v>
      </c>
      <c r="J283" s="179"/>
      <c r="K283" s="180"/>
      <c r="L283" s="180"/>
      <c r="M283" s="180"/>
      <c r="N283" s="180"/>
      <c r="O283" s="180"/>
      <c r="P283" s="180"/>
      <c r="Q283" s="180"/>
      <c r="R283" s="180"/>
      <c r="S283" s="180"/>
      <c r="T283" s="180"/>
      <c r="U283" s="181"/>
      <c r="V283" s="16"/>
      <c r="W283" s="16"/>
      <c r="X283" s="16"/>
      <c r="Y283" s="16"/>
      <c r="Z283" s="16"/>
      <c r="AA283" s="16"/>
      <c r="AB283" s="16"/>
      <c r="AC283" s="16"/>
      <c r="AD283" s="16"/>
      <c r="AE283" s="16"/>
      <c r="AF283" s="16"/>
    </row>
    <row r="284" spans="1:32">
      <c r="A284" s="153"/>
      <c r="B284" s="154"/>
      <c r="C284" s="27"/>
      <c r="D284" s="167"/>
      <c r="E284" s="178" t="s">
        <v>601</v>
      </c>
      <c r="F284" s="52" t="s">
        <v>602</v>
      </c>
      <c r="G284" s="27"/>
      <c r="H284" s="52" t="s">
        <v>603</v>
      </c>
      <c r="I284" s="165">
        <v>40638500</v>
      </c>
      <c r="J284" s="941" t="s">
        <v>604</v>
      </c>
      <c r="K284" s="888"/>
      <c r="L284" s="888"/>
      <c r="M284" s="888"/>
      <c r="N284" s="888"/>
      <c r="O284" s="888"/>
      <c r="P284" s="888"/>
      <c r="Q284" s="888"/>
      <c r="R284" s="888"/>
      <c r="S284" s="888"/>
      <c r="T284" s="888"/>
      <c r="U284" s="889"/>
      <c r="V284" s="16"/>
      <c r="W284" s="16"/>
      <c r="X284" s="16"/>
      <c r="Y284" s="16"/>
      <c r="Z284" s="16"/>
      <c r="AA284" s="16"/>
      <c r="AB284" s="16"/>
      <c r="AC284" s="16"/>
      <c r="AD284" s="16"/>
      <c r="AE284" s="16"/>
      <c r="AF284" s="16"/>
    </row>
    <row r="285" spans="1:32" ht="30">
      <c r="A285" s="153"/>
      <c r="B285" s="154"/>
      <c r="C285" s="27"/>
      <c r="D285" s="167"/>
      <c r="E285" s="178"/>
      <c r="F285" s="52" t="s">
        <v>605</v>
      </c>
      <c r="G285" s="27"/>
      <c r="H285" s="52" t="s">
        <v>606</v>
      </c>
      <c r="I285" s="165">
        <v>0</v>
      </c>
      <c r="J285" s="941" t="s">
        <v>604</v>
      </c>
      <c r="K285" s="888"/>
      <c r="L285" s="888"/>
      <c r="M285" s="888"/>
      <c r="N285" s="888"/>
      <c r="O285" s="888"/>
      <c r="P285" s="888"/>
      <c r="Q285" s="888"/>
      <c r="R285" s="888"/>
      <c r="S285" s="888"/>
      <c r="T285" s="888"/>
      <c r="U285" s="889"/>
      <c r="V285" s="16"/>
      <c r="W285" s="16"/>
      <c r="X285" s="16"/>
      <c r="Y285" s="16"/>
      <c r="Z285" s="16"/>
      <c r="AA285" s="16"/>
      <c r="AB285" s="16"/>
      <c r="AC285" s="16"/>
      <c r="AD285" s="16"/>
      <c r="AE285" s="16"/>
      <c r="AF285" s="16"/>
    </row>
    <row r="286" spans="1:32">
      <c r="A286" s="153"/>
      <c r="B286" s="154"/>
      <c r="C286" s="27"/>
      <c r="D286" s="167"/>
      <c r="E286" s="178"/>
      <c r="F286" s="177" t="s">
        <v>607</v>
      </c>
      <c r="G286" s="27"/>
      <c r="H286" s="177" t="s">
        <v>603</v>
      </c>
      <c r="I286" s="182">
        <v>0</v>
      </c>
      <c r="J286" s="183"/>
      <c r="K286" s="184"/>
      <c r="L286" s="158"/>
      <c r="M286" s="184"/>
      <c r="N286" s="184"/>
      <c r="O286" s="158"/>
      <c r="P286" s="184"/>
      <c r="Q286" s="184"/>
      <c r="R286" s="158"/>
      <c r="S286" s="184"/>
      <c r="T286" s="184"/>
      <c r="U286" s="158"/>
      <c r="V286" s="16"/>
      <c r="W286" s="16"/>
      <c r="X286" s="16"/>
      <c r="Y286" s="16"/>
      <c r="Z286" s="16"/>
      <c r="AA286" s="16"/>
      <c r="AB286" s="16"/>
      <c r="AC286" s="16"/>
      <c r="AD286" s="16"/>
      <c r="AE286" s="16"/>
      <c r="AF286" s="16"/>
    </row>
    <row r="287" spans="1:32">
      <c r="A287" s="153"/>
      <c r="B287" s="154"/>
      <c r="C287" s="27"/>
      <c r="D287" s="167"/>
      <c r="E287" s="178"/>
      <c r="F287" s="52" t="s">
        <v>608</v>
      </c>
      <c r="G287" s="27"/>
      <c r="H287" s="177" t="s">
        <v>603</v>
      </c>
      <c r="I287" s="165">
        <v>0</v>
      </c>
      <c r="J287" s="158"/>
      <c r="K287" s="158"/>
      <c r="L287" s="158"/>
      <c r="M287" s="158"/>
      <c r="N287" s="158"/>
      <c r="O287" s="158"/>
      <c r="P287" s="158"/>
      <c r="Q287" s="158"/>
      <c r="R287" s="158"/>
      <c r="S287" s="158"/>
      <c r="T287" s="158"/>
      <c r="U287" s="158"/>
      <c r="V287" s="16"/>
      <c r="W287" s="16"/>
      <c r="X287" s="16"/>
      <c r="Y287" s="16"/>
      <c r="Z287" s="16"/>
      <c r="AA287" s="16"/>
      <c r="AB287" s="16"/>
      <c r="AC287" s="16"/>
      <c r="AD287" s="16"/>
      <c r="AE287" s="16"/>
      <c r="AF287" s="16"/>
    </row>
    <row r="288" spans="1:32">
      <c r="A288" s="153"/>
      <c r="B288" s="154"/>
      <c r="C288" s="27"/>
      <c r="D288" s="167"/>
      <c r="E288" s="178"/>
      <c r="F288" s="52" t="s">
        <v>609</v>
      </c>
      <c r="G288" s="27"/>
      <c r="H288" s="177" t="s">
        <v>603</v>
      </c>
      <c r="I288" s="5">
        <v>252051000</v>
      </c>
      <c r="J288" s="172"/>
      <c r="K288" s="172"/>
      <c r="L288" s="172"/>
      <c r="M288" s="158"/>
      <c r="N288" s="172"/>
      <c r="O288" s="172"/>
      <c r="P288" s="158"/>
      <c r="Q288" s="172"/>
      <c r="R288" s="172"/>
      <c r="S288" s="172"/>
      <c r="T288" s="172"/>
      <c r="U288" s="172"/>
      <c r="V288" s="16"/>
      <c r="W288" s="16"/>
      <c r="X288" s="16"/>
      <c r="Y288" s="16"/>
      <c r="Z288" s="16"/>
      <c r="AA288" s="16"/>
      <c r="AB288" s="16"/>
      <c r="AC288" s="16"/>
      <c r="AD288" s="16"/>
      <c r="AE288" s="16"/>
      <c r="AF288" s="16"/>
    </row>
    <row r="289" spans="1:32" ht="30">
      <c r="A289" s="153"/>
      <c r="B289" s="154"/>
      <c r="C289" s="27"/>
      <c r="D289" s="167"/>
      <c r="E289" s="178"/>
      <c r="F289" s="52" t="s">
        <v>610</v>
      </c>
      <c r="G289" s="27"/>
      <c r="H289" s="177" t="s">
        <v>603</v>
      </c>
      <c r="I289" s="165">
        <v>0</v>
      </c>
      <c r="J289" s="172"/>
      <c r="K289" s="158"/>
      <c r="L289" s="172"/>
      <c r="M289" s="172"/>
      <c r="N289" s="172"/>
      <c r="O289" s="172"/>
      <c r="P289" s="172"/>
      <c r="Q289" s="172"/>
      <c r="R289" s="172"/>
      <c r="S289" s="172"/>
      <c r="T289" s="172"/>
      <c r="U289" s="172"/>
      <c r="V289" s="16"/>
      <c r="W289" s="16"/>
      <c r="X289" s="16"/>
      <c r="Y289" s="16"/>
      <c r="Z289" s="16"/>
      <c r="AA289" s="16"/>
      <c r="AB289" s="16"/>
      <c r="AC289" s="16"/>
      <c r="AD289" s="16"/>
      <c r="AE289" s="16"/>
      <c r="AF289" s="16"/>
    </row>
    <row r="290" spans="1:32" ht="30">
      <c r="A290" s="153"/>
      <c r="B290" s="154"/>
      <c r="C290" s="27"/>
      <c r="D290" s="167"/>
      <c r="E290" s="178"/>
      <c r="F290" s="52" t="s">
        <v>611</v>
      </c>
      <c r="G290" s="27"/>
      <c r="H290" s="177" t="s">
        <v>612</v>
      </c>
      <c r="I290" s="165">
        <v>0</v>
      </c>
      <c r="J290" s="183"/>
      <c r="K290" s="185"/>
      <c r="L290" s="184"/>
      <c r="M290" s="184"/>
      <c r="N290" s="184"/>
      <c r="O290" s="184"/>
      <c r="P290" s="184"/>
      <c r="Q290" s="184"/>
      <c r="R290" s="184"/>
      <c r="S290" s="184"/>
      <c r="T290" s="184"/>
      <c r="U290" s="186"/>
      <c r="V290" s="16"/>
      <c r="W290" s="16"/>
      <c r="X290" s="16"/>
      <c r="Y290" s="16"/>
      <c r="Z290" s="16"/>
      <c r="AA290" s="16"/>
      <c r="AB290" s="16"/>
      <c r="AC290" s="16"/>
      <c r="AD290" s="16"/>
      <c r="AE290" s="16"/>
      <c r="AF290" s="16"/>
    </row>
    <row r="291" spans="1:32">
      <c r="A291" s="153"/>
      <c r="B291" s="154"/>
      <c r="C291" s="27"/>
      <c r="D291" s="167"/>
      <c r="E291" s="178"/>
      <c r="F291" s="52" t="s">
        <v>613</v>
      </c>
      <c r="G291" s="27"/>
      <c r="H291" s="177" t="s">
        <v>603</v>
      </c>
      <c r="I291" s="165">
        <v>0</v>
      </c>
      <c r="J291" s="941" t="s">
        <v>604</v>
      </c>
      <c r="K291" s="888"/>
      <c r="L291" s="888"/>
      <c r="M291" s="888"/>
      <c r="N291" s="888"/>
      <c r="O291" s="888"/>
      <c r="P291" s="888"/>
      <c r="Q291" s="888"/>
      <c r="R291" s="888"/>
      <c r="S291" s="888"/>
      <c r="T291" s="888"/>
      <c r="U291" s="889"/>
      <c r="V291" s="16"/>
      <c r="W291" s="16"/>
      <c r="X291" s="16"/>
      <c r="Y291" s="16"/>
      <c r="Z291" s="16"/>
      <c r="AA291" s="16"/>
      <c r="AB291" s="16"/>
      <c r="AC291" s="16"/>
      <c r="AD291" s="16"/>
      <c r="AE291" s="16"/>
      <c r="AF291" s="16"/>
    </row>
    <row r="292" spans="1:32">
      <c r="A292" s="153"/>
      <c r="B292" s="154"/>
      <c r="C292" s="27"/>
      <c r="D292" s="167"/>
      <c r="E292" s="178" t="s">
        <v>614</v>
      </c>
      <c r="F292" s="52" t="s">
        <v>615</v>
      </c>
      <c r="G292" s="27"/>
      <c r="H292" s="52" t="s">
        <v>616</v>
      </c>
      <c r="I292" s="165">
        <v>2500000</v>
      </c>
      <c r="J292" s="158"/>
      <c r="K292" s="158"/>
      <c r="L292" s="158"/>
      <c r="M292" s="158"/>
      <c r="N292" s="158"/>
      <c r="O292" s="158"/>
      <c r="P292" s="158"/>
      <c r="Q292" s="158"/>
      <c r="R292" s="158"/>
      <c r="S292" s="158"/>
      <c r="T292" s="158"/>
      <c r="U292" s="158"/>
      <c r="V292" s="16"/>
      <c r="W292" s="16"/>
      <c r="X292" s="16"/>
      <c r="Y292" s="16"/>
      <c r="Z292" s="16"/>
      <c r="AA292" s="16"/>
      <c r="AB292" s="16"/>
      <c r="AC292" s="16"/>
      <c r="AD292" s="16"/>
      <c r="AE292" s="16"/>
      <c r="AF292" s="16"/>
    </row>
    <row r="293" spans="1:32">
      <c r="A293" s="153"/>
      <c r="B293" s="154"/>
      <c r="C293" s="27"/>
      <c r="D293" s="167"/>
      <c r="E293" s="178"/>
      <c r="F293" s="52" t="s">
        <v>617</v>
      </c>
      <c r="G293" s="27"/>
      <c r="H293" s="52" t="s">
        <v>618</v>
      </c>
      <c r="I293" s="165">
        <v>0</v>
      </c>
      <c r="J293" s="158"/>
      <c r="K293" s="158"/>
      <c r="L293" s="158"/>
      <c r="M293" s="158"/>
      <c r="N293" s="158"/>
      <c r="O293" s="158"/>
      <c r="P293" s="158"/>
      <c r="Q293" s="158"/>
      <c r="R293" s="158"/>
      <c r="S293" s="158"/>
      <c r="T293" s="158"/>
      <c r="U293" s="158"/>
      <c r="V293" s="16"/>
      <c r="W293" s="16"/>
      <c r="X293" s="16"/>
      <c r="Y293" s="16"/>
      <c r="Z293" s="16"/>
      <c r="AA293" s="16"/>
      <c r="AB293" s="16"/>
      <c r="AC293" s="16"/>
      <c r="AD293" s="16"/>
      <c r="AE293" s="16"/>
      <c r="AF293" s="16"/>
    </row>
    <row r="294" spans="1:32" ht="30">
      <c r="A294" s="153"/>
      <c r="B294" s="154"/>
      <c r="C294" s="27"/>
      <c r="D294" s="167"/>
      <c r="E294" s="178"/>
      <c r="F294" s="52" t="s">
        <v>619</v>
      </c>
      <c r="G294" s="27"/>
      <c r="H294" s="52" t="s">
        <v>562</v>
      </c>
      <c r="I294" s="165">
        <v>0</v>
      </c>
      <c r="J294" s="172"/>
      <c r="K294" s="172"/>
      <c r="L294" s="172"/>
      <c r="M294" s="172"/>
      <c r="N294" s="172"/>
      <c r="O294" s="172"/>
      <c r="P294" s="172"/>
      <c r="Q294" s="172"/>
      <c r="R294" s="158"/>
      <c r="S294" s="172"/>
      <c r="T294" s="172"/>
      <c r="U294" s="172"/>
      <c r="V294" s="16"/>
      <c r="W294" s="16"/>
      <c r="X294" s="16"/>
      <c r="Y294" s="16"/>
      <c r="Z294" s="16"/>
      <c r="AA294" s="16"/>
      <c r="AB294" s="16"/>
      <c r="AC294" s="16"/>
      <c r="AD294" s="16"/>
      <c r="AE294" s="16"/>
      <c r="AF294" s="16"/>
    </row>
    <row r="295" spans="1:32" ht="30">
      <c r="A295" s="153"/>
      <c r="B295" s="154"/>
      <c r="C295" s="27"/>
      <c r="D295" s="167"/>
      <c r="E295" s="178"/>
      <c r="F295" s="52" t="s">
        <v>620</v>
      </c>
      <c r="G295" s="27"/>
      <c r="H295" s="52" t="s">
        <v>618</v>
      </c>
      <c r="I295" s="165">
        <v>6955500</v>
      </c>
      <c r="J295" s="941" t="s">
        <v>604</v>
      </c>
      <c r="K295" s="888"/>
      <c r="L295" s="888"/>
      <c r="M295" s="888"/>
      <c r="N295" s="888"/>
      <c r="O295" s="888"/>
      <c r="P295" s="888"/>
      <c r="Q295" s="888"/>
      <c r="R295" s="888"/>
      <c r="S295" s="888"/>
      <c r="T295" s="888"/>
      <c r="U295" s="889"/>
      <c r="V295" s="16"/>
      <c r="W295" s="16"/>
      <c r="X295" s="16"/>
      <c r="Y295" s="16"/>
      <c r="Z295" s="16"/>
      <c r="AA295" s="16"/>
      <c r="AB295" s="16"/>
      <c r="AC295" s="16"/>
      <c r="AD295" s="16"/>
      <c r="AE295" s="16"/>
      <c r="AF295" s="16"/>
    </row>
    <row r="296" spans="1:32" ht="30">
      <c r="A296" s="153"/>
      <c r="B296" s="154"/>
      <c r="C296" s="27"/>
      <c r="D296" s="167"/>
      <c r="E296" s="178"/>
      <c r="F296" s="187" t="s">
        <v>621</v>
      </c>
      <c r="G296" s="27"/>
      <c r="H296" s="52" t="s">
        <v>622</v>
      </c>
      <c r="I296" s="165">
        <v>0</v>
      </c>
      <c r="J296" s="172"/>
      <c r="K296" s="172"/>
      <c r="L296" s="172"/>
      <c r="M296" s="172"/>
      <c r="N296" s="172"/>
      <c r="O296" s="172"/>
      <c r="P296" s="172"/>
      <c r="Q296" s="172"/>
      <c r="R296" s="172"/>
      <c r="S296" s="172"/>
      <c r="T296" s="158"/>
      <c r="U296" s="172"/>
      <c r="V296" s="16"/>
      <c r="W296" s="16"/>
      <c r="X296" s="16"/>
      <c r="Y296" s="16"/>
      <c r="Z296" s="16"/>
      <c r="AA296" s="16"/>
      <c r="AB296" s="16"/>
      <c r="AC296" s="16"/>
      <c r="AD296" s="16"/>
      <c r="AE296" s="16"/>
      <c r="AF296" s="16"/>
    </row>
    <row r="297" spans="1:32">
      <c r="A297" s="153"/>
      <c r="B297" s="154"/>
      <c r="C297" s="27"/>
      <c r="D297" s="167"/>
      <c r="E297" s="178"/>
      <c r="F297" s="187" t="s">
        <v>623</v>
      </c>
      <c r="G297" s="27" t="s">
        <v>624</v>
      </c>
      <c r="H297" s="52" t="s">
        <v>622</v>
      </c>
      <c r="I297" s="165">
        <v>5000000</v>
      </c>
      <c r="J297" s="172"/>
      <c r="K297" s="172"/>
      <c r="L297" s="172"/>
      <c r="M297" s="158"/>
      <c r="N297" s="172"/>
      <c r="O297" s="172"/>
      <c r="P297" s="172"/>
      <c r="Q297" s="172"/>
      <c r="R297" s="172"/>
      <c r="S297" s="172"/>
      <c r="T297" s="172"/>
      <c r="U297" s="172"/>
      <c r="V297" s="16"/>
      <c r="W297" s="16"/>
      <c r="X297" s="16"/>
      <c r="Y297" s="16"/>
      <c r="Z297" s="16"/>
      <c r="AA297" s="16"/>
      <c r="AB297" s="16"/>
      <c r="AC297" s="16"/>
      <c r="AD297" s="16"/>
      <c r="AE297" s="16"/>
      <c r="AF297" s="16"/>
    </row>
    <row r="298" spans="1:32">
      <c r="A298" s="153"/>
      <c r="B298" s="154"/>
      <c r="C298" s="27"/>
      <c r="D298" s="167"/>
      <c r="E298" s="178"/>
      <c r="F298" s="187" t="s">
        <v>625</v>
      </c>
      <c r="G298" s="27"/>
      <c r="H298" s="52" t="s">
        <v>580</v>
      </c>
      <c r="I298" s="165">
        <v>0</v>
      </c>
      <c r="J298" s="158"/>
      <c r="K298" s="158"/>
      <c r="L298" s="158"/>
      <c r="M298" s="158"/>
      <c r="N298" s="158"/>
      <c r="O298" s="158"/>
      <c r="P298" s="158"/>
      <c r="Q298" s="158"/>
      <c r="R298" s="158"/>
      <c r="S298" s="158"/>
      <c r="T298" s="158"/>
      <c r="U298" s="158"/>
      <c r="V298" s="16"/>
      <c r="W298" s="16"/>
      <c r="X298" s="16"/>
      <c r="Y298" s="16"/>
      <c r="Z298" s="16"/>
      <c r="AA298" s="16"/>
      <c r="AB298" s="16"/>
      <c r="AC298" s="16"/>
      <c r="AD298" s="16"/>
      <c r="AE298" s="16"/>
      <c r="AF298" s="16"/>
    </row>
    <row r="299" spans="1:32">
      <c r="A299" s="153"/>
      <c r="B299" s="154"/>
      <c r="C299" s="27"/>
      <c r="D299" s="167"/>
      <c r="E299" s="178"/>
      <c r="F299" s="187" t="s">
        <v>626</v>
      </c>
      <c r="G299" s="27"/>
      <c r="H299" s="52" t="s">
        <v>580</v>
      </c>
      <c r="I299" s="165">
        <v>0</v>
      </c>
      <c r="J299" s="158"/>
      <c r="K299" s="158"/>
      <c r="L299" s="158"/>
      <c r="M299" s="158"/>
      <c r="N299" s="158"/>
      <c r="O299" s="158"/>
      <c r="P299" s="158"/>
      <c r="Q299" s="158"/>
      <c r="R299" s="158"/>
      <c r="S299" s="158"/>
      <c r="T299" s="158"/>
      <c r="U299" s="158"/>
      <c r="V299" s="16"/>
      <c r="W299" s="16"/>
      <c r="X299" s="16"/>
      <c r="Y299" s="16"/>
      <c r="Z299" s="16"/>
      <c r="AA299" s="16"/>
      <c r="AB299" s="16"/>
      <c r="AC299" s="16"/>
      <c r="AD299" s="16"/>
      <c r="AE299" s="16"/>
      <c r="AF299" s="16"/>
    </row>
    <row r="300" spans="1:32" ht="30">
      <c r="A300" s="188"/>
      <c r="B300" s="154"/>
      <c r="C300" s="189"/>
      <c r="D300" s="190"/>
      <c r="E300" s="191"/>
      <c r="F300" s="146" t="s">
        <v>627</v>
      </c>
      <c r="G300" s="189"/>
      <c r="H300" s="192" t="s">
        <v>562</v>
      </c>
      <c r="I300" s="193">
        <v>24300000</v>
      </c>
      <c r="J300" s="171"/>
      <c r="K300" s="158"/>
      <c r="L300" s="171"/>
      <c r="M300" s="171"/>
      <c r="N300" s="171"/>
      <c r="O300" s="171"/>
      <c r="P300" s="171"/>
      <c r="Q300" s="171"/>
      <c r="R300" s="171"/>
      <c r="S300" s="171"/>
      <c r="T300" s="171"/>
      <c r="U300" s="171"/>
      <c r="V300" s="16"/>
      <c r="W300" s="16"/>
      <c r="X300" s="16"/>
      <c r="Y300" s="16"/>
      <c r="Z300" s="16"/>
      <c r="AA300" s="16"/>
      <c r="AB300" s="16"/>
      <c r="AC300" s="16"/>
      <c r="AD300" s="16"/>
      <c r="AE300" s="16"/>
      <c r="AF300" s="16"/>
    </row>
    <row r="301" spans="1:32" ht="30">
      <c r="A301" s="188"/>
      <c r="B301" s="154"/>
      <c r="C301" s="189"/>
      <c r="D301" s="190"/>
      <c r="E301" s="191"/>
      <c r="F301" s="148" t="s">
        <v>628</v>
      </c>
      <c r="G301" s="189" t="s">
        <v>629</v>
      </c>
      <c r="H301" s="192" t="s">
        <v>580</v>
      </c>
      <c r="I301" s="194">
        <v>13200000</v>
      </c>
      <c r="J301" s="171"/>
      <c r="K301" s="171"/>
      <c r="L301" s="171"/>
      <c r="M301" s="171"/>
      <c r="N301" s="171"/>
      <c r="O301" s="171"/>
      <c r="P301" s="171"/>
      <c r="Q301" s="171"/>
      <c r="R301" s="171"/>
      <c r="S301" s="158"/>
      <c r="T301" s="171"/>
      <c r="U301" s="171"/>
      <c r="V301" s="16"/>
      <c r="W301" s="16"/>
      <c r="X301" s="16"/>
      <c r="Y301" s="16"/>
      <c r="Z301" s="16"/>
      <c r="AA301" s="16"/>
      <c r="AB301" s="16"/>
      <c r="AC301" s="16"/>
      <c r="AD301" s="16"/>
      <c r="AE301" s="16"/>
      <c r="AF301" s="16"/>
    </row>
    <row r="302" spans="1:32">
      <c r="A302" s="188"/>
      <c r="B302" s="154"/>
      <c r="C302" s="189"/>
      <c r="D302" s="190"/>
      <c r="E302" s="191"/>
      <c r="F302" s="148" t="s">
        <v>630</v>
      </c>
      <c r="G302" s="189" t="s">
        <v>631</v>
      </c>
      <c r="H302" s="192" t="s">
        <v>580</v>
      </c>
      <c r="I302" s="195">
        <v>7200000</v>
      </c>
      <c r="J302" s="158"/>
      <c r="K302" s="158"/>
      <c r="L302" s="158"/>
      <c r="M302" s="158"/>
      <c r="N302" s="158"/>
      <c r="O302" s="158"/>
      <c r="P302" s="158"/>
      <c r="Q302" s="158"/>
      <c r="R302" s="158"/>
      <c r="S302" s="158"/>
      <c r="T302" s="158"/>
      <c r="U302" s="158"/>
      <c r="V302" s="16"/>
      <c r="W302" s="16"/>
      <c r="X302" s="16"/>
      <c r="Y302" s="16"/>
      <c r="Z302" s="16"/>
      <c r="AA302" s="16"/>
      <c r="AB302" s="16"/>
      <c r="AC302" s="16"/>
      <c r="AD302" s="16"/>
      <c r="AE302" s="16"/>
      <c r="AF302" s="16"/>
    </row>
    <row r="303" spans="1:32">
      <c r="A303" s="188"/>
      <c r="B303" s="154"/>
      <c r="C303" s="189"/>
      <c r="D303" s="190"/>
      <c r="E303" s="191"/>
      <c r="F303" s="148" t="s">
        <v>632</v>
      </c>
      <c r="G303" s="189" t="s">
        <v>631</v>
      </c>
      <c r="H303" s="192" t="s">
        <v>580</v>
      </c>
      <c r="I303" s="195">
        <v>1350000</v>
      </c>
      <c r="J303" s="158"/>
      <c r="K303" s="171"/>
      <c r="L303" s="171"/>
      <c r="M303" s="158"/>
      <c r="N303" s="171"/>
      <c r="O303" s="171"/>
      <c r="P303" s="158"/>
      <c r="Q303" s="171"/>
      <c r="R303" s="171"/>
      <c r="S303" s="158"/>
      <c r="T303" s="171"/>
      <c r="U303" s="171"/>
      <c r="V303" s="16"/>
      <c r="W303" s="16"/>
      <c r="X303" s="16"/>
      <c r="Y303" s="16"/>
      <c r="Z303" s="16"/>
      <c r="AA303" s="16"/>
      <c r="AB303" s="16"/>
      <c r="AC303" s="16"/>
      <c r="AD303" s="16"/>
      <c r="AE303" s="16"/>
      <c r="AF303" s="16"/>
    </row>
    <row r="304" spans="1:32">
      <c r="A304" s="188"/>
      <c r="B304" s="154"/>
      <c r="C304" s="189"/>
      <c r="D304" s="190"/>
      <c r="E304" s="191"/>
      <c r="F304" s="146" t="s">
        <v>633</v>
      </c>
      <c r="G304" s="189" t="s">
        <v>634</v>
      </c>
      <c r="H304" s="192" t="s">
        <v>580</v>
      </c>
      <c r="I304" s="195">
        <v>3780000</v>
      </c>
      <c r="J304" s="158"/>
      <c r="K304" s="158"/>
      <c r="L304" s="158"/>
      <c r="M304" s="158"/>
      <c r="N304" s="158"/>
      <c r="O304" s="158"/>
      <c r="P304" s="158"/>
      <c r="Q304" s="158"/>
      <c r="R304" s="158"/>
      <c r="S304" s="158"/>
      <c r="T304" s="158"/>
      <c r="U304" s="158"/>
      <c r="V304" s="16"/>
      <c r="W304" s="16"/>
      <c r="X304" s="16"/>
      <c r="Y304" s="16"/>
      <c r="Z304" s="16"/>
      <c r="AA304" s="16"/>
      <c r="AB304" s="16"/>
      <c r="AC304" s="16"/>
      <c r="AD304" s="16"/>
      <c r="AE304" s="16"/>
      <c r="AF304" s="16"/>
    </row>
    <row r="305" spans="1:32">
      <c r="A305" s="188"/>
      <c r="B305" s="154"/>
      <c r="C305" s="189"/>
      <c r="D305" s="190"/>
      <c r="E305" s="191"/>
      <c r="F305" s="146" t="s">
        <v>635</v>
      </c>
      <c r="G305" s="189" t="s">
        <v>634</v>
      </c>
      <c r="H305" s="192" t="s">
        <v>580</v>
      </c>
      <c r="I305" s="195">
        <v>4800000</v>
      </c>
      <c r="J305" s="171"/>
      <c r="K305" s="171"/>
      <c r="L305" s="171"/>
      <c r="M305" s="171"/>
      <c r="N305" s="158"/>
      <c r="O305" s="171"/>
      <c r="P305" s="171"/>
      <c r="Q305" s="171"/>
      <c r="R305" s="171"/>
      <c r="S305" s="171"/>
      <c r="T305" s="158"/>
      <c r="U305" s="171"/>
      <c r="V305" s="16"/>
      <c r="W305" s="16"/>
      <c r="X305" s="16"/>
      <c r="Y305" s="16"/>
      <c r="Z305" s="16"/>
      <c r="AA305" s="16"/>
      <c r="AB305" s="16"/>
      <c r="AC305" s="16"/>
      <c r="AD305" s="16"/>
      <c r="AE305" s="16"/>
      <c r="AF305" s="16"/>
    </row>
    <row r="306" spans="1:32">
      <c r="A306" s="188"/>
      <c r="B306" s="154"/>
      <c r="C306" s="189"/>
      <c r="D306" s="190"/>
      <c r="E306" s="191"/>
      <c r="F306" s="148" t="s">
        <v>636</v>
      </c>
      <c r="G306" s="189" t="s">
        <v>631</v>
      </c>
      <c r="H306" s="192" t="s">
        <v>580</v>
      </c>
      <c r="I306" s="195">
        <v>1800000</v>
      </c>
      <c r="J306" s="158"/>
      <c r="K306" s="158"/>
      <c r="L306" s="158"/>
      <c r="M306" s="158"/>
      <c r="N306" s="158"/>
      <c r="O306" s="158"/>
      <c r="P306" s="158"/>
      <c r="Q306" s="158"/>
      <c r="R306" s="158"/>
      <c r="S306" s="158"/>
      <c r="T306" s="158"/>
      <c r="U306" s="158"/>
      <c r="V306" s="16"/>
      <c r="W306" s="16"/>
      <c r="X306" s="16"/>
      <c r="Y306" s="16"/>
      <c r="Z306" s="16"/>
      <c r="AA306" s="16"/>
      <c r="AB306" s="16"/>
      <c r="AC306" s="16"/>
      <c r="AD306" s="16"/>
      <c r="AE306" s="16"/>
      <c r="AF306" s="16"/>
    </row>
    <row r="307" spans="1:32">
      <c r="A307" s="188"/>
      <c r="B307" s="154"/>
      <c r="C307" s="189"/>
      <c r="D307" s="190"/>
      <c r="E307" s="191"/>
      <c r="F307" s="148" t="s">
        <v>637</v>
      </c>
      <c r="G307" s="189" t="s">
        <v>631</v>
      </c>
      <c r="H307" s="192" t="s">
        <v>580</v>
      </c>
      <c r="I307" s="195">
        <v>600000</v>
      </c>
      <c r="J307" s="158"/>
      <c r="K307" s="171"/>
      <c r="L307" s="171"/>
      <c r="M307" s="158"/>
      <c r="N307" s="171"/>
      <c r="O307" s="171"/>
      <c r="P307" s="158"/>
      <c r="Q307" s="171"/>
      <c r="R307" s="171"/>
      <c r="S307" s="158"/>
      <c r="T307" s="171"/>
      <c r="U307" s="171"/>
      <c r="V307" s="16"/>
      <c r="W307" s="16"/>
      <c r="X307" s="16"/>
      <c r="Y307" s="16"/>
      <c r="Z307" s="16"/>
      <c r="AA307" s="16"/>
      <c r="AB307" s="16"/>
      <c r="AC307" s="16"/>
      <c r="AD307" s="16"/>
      <c r="AE307" s="16"/>
      <c r="AF307" s="16"/>
    </row>
    <row r="308" spans="1:32">
      <c r="A308" s="188"/>
      <c r="B308" s="154"/>
      <c r="C308" s="189"/>
      <c r="D308" s="190"/>
      <c r="E308" s="191"/>
      <c r="F308" s="148" t="s">
        <v>638</v>
      </c>
      <c r="G308" s="189" t="s">
        <v>631</v>
      </c>
      <c r="H308" s="192" t="s">
        <v>580</v>
      </c>
      <c r="I308" s="195">
        <v>750000</v>
      </c>
      <c r="J308" s="171"/>
      <c r="K308" s="171"/>
      <c r="L308" s="171"/>
      <c r="M308" s="171"/>
      <c r="N308" s="158"/>
      <c r="O308" s="171"/>
      <c r="P308" s="171"/>
      <c r="Q308" s="171"/>
      <c r="R308" s="171"/>
      <c r="S308" s="171"/>
      <c r="T308" s="158"/>
      <c r="U308" s="171"/>
      <c r="V308" s="16"/>
      <c r="W308" s="16"/>
      <c r="X308" s="16"/>
      <c r="Y308" s="16"/>
      <c r="Z308" s="16"/>
      <c r="AA308" s="16"/>
      <c r="AB308" s="16"/>
      <c r="AC308" s="16"/>
      <c r="AD308" s="16"/>
      <c r="AE308" s="16"/>
      <c r="AF308" s="16"/>
    </row>
    <row r="309" spans="1:32">
      <c r="A309" s="188"/>
      <c r="B309" s="154"/>
      <c r="C309" s="189"/>
      <c r="D309" s="190"/>
      <c r="E309" s="191"/>
      <c r="F309" s="146" t="s">
        <v>639</v>
      </c>
      <c r="G309" s="189" t="s">
        <v>631</v>
      </c>
      <c r="H309" s="192" t="s">
        <v>580</v>
      </c>
      <c r="I309" s="195">
        <v>1100000</v>
      </c>
      <c r="J309" s="171"/>
      <c r="K309" s="171"/>
      <c r="L309" s="171"/>
      <c r="M309" s="171"/>
      <c r="N309" s="158"/>
      <c r="O309" s="171"/>
      <c r="P309" s="171"/>
      <c r="Q309" s="171"/>
      <c r="R309" s="171"/>
      <c r="S309" s="171"/>
      <c r="T309" s="158"/>
      <c r="U309" s="171"/>
      <c r="V309" s="16"/>
      <c r="W309" s="16"/>
      <c r="X309" s="16"/>
      <c r="Y309" s="16"/>
      <c r="Z309" s="16"/>
      <c r="AA309" s="16"/>
      <c r="AB309" s="16"/>
      <c r="AC309" s="16"/>
      <c r="AD309" s="16"/>
      <c r="AE309" s="16"/>
      <c r="AF309" s="16"/>
    </row>
    <row r="310" spans="1:32">
      <c r="A310" s="188"/>
      <c r="B310" s="154"/>
      <c r="C310" s="189"/>
      <c r="D310" s="190"/>
      <c r="E310" s="191"/>
      <c r="F310" s="146" t="s">
        <v>640</v>
      </c>
      <c r="G310" s="189" t="s">
        <v>631</v>
      </c>
      <c r="H310" s="192" t="s">
        <v>580</v>
      </c>
      <c r="I310" s="195">
        <v>1800000</v>
      </c>
      <c r="J310" s="171"/>
      <c r="K310" s="171"/>
      <c r="L310" s="171"/>
      <c r="M310" s="171"/>
      <c r="N310" s="158"/>
      <c r="O310" s="171"/>
      <c r="P310" s="171"/>
      <c r="Q310" s="171"/>
      <c r="R310" s="171"/>
      <c r="S310" s="171"/>
      <c r="T310" s="158"/>
      <c r="U310" s="171"/>
      <c r="V310" s="16"/>
      <c r="W310" s="16"/>
      <c r="X310" s="16"/>
      <c r="Y310" s="16"/>
      <c r="Z310" s="16"/>
      <c r="AA310" s="16"/>
      <c r="AB310" s="16"/>
      <c r="AC310" s="16"/>
      <c r="AD310" s="16"/>
      <c r="AE310" s="16"/>
      <c r="AF310" s="16"/>
    </row>
    <row r="311" spans="1:32">
      <c r="A311" s="188"/>
      <c r="B311" s="154"/>
      <c r="C311" s="189"/>
      <c r="D311" s="190"/>
      <c r="E311" s="191"/>
      <c r="F311" s="146" t="s">
        <v>641</v>
      </c>
      <c r="G311" s="189" t="s">
        <v>631</v>
      </c>
      <c r="H311" s="192" t="s">
        <v>580</v>
      </c>
      <c r="I311" s="195">
        <v>1800000</v>
      </c>
      <c r="J311" s="171"/>
      <c r="K311" s="171"/>
      <c r="L311" s="171"/>
      <c r="M311" s="171"/>
      <c r="N311" s="158"/>
      <c r="O311" s="171"/>
      <c r="P311" s="171"/>
      <c r="Q311" s="171"/>
      <c r="R311" s="171"/>
      <c r="S311" s="171"/>
      <c r="T311" s="158"/>
      <c r="U311" s="171"/>
      <c r="V311" s="16"/>
      <c r="W311" s="16"/>
      <c r="X311" s="16"/>
      <c r="Y311" s="16"/>
      <c r="Z311" s="16"/>
      <c r="AA311" s="16"/>
      <c r="AB311" s="16"/>
      <c r="AC311" s="16"/>
      <c r="AD311" s="16"/>
      <c r="AE311" s="16"/>
      <c r="AF311" s="16"/>
    </row>
    <row r="312" spans="1:32">
      <c r="A312" s="188"/>
      <c r="B312" s="154"/>
      <c r="C312" s="189"/>
      <c r="D312" s="190"/>
      <c r="E312" s="191"/>
      <c r="F312" s="146" t="s">
        <v>642</v>
      </c>
      <c r="G312" s="189" t="s">
        <v>631</v>
      </c>
      <c r="H312" s="192" t="s">
        <v>580</v>
      </c>
      <c r="I312" s="195">
        <v>1800000</v>
      </c>
      <c r="J312" s="171"/>
      <c r="K312" s="171"/>
      <c r="L312" s="171"/>
      <c r="M312" s="171"/>
      <c r="N312" s="158"/>
      <c r="O312" s="171"/>
      <c r="P312" s="171"/>
      <c r="Q312" s="171"/>
      <c r="R312" s="171"/>
      <c r="S312" s="171"/>
      <c r="T312" s="158"/>
      <c r="U312" s="171"/>
      <c r="V312" s="16"/>
      <c r="W312" s="16"/>
      <c r="X312" s="16"/>
      <c r="Y312" s="16"/>
      <c r="Z312" s="16"/>
      <c r="AA312" s="16"/>
      <c r="AB312" s="16"/>
      <c r="AC312" s="16"/>
      <c r="AD312" s="16"/>
      <c r="AE312" s="16"/>
      <c r="AF312" s="16"/>
    </row>
    <row r="313" spans="1:32">
      <c r="A313" s="188"/>
      <c r="B313" s="154"/>
      <c r="C313" s="189"/>
      <c r="D313" s="190"/>
      <c r="E313" s="191"/>
      <c r="F313" s="146" t="s">
        <v>643</v>
      </c>
      <c r="G313" s="189" t="s">
        <v>631</v>
      </c>
      <c r="H313" s="192" t="s">
        <v>580</v>
      </c>
      <c r="I313" s="195">
        <v>1800000</v>
      </c>
      <c r="J313" s="171"/>
      <c r="K313" s="171"/>
      <c r="L313" s="171"/>
      <c r="M313" s="171"/>
      <c r="N313" s="158"/>
      <c r="O313" s="171"/>
      <c r="P313" s="171"/>
      <c r="Q313" s="171"/>
      <c r="R313" s="171"/>
      <c r="S313" s="171"/>
      <c r="T313" s="158"/>
      <c r="U313" s="171"/>
      <c r="V313" s="16"/>
      <c r="W313" s="16"/>
      <c r="X313" s="16"/>
      <c r="Y313" s="16"/>
      <c r="Z313" s="16"/>
      <c r="AA313" s="16"/>
      <c r="AB313" s="16"/>
      <c r="AC313" s="16"/>
      <c r="AD313" s="16"/>
      <c r="AE313" s="16"/>
      <c r="AF313" s="16"/>
    </row>
    <row r="314" spans="1:32">
      <c r="A314" s="188"/>
      <c r="B314" s="154"/>
      <c r="C314" s="189"/>
      <c r="D314" s="190"/>
      <c r="E314" s="191"/>
      <c r="F314" s="146" t="s">
        <v>644</v>
      </c>
      <c r="G314" s="189" t="s">
        <v>631</v>
      </c>
      <c r="H314" s="192" t="s">
        <v>580</v>
      </c>
      <c r="I314" s="195">
        <v>9300000</v>
      </c>
      <c r="J314" s="171"/>
      <c r="K314" s="171"/>
      <c r="L314" s="171"/>
      <c r="M314" s="171"/>
      <c r="N314" s="158"/>
      <c r="O314" s="171"/>
      <c r="P314" s="171"/>
      <c r="Q314" s="171"/>
      <c r="R314" s="171"/>
      <c r="S314" s="171"/>
      <c r="T314" s="158"/>
      <c r="U314" s="171"/>
      <c r="V314" s="16"/>
      <c r="W314" s="16"/>
      <c r="X314" s="16"/>
      <c r="Y314" s="16"/>
      <c r="Z314" s="16"/>
      <c r="AA314" s="16"/>
      <c r="AB314" s="16"/>
      <c r="AC314" s="16"/>
      <c r="AD314" s="16"/>
      <c r="AE314" s="16"/>
      <c r="AF314" s="16"/>
    </row>
    <row r="315" spans="1:32">
      <c r="A315" s="188"/>
      <c r="B315" s="154"/>
      <c r="C315" s="189"/>
      <c r="D315" s="189"/>
      <c r="E315" s="189"/>
      <c r="F315" s="148" t="s">
        <v>645</v>
      </c>
      <c r="G315" s="189" t="s">
        <v>631</v>
      </c>
      <c r="H315" s="192" t="s">
        <v>580</v>
      </c>
      <c r="I315" s="195">
        <v>1000000</v>
      </c>
      <c r="J315" s="188"/>
      <c r="K315" s="188"/>
      <c r="L315" s="188"/>
      <c r="M315" s="188"/>
      <c r="N315" s="188"/>
      <c r="O315" s="157"/>
      <c r="P315" s="188"/>
      <c r="Q315" s="188"/>
      <c r="R315" s="188"/>
      <c r="S315" s="188"/>
      <c r="T315" s="188"/>
      <c r="U315" s="157"/>
      <c r="V315" s="16"/>
      <c r="W315" s="16"/>
      <c r="X315" s="16"/>
      <c r="Y315" s="16"/>
      <c r="Z315" s="16"/>
      <c r="AA315" s="16"/>
      <c r="AB315" s="16"/>
      <c r="AC315" s="16"/>
      <c r="AD315" s="16"/>
      <c r="AE315" s="16"/>
      <c r="AF315" s="16"/>
    </row>
    <row r="316" spans="1:32">
      <c r="A316" s="188"/>
      <c r="B316" s="154"/>
      <c r="C316" s="189"/>
      <c r="D316" s="189"/>
      <c r="E316" s="189"/>
      <c r="F316" s="148" t="s">
        <v>646</v>
      </c>
      <c r="G316" s="189"/>
      <c r="H316" s="192"/>
      <c r="I316" s="195">
        <f>33553000+34800000</f>
        <v>68353000</v>
      </c>
      <c r="J316" s="188"/>
      <c r="K316" s="188"/>
      <c r="L316" s="188"/>
      <c r="M316" s="188"/>
      <c r="N316" s="188"/>
      <c r="O316" s="157"/>
      <c r="P316" s="188"/>
      <c r="Q316" s="188"/>
      <c r="R316" s="188"/>
      <c r="S316" s="188"/>
      <c r="T316" s="188"/>
      <c r="U316" s="157"/>
      <c r="V316" s="16"/>
      <c r="W316" s="16"/>
      <c r="X316" s="16"/>
      <c r="Y316" s="16"/>
      <c r="Z316" s="16"/>
      <c r="AA316" s="16"/>
      <c r="AB316" s="16"/>
      <c r="AC316" s="16"/>
      <c r="AD316" s="16"/>
      <c r="AE316" s="16"/>
      <c r="AF316" s="16"/>
    </row>
    <row r="317" spans="1:32" ht="30">
      <c r="A317" s="153"/>
      <c r="B317" s="154"/>
      <c r="C317" s="27" t="s">
        <v>647</v>
      </c>
      <c r="D317" s="167">
        <v>0.8</v>
      </c>
      <c r="E317" s="27" t="s">
        <v>648</v>
      </c>
      <c r="F317" s="27" t="s">
        <v>649</v>
      </c>
      <c r="G317" s="27" t="s">
        <v>650</v>
      </c>
      <c r="H317" s="27" t="s">
        <v>651</v>
      </c>
      <c r="I317" s="29">
        <v>134434000</v>
      </c>
      <c r="J317" s="153"/>
      <c r="K317" s="153"/>
      <c r="L317" s="158"/>
      <c r="M317" s="153"/>
      <c r="N317" s="153"/>
      <c r="O317" s="158"/>
      <c r="P317" s="153"/>
      <c r="Q317" s="153"/>
      <c r="R317" s="158"/>
      <c r="S317" s="153"/>
      <c r="T317" s="153"/>
      <c r="U317" s="158"/>
      <c r="V317" s="16"/>
      <c r="W317" s="16"/>
      <c r="X317" s="16"/>
      <c r="Y317" s="16"/>
      <c r="Z317" s="16"/>
      <c r="AA317" s="16"/>
      <c r="AB317" s="16"/>
      <c r="AC317" s="16"/>
      <c r="AD317" s="16"/>
      <c r="AE317" s="16"/>
      <c r="AF317" s="16"/>
    </row>
    <row r="318" spans="1:32">
      <c r="A318" s="153"/>
      <c r="B318" s="154"/>
      <c r="C318" s="27"/>
      <c r="D318" s="27"/>
      <c r="E318" s="27"/>
      <c r="F318" s="27" t="s">
        <v>652</v>
      </c>
      <c r="G318" s="27" t="s">
        <v>650</v>
      </c>
      <c r="H318" s="27" t="s">
        <v>622</v>
      </c>
      <c r="I318" s="29">
        <v>564371820</v>
      </c>
      <c r="J318" s="153"/>
      <c r="K318" s="153"/>
      <c r="L318" s="158"/>
      <c r="M318" s="153"/>
      <c r="N318" s="153"/>
      <c r="O318" s="158"/>
      <c r="P318" s="153"/>
      <c r="Q318" s="153"/>
      <c r="R318" s="158"/>
      <c r="S318" s="153"/>
      <c r="T318" s="153"/>
      <c r="U318" s="158"/>
      <c r="V318" s="16"/>
      <c r="W318" s="16"/>
      <c r="X318" s="16"/>
      <c r="Y318" s="16"/>
      <c r="Z318" s="16"/>
      <c r="AA318" s="16"/>
      <c r="AB318" s="16"/>
      <c r="AC318" s="16"/>
      <c r="AD318" s="16"/>
      <c r="AE318" s="16"/>
      <c r="AF318" s="16"/>
    </row>
    <row r="319" spans="1:32">
      <c r="A319" s="153"/>
      <c r="B319" s="154"/>
      <c r="C319" s="27"/>
      <c r="D319" s="167"/>
      <c r="E319" s="27"/>
      <c r="F319" s="27" t="s">
        <v>653</v>
      </c>
      <c r="G319" s="29" t="s">
        <v>654</v>
      </c>
      <c r="H319" s="27" t="s">
        <v>559</v>
      </c>
      <c r="I319" s="29">
        <v>5000000</v>
      </c>
      <c r="J319" s="157"/>
      <c r="K319" s="157"/>
      <c r="L319" s="157"/>
      <c r="M319" s="157"/>
      <c r="N319" s="157"/>
      <c r="O319" s="157"/>
      <c r="P319" s="157"/>
      <c r="Q319" s="157"/>
      <c r="R319" s="157"/>
      <c r="S319" s="157"/>
      <c r="T319" s="157"/>
      <c r="U319" s="157"/>
      <c r="V319" s="16"/>
      <c r="W319" s="16"/>
      <c r="X319" s="16"/>
      <c r="Y319" s="16"/>
      <c r="Z319" s="16"/>
      <c r="AA319" s="16"/>
      <c r="AB319" s="16"/>
      <c r="AC319" s="16"/>
      <c r="AD319" s="16"/>
      <c r="AE319" s="16"/>
      <c r="AF319" s="16"/>
    </row>
    <row r="320" spans="1:32">
      <c r="A320" s="153"/>
      <c r="B320" s="154"/>
      <c r="C320" s="27"/>
      <c r="D320" s="167"/>
      <c r="E320" s="27"/>
      <c r="F320" s="27" t="s">
        <v>655</v>
      </c>
      <c r="G320" s="27"/>
      <c r="H320" s="27" t="s">
        <v>559</v>
      </c>
      <c r="I320" s="29">
        <v>0</v>
      </c>
      <c r="J320" s="157"/>
      <c r="K320" s="157"/>
      <c r="L320" s="157"/>
      <c r="M320" s="157"/>
      <c r="N320" s="157"/>
      <c r="O320" s="157"/>
      <c r="P320" s="157"/>
      <c r="Q320" s="157"/>
      <c r="R320" s="157"/>
      <c r="S320" s="157"/>
      <c r="T320" s="157"/>
      <c r="U320" s="157"/>
      <c r="V320" s="16"/>
      <c r="W320" s="16"/>
      <c r="X320" s="16"/>
      <c r="Y320" s="16"/>
      <c r="Z320" s="16"/>
      <c r="AA320" s="16"/>
      <c r="AB320" s="16"/>
      <c r="AC320" s="16"/>
      <c r="AD320" s="16"/>
      <c r="AE320" s="16"/>
      <c r="AF320" s="16"/>
    </row>
    <row r="321" spans="1:32" ht="15.75">
      <c r="A321" s="896" t="s">
        <v>7</v>
      </c>
      <c r="B321" s="888"/>
      <c r="C321" s="888"/>
      <c r="D321" s="927"/>
      <c r="E321" s="196"/>
      <c r="F321" s="196"/>
      <c r="G321" s="197"/>
      <c r="H321" s="198"/>
      <c r="I321" s="199">
        <f>SUM(I143:I320)</f>
        <v>2924840570</v>
      </c>
      <c r="J321" s="200"/>
      <c r="K321" s="98"/>
      <c r="L321" s="201"/>
      <c r="M321" s="202"/>
      <c r="N321" s="202"/>
      <c r="O321" s="202"/>
      <c r="P321" s="202"/>
      <c r="Q321" s="202"/>
      <c r="R321" s="202"/>
      <c r="S321" s="202"/>
      <c r="T321" s="202"/>
      <c r="U321" s="202"/>
      <c r="V321" s="1008"/>
    </row>
    <row r="322" spans="1:32">
      <c r="A322" s="70"/>
      <c r="B322" s="66"/>
      <c r="C322" s="66"/>
      <c r="D322" s="67"/>
      <c r="E322" s="66"/>
      <c r="F322" s="66"/>
      <c r="G322" s="66"/>
      <c r="H322" s="66"/>
      <c r="I322" s="69"/>
      <c r="J322" s="70"/>
      <c r="K322" s="70"/>
      <c r="L322" s="70"/>
      <c r="M322" s="70"/>
      <c r="N322" s="70"/>
      <c r="O322" s="70"/>
      <c r="P322" s="70"/>
      <c r="Q322" s="70"/>
      <c r="R322" s="70"/>
      <c r="S322" s="70"/>
      <c r="T322" s="70"/>
      <c r="U322" s="70"/>
      <c r="V322" s="70"/>
    </row>
    <row r="323" spans="1:32">
      <c r="A323" s="70"/>
      <c r="B323" s="66"/>
      <c r="C323" s="66"/>
      <c r="D323" s="67"/>
      <c r="E323" s="66"/>
      <c r="F323" s="66"/>
      <c r="G323" s="66"/>
      <c r="H323" s="66"/>
      <c r="I323" s="69"/>
      <c r="J323" s="70"/>
      <c r="K323" s="70"/>
      <c r="L323" s="70"/>
      <c r="M323" s="70"/>
      <c r="N323" s="70"/>
      <c r="O323" s="70"/>
      <c r="P323" s="70"/>
      <c r="Q323" s="70"/>
      <c r="R323" s="70"/>
      <c r="S323" s="70"/>
      <c r="T323" s="70"/>
      <c r="U323" s="70"/>
      <c r="V323" s="70"/>
    </row>
    <row r="324" spans="1:32" ht="15.75">
      <c r="A324" s="70"/>
      <c r="B324" s="66"/>
      <c r="C324" s="1006"/>
      <c r="E324" s="203"/>
      <c r="F324" s="66"/>
      <c r="G324" s="66"/>
      <c r="H324" s="66"/>
      <c r="I324" s="69"/>
      <c r="J324" s="70"/>
      <c r="K324" s="70"/>
      <c r="L324" s="70"/>
      <c r="M324" s="70"/>
      <c r="N324" s="70"/>
      <c r="O324" s="70"/>
      <c r="P324" s="70"/>
      <c r="Q324" s="70"/>
      <c r="R324" s="70"/>
      <c r="S324" s="70"/>
      <c r="T324" s="70"/>
      <c r="U324" s="70"/>
      <c r="V324" s="70"/>
    </row>
    <row r="325" spans="1:32" ht="15.75">
      <c r="A325" s="70"/>
      <c r="B325" s="66"/>
      <c r="C325" s="1007"/>
      <c r="E325" s="204"/>
      <c r="F325" s="66"/>
      <c r="G325" s="66"/>
      <c r="H325" s="66"/>
      <c r="I325" s="69"/>
      <c r="J325" s="70"/>
      <c r="K325" s="70"/>
      <c r="L325" s="70"/>
      <c r="M325" s="70"/>
      <c r="N325" s="70"/>
      <c r="O325" s="70"/>
      <c r="P325" s="70"/>
      <c r="Q325" s="70"/>
      <c r="R325" s="70"/>
      <c r="S325" s="70"/>
      <c r="T325" s="70"/>
      <c r="U325" s="70"/>
      <c r="V325" s="70"/>
    </row>
    <row r="326" spans="1:32" ht="15.75">
      <c r="A326" s="70"/>
      <c r="B326" s="66"/>
      <c r="C326" s="1007"/>
      <c r="E326" s="204"/>
      <c r="F326" s="66"/>
      <c r="G326" s="66"/>
      <c r="H326" s="66"/>
      <c r="I326" s="69"/>
      <c r="J326" s="70"/>
      <c r="K326" s="70"/>
      <c r="L326" s="70"/>
      <c r="M326" s="70"/>
      <c r="N326" s="70"/>
      <c r="O326" s="70"/>
      <c r="P326" s="70"/>
      <c r="Q326" s="70"/>
      <c r="R326" s="70"/>
      <c r="S326" s="70"/>
      <c r="T326" s="70"/>
      <c r="U326" s="70"/>
      <c r="V326" s="70"/>
    </row>
    <row r="327" spans="1:32" ht="15.75">
      <c r="A327" s="70"/>
      <c r="B327" s="66"/>
      <c r="C327" s="66"/>
      <c r="E327" s="205"/>
      <c r="F327" s="66"/>
      <c r="G327" s="66"/>
      <c r="H327" s="66"/>
      <c r="I327" s="69"/>
      <c r="J327" s="70"/>
      <c r="K327" s="70"/>
      <c r="L327" s="70"/>
      <c r="M327" s="70"/>
      <c r="N327" s="70"/>
      <c r="O327" s="70"/>
      <c r="P327" s="70"/>
      <c r="Q327" s="70"/>
      <c r="R327" s="70"/>
      <c r="S327" s="70"/>
      <c r="T327" s="70"/>
      <c r="U327" s="70"/>
      <c r="V327" s="70"/>
    </row>
    <row r="328" spans="1:32">
      <c r="A328" s="70"/>
      <c r="B328" s="66"/>
      <c r="C328" s="66"/>
      <c r="E328" s="69"/>
      <c r="F328" s="66"/>
      <c r="G328" s="66"/>
      <c r="H328" s="66"/>
      <c r="I328" s="69"/>
      <c r="J328" s="70"/>
      <c r="K328" s="70"/>
      <c r="L328" s="70"/>
      <c r="M328" s="70"/>
      <c r="N328" s="70"/>
      <c r="O328" s="70"/>
      <c r="P328" s="70"/>
      <c r="Q328" s="70"/>
      <c r="R328" s="70"/>
      <c r="S328" s="70"/>
      <c r="T328" s="70"/>
      <c r="U328" s="70"/>
      <c r="V328" s="70"/>
      <c r="W328" s="16"/>
      <c r="X328" s="16"/>
      <c r="Y328" s="16"/>
      <c r="Z328" s="16"/>
      <c r="AA328" s="16"/>
      <c r="AB328" s="16"/>
      <c r="AC328" s="16"/>
      <c r="AD328" s="16"/>
      <c r="AE328" s="16"/>
      <c r="AF328" s="16"/>
    </row>
    <row r="329" spans="1:32" ht="15.75">
      <c r="A329" s="70"/>
      <c r="B329" s="66"/>
      <c r="C329" s="206"/>
      <c r="E329" s="207"/>
      <c r="F329" s="67"/>
      <c r="G329" s="66"/>
      <c r="H329" s="66"/>
      <c r="I329" s="69"/>
      <c r="J329" s="70"/>
      <c r="K329" s="70"/>
      <c r="L329" s="70"/>
      <c r="M329" s="70"/>
      <c r="N329" s="70"/>
      <c r="O329" s="70"/>
      <c r="P329" s="70"/>
      <c r="Q329" s="70"/>
      <c r="R329" s="70"/>
      <c r="S329" s="70"/>
      <c r="T329" s="70"/>
      <c r="U329" s="70"/>
      <c r="V329" s="70"/>
    </row>
    <row r="330" spans="1:32">
      <c r="A330" s="70"/>
      <c r="B330" s="66"/>
      <c r="C330" s="66"/>
      <c r="D330" s="67"/>
      <c r="E330" s="66"/>
      <c r="F330" s="66"/>
      <c r="G330" s="66"/>
      <c r="H330" s="66"/>
      <c r="I330" s="69"/>
      <c r="J330" s="70"/>
      <c r="K330" s="70"/>
      <c r="L330" s="70"/>
      <c r="M330" s="70"/>
      <c r="N330" s="70"/>
      <c r="O330" s="70"/>
      <c r="P330" s="70"/>
      <c r="Q330" s="70"/>
      <c r="R330" s="70"/>
      <c r="S330" s="70"/>
      <c r="T330" s="70"/>
      <c r="U330" s="70"/>
      <c r="V330" s="70"/>
    </row>
    <row r="331" spans="1:32">
      <c r="A331" s="70"/>
      <c r="B331" s="66"/>
      <c r="C331" s="66"/>
      <c r="D331" s="103"/>
      <c r="E331" s="69"/>
      <c r="F331" s="66"/>
      <c r="G331" s="66"/>
      <c r="H331" s="66"/>
      <c r="I331" s="69"/>
      <c r="J331" s="70"/>
      <c r="K331" s="70"/>
      <c r="L331" s="70"/>
      <c r="M331" s="70"/>
      <c r="N331" s="70"/>
      <c r="O331" s="70"/>
      <c r="P331" s="70"/>
      <c r="Q331" s="70"/>
      <c r="R331" s="70"/>
      <c r="S331" s="70"/>
      <c r="T331" s="70"/>
      <c r="U331" s="70"/>
      <c r="V331" s="70"/>
    </row>
    <row r="332" spans="1:32">
      <c r="A332" s="70"/>
      <c r="B332" s="66"/>
      <c r="C332" s="66"/>
      <c r="D332" s="67"/>
      <c r="E332" s="66"/>
      <c r="F332" s="66"/>
      <c r="G332" s="66"/>
      <c r="H332" s="66"/>
      <c r="I332" s="69"/>
      <c r="J332" s="70"/>
      <c r="K332" s="70"/>
      <c r="L332" s="70"/>
      <c r="M332" s="70"/>
      <c r="N332" s="70"/>
      <c r="O332" s="70"/>
      <c r="P332" s="70"/>
      <c r="Q332" s="70"/>
      <c r="R332" s="70"/>
      <c r="S332" s="70"/>
      <c r="T332" s="70"/>
      <c r="U332" s="70"/>
      <c r="V332" s="70"/>
    </row>
    <row r="333" spans="1:32">
      <c r="A333" s="70"/>
      <c r="B333" s="66"/>
      <c r="C333" s="66"/>
      <c r="D333" s="67"/>
      <c r="E333" s="66"/>
      <c r="F333" s="66"/>
      <c r="G333" s="66"/>
      <c r="H333" s="66"/>
      <c r="I333" s="69"/>
      <c r="J333" s="70"/>
      <c r="K333" s="70"/>
      <c r="L333" s="70"/>
      <c r="M333" s="70"/>
      <c r="N333" s="70"/>
      <c r="O333" s="70"/>
      <c r="P333" s="70"/>
      <c r="Q333" s="70"/>
      <c r="R333" s="70"/>
      <c r="S333" s="70"/>
      <c r="T333" s="70"/>
      <c r="U333" s="70"/>
      <c r="V333" s="70"/>
    </row>
    <row r="334" spans="1:32">
      <c r="A334" s="70"/>
      <c r="B334" s="66"/>
      <c r="C334" s="66"/>
      <c r="D334" s="67"/>
      <c r="E334" s="66"/>
      <c r="F334" s="66"/>
      <c r="G334" s="66"/>
      <c r="H334" s="66"/>
      <c r="I334" s="69"/>
      <c r="J334" s="70"/>
      <c r="K334" s="70"/>
      <c r="L334" s="70"/>
      <c r="M334" s="70"/>
      <c r="N334" s="70"/>
      <c r="O334" s="70"/>
      <c r="P334" s="70"/>
      <c r="Q334" s="70"/>
      <c r="R334" s="70"/>
      <c r="S334" s="70"/>
      <c r="T334" s="70"/>
      <c r="U334" s="70"/>
      <c r="V334" s="70"/>
    </row>
    <row r="335" spans="1:32">
      <c r="A335" s="70"/>
      <c r="B335" s="66"/>
      <c r="C335" s="66"/>
      <c r="D335" s="67"/>
      <c r="E335" s="66"/>
      <c r="F335" s="66"/>
      <c r="G335" s="66"/>
      <c r="H335" s="66"/>
      <c r="I335" s="69"/>
      <c r="J335" s="70"/>
      <c r="K335" s="70"/>
      <c r="L335" s="70"/>
      <c r="M335" s="70"/>
      <c r="N335" s="70"/>
      <c r="O335" s="70"/>
      <c r="P335" s="70"/>
      <c r="Q335" s="70"/>
      <c r="R335" s="70"/>
      <c r="S335" s="70"/>
      <c r="T335" s="70"/>
      <c r="U335" s="70"/>
      <c r="V335" s="70"/>
    </row>
    <row r="336" spans="1:32">
      <c r="A336" s="70"/>
      <c r="B336" s="66"/>
      <c r="C336" s="66"/>
      <c r="D336" s="67"/>
      <c r="E336" s="66"/>
      <c r="F336" s="66"/>
      <c r="G336" s="66"/>
      <c r="H336" s="66"/>
      <c r="I336" s="69"/>
      <c r="J336" s="70"/>
      <c r="K336" s="70"/>
      <c r="L336" s="70"/>
      <c r="M336" s="70"/>
      <c r="N336" s="70"/>
      <c r="O336" s="70"/>
      <c r="P336" s="70"/>
      <c r="Q336" s="70"/>
      <c r="R336" s="70"/>
      <c r="S336" s="70"/>
      <c r="T336" s="70"/>
      <c r="U336" s="70"/>
      <c r="V336" s="70"/>
    </row>
    <row r="337" spans="1:22">
      <c r="A337" s="70"/>
      <c r="B337" s="66"/>
      <c r="C337" s="66"/>
      <c r="D337" s="67"/>
      <c r="E337" s="66"/>
      <c r="F337" s="66"/>
      <c r="G337" s="66"/>
      <c r="H337" s="66"/>
      <c r="I337" s="69"/>
      <c r="J337" s="70"/>
      <c r="K337" s="70"/>
      <c r="L337" s="70"/>
      <c r="M337" s="70"/>
      <c r="N337" s="70"/>
      <c r="O337" s="70"/>
      <c r="P337" s="70"/>
      <c r="Q337" s="70"/>
      <c r="R337" s="70"/>
      <c r="S337" s="70"/>
      <c r="T337" s="70"/>
      <c r="U337" s="70"/>
      <c r="V337" s="70"/>
    </row>
    <row r="338" spans="1:22">
      <c r="A338" s="70"/>
      <c r="B338" s="66"/>
      <c r="C338" s="66"/>
      <c r="D338" s="67"/>
      <c r="E338" s="66"/>
      <c r="F338" s="66"/>
      <c r="G338" s="66"/>
      <c r="H338" s="66"/>
      <c r="I338" s="69"/>
      <c r="J338" s="70"/>
      <c r="K338" s="70"/>
      <c r="L338" s="70"/>
      <c r="M338" s="70"/>
      <c r="N338" s="70"/>
      <c r="O338" s="70"/>
      <c r="P338" s="70"/>
      <c r="Q338" s="70"/>
      <c r="R338" s="70"/>
      <c r="S338" s="70"/>
      <c r="T338" s="70"/>
      <c r="U338" s="70"/>
      <c r="V338" s="70"/>
    </row>
    <row r="339" spans="1:22">
      <c r="A339" s="70"/>
      <c r="B339" s="66"/>
      <c r="C339" s="66"/>
      <c r="D339" s="67"/>
      <c r="E339" s="66"/>
      <c r="F339" s="66"/>
      <c r="G339" s="66"/>
      <c r="H339" s="66"/>
      <c r="I339" s="69"/>
      <c r="J339" s="70"/>
      <c r="K339" s="70"/>
      <c r="L339" s="70"/>
      <c r="M339" s="70"/>
      <c r="N339" s="70"/>
      <c r="O339" s="70"/>
      <c r="P339" s="70"/>
      <c r="Q339" s="70"/>
      <c r="R339" s="70"/>
      <c r="S339" s="70"/>
      <c r="T339" s="70"/>
      <c r="U339" s="70"/>
      <c r="V339" s="70"/>
    </row>
    <row r="340" spans="1:22">
      <c r="A340" s="70"/>
      <c r="B340" s="66"/>
      <c r="C340" s="66"/>
      <c r="D340" s="67"/>
      <c r="E340" s="66"/>
      <c r="F340" s="66"/>
      <c r="G340" s="66"/>
      <c r="H340" s="66"/>
      <c r="I340" s="69"/>
      <c r="J340" s="70"/>
      <c r="K340" s="70"/>
      <c r="L340" s="70"/>
      <c r="M340" s="70"/>
      <c r="N340" s="70"/>
      <c r="O340" s="70"/>
      <c r="P340" s="70"/>
      <c r="Q340" s="70"/>
      <c r="R340" s="70"/>
      <c r="S340" s="70"/>
      <c r="T340" s="70"/>
      <c r="U340" s="70"/>
      <c r="V340" s="70"/>
    </row>
    <row r="341" spans="1:22">
      <c r="A341" s="70"/>
      <c r="B341" s="66"/>
      <c r="C341" s="66"/>
      <c r="D341" s="67"/>
      <c r="E341" s="66"/>
      <c r="F341" s="66"/>
      <c r="G341" s="66"/>
      <c r="H341" s="66"/>
      <c r="I341" s="69"/>
      <c r="J341" s="70"/>
      <c r="K341" s="70"/>
      <c r="L341" s="70"/>
      <c r="M341" s="70"/>
      <c r="N341" s="70"/>
      <c r="O341" s="70"/>
      <c r="P341" s="70"/>
      <c r="Q341" s="70"/>
      <c r="R341" s="70"/>
      <c r="S341" s="70"/>
      <c r="T341" s="70"/>
      <c r="U341" s="70"/>
      <c r="V341" s="70"/>
    </row>
    <row r="342" spans="1:22">
      <c r="A342" s="70"/>
      <c r="B342" s="66"/>
      <c r="C342" s="66"/>
      <c r="D342" s="67"/>
      <c r="E342" s="66"/>
      <c r="F342" s="66"/>
      <c r="G342" s="66"/>
      <c r="H342" s="66"/>
      <c r="I342" s="69"/>
      <c r="J342" s="70"/>
      <c r="K342" s="70"/>
      <c r="L342" s="70"/>
      <c r="M342" s="70"/>
      <c r="N342" s="70"/>
      <c r="O342" s="70"/>
      <c r="P342" s="70"/>
      <c r="Q342" s="70"/>
      <c r="R342" s="70"/>
      <c r="S342" s="70"/>
      <c r="T342" s="70"/>
      <c r="U342" s="70"/>
      <c r="V342" s="70"/>
    </row>
    <row r="343" spans="1:22">
      <c r="A343" s="70"/>
      <c r="B343" s="66"/>
      <c r="C343" s="66"/>
      <c r="D343" s="67"/>
      <c r="E343" s="66"/>
      <c r="F343" s="66"/>
      <c r="G343" s="66"/>
      <c r="H343" s="66"/>
      <c r="I343" s="69"/>
      <c r="J343" s="70"/>
      <c r="K343" s="70"/>
      <c r="L343" s="70"/>
      <c r="M343" s="70"/>
      <c r="N343" s="70"/>
      <c r="O343" s="70"/>
      <c r="P343" s="70"/>
      <c r="Q343" s="70"/>
      <c r="R343" s="70"/>
      <c r="S343" s="70"/>
      <c r="T343" s="70"/>
      <c r="U343" s="70"/>
      <c r="V343" s="70"/>
    </row>
    <row r="344" spans="1:22">
      <c r="A344" s="70"/>
      <c r="B344" s="66"/>
      <c r="C344" s="66"/>
      <c r="D344" s="67"/>
      <c r="E344" s="66"/>
      <c r="F344" s="66"/>
      <c r="G344" s="66"/>
      <c r="H344" s="66"/>
      <c r="I344" s="69"/>
      <c r="J344" s="70"/>
      <c r="K344" s="70"/>
      <c r="L344" s="70"/>
      <c r="M344" s="70"/>
      <c r="N344" s="70"/>
      <c r="O344" s="70"/>
      <c r="P344" s="70"/>
      <c r="Q344" s="70"/>
      <c r="R344" s="70"/>
      <c r="S344" s="70"/>
      <c r="T344" s="70"/>
      <c r="U344" s="70"/>
      <c r="V344" s="70"/>
    </row>
    <row r="345" spans="1:22">
      <c r="A345" s="70"/>
      <c r="B345" s="66"/>
      <c r="C345" s="66"/>
      <c r="D345" s="67"/>
      <c r="E345" s="66"/>
      <c r="F345" s="66"/>
      <c r="G345" s="66"/>
      <c r="H345" s="66"/>
      <c r="I345" s="69"/>
      <c r="J345" s="70"/>
      <c r="K345" s="70"/>
      <c r="L345" s="70"/>
      <c r="M345" s="70"/>
      <c r="N345" s="70"/>
      <c r="O345" s="70"/>
      <c r="P345" s="70"/>
      <c r="Q345" s="70"/>
      <c r="R345" s="70"/>
      <c r="S345" s="70"/>
      <c r="T345" s="70"/>
      <c r="U345" s="70"/>
      <c r="V345" s="70"/>
    </row>
    <row r="346" spans="1:22">
      <c r="A346" s="70"/>
      <c r="B346" s="66"/>
      <c r="C346" s="66"/>
      <c r="D346" s="67"/>
      <c r="E346" s="66"/>
      <c r="F346" s="66"/>
      <c r="G346" s="66"/>
      <c r="H346" s="66"/>
      <c r="I346" s="69"/>
      <c r="J346" s="70"/>
      <c r="K346" s="70"/>
      <c r="L346" s="70"/>
      <c r="M346" s="70"/>
      <c r="N346" s="70"/>
      <c r="O346" s="70"/>
      <c r="P346" s="70"/>
      <c r="Q346" s="70"/>
      <c r="R346" s="70"/>
      <c r="S346" s="70"/>
      <c r="T346" s="70"/>
      <c r="U346" s="70"/>
      <c r="V346" s="70"/>
    </row>
    <row r="347" spans="1:22">
      <c r="A347" s="70"/>
      <c r="B347" s="66"/>
      <c r="C347" s="66"/>
      <c r="D347" s="67"/>
      <c r="E347" s="66"/>
      <c r="F347" s="66"/>
      <c r="G347" s="66"/>
      <c r="H347" s="66"/>
      <c r="I347" s="69"/>
      <c r="J347" s="70"/>
      <c r="K347" s="70"/>
      <c r="L347" s="70"/>
      <c r="M347" s="70"/>
      <c r="N347" s="70"/>
      <c r="O347" s="70"/>
      <c r="P347" s="70"/>
      <c r="Q347" s="70"/>
      <c r="R347" s="70"/>
      <c r="S347" s="70"/>
      <c r="T347" s="70"/>
      <c r="U347" s="70"/>
      <c r="V347" s="70"/>
    </row>
    <row r="348" spans="1:22">
      <c r="A348" s="70"/>
      <c r="B348" s="66"/>
      <c r="C348" s="66"/>
      <c r="D348" s="67"/>
      <c r="E348" s="66"/>
      <c r="F348" s="66"/>
      <c r="G348" s="66"/>
      <c r="H348" s="66"/>
      <c r="I348" s="69"/>
      <c r="J348" s="70"/>
      <c r="K348" s="70"/>
      <c r="L348" s="70"/>
      <c r="M348" s="70"/>
      <c r="N348" s="70"/>
      <c r="O348" s="70"/>
      <c r="P348" s="70"/>
      <c r="Q348" s="70"/>
      <c r="R348" s="70"/>
      <c r="S348" s="70"/>
      <c r="T348" s="70"/>
      <c r="U348" s="70"/>
      <c r="V348" s="70"/>
    </row>
    <row r="349" spans="1:22">
      <c r="A349" s="70"/>
      <c r="B349" s="66"/>
      <c r="C349" s="66"/>
      <c r="D349" s="67"/>
      <c r="E349" s="66"/>
      <c r="F349" s="66"/>
      <c r="G349" s="66"/>
      <c r="H349" s="66"/>
      <c r="I349" s="69"/>
      <c r="J349" s="70"/>
      <c r="K349" s="70"/>
      <c r="L349" s="70"/>
      <c r="M349" s="70"/>
      <c r="N349" s="70"/>
      <c r="O349" s="70"/>
      <c r="P349" s="70"/>
      <c r="Q349" s="70"/>
      <c r="R349" s="70"/>
      <c r="S349" s="70"/>
      <c r="T349" s="70"/>
      <c r="U349" s="70"/>
      <c r="V349" s="70"/>
    </row>
    <row r="350" spans="1:22">
      <c r="A350" s="70"/>
      <c r="B350" s="66"/>
      <c r="C350" s="66"/>
      <c r="D350" s="67"/>
      <c r="E350" s="66"/>
      <c r="F350" s="66"/>
      <c r="G350" s="66"/>
      <c r="H350" s="66"/>
      <c r="I350" s="69"/>
      <c r="J350" s="70"/>
      <c r="K350" s="70"/>
      <c r="L350" s="70"/>
      <c r="M350" s="70"/>
      <c r="N350" s="70"/>
      <c r="O350" s="70"/>
      <c r="P350" s="70"/>
      <c r="Q350" s="70"/>
      <c r="R350" s="70"/>
      <c r="S350" s="70"/>
      <c r="T350" s="70"/>
      <c r="U350" s="70"/>
      <c r="V350" s="70"/>
    </row>
    <row r="351" spans="1:22">
      <c r="A351" s="70"/>
      <c r="B351" s="66"/>
      <c r="C351" s="66"/>
      <c r="D351" s="67"/>
      <c r="E351" s="66"/>
      <c r="F351" s="66"/>
      <c r="G351" s="66"/>
      <c r="H351" s="66"/>
      <c r="I351" s="69"/>
      <c r="J351" s="70"/>
      <c r="K351" s="70"/>
      <c r="L351" s="70"/>
      <c r="M351" s="70"/>
      <c r="N351" s="70"/>
      <c r="O351" s="70"/>
      <c r="P351" s="70"/>
      <c r="Q351" s="70"/>
      <c r="R351" s="70"/>
      <c r="S351" s="70"/>
      <c r="T351" s="70"/>
      <c r="U351" s="70"/>
      <c r="V351" s="70"/>
    </row>
    <row r="352" spans="1:22">
      <c r="A352" s="70"/>
      <c r="B352" s="66"/>
      <c r="C352" s="66"/>
      <c r="D352" s="67"/>
      <c r="E352" s="66"/>
      <c r="F352" s="66"/>
      <c r="G352" s="66"/>
      <c r="H352" s="66"/>
      <c r="I352" s="69"/>
      <c r="J352" s="70"/>
      <c r="K352" s="70"/>
      <c r="L352" s="70"/>
      <c r="M352" s="70"/>
      <c r="N352" s="70"/>
      <c r="O352" s="70"/>
      <c r="P352" s="70"/>
      <c r="Q352" s="70"/>
      <c r="R352" s="70"/>
      <c r="S352" s="70"/>
      <c r="T352" s="70"/>
      <c r="U352" s="70"/>
      <c r="V352" s="70"/>
    </row>
    <row r="353" spans="1:22">
      <c r="A353" s="70"/>
      <c r="B353" s="66"/>
      <c r="C353" s="66"/>
      <c r="D353" s="67"/>
      <c r="E353" s="66"/>
      <c r="F353" s="66"/>
      <c r="G353" s="66"/>
      <c r="H353" s="66"/>
      <c r="I353" s="69"/>
      <c r="J353" s="70"/>
      <c r="K353" s="70"/>
      <c r="L353" s="70"/>
      <c r="M353" s="70"/>
      <c r="N353" s="70"/>
      <c r="O353" s="70"/>
      <c r="P353" s="70"/>
      <c r="Q353" s="70"/>
      <c r="R353" s="70"/>
      <c r="S353" s="70"/>
      <c r="T353" s="70"/>
      <c r="U353" s="70"/>
      <c r="V353" s="70"/>
    </row>
    <row r="354" spans="1:22">
      <c r="A354" s="70"/>
      <c r="B354" s="66"/>
      <c r="C354" s="66"/>
      <c r="D354" s="67"/>
      <c r="E354" s="66"/>
      <c r="F354" s="66"/>
      <c r="G354" s="66"/>
      <c r="H354" s="66"/>
      <c r="I354" s="69"/>
      <c r="J354" s="70"/>
      <c r="K354" s="70"/>
      <c r="L354" s="70"/>
      <c r="M354" s="70"/>
      <c r="N354" s="70"/>
      <c r="O354" s="70"/>
      <c r="P354" s="70"/>
      <c r="Q354" s="70"/>
      <c r="R354" s="70"/>
      <c r="S354" s="70"/>
      <c r="T354" s="70"/>
      <c r="U354" s="70"/>
      <c r="V354" s="70"/>
    </row>
    <row r="355" spans="1:22">
      <c r="A355" s="70"/>
      <c r="B355" s="66"/>
      <c r="C355" s="66"/>
      <c r="D355" s="67"/>
      <c r="E355" s="66"/>
      <c r="F355" s="66"/>
      <c r="G355" s="66"/>
      <c r="H355" s="66"/>
      <c r="I355" s="69"/>
      <c r="J355" s="70"/>
      <c r="K355" s="70"/>
      <c r="L355" s="70"/>
      <c r="M355" s="70"/>
      <c r="N355" s="70"/>
      <c r="O355" s="70"/>
      <c r="P355" s="70"/>
      <c r="Q355" s="70"/>
      <c r="R355" s="70"/>
      <c r="S355" s="70"/>
      <c r="T355" s="70"/>
      <c r="U355" s="70"/>
      <c r="V355" s="70"/>
    </row>
    <row r="356" spans="1:22">
      <c r="A356" s="70"/>
      <c r="B356" s="66"/>
      <c r="C356" s="66"/>
      <c r="D356" s="67"/>
      <c r="E356" s="66"/>
      <c r="F356" s="66"/>
      <c r="G356" s="66"/>
      <c r="H356" s="66"/>
      <c r="I356" s="69"/>
      <c r="J356" s="70"/>
      <c r="K356" s="70"/>
      <c r="L356" s="70"/>
      <c r="M356" s="70"/>
      <c r="N356" s="70"/>
      <c r="O356" s="70"/>
      <c r="P356" s="70"/>
      <c r="Q356" s="70"/>
      <c r="R356" s="70"/>
      <c r="S356" s="70"/>
      <c r="T356" s="70"/>
      <c r="U356" s="70"/>
      <c r="V356" s="70"/>
    </row>
    <row r="357" spans="1:22">
      <c r="A357" s="70"/>
      <c r="B357" s="66"/>
      <c r="C357" s="66"/>
      <c r="D357" s="67"/>
      <c r="E357" s="66"/>
      <c r="F357" s="66"/>
      <c r="G357" s="66"/>
      <c r="H357" s="66"/>
      <c r="I357" s="69"/>
      <c r="J357" s="70"/>
      <c r="K357" s="70"/>
      <c r="L357" s="70"/>
      <c r="M357" s="70"/>
      <c r="N357" s="70"/>
      <c r="O357" s="70"/>
      <c r="P357" s="70"/>
      <c r="Q357" s="70"/>
      <c r="R357" s="70"/>
      <c r="S357" s="70"/>
      <c r="T357" s="70"/>
      <c r="U357" s="70"/>
      <c r="V357" s="70"/>
    </row>
    <row r="358" spans="1:22">
      <c r="A358" s="70"/>
      <c r="B358" s="66"/>
      <c r="C358" s="66"/>
      <c r="D358" s="67"/>
      <c r="E358" s="66"/>
      <c r="F358" s="66"/>
      <c r="G358" s="66"/>
      <c r="H358" s="66"/>
      <c r="I358" s="69"/>
      <c r="J358" s="70"/>
      <c r="K358" s="70"/>
      <c r="L358" s="70"/>
      <c r="M358" s="70"/>
      <c r="N358" s="70"/>
      <c r="O358" s="70"/>
      <c r="P358" s="70"/>
      <c r="Q358" s="70"/>
      <c r="R358" s="70"/>
      <c r="S358" s="70"/>
      <c r="T358" s="70"/>
      <c r="U358" s="70"/>
      <c r="V358" s="70"/>
    </row>
    <row r="359" spans="1:22">
      <c r="B359" s="67"/>
      <c r="C359" s="67"/>
      <c r="D359" s="67"/>
      <c r="E359" s="67"/>
      <c r="F359" s="67"/>
      <c r="G359" s="67"/>
      <c r="H359" s="67"/>
      <c r="I359" s="103"/>
    </row>
    <row r="360" spans="1:22">
      <c r="B360" s="67"/>
      <c r="C360" s="67"/>
      <c r="D360" s="67"/>
      <c r="E360" s="67"/>
      <c r="F360" s="67"/>
      <c r="G360" s="67"/>
      <c r="H360" s="67"/>
      <c r="I360" s="103"/>
    </row>
    <row r="361" spans="1:22">
      <c r="B361" s="67"/>
      <c r="C361" s="67"/>
      <c r="D361" s="67"/>
      <c r="E361" s="67"/>
      <c r="F361" s="67"/>
      <c r="G361" s="67"/>
      <c r="H361" s="67"/>
      <c r="I361" s="103"/>
    </row>
    <row r="362" spans="1:22">
      <c r="B362" s="67"/>
      <c r="C362" s="67"/>
      <c r="D362" s="67"/>
      <c r="E362" s="67"/>
      <c r="F362" s="67"/>
      <c r="G362" s="67"/>
      <c r="H362" s="67"/>
      <c r="I362" s="103"/>
    </row>
    <row r="363" spans="1:22">
      <c r="B363" s="67"/>
      <c r="C363" s="67"/>
      <c r="D363" s="67"/>
      <c r="E363" s="67"/>
      <c r="F363" s="67"/>
      <c r="G363" s="67"/>
      <c r="H363" s="67"/>
      <c r="I363" s="103"/>
    </row>
    <row r="364" spans="1:22">
      <c r="B364" s="67"/>
      <c r="C364" s="67"/>
      <c r="D364" s="67"/>
      <c r="E364" s="67"/>
      <c r="F364" s="67"/>
      <c r="G364" s="67"/>
      <c r="H364" s="67"/>
      <c r="I364" s="103"/>
    </row>
    <row r="365" spans="1:22">
      <c r="B365" s="67"/>
      <c r="C365" s="67"/>
      <c r="D365" s="67"/>
      <c r="E365" s="67"/>
      <c r="F365" s="67"/>
      <c r="G365" s="67"/>
      <c r="H365" s="67"/>
      <c r="I365" s="103"/>
    </row>
    <row r="366" spans="1:22">
      <c r="B366" s="67"/>
      <c r="C366" s="67"/>
      <c r="D366" s="67"/>
      <c r="E366" s="67"/>
      <c r="F366" s="67"/>
      <c r="G366" s="67"/>
      <c r="H366" s="67"/>
      <c r="I366" s="103"/>
    </row>
    <row r="367" spans="1:22">
      <c r="B367" s="67"/>
      <c r="C367" s="67"/>
      <c r="D367" s="67"/>
      <c r="E367" s="67"/>
      <c r="F367" s="67"/>
      <c r="G367" s="67"/>
      <c r="H367" s="67"/>
      <c r="I367" s="103"/>
    </row>
    <row r="368" spans="1:22">
      <c r="B368" s="67"/>
      <c r="C368" s="67"/>
      <c r="D368" s="67"/>
      <c r="E368" s="67"/>
      <c r="F368" s="67"/>
      <c r="G368" s="67"/>
      <c r="H368" s="67"/>
      <c r="I368" s="103"/>
    </row>
    <row r="369" spans="2:9">
      <c r="B369" s="67"/>
      <c r="C369" s="67"/>
      <c r="D369" s="67"/>
      <c r="E369" s="67"/>
      <c r="F369" s="67"/>
      <c r="G369" s="67"/>
      <c r="H369" s="67"/>
      <c r="I369" s="103"/>
    </row>
    <row r="370" spans="2:9">
      <c r="B370" s="67"/>
      <c r="C370" s="67"/>
      <c r="D370" s="67"/>
      <c r="E370" s="67"/>
      <c r="F370" s="67"/>
      <c r="G370" s="67"/>
      <c r="H370" s="67"/>
      <c r="I370" s="103"/>
    </row>
    <row r="371" spans="2:9">
      <c r="B371" s="67"/>
      <c r="C371" s="67"/>
      <c r="D371" s="67"/>
      <c r="E371" s="67"/>
      <c r="F371" s="67"/>
      <c r="G371" s="67"/>
      <c r="H371" s="67"/>
      <c r="I371" s="103"/>
    </row>
    <row r="372" spans="2:9">
      <c r="B372" s="67"/>
      <c r="C372" s="67"/>
      <c r="D372" s="67"/>
      <c r="E372" s="67"/>
      <c r="F372" s="67"/>
      <c r="G372" s="67"/>
      <c r="H372" s="67"/>
      <c r="I372" s="103"/>
    </row>
    <row r="373" spans="2:9">
      <c r="B373" s="67"/>
      <c r="C373" s="67"/>
      <c r="D373" s="67"/>
      <c r="E373" s="67"/>
      <c r="F373" s="67"/>
      <c r="G373" s="67"/>
      <c r="H373" s="67"/>
      <c r="I373" s="103"/>
    </row>
    <row r="374" spans="2:9">
      <c r="B374" s="67"/>
      <c r="C374" s="67"/>
      <c r="D374" s="67"/>
      <c r="E374" s="67"/>
      <c r="F374" s="67"/>
      <c r="G374" s="67"/>
      <c r="H374" s="67"/>
      <c r="I374" s="103"/>
    </row>
    <row r="375" spans="2:9">
      <c r="B375" s="67"/>
      <c r="C375" s="67"/>
      <c r="D375" s="67"/>
      <c r="E375" s="67"/>
      <c r="F375" s="67"/>
      <c r="G375" s="67"/>
      <c r="H375" s="67"/>
      <c r="I375" s="103"/>
    </row>
    <row r="376" spans="2:9">
      <c r="B376" s="67"/>
      <c r="C376" s="67"/>
      <c r="D376" s="67"/>
      <c r="E376" s="67"/>
      <c r="F376" s="67"/>
      <c r="G376" s="67"/>
      <c r="H376" s="67"/>
      <c r="I376" s="103"/>
    </row>
    <row r="377" spans="2:9">
      <c r="B377" s="67"/>
      <c r="C377" s="67"/>
      <c r="D377" s="67"/>
      <c r="E377" s="67"/>
      <c r="F377" s="67"/>
      <c r="G377" s="67"/>
      <c r="H377" s="67"/>
      <c r="I377" s="103"/>
    </row>
    <row r="378" spans="2:9">
      <c r="B378" s="67"/>
      <c r="C378" s="67"/>
      <c r="D378" s="67"/>
      <c r="E378" s="67"/>
      <c r="F378" s="67"/>
      <c r="G378" s="67"/>
      <c r="H378" s="67"/>
      <c r="I378" s="103"/>
    </row>
    <row r="379" spans="2:9">
      <c r="B379" s="67"/>
      <c r="C379" s="67"/>
      <c r="D379" s="67"/>
      <c r="E379" s="67"/>
      <c r="F379" s="67"/>
      <c r="G379" s="67"/>
      <c r="H379" s="67"/>
      <c r="I379" s="103"/>
    </row>
    <row r="380" spans="2:9">
      <c r="B380" s="67"/>
      <c r="C380" s="67"/>
      <c r="D380" s="67"/>
      <c r="E380" s="67"/>
      <c r="F380" s="67"/>
      <c r="G380" s="67"/>
      <c r="H380" s="67"/>
      <c r="I380" s="103"/>
    </row>
    <row r="381" spans="2:9">
      <c r="B381" s="67"/>
      <c r="C381" s="67"/>
      <c r="D381" s="67"/>
      <c r="E381" s="67"/>
      <c r="F381" s="67"/>
      <c r="G381" s="67"/>
      <c r="H381" s="67"/>
      <c r="I381" s="103"/>
    </row>
    <row r="382" spans="2:9">
      <c r="B382" s="67"/>
      <c r="C382" s="67"/>
      <c r="D382" s="67"/>
      <c r="E382" s="67"/>
      <c r="F382" s="67"/>
      <c r="G382" s="67"/>
      <c r="H382" s="67"/>
      <c r="I382" s="103"/>
    </row>
    <row r="383" spans="2:9">
      <c r="B383" s="67"/>
      <c r="C383" s="67"/>
      <c r="D383" s="67"/>
      <c r="E383" s="67"/>
      <c r="F383" s="67"/>
      <c r="G383" s="67"/>
      <c r="H383" s="67"/>
      <c r="I383" s="103"/>
    </row>
    <row r="384" spans="2:9">
      <c r="B384" s="67"/>
      <c r="C384" s="67"/>
      <c r="D384" s="67"/>
      <c r="E384" s="67"/>
      <c r="F384" s="67"/>
      <c r="G384" s="67"/>
      <c r="H384" s="67"/>
      <c r="I384" s="103"/>
    </row>
    <row r="385" spans="2:9">
      <c r="B385" s="67"/>
      <c r="C385" s="67"/>
      <c r="D385" s="67"/>
      <c r="E385" s="67"/>
      <c r="F385" s="67"/>
      <c r="G385" s="67"/>
      <c r="H385" s="67"/>
      <c r="I385" s="103"/>
    </row>
    <row r="386" spans="2:9">
      <c r="B386" s="67"/>
      <c r="C386" s="67"/>
      <c r="D386" s="67"/>
      <c r="E386" s="67"/>
      <c r="F386" s="67"/>
      <c r="G386" s="67"/>
      <c r="H386" s="67"/>
      <c r="I386" s="103"/>
    </row>
    <row r="387" spans="2:9">
      <c r="B387" s="67"/>
      <c r="C387" s="67"/>
      <c r="D387" s="67"/>
      <c r="E387" s="67"/>
      <c r="F387" s="67"/>
      <c r="G387" s="67"/>
      <c r="H387" s="67"/>
      <c r="I387" s="103"/>
    </row>
    <row r="388" spans="2:9">
      <c r="B388" s="67"/>
      <c r="C388" s="67"/>
      <c r="D388" s="67"/>
      <c r="E388" s="67"/>
      <c r="F388" s="67"/>
      <c r="G388" s="67"/>
      <c r="H388" s="67"/>
      <c r="I388" s="103"/>
    </row>
    <row r="389" spans="2:9">
      <c r="B389" s="67"/>
      <c r="C389" s="67"/>
      <c r="D389" s="67"/>
      <c r="E389" s="67"/>
      <c r="F389" s="67"/>
      <c r="G389" s="67"/>
      <c r="H389" s="67"/>
      <c r="I389" s="103"/>
    </row>
    <row r="390" spans="2:9">
      <c r="B390" s="67"/>
      <c r="C390" s="67"/>
      <c r="D390" s="67"/>
      <c r="E390" s="67"/>
      <c r="F390" s="67"/>
      <c r="G390" s="67"/>
      <c r="H390" s="67"/>
      <c r="I390" s="103"/>
    </row>
    <row r="391" spans="2:9">
      <c r="B391" s="67"/>
      <c r="C391" s="67"/>
      <c r="D391" s="67"/>
      <c r="E391" s="67"/>
      <c r="F391" s="67"/>
      <c r="G391" s="67"/>
      <c r="H391" s="67"/>
      <c r="I391" s="103"/>
    </row>
    <row r="392" spans="2:9">
      <c r="B392" s="67"/>
      <c r="C392" s="67"/>
      <c r="D392" s="67"/>
      <c r="E392" s="67"/>
      <c r="F392" s="67"/>
      <c r="G392" s="67"/>
      <c r="H392" s="67"/>
      <c r="I392" s="103"/>
    </row>
    <row r="393" spans="2:9">
      <c r="B393" s="67"/>
      <c r="C393" s="67"/>
      <c r="D393" s="67"/>
      <c r="E393" s="67"/>
      <c r="F393" s="67"/>
      <c r="G393" s="67"/>
      <c r="H393" s="67"/>
      <c r="I393" s="103"/>
    </row>
    <row r="394" spans="2:9">
      <c r="B394" s="67"/>
      <c r="C394" s="67"/>
      <c r="D394" s="67"/>
      <c r="E394" s="67"/>
      <c r="F394" s="67"/>
      <c r="G394" s="67"/>
      <c r="H394" s="67"/>
      <c r="I394" s="103"/>
    </row>
    <row r="395" spans="2:9">
      <c r="B395" s="67"/>
      <c r="C395" s="67"/>
      <c r="D395" s="67"/>
      <c r="E395" s="67"/>
      <c r="F395" s="67"/>
      <c r="G395" s="67"/>
      <c r="H395" s="67"/>
      <c r="I395" s="103"/>
    </row>
    <row r="396" spans="2:9">
      <c r="B396" s="67"/>
      <c r="C396" s="67"/>
      <c r="D396" s="67"/>
      <c r="E396" s="67"/>
      <c r="F396" s="67"/>
      <c r="G396" s="67"/>
      <c r="H396" s="67"/>
      <c r="I396" s="103"/>
    </row>
    <row r="397" spans="2:9">
      <c r="B397" s="67"/>
      <c r="C397" s="67"/>
      <c r="D397" s="67"/>
      <c r="E397" s="67"/>
      <c r="F397" s="67"/>
      <c r="G397" s="67"/>
      <c r="H397" s="67"/>
      <c r="I397" s="103"/>
    </row>
    <row r="398" spans="2:9">
      <c r="B398" s="67"/>
      <c r="C398" s="67"/>
      <c r="D398" s="67"/>
      <c r="E398" s="67"/>
      <c r="F398" s="67"/>
      <c r="G398" s="67"/>
      <c r="H398" s="67"/>
      <c r="I398" s="103"/>
    </row>
    <row r="399" spans="2:9">
      <c r="B399" s="67"/>
      <c r="C399" s="67"/>
      <c r="D399" s="67"/>
      <c r="E399" s="67"/>
      <c r="F399" s="67"/>
      <c r="G399" s="67"/>
      <c r="H399" s="67"/>
      <c r="I399" s="103"/>
    </row>
    <row r="400" spans="2:9">
      <c r="B400" s="67"/>
      <c r="C400" s="67"/>
      <c r="D400" s="67"/>
      <c r="E400" s="67"/>
      <c r="F400" s="67"/>
      <c r="G400" s="67"/>
      <c r="H400" s="67"/>
      <c r="I400" s="103"/>
    </row>
    <row r="401" spans="2:9">
      <c r="B401" s="67"/>
      <c r="C401" s="67"/>
      <c r="D401" s="67"/>
      <c r="E401" s="67"/>
      <c r="F401" s="67"/>
      <c r="G401" s="67"/>
      <c r="H401" s="67"/>
      <c r="I401" s="103"/>
    </row>
    <row r="402" spans="2:9">
      <c r="B402" s="67"/>
      <c r="C402" s="67"/>
      <c r="D402" s="67"/>
      <c r="E402" s="67"/>
      <c r="F402" s="67"/>
      <c r="G402" s="67"/>
      <c r="H402" s="67"/>
      <c r="I402" s="103"/>
    </row>
    <row r="403" spans="2:9">
      <c r="B403" s="67"/>
      <c r="C403" s="67"/>
      <c r="D403" s="67"/>
      <c r="E403" s="67"/>
      <c r="F403" s="67"/>
      <c r="G403" s="67"/>
      <c r="H403" s="67"/>
      <c r="I403" s="103"/>
    </row>
    <row r="404" spans="2:9">
      <c r="B404" s="67"/>
      <c r="C404" s="67"/>
      <c r="D404" s="67"/>
      <c r="E404" s="67"/>
      <c r="F404" s="67"/>
      <c r="G404" s="67"/>
      <c r="H404" s="67"/>
      <c r="I404" s="103"/>
    </row>
    <row r="405" spans="2:9">
      <c r="B405" s="67"/>
      <c r="C405" s="67"/>
      <c r="D405" s="67"/>
      <c r="E405" s="67"/>
      <c r="F405" s="67"/>
      <c r="G405" s="67"/>
      <c r="H405" s="67"/>
      <c r="I405" s="103"/>
    </row>
    <row r="406" spans="2:9">
      <c r="B406" s="67"/>
      <c r="C406" s="67"/>
      <c r="D406" s="67"/>
      <c r="E406" s="67"/>
      <c r="F406" s="67"/>
      <c r="G406" s="67"/>
      <c r="H406" s="67"/>
      <c r="I406" s="103"/>
    </row>
    <row r="407" spans="2:9">
      <c r="B407" s="67"/>
      <c r="C407" s="67"/>
      <c r="D407" s="67"/>
      <c r="E407" s="67"/>
      <c r="F407" s="67"/>
      <c r="G407" s="67"/>
      <c r="H407" s="67"/>
      <c r="I407" s="103"/>
    </row>
    <row r="408" spans="2:9">
      <c r="B408" s="67"/>
      <c r="C408" s="67"/>
      <c r="D408" s="67"/>
      <c r="E408" s="67"/>
      <c r="F408" s="67"/>
      <c r="G408" s="67"/>
      <c r="H408" s="67"/>
      <c r="I408" s="103"/>
    </row>
    <row r="409" spans="2:9">
      <c r="B409" s="67"/>
      <c r="C409" s="67"/>
      <c r="D409" s="67"/>
      <c r="E409" s="67"/>
      <c r="F409" s="67"/>
      <c r="G409" s="67"/>
      <c r="H409" s="67"/>
      <c r="I409" s="103"/>
    </row>
    <row r="410" spans="2:9">
      <c r="B410" s="67"/>
      <c r="C410" s="67"/>
      <c r="D410" s="67"/>
      <c r="E410" s="67"/>
      <c r="F410" s="67"/>
      <c r="G410" s="67"/>
      <c r="H410" s="67"/>
      <c r="I410" s="103"/>
    </row>
    <row r="411" spans="2:9">
      <c r="B411" s="67"/>
      <c r="C411" s="67"/>
      <c r="D411" s="67"/>
      <c r="E411" s="67"/>
      <c r="F411" s="67"/>
      <c r="G411" s="67"/>
      <c r="H411" s="67"/>
      <c r="I411" s="103"/>
    </row>
    <row r="412" spans="2:9">
      <c r="B412" s="67"/>
      <c r="C412" s="67"/>
      <c r="D412" s="67"/>
      <c r="E412" s="67"/>
      <c r="F412" s="67"/>
      <c r="G412" s="67"/>
      <c r="H412" s="67"/>
      <c r="I412" s="103"/>
    </row>
    <row r="413" spans="2:9">
      <c r="B413" s="67"/>
      <c r="C413" s="67"/>
      <c r="D413" s="67"/>
      <c r="E413" s="67"/>
      <c r="F413" s="67"/>
      <c r="G413" s="67"/>
      <c r="H413" s="67"/>
      <c r="I413" s="103"/>
    </row>
    <row r="414" spans="2:9">
      <c r="B414" s="67"/>
      <c r="C414" s="67"/>
      <c r="D414" s="67"/>
      <c r="E414" s="67"/>
      <c r="F414" s="67"/>
      <c r="G414" s="67"/>
      <c r="H414" s="67"/>
      <c r="I414" s="103"/>
    </row>
    <row r="415" spans="2:9">
      <c r="B415" s="67"/>
      <c r="C415" s="67"/>
      <c r="D415" s="67"/>
      <c r="E415" s="67"/>
      <c r="F415" s="67"/>
      <c r="G415" s="67"/>
      <c r="H415" s="67"/>
      <c r="I415" s="103"/>
    </row>
    <row r="416" spans="2:9">
      <c r="B416" s="67"/>
      <c r="C416" s="67"/>
      <c r="D416" s="67"/>
      <c r="E416" s="67"/>
      <c r="F416" s="67"/>
      <c r="G416" s="67"/>
      <c r="H416" s="67"/>
      <c r="I416" s="103"/>
    </row>
    <row r="417" spans="2:9">
      <c r="B417" s="67"/>
      <c r="C417" s="67"/>
      <c r="D417" s="67"/>
      <c r="E417" s="67"/>
      <c r="F417" s="67"/>
      <c r="G417" s="67"/>
      <c r="H417" s="67"/>
      <c r="I417" s="103"/>
    </row>
    <row r="418" spans="2:9">
      <c r="B418" s="67"/>
      <c r="C418" s="67"/>
      <c r="D418" s="67"/>
      <c r="E418" s="67"/>
      <c r="F418" s="67"/>
      <c r="G418" s="67"/>
      <c r="H418" s="67"/>
      <c r="I418" s="103"/>
    </row>
    <row r="419" spans="2:9">
      <c r="B419" s="67"/>
      <c r="C419" s="67"/>
      <c r="D419" s="67"/>
      <c r="E419" s="67"/>
      <c r="F419" s="67"/>
      <c r="G419" s="67"/>
      <c r="H419" s="67"/>
      <c r="I419" s="103"/>
    </row>
    <row r="420" spans="2:9">
      <c r="B420" s="67"/>
      <c r="C420" s="67"/>
      <c r="D420" s="67"/>
      <c r="E420" s="67"/>
      <c r="F420" s="67"/>
      <c r="G420" s="67"/>
      <c r="H420" s="67"/>
      <c r="I420" s="103"/>
    </row>
    <row r="421" spans="2:9">
      <c r="B421" s="67"/>
      <c r="C421" s="67"/>
      <c r="D421" s="67"/>
      <c r="E421" s="67"/>
      <c r="F421" s="67"/>
      <c r="G421" s="67"/>
      <c r="H421" s="67"/>
      <c r="I421" s="103"/>
    </row>
    <row r="422" spans="2:9">
      <c r="B422" s="67"/>
      <c r="C422" s="67"/>
      <c r="D422" s="67"/>
      <c r="E422" s="67"/>
      <c r="F422" s="67"/>
      <c r="G422" s="67"/>
      <c r="H422" s="67"/>
      <c r="I422" s="103"/>
    </row>
    <row r="423" spans="2:9">
      <c r="B423" s="67"/>
      <c r="C423" s="67"/>
      <c r="D423" s="67"/>
      <c r="E423" s="67"/>
      <c r="F423" s="67"/>
      <c r="G423" s="67"/>
      <c r="H423" s="67"/>
      <c r="I423" s="103"/>
    </row>
    <row r="424" spans="2:9">
      <c r="B424" s="67"/>
      <c r="C424" s="67"/>
      <c r="D424" s="67"/>
      <c r="E424" s="67"/>
      <c r="F424" s="67"/>
      <c r="G424" s="67"/>
      <c r="H424" s="67"/>
      <c r="I424" s="103"/>
    </row>
    <row r="425" spans="2:9">
      <c r="B425" s="67"/>
      <c r="C425" s="67"/>
      <c r="D425" s="67"/>
      <c r="E425" s="67"/>
      <c r="F425" s="67"/>
      <c r="G425" s="67"/>
      <c r="H425" s="67"/>
      <c r="I425" s="103"/>
    </row>
    <row r="426" spans="2:9">
      <c r="B426" s="67"/>
      <c r="C426" s="67"/>
      <c r="D426" s="67"/>
      <c r="E426" s="67"/>
      <c r="F426" s="67"/>
      <c r="G426" s="67"/>
      <c r="H426" s="67"/>
      <c r="I426" s="103"/>
    </row>
    <row r="427" spans="2:9">
      <c r="B427" s="67"/>
      <c r="C427" s="67"/>
      <c r="D427" s="67"/>
      <c r="E427" s="67"/>
      <c r="F427" s="67"/>
      <c r="G427" s="67"/>
      <c r="H427" s="67"/>
      <c r="I427" s="103"/>
    </row>
    <row r="428" spans="2:9">
      <c r="B428" s="67"/>
      <c r="C428" s="67"/>
      <c r="D428" s="67"/>
      <c r="E428" s="67"/>
      <c r="F428" s="67"/>
      <c r="G428" s="67"/>
      <c r="H428" s="67"/>
      <c r="I428" s="103"/>
    </row>
    <row r="429" spans="2:9">
      <c r="B429" s="67"/>
      <c r="C429" s="67"/>
      <c r="D429" s="67"/>
      <c r="E429" s="67"/>
      <c r="F429" s="67"/>
      <c r="G429" s="67"/>
      <c r="H429" s="67"/>
      <c r="I429" s="103"/>
    </row>
    <row r="430" spans="2:9">
      <c r="B430" s="67"/>
      <c r="C430" s="67"/>
      <c r="D430" s="67"/>
      <c r="E430" s="67"/>
      <c r="F430" s="67"/>
      <c r="G430" s="67"/>
      <c r="H430" s="67"/>
      <c r="I430" s="103"/>
    </row>
    <row r="431" spans="2:9">
      <c r="B431" s="67"/>
      <c r="C431" s="67"/>
      <c r="D431" s="67"/>
      <c r="E431" s="67"/>
      <c r="F431" s="67"/>
      <c r="G431" s="67"/>
      <c r="H431" s="67"/>
      <c r="I431" s="103"/>
    </row>
    <row r="432" spans="2:9">
      <c r="B432" s="67"/>
      <c r="C432" s="67"/>
      <c r="D432" s="67"/>
      <c r="E432" s="67"/>
      <c r="F432" s="67"/>
      <c r="G432" s="67"/>
      <c r="H432" s="67"/>
      <c r="I432" s="103"/>
    </row>
    <row r="433" spans="2:9">
      <c r="B433" s="67"/>
      <c r="C433" s="67"/>
      <c r="D433" s="67"/>
      <c r="E433" s="67"/>
      <c r="F433" s="67"/>
      <c r="G433" s="67"/>
      <c r="H433" s="67"/>
      <c r="I433" s="103"/>
    </row>
    <row r="434" spans="2:9">
      <c r="B434" s="67"/>
      <c r="C434" s="67"/>
      <c r="D434" s="67"/>
      <c r="E434" s="67"/>
      <c r="F434" s="67"/>
      <c r="G434" s="67"/>
      <c r="H434" s="67"/>
      <c r="I434" s="103"/>
    </row>
    <row r="435" spans="2:9">
      <c r="B435" s="67"/>
      <c r="C435" s="67"/>
      <c r="D435" s="67"/>
      <c r="E435" s="67"/>
      <c r="F435" s="67"/>
      <c r="G435" s="67"/>
      <c r="H435" s="67"/>
      <c r="I435" s="103"/>
    </row>
    <row r="436" spans="2:9">
      <c r="B436" s="67"/>
      <c r="C436" s="67"/>
      <c r="D436" s="67"/>
      <c r="E436" s="67"/>
      <c r="F436" s="67"/>
      <c r="G436" s="67"/>
      <c r="H436" s="67"/>
      <c r="I436" s="103"/>
    </row>
    <row r="437" spans="2:9">
      <c r="B437" s="67"/>
      <c r="C437" s="67"/>
      <c r="D437" s="67"/>
      <c r="E437" s="67"/>
      <c r="F437" s="67"/>
      <c r="G437" s="67"/>
      <c r="H437" s="67"/>
      <c r="I437" s="103"/>
    </row>
    <row r="438" spans="2:9">
      <c r="B438" s="67"/>
      <c r="C438" s="67"/>
      <c r="D438" s="67"/>
      <c r="E438" s="67"/>
      <c r="F438" s="67"/>
      <c r="G438" s="67"/>
      <c r="H438" s="67"/>
      <c r="I438" s="103"/>
    </row>
    <row r="439" spans="2:9">
      <c r="B439" s="67"/>
      <c r="C439" s="67"/>
      <c r="D439" s="67"/>
      <c r="E439" s="67"/>
      <c r="F439" s="67"/>
      <c r="G439" s="67"/>
      <c r="H439" s="67"/>
      <c r="I439" s="103"/>
    </row>
    <row r="440" spans="2:9">
      <c r="B440" s="67"/>
      <c r="C440" s="67"/>
      <c r="D440" s="67"/>
      <c r="E440" s="67"/>
      <c r="F440" s="67"/>
      <c r="G440" s="67"/>
      <c r="H440" s="67"/>
      <c r="I440" s="103"/>
    </row>
    <row r="441" spans="2:9">
      <c r="B441" s="67"/>
      <c r="C441" s="67"/>
      <c r="D441" s="67"/>
      <c r="E441" s="67"/>
      <c r="F441" s="67"/>
      <c r="G441" s="67"/>
      <c r="H441" s="67"/>
      <c r="I441" s="103"/>
    </row>
    <row r="442" spans="2:9">
      <c r="B442" s="67"/>
      <c r="C442" s="67"/>
      <c r="D442" s="67"/>
      <c r="E442" s="67"/>
      <c r="F442" s="67"/>
      <c r="G442" s="67"/>
      <c r="H442" s="67"/>
      <c r="I442" s="103"/>
    </row>
    <row r="443" spans="2:9">
      <c r="B443" s="67"/>
      <c r="C443" s="67"/>
      <c r="D443" s="67"/>
      <c r="E443" s="67"/>
      <c r="F443" s="67"/>
      <c r="G443" s="67"/>
      <c r="H443" s="67"/>
      <c r="I443" s="103"/>
    </row>
    <row r="444" spans="2:9">
      <c r="B444" s="67"/>
      <c r="C444" s="67"/>
      <c r="D444" s="67"/>
      <c r="E444" s="67"/>
      <c r="F444" s="67"/>
      <c r="G444" s="67"/>
      <c r="H444" s="67"/>
      <c r="I444" s="103"/>
    </row>
    <row r="445" spans="2:9">
      <c r="B445" s="67"/>
      <c r="C445" s="67"/>
      <c r="D445" s="67"/>
      <c r="E445" s="67"/>
      <c r="F445" s="67"/>
      <c r="G445" s="67"/>
      <c r="H445" s="67"/>
      <c r="I445" s="103"/>
    </row>
    <row r="446" spans="2:9">
      <c r="B446" s="67"/>
      <c r="C446" s="67"/>
      <c r="D446" s="67"/>
      <c r="E446" s="67"/>
      <c r="F446" s="67"/>
      <c r="G446" s="67"/>
      <c r="H446" s="67"/>
      <c r="I446" s="103"/>
    </row>
    <row r="447" spans="2:9">
      <c r="B447" s="67"/>
      <c r="C447" s="67"/>
      <c r="D447" s="67"/>
      <c r="E447" s="67"/>
      <c r="F447" s="67"/>
      <c r="G447" s="67"/>
      <c r="H447" s="67"/>
      <c r="I447" s="103"/>
    </row>
    <row r="448" spans="2:9">
      <c r="B448" s="67"/>
      <c r="C448" s="67"/>
      <c r="D448" s="67"/>
      <c r="E448" s="67"/>
      <c r="F448" s="67"/>
      <c r="G448" s="67"/>
      <c r="H448" s="67"/>
      <c r="I448" s="103"/>
    </row>
    <row r="449" spans="2:9">
      <c r="B449" s="67"/>
      <c r="C449" s="67"/>
      <c r="D449" s="67"/>
      <c r="E449" s="67"/>
      <c r="F449" s="67"/>
      <c r="G449" s="67"/>
      <c r="H449" s="67"/>
      <c r="I449" s="103"/>
    </row>
    <row r="450" spans="2:9">
      <c r="B450" s="67"/>
      <c r="C450" s="67"/>
      <c r="D450" s="67"/>
      <c r="E450" s="67"/>
      <c r="F450" s="67"/>
      <c r="G450" s="67"/>
      <c r="H450" s="67"/>
      <c r="I450" s="103"/>
    </row>
    <row r="451" spans="2:9">
      <c r="B451" s="67"/>
      <c r="C451" s="67"/>
      <c r="D451" s="67"/>
      <c r="E451" s="67"/>
      <c r="F451" s="67"/>
      <c r="G451" s="67"/>
      <c r="H451" s="67"/>
      <c r="I451" s="103"/>
    </row>
    <row r="452" spans="2:9">
      <c r="B452" s="67"/>
      <c r="C452" s="67"/>
      <c r="D452" s="67"/>
      <c r="E452" s="67"/>
      <c r="F452" s="67"/>
      <c r="G452" s="67"/>
      <c r="H452" s="67"/>
      <c r="I452" s="103"/>
    </row>
    <row r="453" spans="2:9">
      <c r="B453" s="67"/>
      <c r="C453" s="67"/>
      <c r="D453" s="67"/>
      <c r="E453" s="67"/>
      <c r="F453" s="67"/>
      <c r="G453" s="67"/>
      <c r="H453" s="67"/>
      <c r="I453" s="103"/>
    </row>
    <row r="454" spans="2:9">
      <c r="B454" s="67"/>
      <c r="C454" s="67"/>
      <c r="D454" s="67"/>
      <c r="E454" s="67"/>
      <c r="F454" s="67"/>
      <c r="G454" s="67"/>
      <c r="H454" s="67"/>
      <c r="I454" s="103"/>
    </row>
    <row r="455" spans="2:9">
      <c r="B455" s="67"/>
      <c r="C455" s="67"/>
      <c r="D455" s="67"/>
      <c r="E455" s="67"/>
      <c r="F455" s="67"/>
      <c r="G455" s="67"/>
      <c r="H455" s="67"/>
      <c r="I455" s="103"/>
    </row>
    <row r="456" spans="2:9">
      <c r="B456" s="67"/>
      <c r="C456" s="67"/>
      <c r="D456" s="67"/>
      <c r="E456" s="67"/>
      <c r="F456" s="67"/>
      <c r="G456" s="67"/>
      <c r="H456" s="67"/>
      <c r="I456" s="103"/>
    </row>
    <row r="457" spans="2:9">
      <c r="B457" s="67"/>
      <c r="C457" s="67"/>
      <c r="D457" s="67"/>
      <c r="E457" s="67"/>
      <c r="F457" s="67"/>
      <c r="G457" s="67"/>
      <c r="H457" s="67"/>
      <c r="I457" s="103"/>
    </row>
    <row r="458" spans="2:9">
      <c r="B458" s="67"/>
      <c r="C458" s="67"/>
      <c r="D458" s="67"/>
      <c r="E458" s="67"/>
      <c r="F458" s="67"/>
      <c r="G458" s="67"/>
      <c r="H458" s="67"/>
      <c r="I458" s="103"/>
    </row>
    <row r="459" spans="2:9">
      <c r="B459" s="67"/>
      <c r="C459" s="67"/>
      <c r="D459" s="67"/>
      <c r="E459" s="67"/>
      <c r="F459" s="67"/>
      <c r="G459" s="67"/>
      <c r="H459" s="67"/>
      <c r="I459" s="103"/>
    </row>
    <row r="460" spans="2:9">
      <c r="B460" s="67"/>
      <c r="C460" s="67"/>
      <c r="D460" s="67"/>
      <c r="E460" s="67"/>
      <c r="F460" s="67"/>
      <c r="G460" s="67"/>
      <c r="H460" s="67"/>
      <c r="I460" s="103"/>
    </row>
    <row r="461" spans="2:9">
      <c r="B461" s="67"/>
      <c r="C461" s="67"/>
      <c r="D461" s="67"/>
      <c r="E461" s="67"/>
      <c r="F461" s="67"/>
      <c r="G461" s="67"/>
      <c r="H461" s="67"/>
      <c r="I461" s="103"/>
    </row>
    <row r="462" spans="2:9">
      <c r="B462" s="67"/>
      <c r="C462" s="67"/>
      <c r="D462" s="67"/>
      <c r="E462" s="67"/>
      <c r="F462" s="67"/>
      <c r="G462" s="67"/>
      <c r="H462" s="67"/>
      <c r="I462" s="103"/>
    </row>
    <row r="463" spans="2:9">
      <c r="B463" s="67"/>
      <c r="C463" s="67"/>
      <c r="D463" s="67"/>
      <c r="E463" s="67"/>
      <c r="F463" s="67"/>
      <c r="G463" s="67"/>
      <c r="H463" s="67"/>
      <c r="I463" s="103"/>
    </row>
    <row r="464" spans="2:9">
      <c r="B464" s="67"/>
      <c r="C464" s="67"/>
      <c r="D464" s="67"/>
      <c r="E464" s="67"/>
      <c r="F464" s="67"/>
      <c r="G464" s="67"/>
      <c r="H464" s="67"/>
      <c r="I464" s="103"/>
    </row>
    <row r="465" spans="2:9">
      <c r="B465" s="67"/>
      <c r="C465" s="67"/>
      <c r="D465" s="67"/>
      <c r="E465" s="67"/>
      <c r="F465" s="67"/>
      <c r="G465" s="67"/>
      <c r="H465" s="67"/>
      <c r="I465" s="103"/>
    </row>
    <row r="466" spans="2:9">
      <c r="B466" s="67"/>
      <c r="C466" s="67"/>
      <c r="D466" s="67"/>
      <c r="E466" s="67"/>
      <c r="F466" s="67"/>
      <c r="G466" s="67"/>
      <c r="H466" s="67"/>
      <c r="I466" s="103"/>
    </row>
    <row r="467" spans="2:9">
      <c r="B467" s="67"/>
      <c r="C467" s="67"/>
      <c r="D467" s="67"/>
      <c r="E467" s="67"/>
      <c r="F467" s="67"/>
      <c r="G467" s="67"/>
      <c r="H467" s="67"/>
      <c r="I467" s="103"/>
    </row>
    <row r="468" spans="2:9">
      <c r="B468" s="67"/>
      <c r="C468" s="67"/>
      <c r="D468" s="67"/>
      <c r="E468" s="67"/>
      <c r="F468" s="67"/>
      <c r="G468" s="67"/>
      <c r="H468" s="67"/>
      <c r="I468" s="103"/>
    </row>
    <row r="469" spans="2:9">
      <c r="B469" s="67"/>
      <c r="C469" s="67"/>
      <c r="D469" s="67"/>
      <c r="E469" s="67"/>
      <c r="F469" s="67"/>
      <c r="G469" s="67"/>
      <c r="H469" s="67"/>
      <c r="I469" s="103"/>
    </row>
    <row r="470" spans="2:9">
      <c r="B470" s="67"/>
      <c r="C470" s="67"/>
      <c r="D470" s="67"/>
      <c r="E470" s="67"/>
      <c r="F470" s="67"/>
      <c r="G470" s="67"/>
      <c r="H470" s="67"/>
      <c r="I470" s="103"/>
    </row>
    <row r="471" spans="2:9">
      <c r="B471" s="67"/>
      <c r="C471" s="67"/>
      <c r="D471" s="67"/>
      <c r="E471" s="67"/>
      <c r="F471" s="67"/>
      <c r="G471" s="67"/>
      <c r="H471" s="67"/>
      <c r="I471" s="103"/>
    </row>
    <row r="472" spans="2:9">
      <c r="B472" s="67"/>
      <c r="C472" s="67"/>
      <c r="D472" s="67"/>
      <c r="E472" s="67"/>
      <c r="F472" s="67"/>
      <c r="G472" s="67"/>
      <c r="H472" s="67"/>
      <c r="I472" s="103"/>
    </row>
    <row r="473" spans="2:9">
      <c r="B473" s="67"/>
      <c r="C473" s="67"/>
      <c r="D473" s="67"/>
      <c r="E473" s="67"/>
      <c r="F473" s="67"/>
      <c r="G473" s="67"/>
      <c r="H473" s="67"/>
      <c r="I473" s="103"/>
    </row>
    <row r="474" spans="2:9">
      <c r="B474" s="67"/>
      <c r="C474" s="67"/>
      <c r="D474" s="67"/>
      <c r="E474" s="67"/>
      <c r="F474" s="67"/>
      <c r="G474" s="67"/>
      <c r="H474" s="67"/>
      <c r="I474" s="103"/>
    </row>
    <row r="475" spans="2:9">
      <c r="B475" s="67"/>
      <c r="C475" s="67"/>
      <c r="D475" s="67"/>
      <c r="E475" s="67"/>
      <c r="F475" s="67"/>
      <c r="G475" s="67"/>
      <c r="H475" s="67"/>
      <c r="I475" s="103"/>
    </row>
    <row r="476" spans="2:9">
      <c r="B476" s="67"/>
      <c r="C476" s="67"/>
      <c r="D476" s="67"/>
      <c r="E476" s="67"/>
      <c r="F476" s="67"/>
      <c r="G476" s="67"/>
      <c r="H476" s="67"/>
      <c r="I476" s="103"/>
    </row>
    <row r="477" spans="2:9">
      <c r="B477" s="67"/>
      <c r="C477" s="67"/>
      <c r="D477" s="67"/>
      <c r="E477" s="67"/>
      <c r="F477" s="67"/>
      <c r="G477" s="67"/>
      <c r="H477" s="67"/>
      <c r="I477" s="103"/>
    </row>
    <row r="478" spans="2:9">
      <c r="B478" s="67"/>
      <c r="C478" s="67"/>
      <c r="D478" s="67"/>
      <c r="E478" s="67"/>
      <c r="F478" s="67"/>
      <c r="G478" s="67"/>
      <c r="H478" s="67"/>
      <c r="I478" s="103"/>
    </row>
    <row r="479" spans="2:9">
      <c r="B479" s="67"/>
      <c r="C479" s="67"/>
      <c r="D479" s="67"/>
      <c r="E479" s="67"/>
      <c r="F479" s="67"/>
      <c r="G479" s="67"/>
      <c r="H479" s="67"/>
      <c r="I479" s="103"/>
    </row>
    <row r="480" spans="2:9">
      <c r="B480" s="67"/>
      <c r="C480" s="67"/>
      <c r="D480" s="67"/>
      <c r="E480" s="67"/>
      <c r="F480" s="67"/>
      <c r="G480" s="67"/>
      <c r="H480" s="67"/>
      <c r="I480" s="103"/>
    </row>
    <row r="481" spans="2:9">
      <c r="B481" s="67"/>
      <c r="C481" s="67"/>
      <c r="D481" s="67"/>
      <c r="E481" s="67"/>
      <c r="F481" s="67"/>
      <c r="G481" s="67"/>
      <c r="H481" s="67"/>
      <c r="I481" s="103"/>
    </row>
    <row r="482" spans="2:9">
      <c r="B482" s="67"/>
      <c r="C482" s="67"/>
      <c r="D482" s="67"/>
      <c r="E482" s="67"/>
      <c r="F482" s="67"/>
      <c r="G482" s="67"/>
      <c r="H482" s="67"/>
      <c r="I482" s="103"/>
    </row>
    <row r="483" spans="2:9">
      <c r="B483" s="67"/>
      <c r="C483" s="67"/>
      <c r="D483" s="67"/>
      <c r="E483" s="67"/>
      <c r="F483" s="67"/>
      <c r="G483" s="67"/>
      <c r="H483" s="67"/>
      <c r="I483" s="103"/>
    </row>
    <row r="484" spans="2:9">
      <c r="B484" s="67"/>
      <c r="C484" s="67"/>
      <c r="D484" s="67"/>
      <c r="E484" s="67"/>
      <c r="F484" s="67"/>
      <c r="G484" s="67"/>
      <c r="H484" s="67"/>
      <c r="I484" s="103"/>
    </row>
    <row r="485" spans="2:9">
      <c r="B485" s="67"/>
      <c r="C485" s="67"/>
      <c r="D485" s="67"/>
      <c r="E485" s="67"/>
      <c r="F485" s="67"/>
      <c r="G485" s="67"/>
      <c r="H485" s="67"/>
      <c r="I485" s="103"/>
    </row>
    <row r="486" spans="2:9">
      <c r="B486" s="67"/>
      <c r="C486" s="67"/>
      <c r="D486" s="67"/>
      <c r="E486" s="67"/>
      <c r="F486" s="67"/>
      <c r="G486" s="67"/>
      <c r="H486" s="67"/>
      <c r="I486" s="103"/>
    </row>
    <row r="487" spans="2:9">
      <c r="B487" s="67"/>
      <c r="C487" s="67"/>
      <c r="D487" s="67"/>
      <c r="E487" s="67"/>
      <c r="F487" s="67"/>
      <c r="G487" s="67"/>
      <c r="H487" s="67"/>
      <c r="I487" s="103"/>
    </row>
    <row r="488" spans="2:9">
      <c r="B488" s="67"/>
      <c r="C488" s="67"/>
      <c r="D488" s="67"/>
      <c r="E488" s="67"/>
      <c r="F488" s="67"/>
      <c r="G488" s="67"/>
      <c r="H488" s="67"/>
      <c r="I488" s="103"/>
    </row>
    <row r="489" spans="2:9">
      <c r="B489" s="67"/>
      <c r="C489" s="67"/>
      <c r="D489" s="67"/>
      <c r="E489" s="67"/>
      <c r="F489" s="67"/>
      <c r="G489" s="67"/>
      <c r="H489" s="67"/>
      <c r="I489" s="103"/>
    </row>
    <row r="490" spans="2:9">
      <c r="B490" s="67"/>
      <c r="C490" s="67"/>
      <c r="D490" s="67"/>
      <c r="E490" s="67"/>
      <c r="F490" s="67"/>
      <c r="G490" s="67"/>
      <c r="H490" s="67"/>
      <c r="I490" s="103"/>
    </row>
    <row r="491" spans="2:9">
      <c r="B491" s="67"/>
      <c r="C491" s="67"/>
      <c r="D491" s="67"/>
      <c r="E491" s="67"/>
      <c r="F491" s="67"/>
      <c r="G491" s="67"/>
      <c r="H491" s="67"/>
      <c r="I491" s="103"/>
    </row>
    <row r="492" spans="2:9">
      <c r="B492" s="67"/>
      <c r="C492" s="67"/>
      <c r="D492" s="67"/>
      <c r="E492" s="67"/>
      <c r="F492" s="67"/>
      <c r="G492" s="67"/>
      <c r="H492" s="67"/>
      <c r="I492" s="103"/>
    </row>
    <row r="493" spans="2:9">
      <c r="B493" s="67"/>
      <c r="C493" s="67"/>
      <c r="D493" s="67"/>
      <c r="E493" s="67"/>
      <c r="F493" s="67"/>
      <c r="G493" s="67"/>
      <c r="H493" s="67"/>
      <c r="I493" s="103"/>
    </row>
    <row r="494" spans="2:9">
      <c r="B494" s="67"/>
      <c r="C494" s="67"/>
      <c r="D494" s="67"/>
      <c r="E494" s="67"/>
      <c r="F494" s="67"/>
      <c r="G494" s="67"/>
      <c r="H494" s="67"/>
      <c r="I494" s="103"/>
    </row>
    <row r="495" spans="2:9">
      <c r="B495" s="67"/>
      <c r="C495" s="67"/>
      <c r="D495" s="67"/>
      <c r="E495" s="67"/>
      <c r="F495" s="67"/>
      <c r="G495" s="67"/>
      <c r="H495" s="67"/>
      <c r="I495" s="103"/>
    </row>
    <row r="496" spans="2:9">
      <c r="B496" s="67"/>
      <c r="C496" s="67"/>
      <c r="D496" s="67"/>
      <c r="E496" s="67"/>
      <c r="F496" s="67"/>
      <c r="G496" s="67"/>
      <c r="H496" s="67"/>
      <c r="I496" s="103"/>
    </row>
    <row r="497" spans="2:9">
      <c r="B497" s="67"/>
      <c r="C497" s="67"/>
      <c r="D497" s="67"/>
      <c r="E497" s="67"/>
      <c r="F497" s="67"/>
      <c r="G497" s="67"/>
      <c r="H497" s="67"/>
      <c r="I497" s="103"/>
    </row>
    <row r="498" spans="2:9">
      <c r="B498" s="67"/>
      <c r="C498" s="67"/>
      <c r="D498" s="67"/>
      <c r="E498" s="67"/>
      <c r="F498" s="67"/>
      <c r="G498" s="67"/>
      <c r="H498" s="67"/>
      <c r="I498" s="103"/>
    </row>
    <row r="499" spans="2:9">
      <c r="B499" s="67"/>
      <c r="C499" s="67"/>
      <c r="D499" s="67"/>
      <c r="E499" s="67"/>
      <c r="F499" s="67"/>
      <c r="G499" s="67"/>
      <c r="H499" s="67"/>
      <c r="I499" s="103"/>
    </row>
    <row r="500" spans="2:9">
      <c r="B500" s="67"/>
      <c r="C500" s="67"/>
      <c r="D500" s="67"/>
      <c r="E500" s="67"/>
      <c r="F500" s="67"/>
      <c r="G500" s="67"/>
      <c r="H500" s="67"/>
      <c r="I500" s="103"/>
    </row>
    <row r="501" spans="2:9">
      <c r="B501" s="67"/>
      <c r="C501" s="67"/>
      <c r="D501" s="67"/>
      <c r="E501" s="67"/>
      <c r="F501" s="67"/>
      <c r="G501" s="67"/>
      <c r="H501" s="67"/>
      <c r="I501" s="103"/>
    </row>
    <row r="502" spans="2:9">
      <c r="B502" s="67"/>
      <c r="C502" s="67"/>
      <c r="D502" s="67"/>
      <c r="E502" s="67"/>
      <c r="F502" s="67"/>
      <c r="G502" s="67"/>
      <c r="H502" s="67"/>
      <c r="I502" s="103"/>
    </row>
    <row r="503" spans="2:9">
      <c r="B503" s="67"/>
      <c r="C503" s="67"/>
      <c r="D503" s="67"/>
      <c r="E503" s="67"/>
      <c r="F503" s="67"/>
      <c r="G503" s="67"/>
      <c r="H503" s="67"/>
      <c r="I503" s="103"/>
    </row>
    <row r="504" spans="2:9">
      <c r="B504" s="67"/>
      <c r="C504" s="67"/>
      <c r="D504" s="67"/>
      <c r="E504" s="67"/>
      <c r="F504" s="67"/>
      <c r="G504" s="67"/>
      <c r="H504" s="67"/>
      <c r="I504" s="103"/>
    </row>
    <row r="505" spans="2:9">
      <c r="B505" s="67"/>
      <c r="C505" s="67"/>
      <c r="D505" s="67"/>
      <c r="E505" s="67"/>
      <c r="F505" s="67"/>
      <c r="G505" s="67"/>
      <c r="H505" s="67"/>
      <c r="I505" s="103"/>
    </row>
    <row r="506" spans="2:9">
      <c r="B506" s="67"/>
      <c r="C506" s="67"/>
      <c r="D506" s="67"/>
      <c r="E506" s="67"/>
      <c r="F506" s="67"/>
      <c r="G506" s="67"/>
      <c r="H506" s="67"/>
      <c r="I506" s="103"/>
    </row>
    <row r="507" spans="2:9">
      <c r="B507" s="67"/>
      <c r="C507" s="67"/>
      <c r="D507" s="67"/>
      <c r="E507" s="67"/>
      <c r="F507" s="67"/>
      <c r="G507" s="67"/>
      <c r="H507" s="67"/>
      <c r="I507" s="103"/>
    </row>
    <row r="508" spans="2:9">
      <c r="B508" s="67"/>
      <c r="C508" s="67"/>
      <c r="D508" s="67"/>
      <c r="E508" s="67"/>
      <c r="F508" s="67"/>
      <c r="G508" s="67"/>
      <c r="H508" s="67"/>
      <c r="I508" s="103"/>
    </row>
    <row r="509" spans="2:9">
      <c r="B509" s="67"/>
      <c r="C509" s="67"/>
      <c r="D509" s="67"/>
      <c r="E509" s="67"/>
      <c r="F509" s="67"/>
      <c r="G509" s="67"/>
      <c r="H509" s="67"/>
      <c r="I509" s="103"/>
    </row>
    <row r="510" spans="2:9">
      <c r="B510" s="67"/>
      <c r="C510" s="67"/>
      <c r="D510" s="67"/>
      <c r="E510" s="67"/>
      <c r="F510" s="67"/>
      <c r="G510" s="67"/>
      <c r="H510" s="67"/>
      <c r="I510" s="103"/>
    </row>
    <row r="511" spans="2:9">
      <c r="B511" s="67"/>
      <c r="C511" s="67"/>
      <c r="D511" s="67"/>
      <c r="E511" s="67"/>
      <c r="F511" s="67"/>
      <c r="G511" s="67"/>
      <c r="H511" s="67"/>
      <c r="I511" s="103"/>
    </row>
    <row r="512" spans="2:9">
      <c r="B512" s="67"/>
      <c r="C512" s="67"/>
      <c r="D512" s="67"/>
      <c r="E512" s="67"/>
      <c r="F512" s="67"/>
      <c r="G512" s="67"/>
      <c r="H512" s="67"/>
      <c r="I512" s="103"/>
    </row>
    <row r="513" spans="2:9">
      <c r="B513" s="67"/>
      <c r="C513" s="67"/>
      <c r="D513" s="67"/>
      <c r="E513" s="67"/>
      <c r="F513" s="67"/>
      <c r="G513" s="67"/>
      <c r="H513" s="67"/>
      <c r="I513" s="103"/>
    </row>
    <row r="514" spans="2:9">
      <c r="B514" s="67"/>
      <c r="C514" s="67"/>
      <c r="D514" s="67"/>
      <c r="E514" s="67"/>
      <c r="F514" s="67"/>
      <c r="G514" s="67"/>
      <c r="H514" s="67"/>
      <c r="I514" s="103"/>
    </row>
    <row r="515" spans="2:9">
      <c r="B515" s="67"/>
      <c r="C515" s="67"/>
      <c r="D515" s="67"/>
      <c r="E515" s="67"/>
      <c r="F515" s="67"/>
      <c r="G515" s="67"/>
      <c r="H515" s="67"/>
      <c r="I515" s="103"/>
    </row>
    <row r="516" spans="2:9">
      <c r="B516" s="67"/>
      <c r="C516" s="67"/>
      <c r="D516" s="67"/>
      <c r="E516" s="67"/>
      <c r="F516" s="67"/>
      <c r="G516" s="67"/>
      <c r="H516" s="67"/>
      <c r="I516" s="103"/>
    </row>
    <row r="517" spans="2:9">
      <c r="B517" s="67"/>
      <c r="C517" s="67"/>
      <c r="D517" s="67"/>
      <c r="E517" s="67"/>
      <c r="F517" s="67"/>
      <c r="G517" s="67"/>
      <c r="H517" s="67"/>
      <c r="I517" s="103"/>
    </row>
    <row r="518" spans="2:9">
      <c r="B518" s="67"/>
      <c r="C518" s="67"/>
      <c r="D518" s="67"/>
      <c r="E518" s="67"/>
      <c r="F518" s="67"/>
      <c r="G518" s="67"/>
      <c r="H518" s="67"/>
      <c r="I518" s="103"/>
    </row>
    <row r="519" spans="2:9">
      <c r="B519" s="67"/>
      <c r="C519" s="67"/>
      <c r="D519" s="67"/>
      <c r="E519" s="67"/>
      <c r="F519" s="67"/>
      <c r="G519" s="67"/>
      <c r="H519" s="67"/>
      <c r="I519" s="103"/>
    </row>
    <row r="520" spans="2:9">
      <c r="B520" s="67"/>
      <c r="C520" s="67"/>
      <c r="D520" s="67"/>
      <c r="E520" s="67"/>
      <c r="F520" s="67"/>
      <c r="G520" s="67"/>
      <c r="H520" s="67"/>
      <c r="I520" s="103"/>
    </row>
    <row r="521" spans="2:9">
      <c r="B521" s="67"/>
      <c r="C521" s="67"/>
      <c r="D521" s="67"/>
      <c r="E521" s="67"/>
      <c r="F521" s="67"/>
      <c r="G521" s="67"/>
      <c r="H521" s="67"/>
      <c r="I521" s="103"/>
    </row>
    <row r="522" spans="2:9">
      <c r="B522" s="67"/>
      <c r="C522" s="67"/>
      <c r="D522" s="67"/>
      <c r="E522" s="67"/>
      <c r="F522" s="67"/>
      <c r="G522" s="67"/>
      <c r="H522" s="67"/>
      <c r="I522" s="103"/>
    </row>
    <row r="523" spans="2:9">
      <c r="B523" s="67"/>
      <c r="C523" s="67"/>
      <c r="D523" s="67"/>
      <c r="E523" s="67"/>
      <c r="F523" s="67"/>
      <c r="G523" s="67"/>
      <c r="H523" s="67"/>
      <c r="I523" s="103"/>
    </row>
    <row r="524" spans="2:9">
      <c r="B524" s="67"/>
      <c r="C524" s="67"/>
      <c r="D524" s="67"/>
      <c r="E524" s="67"/>
      <c r="F524" s="67"/>
      <c r="G524" s="67"/>
      <c r="H524" s="67"/>
      <c r="I524" s="103"/>
    </row>
    <row r="525" spans="2:9">
      <c r="B525" s="67"/>
      <c r="C525" s="67"/>
      <c r="D525" s="67"/>
      <c r="E525" s="67"/>
      <c r="F525" s="67"/>
      <c r="G525" s="67"/>
      <c r="H525" s="67"/>
      <c r="I525" s="103"/>
    </row>
    <row r="526" spans="2:9">
      <c r="B526" s="67"/>
      <c r="C526" s="67"/>
      <c r="D526" s="67"/>
      <c r="E526" s="67"/>
      <c r="F526" s="67"/>
      <c r="G526" s="67"/>
      <c r="H526" s="67"/>
      <c r="I526" s="103"/>
    </row>
    <row r="527" spans="2:9">
      <c r="B527" s="67"/>
      <c r="C527" s="67"/>
      <c r="D527" s="67"/>
      <c r="E527" s="67"/>
      <c r="F527" s="67"/>
      <c r="G527" s="67"/>
      <c r="H527" s="67"/>
      <c r="I527" s="103"/>
    </row>
    <row r="528" spans="2:9">
      <c r="B528" s="67"/>
      <c r="C528" s="67"/>
      <c r="D528" s="67"/>
      <c r="E528" s="67"/>
      <c r="F528" s="67"/>
      <c r="G528" s="67"/>
      <c r="H528" s="67"/>
      <c r="I528" s="103"/>
    </row>
    <row r="529" spans="2:9">
      <c r="B529" s="67"/>
      <c r="C529" s="67"/>
      <c r="D529" s="67"/>
      <c r="E529" s="67"/>
      <c r="F529" s="67"/>
      <c r="G529" s="67"/>
      <c r="H529" s="67"/>
      <c r="I529" s="103"/>
    </row>
    <row r="530" spans="2:9">
      <c r="B530" s="67"/>
      <c r="C530" s="67"/>
      <c r="D530" s="67"/>
      <c r="E530" s="67"/>
      <c r="F530" s="67"/>
      <c r="G530" s="67"/>
      <c r="H530" s="67"/>
      <c r="I530" s="103"/>
    </row>
    <row r="531" spans="2:9">
      <c r="B531" s="67"/>
      <c r="C531" s="67"/>
      <c r="D531" s="67"/>
      <c r="E531" s="67"/>
      <c r="F531" s="67"/>
      <c r="G531" s="67"/>
      <c r="H531" s="67"/>
      <c r="I531" s="103"/>
    </row>
    <row r="532" spans="2:9">
      <c r="B532" s="67"/>
      <c r="C532" s="67"/>
      <c r="D532" s="67"/>
      <c r="E532" s="67"/>
      <c r="F532" s="67"/>
      <c r="G532" s="67"/>
      <c r="H532" s="67"/>
      <c r="I532" s="103"/>
    </row>
    <row r="533" spans="2:9">
      <c r="B533" s="67"/>
      <c r="C533" s="67"/>
      <c r="D533" s="67"/>
      <c r="E533" s="67"/>
      <c r="F533" s="67"/>
      <c r="G533" s="67"/>
      <c r="H533" s="67"/>
      <c r="I533" s="103"/>
    </row>
    <row r="534" spans="2:9">
      <c r="B534" s="67"/>
      <c r="C534" s="67"/>
      <c r="D534" s="67"/>
      <c r="E534" s="67"/>
      <c r="F534" s="67"/>
      <c r="G534" s="67"/>
      <c r="H534" s="67"/>
      <c r="I534" s="103"/>
    </row>
    <row r="535" spans="2:9">
      <c r="B535" s="67"/>
      <c r="C535" s="67"/>
      <c r="D535" s="67"/>
      <c r="E535" s="67"/>
      <c r="F535" s="67"/>
      <c r="G535" s="67"/>
      <c r="H535" s="67"/>
      <c r="I535" s="103"/>
    </row>
    <row r="536" spans="2:9">
      <c r="B536" s="67"/>
      <c r="C536" s="67"/>
      <c r="D536" s="67"/>
      <c r="E536" s="67"/>
      <c r="F536" s="67"/>
      <c r="G536" s="67"/>
      <c r="H536" s="67"/>
      <c r="I536" s="103"/>
    </row>
    <row r="537" spans="2:9">
      <c r="B537" s="67"/>
      <c r="C537" s="67"/>
      <c r="D537" s="67"/>
      <c r="E537" s="67"/>
      <c r="F537" s="67"/>
      <c r="G537" s="67"/>
      <c r="H537" s="67"/>
      <c r="I537" s="103"/>
    </row>
    <row r="538" spans="2:9">
      <c r="B538" s="67"/>
      <c r="C538" s="67"/>
      <c r="D538" s="67"/>
      <c r="E538" s="67"/>
      <c r="F538" s="67"/>
      <c r="G538" s="67"/>
      <c r="H538" s="67"/>
      <c r="I538" s="103"/>
    </row>
    <row r="539" spans="2:9">
      <c r="B539" s="67"/>
      <c r="C539" s="67"/>
      <c r="D539" s="67"/>
      <c r="E539" s="67"/>
      <c r="F539" s="67"/>
      <c r="G539" s="67"/>
      <c r="H539" s="67"/>
      <c r="I539" s="103"/>
    </row>
    <row r="540" spans="2:9">
      <c r="B540" s="67"/>
      <c r="C540" s="67"/>
      <c r="D540" s="67"/>
      <c r="E540" s="67"/>
      <c r="F540" s="67"/>
      <c r="G540" s="67"/>
      <c r="H540" s="67"/>
      <c r="I540" s="103"/>
    </row>
    <row r="541" spans="2:9">
      <c r="B541" s="67"/>
      <c r="C541" s="67"/>
      <c r="D541" s="67"/>
      <c r="E541" s="67"/>
      <c r="F541" s="67"/>
      <c r="G541" s="67"/>
      <c r="H541" s="67"/>
      <c r="I541" s="103"/>
    </row>
    <row r="542" spans="2:9">
      <c r="B542" s="67"/>
      <c r="C542" s="67"/>
      <c r="D542" s="67"/>
      <c r="E542" s="67"/>
      <c r="F542" s="67"/>
      <c r="G542" s="67"/>
      <c r="H542" s="67"/>
      <c r="I542" s="103"/>
    </row>
    <row r="543" spans="2:9">
      <c r="B543" s="67"/>
      <c r="C543" s="67"/>
      <c r="D543" s="67"/>
      <c r="E543" s="67"/>
      <c r="F543" s="67"/>
      <c r="G543" s="67"/>
      <c r="H543" s="67"/>
      <c r="I543" s="103"/>
    </row>
    <row r="544" spans="2:9">
      <c r="B544" s="67"/>
      <c r="C544" s="67"/>
      <c r="D544" s="67"/>
      <c r="E544" s="67"/>
      <c r="F544" s="67"/>
      <c r="G544" s="67"/>
      <c r="H544" s="67"/>
      <c r="I544" s="103"/>
    </row>
    <row r="545" spans="2:9">
      <c r="B545" s="67"/>
      <c r="C545" s="67"/>
      <c r="D545" s="67"/>
      <c r="E545" s="67"/>
      <c r="F545" s="67"/>
      <c r="G545" s="67"/>
      <c r="H545" s="67"/>
      <c r="I545" s="103"/>
    </row>
    <row r="546" spans="2:9">
      <c r="B546" s="67"/>
      <c r="C546" s="67"/>
      <c r="D546" s="67"/>
      <c r="E546" s="67"/>
      <c r="F546" s="67"/>
      <c r="G546" s="67"/>
      <c r="H546" s="67"/>
      <c r="I546" s="103"/>
    </row>
    <row r="547" spans="2:9">
      <c r="B547" s="67"/>
      <c r="C547" s="67"/>
      <c r="D547" s="67"/>
      <c r="E547" s="67"/>
      <c r="F547" s="67"/>
      <c r="G547" s="67"/>
      <c r="H547" s="67"/>
      <c r="I547" s="103"/>
    </row>
    <row r="548" spans="2:9">
      <c r="B548" s="67"/>
      <c r="C548" s="67"/>
      <c r="D548" s="67"/>
      <c r="E548" s="67"/>
      <c r="F548" s="67"/>
      <c r="G548" s="67"/>
      <c r="H548" s="67"/>
      <c r="I548" s="103"/>
    </row>
    <row r="549" spans="2:9">
      <c r="B549" s="67"/>
      <c r="C549" s="67"/>
      <c r="D549" s="67"/>
      <c r="E549" s="67"/>
      <c r="F549" s="67"/>
      <c r="G549" s="67"/>
      <c r="H549" s="67"/>
      <c r="I549" s="103"/>
    </row>
    <row r="550" spans="2:9">
      <c r="B550" s="67"/>
      <c r="C550" s="67"/>
      <c r="D550" s="67"/>
      <c r="E550" s="67"/>
      <c r="F550" s="67"/>
      <c r="G550" s="67"/>
      <c r="H550" s="67"/>
      <c r="I550" s="103"/>
    </row>
    <row r="551" spans="2:9">
      <c r="B551" s="67"/>
      <c r="C551" s="67"/>
      <c r="D551" s="67"/>
      <c r="E551" s="67"/>
      <c r="F551" s="67"/>
      <c r="G551" s="67"/>
      <c r="H551" s="67"/>
      <c r="I551" s="103"/>
    </row>
    <row r="552" spans="2:9">
      <c r="B552" s="67"/>
      <c r="C552" s="67"/>
      <c r="D552" s="67"/>
      <c r="E552" s="67"/>
      <c r="F552" s="67"/>
      <c r="G552" s="67"/>
      <c r="H552" s="67"/>
      <c r="I552" s="103"/>
    </row>
    <row r="553" spans="2:9">
      <c r="B553" s="67"/>
      <c r="C553" s="67"/>
      <c r="D553" s="67"/>
      <c r="E553" s="67"/>
      <c r="F553" s="67"/>
      <c r="G553" s="67"/>
      <c r="H553" s="67"/>
      <c r="I553" s="103"/>
    </row>
    <row r="554" spans="2:9">
      <c r="B554" s="67"/>
      <c r="C554" s="67"/>
      <c r="D554" s="67"/>
      <c r="E554" s="67"/>
      <c r="F554" s="67"/>
      <c r="G554" s="67"/>
      <c r="H554" s="67"/>
      <c r="I554" s="103"/>
    </row>
    <row r="555" spans="2:9">
      <c r="B555" s="67"/>
      <c r="C555" s="67"/>
      <c r="D555" s="67"/>
      <c r="E555" s="67"/>
      <c r="F555" s="67"/>
      <c r="G555" s="67"/>
      <c r="H555" s="67"/>
      <c r="I555" s="103"/>
    </row>
    <row r="556" spans="2:9">
      <c r="B556" s="67"/>
      <c r="C556" s="67"/>
      <c r="D556" s="67"/>
      <c r="E556" s="67"/>
      <c r="F556" s="67"/>
      <c r="G556" s="67"/>
      <c r="H556" s="67"/>
      <c r="I556" s="103"/>
    </row>
    <row r="557" spans="2:9">
      <c r="B557" s="67"/>
      <c r="C557" s="67"/>
      <c r="D557" s="67"/>
      <c r="E557" s="67"/>
      <c r="F557" s="67"/>
      <c r="G557" s="67"/>
      <c r="H557" s="67"/>
      <c r="I557" s="103"/>
    </row>
    <row r="558" spans="2:9">
      <c r="B558" s="67"/>
      <c r="C558" s="67"/>
      <c r="D558" s="67"/>
      <c r="E558" s="67"/>
      <c r="F558" s="67"/>
      <c r="G558" s="67"/>
      <c r="H558" s="67"/>
      <c r="I558" s="103"/>
    </row>
    <row r="559" spans="2:9">
      <c r="B559" s="67"/>
      <c r="C559" s="67"/>
      <c r="D559" s="67"/>
      <c r="E559" s="67"/>
      <c r="F559" s="67"/>
      <c r="G559" s="67"/>
      <c r="H559" s="67"/>
      <c r="I559" s="103"/>
    </row>
    <row r="560" spans="2:9">
      <c r="B560" s="67"/>
      <c r="C560" s="67"/>
      <c r="D560" s="67"/>
      <c r="E560" s="67"/>
      <c r="F560" s="67"/>
      <c r="G560" s="67"/>
      <c r="H560" s="67"/>
      <c r="I560" s="103"/>
    </row>
    <row r="561" spans="2:9">
      <c r="B561" s="67"/>
      <c r="C561" s="67"/>
      <c r="D561" s="67"/>
      <c r="E561" s="67"/>
      <c r="F561" s="67"/>
      <c r="G561" s="67"/>
      <c r="H561" s="67"/>
      <c r="I561" s="103"/>
    </row>
    <row r="562" spans="2:9">
      <c r="B562" s="67"/>
      <c r="C562" s="67"/>
      <c r="D562" s="67"/>
      <c r="E562" s="67"/>
      <c r="F562" s="67"/>
      <c r="G562" s="67"/>
      <c r="H562" s="67"/>
      <c r="I562" s="103"/>
    </row>
    <row r="563" spans="2:9">
      <c r="B563" s="67"/>
      <c r="C563" s="67"/>
      <c r="D563" s="67"/>
      <c r="E563" s="67"/>
      <c r="F563" s="67"/>
      <c r="G563" s="67"/>
      <c r="H563" s="67"/>
      <c r="I563" s="103"/>
    </row>
    <row r="564" spans="2:9">
      <c r="B564" s="67"/>
      <c r="C564" s="67"/>
      <c r="D564" s="67"/>
      <c r="E564" s="67"/>
      <c r="F564" s="67"/>
      <c r="G564" s="67"/>
      <c r="H564" s="67"/>
      <c r="I564" s="103"/>
    </row>
    <row r="565" spans="2:9">
      <c r="B565" s="67"/>
      <c r="C565" s="67"/>
      <c r="D565" s="67"/>
      <c r="E565" s="67"/>
      <c r="F565" s="67"/>
      <c r="G565" s="67"/>
      <c r="H565" s="67"/>
      <c r="I565" s="103"/>
    </row>
    <row r="566" spans="2:9">
      <c r="B566" s="67"/>
      <c r="C566" s="67"/>
      <c r="D566" s="67"/>
      <c r="E566" s="67"/>
      <c r="F566" s="67"/>
      <c r="G566" s="67"/>
      <c r="H566" s="67"/>
      <c r="I566" s="103"/>
    </row>
    <row r="567" spans="2:9">
      <c r="B567" s="67"/>
      <c r="C567" s="67"/>
      <c r="D567" s="67"/>
      <c r="E567" s="67"/>
      <c r="F567" s="67"/>
      <c r="G567" s="67"/>
      <c r="H567" s="67"/>
      <c r="I567" s="103"/>
    </row>
    <row r="568" spans="2:9">
      <c r="B568" s="67"/>
      <c r="C568" s="67"/>
      <c r="D568" s="67"/>
      <c r="E568" s="67"/>
      <c r="F568" s="67"/>
      <c r="G568" s="67"/>
      <c r="H568" s="67"/>
      <c r="I568" s="103"/>
    </row>
    <row r="569" spans="2:9">
      <c r="B569" s="67"/>
      <c r="C569" s="67"/>
      <c r="D569" s="67"/>
      <c r="E569" s="67"/>
      <c r="F569" s="67"/>
      <c r="G569" s="67"/>
      <c r="H569" s="67"/>
      <c r="I569" s="103"/>
    </row>
    <row r="570" spans="2:9">
      <c r="B570" s="67"/>
      <c r="C570" s="67"/>
      <c r="D570" s="67"/>
      <c r="E570" s="67"/>
      <c r="F570" s="67"/>
      <c r="G570" s="67"/>
      <c r="H570" s="67"/>
      <c r="I570" s="103"/>
    </row>
    <row r="571" spans="2:9">
      <c r="B571" s="67"/>
      <c r="C571" s="67"/>
      <c r="D571" s="67"/>
      <c r="E571" s="67"/>
      <c r="F571" s="67"/>
      <c r="G571" s="67"/>
      <c r="H571" s="67"/>
      <c r="I571" s="103"/>
    </row>
    <row r="572" spans="2:9">
      <c r="B572" s="67"/>
      <c r="C572" s="67"/>
      <c r="D572" s="67"/>
      <c r="E572" s="67"/>
      <c r="F572" s="67"/>
      <c r="G572" s="67"/>
      <c r="H572" s="67"/>
      <c r="I572" s="103"/>
    </row>
    <row r="573" spans="2:9">
      <c r="B573" s="67"/>
      <c r="C573" s="67"/>
      <c r="D573" s="67"/>
      <c r="E573" s="67"/>
      <c r="F573" s="67"/>
      <c r="G573" s="67"/>
      <c r="H573" s="67"/>
      <c r="I573" s="103"/>
    </row>
    <row r="574" spans="2:9">
      <c r="B574" s="67"/>
      <c r="C574" s="67"/>
      <c r="D574" s="67"/>
      <c r="E574" s="67"/>
      <c r="F574" s="67"/>
      <c r="G574" s="67"/>
      <c r="H574" s="67"/>
      <c r="I574" s="103"/>
    </row>
    <row r="575" spans="2:9">
      <c r="B575" s="67"/>
      <c r="C575" s="67"/>
      <c r="D575" s="67"/>
      <c r="E575" s="67"/>
      <c r="F575" s="67"/>
      <c r="G575" s="67"/>
      <c r="H575" s="67"/>
      <c r="I575" s="103"/>
    </row>
    <row r="576" spans="2:9">
      <c r="B576" s="67"/>
      <c r="C576" s="67"/>
      <c r="D576" s="67"/>
      <c r="E576" s="67"/>
      <c r="F576" s="67"/>
      <c r="G576" s="67"/>
      <c r="H576" s="67"/>
      <c r="I576" s="103"/>
    </row>
    <row r="577" spans="2:9">
      <c r="B577" s="67"/>
      <c r="C577" s="67"/>
      <c r="D577" s="67"/>
      <c r="E577" s="67"/>
      <c r="F577" s="67"/>
      <c r="G577" s="67"/>
      <c r="H577" s="67"/>
      <c r="I577" s="103"/>
    </row>
    <row r="578" spans="2:9">
      <c r="B578" s="67"/>
      <c r="C578" s="67"/>
      <c r="D578" s="67"/>
      <c r="E578" s="67"/>
      <c r="F578" s="67"/>
      <c r="G578" s="67"/>
      <c r="H578" s="67"/>
      <c r="I578" s="103"/>
    </row>
    <row r="579" spans="2:9">
      <c r="B579" s="67"/>
      <c r="C579" s="67"/>
      <c r="D579" s="67"/>
      <c r="E579" s="67"/>
      <c r="F579" s="67"/>
      <c r="G579" s="67"/>
      <c r="H579" s="67"/>
      <c r="I579" s="103"/>
    </row>
    <row r="580" spans="2:9">
      <c r="B580" s="67"/>
      <c r="C580" s="67"/>
      <c r="D580" s="67"/>
      <c r="E580" s="67"/>
      <c r="F580" s="67"/>
      <c r="G580" s="67"/>
      <c r="H580" s="67"/>
      <c r="I580" s="103"/>
    </row>
    <row r="581" spans="2:9">
      <c r="B581" s="67"/>
      <c r="C581" s="67"/>
      <c r="D581" s="67"/>
      <c r="E581" s="67"/>
      <c r="F581" s="67"/>
      <c r="G581" s="67"/>
      <c r="H581" s="67"/>
      <c r="I581" s="103"/>
    </row>
    <row r="582" spans="2:9">
      <c r="B582" s="67"/>
      <c r="C582" s="67"/>
      <c r="D582" s="67"/>
      <c r="E582" s="67"/>
      <c r="F582" s="67"/>
      <c r="G582" s="67"/>
      <c r="H582" s="67"/>
      <c r="I582" s="103"/>
    </row>
    <row r="583" spans="2:9">
      <c r="B583" s="67"/>
      <c r="C583" s="67"/>
      <c r="D583" s="67"/>
      <c r="E583" s="67"/>
      <c r="F583" s="67"/>
      <c r="G583" s="67"/>
      <c r="H583" s="67"/>
      <c r="I583" s="103"/>
    </row>
    <row r="584" spans="2:9">
      <c r="B584" s="67"/>
      <c r="C584" s="67"/>
      <c r="D584" s="67"/>
      <c r="E584" s="67"/>
      <c r="F584" s="67"/>
      <c r="G584" s="67"/>
      <c r="H584" s="67"/>
      <c r="I584" s="103"/>
    </row>
    <row r="585" spans="2:9">
      <c r="B585" s="67"/>
      <c r="C585" s="67"/>
      <c r="D585" s="67"/>
      <c r="E585" s="67"/>
      <c r="F585" s="67"/>
      <c r="G585" s="67"/>
      <c r="H585" s="67"/>
      <c r="I585" s="103"/>
    </row>
    <row r="586" spans="2:9">
      <c r="B586" s="67"/>
      <c r="C586" s="67"/>
      <c r="D586" s="67"/>
      <c r="E586" s="67"/>
      <c r="F586" s="67"/>
      <c r="G586" s="67"/>
      <c r="H586" s="67"/>
      <c r="I586" s="103"/>
    </row>
    <row r="587" spans="2:9">
      <c r="B587" s="67"/>
      <c r="C587" s="67"/>
      <c r="D587" s="67"/>
      <c r="E587" s="67"/>
      <c r="F587" s="67"/>
      <c r="G587" s="67"/>
      <c r="H587" s="67"/>
      <c r="I587" s="103"/>
    </row>
    <row r="588" spans="2:9">
      <c r="B588" s="67"/>
      <c r="C588" s="67"/>
      <c r="D588" s="67"/>
      <c r="E588" s="67"/>
      <c r="F588" s="67"/>
      <c r="G588" s="67"/>
      <c r="H588" s="67"/>
      <c r="I588" s="103"/>
    </row>
    <row r="589" spans="2:9">
      <c r="B589" s="67"/>
      <c r="C589" s="67"/>
      <c r="D589" s="67"/>
      <c r="E589" s="67"/>
      <c r="F589" s="67"/>
      <c r="G589" s="67"/>
      <c r="H589" s="67"/>
      <c r="I589" s="103"/>
    </row>
    <row r="590" spans="2:9">
      <c r="B590" s="67"/>
      <c r="C590" s="67"/>
      <c r="D590" s="67"/>
      <c r="E590" s="67"/>
      <c r="F590" s="67"/>
      <c r="G590" s="67"/>
      <c r="H590" s="67"/>
      <c r="I590" s="103"/>
    </row>
    <row r="591" spans="2:9">
      <c r="B591" s="67"/>
      <c r="C591" s="67"/>
      <c r="D591" s="67"/>
      <c r="E591" s="67"/>
      <c r="F591" s="67"/>
      <c r="G591" s="67"/>
      <c r="H591" s="67"/>
      <c r="I591" s="103"/>
    </row>
    <row r="592" spans="2:9">
      <c r="B592" s="67"/>
      <c r="C592" s="67"/>
      <c r="D592" s="67"/>
      <c r="E592" s="67"/>
      <c r="F592" s="67"/>
      <c r="G592" s="67"/>
      <c r="H592" s="67"/>
      <c r="I592" s="103"/>
    </row>
    <row r="593" spans="2:9">
      <c r="B593" s="67"/>
      <c r="C593" s="67"/>
      <c r="D593" s="67"/>
      <c r="E593" s="67"/>
      <c r="F593" s="67"/>
      <c r="G593" s="67"/>
      <c r="H593" s="67"/>
      <c r="I593" s="103"/>
    </row>
    <row r="594" spans="2:9">
      <c r="B594" s="67"/>
      <c r="C594" s="67"/>
      <c r="D594" s="67"/>
      <c r="E594" s="67"/>
      <c r="F594" s="67"/>
      <c r="G594" s="67"/>
      <c r="H594" s="67"/>
      <c r="I594" s="103"/>
    </row>
    <row r="595" spans="2:9">
      <c r="B595" s="67"/>
      <c r="C595" s="67"/>
      <c r="D595" s="67"/>
      <c r="E595" s="67"/>
      <c r="F595" s="67"/>
      <c r="G595" s="67"/>
      <c r="H595" s="67"/>
      <c r="I595" s="103"/>
    </row>
    <row r="596" spans="2:9">
      <c r="B596" s="67"/>
      <c r="C596" s="67"/>
      <c r="D596" s="67"/>
      <c r="E596" s="67"/>
      <c r="F596" s="67"/>
      <c r="G596" s="67"/>
      <c r="H596" s="67"/>
      <c r="I596" s="103"/>
    </row>
    <row r="597" spans="2:9">
      <c r="B597" s="67"/>
      <c r="C597" s="67"/>
      <c r="D597" s="67"/>
      <c r="E597" s="67"/>
      <c r="F597" s="67"/>
      <c r="G597" s="67"/>
      <c r="H597" s="67"/>
      <c r="I597" s="103"/>
    </row>
    <row r="598" spans="2:9">
      <c r="B598" s="67"/>
      <c r="C598" s="67"/>
      <c r="D598" s="67"/>
      <c r="E598" s="67"/>
      <c r="F598" s="67"/>
      <c r="G598" s="67"/>
      <c r="H598" s="67"/>
      <c r="I598" s="103"/>
    </row>
    <row r="599" spans="2:9">
      <c r="B599" s="67"/>
      <c r="C599" s="67"/>
      <c r="D599" s="67"/>
      <c r="E599" s="67"/>
      <c r="F599" s="67"/>
      <c r="G599" s="67"/>
      <c r="H599" s="67"/>
      <c r="I599" s="103"/>
    </row>
    <row r="600" spans="2:9">
      <c r="B600" s="67"/>
      <c r="C600" s="67"/>
      <c r="D600" s="67"/>
      <c r="E600" s="67"/>
      <c r="F600" s="67"/>
      <c r="G600" s="67"/>
      <c r="H600" s="67"/>
      <c r="I600" s="103"/>
    </row>
    <row r="601" spans="2:9">
      <c r="B601" s="67"/>
      <c r="C601" s="67"/>
      <c r="D601" s="67"/>
      <c r="E601" s="67"/>
      <c r="F601" s="67"/>
      <c r="G601" s="67"/>
      <c r="H601" s="67"/>
      <c r="I601" s="103"/>
    </row>
    <row r="602" spans="2:9">
      <c r="B602" s="67"/>
      <c r="C602" s="67"/>
      <c r="D602" s="67"/>
      <c r="E602" s="67"/>
      <c r="F602" s="67"/>
      <c r="G602" s="67"/>
      <c r="H602" s="67"/>
      <c r="I602" s="103"/>
    </row>
    <row r="603" spans="2:9">
      <c r="B603" s="67"/>
      <c r="C603" s="67"/>
      <c r="D603" s="67"/>
      <c r="E603" s="67"/>
      <c r="F603" s="67"/>
      <c r="G603" s="67"/>
      <c r="H603" s="67"/>
      <c r="I603" s="103"/>
    </row>
    <row r="604" spans="2:9">
      <c r="B604" s="67"/>
      <c r="C604" s="67"/>
      <c r="D604" s="67"/>
      <c r="E604" s="67"/>
      <c r="F604" s="67"/>
      <c r="G604" s="67"/>
      <c r="H604" s="67"/>
      <c r="I604" s="103"/>
    </row>
    <row r="605" spans="2:9">
      <c r="B605" s="67"/>
      <c r="C605" s="67"/>
      <c r="D605" s="67"/>
      <c r="E605" s="67"/>
      <c r="F605" s="67"/>
      <c r="G605" s="67"/>
      <c r="H605" s="67"/>
      <c r="I605" s="103"/>
    </row>
    <row r="606" spans="2:9">
      <c r="B606" s="67"/>
      <c r="C606" s="67"/>
      <c r="D606" s="67"/>
      <c r="E606" s="67"/>
      <c r="F606" s="67"/>
      <c r="G606" s="67"/>
      <c r="H606" s="67"/>
      <c r="I606" s="103"/>
    </row>
    <row r="607" spans="2:9">
      <c r="B607" s="67"/>
      <c r="C607" s="67"/>
      <c r="D607" s="67"/>
      <c r="E607" s="67"/>
      <c r="F607" s="67"/>
      <c r="G607" s="67"/>
      <c r="H607" s="67"/>
      <c r="I607" s="103"/>
    </row>
    <row r="608" spans="2:9">
      <c r="B608" s="67"/>
      <c r="C608" s="67"/>
      <c r="D608" s="67"/>
      <c r="E608" s="67"/>
      <c r="F608" s="67"/>
      <c r="G608" s="67"/>
      <c r="H608" s="67"/>
      <c r="I608" s="103"/>
    </row>
    <row r="609" spans="2:9">
      <c r="B609" s="67"/>
      <c r="C609" s="67"/>
      <c r="D609" s="67"/>
      <c r="E609" s="67"/>
      <c r="F609" s="67"/>
      <c r="G609" s="67"/>
      <c r="H609" s="67"/>
      <c r="I609" s="103"/>
    </row>
    <row r="610" spans="2:9">
      <c r="B610" s="67"/>
      <c r="C610" s="67"/>
      <c r="D610" s="67"/>
      <c r="E610" s="67"/>
      <c r="F610" s="67"/>
      <c r="G610" s="67"/>
      <c r="H610" s="67"/>
      <c r="I610" s="103"/>
    </row>
    <row r="611" spans="2:9">
      <c r="B611" s="67"/>
      <c r="C611" s="67"/>
      <c r="D611" s="67"/>
      <c r="E611" s="67"/>
      <c r="F611" s="67"/>
      <c r="G611" s="67"/>
      <c r="H611" s="67"/>
      <c r="I611" s="103"/>
    </row>
    <row r="612" spans="2:9">
      <c r="B612" s="67"/>
      <c r="C612" s="67"/>
      <c r="D612" s="67"/>
      <c r="E612" s="67"/>
      <c r="F612" s="67"/>
      <c r="G612" s="67"/>
      <c r="H612" s="67"/>
      <c r="I612" s="103"/>
    </row>
    <row r="613" spans="2:9">
      <c r="B613" s="67"/>
      <c r="C613" s="67"/>
      <c r="D613" s="67"/>
      <c r="E613" s="67"/>
      <c r="F613" s="67"/>
      <c r="G613" s="67"/>
      <c r="H613" s="67"/>
      <c r="I613" s="103"/>
    </row>
    <row r="614" spans="2:9">
      <c r="B614" s="67"/>
      <c r="C614" s="67"/>
      <c r="D614" s="67"/>
      <c r="E614" s="67"/>
      <c r="F614" s="67"/>
      <c r="G614" s="67"/>
      <c r="H614" s="67"/>
      <c r="I614" s="103"/>
    </row>
    <row r="615" spans="2:9">
      <c r="B615" s="67"/>
      <c r="C615" s="67"/>
      <c r="D615" s="67"/>
      <c r="E615" s="67"/>
      <c r="F615" s="67"/>
      <c r="G615" s="67"/>
      <c r="H615" s="67"/>
      <c r="I615" s="103"/>
    </row>
    <row r="616" spans="2:9">
      <c r="B616" s="67"/>
      <c r="C616" s="67"/>
      <c r="D616" s="67"/>
      <c r="E616" s="67"/>
      <c r="F616" s="67"/>
      <c r="G616" s="67"/>
      <c r="H616" s="67"/>
      <c r="I616" s="103"/>
    </row>
    <row r="617" spans="2:9">
      <c r="B617" s="67"/>
      <c r="C617" s="67"/>
      <c r="D617" s="67"/>
      <c r="E617" s="67"/>
      <c r="F617" s="67"/>
      <c r="G617" s="67"/>
      <c r="H617" s="67"/>
      <c r="I617" s="103"/>
    </row>
    <row r="618" spans="2:9">
      <c r="B618" s="67"/>
      <c r="C618" s="67"/>
      <c r="D618" s="67"/>
      <c r="E618" s="67"/>
      <c r="F618" s="67"/>
      <c r="G618" s="67"/>
      <c r="H618" s="67"/>
      <c r="I618" s="103"/>
    </row>
    <row r="619" spans="2:9">
      <c r="B619" s="67"/>
      <c r="C619" s="67"/>
      <c r="D619" s="67"/>
      <c r="E619" s="67"/>
      <c r="F619" s="67"/>
      <c r="G619" s="67"/>
      <c r="H619" s="67"/>
      <c r="I619" s="103"/>
    </row>
    <row r="620" spans="2:9">
      <c r="B620" s="67"/>
      <c r="C620" s="67"/>
      <c r="D620" s="67"/>
      <c r="E620" s="67"/>
      <c r="F620" s="67"/>
      <c r="G620" s="67"/>
      <c r="H620" s="67"/>
      <c r="I620" s="103"/>
    </row>
    <row r="621" spans="2:9">
      <c r="B621" s="67"/>
      <c r="C621" s="67"/>
      <c r="D621" s="67"/>
      <c r="E621" s="67"/>
      <c r="F621" s="67"/>
      <c r="G621" s="67"/>
      <c r="H621" s="67"/>
      <c r="I621" s="103"/>
    </row>
    <row r="622" spans="2:9">
      <c r="B622" s="67"/>
      <c r="C622" s="67"/>
      <c r="D622" s="67"/>
      <c r="E622" s="67"/>
      <c r="F622" s="67"/>
      <c r="G622" s="67"/>
      <c r="H622" s="67"/>
      <c r="I622" s="103"/>
    </row>
    <row r="623" spans="2:9">
      <c r="B623" s="67"/>
      <c r="C623" s="67"/>
      <c r="D623" s="67"/>
      <c r="E623" s="67"/>
      <c r="F623" s="67"/>
      <c r="G623" s="67"/>
      <c r="H623" s="67"/>
      <c r="I623" s="103"/>
    </row>
    <row r="624" spans="2:9">
      <c r="B624" s="67"/>
      <c r="C624" s="67"/>
      <c r="D624" s="67"/>
      <c r="E624" s="67"/>
      <c r="F624" s="67"/>
      <c r="G624" s="67"/>
      <c r="H624" s="67"/>
      <c r="I624" s="103"/>
    </row>
    <row r="625" spans="2:9">
      <c r="B625" s="67"/>
      <c r="C625" s="67"/>
      <c r="D625" s="67"/>
      <c r="E625" s="67"/>
      <c r="F625" s="67"/>
      <c r="G625" s="67"/>
      <c r="H625" s="67"/>
      <c r="I625" s="103"/>
    </row>
    <row r="626" spans="2:9">
      <c r="B626" s="67"/>
      <c r="C626" s="67"/>
      <c r="D626" s="67"/>
      <c r="E626" s="67"/>
      <c r="F626" s="67"/>
      <c r="G626" s="67"/>
      <c r="H626" s="67"/>
      <c r="I626" s="103"/>
    </row>
    <row r="627" spans="2:9">
      <c r="B627" s="67"/>
      <c r="C627" s="67"/>
      <c r="D627" s="67"/>
      <c r="E627" s="67"/>
      <c r="F627" s="67"/>
      <c r="G627" s="67"/>
      <c r="H627" s="67"/>
      <c r="I627" s="103"/>
    </row>
    <row r="628" spans="2:9">
      <c r="B628" s="67"/>
      <c r="C628" s="67"/>
      <c r="D628" s="67"/>
      <c r="E628" s="67"/>
      <c r="F628" s="67"/>
      <c r="G628" s="67"/>
      <c r="H628" s="67"/>
      <c r="I628" s="103"/>
    </row>
    <row r="629" spans="2:9">
      <c r="B629" s="67"/>
      <c r="C629" s="67"/>
      <c r="D629" s="67"/>
      <c r="E629" s="67"/>
      <c r="F629" s="67"/>
      <c r="G629" s="67"/>
      <c r="H629" s="67"/>
      <c r="I629" s="103"/>
    </row>
    <row r="630" spans="2:9">
      <c r="B630" s="67"/>
      <c r="C630" s="67"/>
      <c r="D630" s="67"/>
      <c r="E630" s="67"/>
      <c r="F630" s="67"/>
      <c r="G630" s="67"/>
      <c r="H630" s="67"/>
      <c r="I630" s="103"/>
    </row>
    <row r="631" spans="2:9">
      <c r="B631" s="67"/>
      <c r="C631" s="67"/>
      <c r="D631" s="67"/>
      <c r="E631" s="67"/>
      <c r="F631" s="67"/>
      <c r="G631" s="67"/>
      <c r="H631" s="67"/>
      <c r="I631" s="103"/>
    </row>
    <row r="632" spans="2:9">
      <c r="B632" s="67"/>
      <c r="C632" s="67"/>
      <c r="D632" s="67"/>
      <c r="E632" s="67"/>
      <c r="F632" s="67"/>
      <c r="G632" s="67"/>
      <c r="H632" s="67"/>
      <c r="I632" s="103"/>
    </row>
    <row r="633" spans="2:9">
      <c r="B633" s="67"/>
      <c r="C633" s="67"/>
      <c r="D633" s="67"/>
      <c r="E633" s="67"/>
      <c r="F633" s="67"/>
      <c r="G633" s="67"/>
      <c r="H633" s="67"/>
      <c r="I633" s="103"/>
    </row>
    <row r="634" spans="2:9">
      <c r="B634" s="67"/>
      <c r="C634" s="67"/>
      <c r="D634" s="67"/>
      <c r="E634" s="67"/>
      <c r="F634" s="67"/>
      <c r="G634" s="67"/>
      <c r="H634" s="67"/>
      <c r="I634" s="103"/>
    </row>
    <row r="635" spans="2:9">
      <c r="B635" s="67"/>
      <c r="C635" s="67"/>
      <c r="D635" s="67"/>
      <c r="E635" s="67"/>
      <c r="F635" s="67"/>
      <c r="G635" s="67"/>
      <c r="H635" s="67"/>
      <c r="I635" s="103"/>
    </row>
    <row r="636" spans="2:9">
      <c r="B636" s="67"/>
      <c r="C636" s="67"/>
      <c r="D636" s="67"/>
      <c r="E636" s="67"/>
      <c r="F636" s="67"/>
      <c r="G636" s="67"/>
      <c r="H636" s="67"/>
      <c r="I636" s="103"/>
    </row>
    <row r="637" spans="2:9">
      <c r="B637" s="67"/>
      <c r="C637" s="67"/>
      <c r="D637" s="67"/>
      <c r="E637" s="67"/>
      <c r="F637" s="67"/>
      <c r="G637" s="67"/>
      <c r="H637" s="67"/>
      <c r="I637" s="103"/>
    </row>
    <row r="638" spans="2:9">
      <c r="B638" s="67"/>
      <c r="C638" s="67"/>
      <c r="D638" s="67"/>
      <c r="E638" s="67"/>
      <c r="F638" s="67"/>
      <c r="G638" s="67"/>
      <c r="H638" s="67"/>
      <c r="I638" s="103"/>
    </row>
    <row r="639" spans="2:9">
      <c r="B639" s="67"/>
      <c r="C639" s="67"/>
      <c r="D639" s="67"/>
      <c r="E639" s="67"/>
      <c r="F639" s="67"/>
      <c r="G639" s="67"/>
      <c r="H639" s="67"/>
      <c r="I639" s="103"/>
    </row>
    <row r="640" spans="2:9">
      <c r="B640" s="67"/>
      <c r="C640" s="67"/>
      <c r="D640" s="67"/>
      <c r="E640" s="67"/>
      <c r="F640" s="67"/>
      <c r="G640" s="67"/>
      <c r="H640" s="67"/>
      <c r="I640" s="103"/>
    </row>
    <row r="641" spans="2:9">
      <c r="B641" s="67"/>
      <c r="C641" s="67"/>
      <c r="D641" s="67"/>
      <c r="E641" s="67"/>
      <c r="F641" s="67"/>
      <c r="G641" s="67"/>
      <c r="H641" s="67"/>
      <c r="I641" s="103"/>
    </row>
    <row r="642" spans="2:9">
      <c r="B642" s="67"/>
      <c r="C642" s="67"/>
      <c r="D642" s="67"/>
      <c r="E642" s="67"/>
      <c r="F642" s="67"/>
      <c r="G642" s="67"/>
      <c r="H642" s="67"/>
      <c r="I642" s="103"/>
    </row>
    <row r="643" spans="2:9">
      <c r="B643" s="67"/>
      <c r="C643" s="67"/>
      <c r="D643" s="67"/>
      <c r="E643" s="67"/>
      <c r="F643" s="67"/>
      <c r="G643" s="67"/>
      <c r="H643" s="67"/>
      <c r="I643" s="103"/>
    </row>
    <row r="644" spans="2:9">
      <c r="B644" s="67"/>
      <c r="C644" s="67"/>
      <c r="D644" s="67"/>
      <c r="E644" s="67"/>
      <c r="F644" s="67"/>
      <c r="G644" s="67"/>
      <c r="H644" s="67"/>
      <c r="I644" s="103"/>
    </row>
    <row r="645" spans="2:9">
      <c r="B645" s="67"/>
      <c r="C645" s="67"/>
      <c r="D645" s="67"/>
      <c r="E645" s="67"/>
      <c r="F645" s="67"/>
      <c r="G645" s="67"/>
      <c r="H645" s="67"/>
      <c r="I645" s="103"/>
    </row>
    <row r="646" spans="2:9">
      <c r="B646" s="67"/>
      <c r="C646" s="67"/>
      <c r="D646" s="67"/>
      <c r="E646" s="67"/>
      <c r="F646" s="67"/>
      <c r="G646" s="67"/>
      <c r="H646" s="67"/>
      <c r="I646" s="103"/>
    </row>
    <row r="647" spans="2:9">
      <c r="B647" s="67"/>
      <c r="C647" s="67"/>
      <c r="D647" s="67"/>
      <c r="E647" s="67"/>
      <c r="F647" s="67"/>
      <c r="G647" s="67"/>
      <c r="H647" s="67"/>
      <c r="I647" s="103"/>
    </row>
    <row r="648" spans="2:9">
      <c r="B648" s="67"/>
      <c r="C648" s="67"/>
      <c r="D648" s="67"/>
      <c r="E648" s="67"/>
      <c r="F648" s="67"/>
      <c r="G648" s="67"/>
      <c r="H648" s="67"/>
      <c r="I648" s="103"/>
    </row>
    <row r="649" spans="2:9">
      <c r="B649" s="67"/>
      <c r="C649" s="67"/>
      <c r="D649" s="67"/>
      <c r="E649" s="67"/>
      <c r="F649" s="67"/>
      <c r="G649" s="67"/>
      <c r="H649" s="67"/>
      <c r="I649" s="103"/>
    </row>
    <row r="650" spans="2:9">
      <c r="B650" s="67"/>
      <c r="C650" s="67"/>
      <c r="D650" s="67"/>
      <c r="E650" s="67"/>
      <c r="F650" s="67"/>
      <c r="G650" s="67"/>
      <c r="H650" s="67"/>
      <c r="I650" s="103"/>
    </row>
    <row r="651" spans="2:9">
      <c r="B651" s="67"/>
      <c r="C651" s="67"/>
      <c r="D651" s="67"/>
      <c r="E651" s="67"/>
      <c r="F651" s="67"/>
      <c r="G651" s="67"/>
      <c r="H651" s="67"/>
      <c r="I651" s="103"/>
    </row>
    <row r="652" spans="2:9">
      <c r="B652" s="67"/>
      <c r="C652" s="67"/>
      <c r="D652" s="67"/>
      <c r="E652" s="67"/>
      <c r="F652" s="67"/>
      <c r="G652" s="67"/>
      <c r="H652" s="67"/>
      <c r="I652" s="103"/>
    </row>
    <row r="653" spans="2:9">
      <c r="B653" s="67"/>
      <c r="C653" s="67"/>
      <c r="D653" s="67"/>
      <c r="E653" s="67"/>
      <c r="F653" s="67"/>
      <c r="G653" s="67"/>
      <c r="H653" s="67"/>
      <c r="I653" s="103"/>
    </row>
    <row r="654" spans="2:9">
      <c r="B654" s="67"/>
      <c r="C654" s="67"/>
      <c r="D654" s="67"/>
      <c r="E654" s="67"/>
      <c r="F654" s="67"/>
      <c r="G654" s="67"/>
      <c r="H654" s="67"/>
      <c r="I654" s="103"/>
    </row>
    <row r="655" spans="2:9">
      <c r="B655" s="67"/>
      <c r="C655" s="67"/>
      <c r="D655" s="67"/>
      <c r="E655" s="67"/>
      <c r="F655" s="67"/>
      <c r="G655" s="67"/>
      <c r="H655" s="67"/>
      <c r="I655" s="103"/>
    </row>
    <row r="656" spans="2:9">
      <c r="B656" s="67"/>
      <c r="C656" s="67"/>
      <c r="D656" s="67"/>
      <c r="E656" s="67"/>
      <c r="F656" s="67"/>
      <c r="G656" s="67"/>
      <c r="H656" s="67"/>
      <c r="I656" s="103"/>
    </row>
    <row r="657" spans="2:9">
      <c r="B657" s="67"/>
      <c r="C657" s="67"/>
      <c r="D657" s="67"/>
      <c r="E657" s="67"/>
      <c r="F657" s="67"/>
      <c r="G657" s="67"/>
      <c r="H657" s="67"/>
      <c r="I657" s="103"/>
    </row>
    <row r="658" spans="2:9">
      <c r="B658" s="67"/>
      <c r="C658" s="67"/>
      <c r="D658" s="67"/>
      <c r="E658" s="67"/>
      <c r="F658" s="67"/>
      <c r="G658" s="67"/>
      <c r="H658" s="67"/>
      <c r="I658" s="103"/>
    </row>
    <row r="659" spans="2:9">
      <c r="B659" s="67"/>
      <c r="C659" s="67"/>
      <c r="D659" s="67"/>
      <c r="E659" s="67"/>
      <c r="F659" s="67"/>
      <c r="G659" s="67"/>
      <c r="H659" s="67"/>
      <c r="I659" s="103"/>
    </row>
    <row r="660" spans="2:9">
      <c r="B660" s="67"/>
      <c r="C660" s="67"/>
      <c r="D660" s="67"/>
      <c r="E660" s="67"/>
      <c r="F660" s="67"/>
      <c r="G660" s="67"/>
      <c r="H660" s="67"/>
      <c r="I660" s="103"/>
    </row>
    <row r="661" spans="2:9">
      <c r="B661" s="67"/>
      <c r="C661" s="67"/>
      <c r="D661" s="67"/>
      <c r="E661" s="67"/>
      <c r="F661" s="67"/>
      <c r="G661" s="67"/>
      <c r="H661" s="67"/>
      <c r="I661" s="103"/>
    </row>
    <row r="662" spans="2:9">
      <c r="B662" s="67"/>
      <c r="C662" s="67"/>
      <c r="D662" s="67"/>
      <c r="E662" s="67"/>
      <c r="F662" s="67"/>
      <c r="G662" s="67"/>
      <c r="H662" s="67"/>
      <c r="I662" s="103"/>
    </row>
    <row r="663" spans="2:9">
      <c r="B663" s="67"/>
      <c r="C663" s="67"/>
      <c r="D663" s="67"/>
      <c r="E663" s="67"/>
      <c r="F663" s="67"/>
      <c r="G663" s="67"/>
      <c r="H663" s="67"/>
      <c r="I663" s="103"/>
    </row>
    <row r="664" spans="2:9">
      <c r="B664" s="67"/>
      <c r="C664" s="67"/>
      <c r="D664" s="67"/>
      <c r="E664" s="67"/>
      <c r="F664" s="67"/>
      <c r="G664" s="67"/>
      <c r="H664" s="67"/>
      <c r="I664" s="103"/>
    </row>
    <row r="665" spans="2:9">
      <c r="B665" s="67"/>
      <c r="C665" s="67"/>
      <c r="D665" s="67"/>
      <c r="E665" s="67"/>
      <c r="F665" s="67"/>
      <c r="G665" s="67"/>
      <c r="H665" s="67"/>
      <c r="I665" s="103"/>
    </row>
    <row r="666" spans="2:9">
      <c r="B666" s="67"/>
      <c r="C666" s="67"/>
      <c r="D666" s="67"/>
      <c r="E666" s="67"/>
      <c r="F666" s="67"/>
      <c r="G666" s="67"/>
      <c r="H666" s="67"/>
      <c r="I666" s="103"/>
    </row>
    <row r="667" spans="2:9">
      <c r="B667" s="67"/>
      <c r="C667" s="67"/>
      <c r="D667" s="67"/>
      <c r="E667" s="67"/>
      <c r="F667" s="67"/>
      <c r="G667" s="67"/>
      <c r="H667" s="67"/>
      <c r="I667" s="103"/>
    </row>
    <row r="668" spans="2:9">
      <c r="B668" s="67"/>
      <c r="C668" s="67"/>
      <c r="D668" s="67"/>
      <c r="E668" s="67"/>
      <c r="F668" s="67"/>
      <c r="G668" s="67"/>
      <c r="H668" s="67"/>
      <c r="I668" s="103"/>
    </row>
    <row r="669" spans="2:9">
      <c r="B669" s="67"/>
      <c r="C669" s="67"/>
      <c r="D669" s="67"/>
      <c r="E669" s="67"/>
      <c r="F669" s="67"/>
      <c r="G669" s="67"/>
      <c r="H669" s="67"/>
      <c r="I669" s="103"/>
    </row>
    <row r="670" spans="2:9">
      <c r="B670" s="67"/>
      <c r="C670" s="67"/>
      <c r="D670" s="67"/>
      <c r="E670" s="67"/>
      <c r="F670" s="67"/>
      <c r="G670" s="67"/>
      <c r="H670" s="67"/>
      <c r="I670" s="103"/>
    </row>
    <row r="671" spans="2:9">
      <c r="B671" s="67"/>
      <c r="C671" s="67"/>
      <c r="D671" s="67"/>
      <c r="E671" s="67"/>
      <c r="F671" s="67"/>
      <c r="G671" s="67"/>
      <c r="H671" s="67"/>
      <c r="I671" s="103"/>
    </row>
    <row r="672" spans="2:9">
      <c r="B672" s="67"/>
      <c r="C672" s="67"/>
      <c r="D672" s="67"/>
      <c r="E672" s="67"/>
      <c r="F672" s="67"/>
      <c r="G672" s="67"/>
      <c r="H672" s="67"/>
      <c r="I672" s="103"/>
    </row>
    <row r="673" spans="2:9">
      <c r="B673" s="67"/>
      <c r="C673" s="67"/>
      <c r="D673" s="67"/>
      <c r="E673" s="67"/>
      <c r="F673" s="67"/>
      <c r="G673" s="67"/>
      <c r="H673" s="67"/>
      <c r="I673" s="103"/>
    </row>
    <row r="674" spans="2:9">
      <c r="B674" s="67"/>
      <c r="C674" s="67"/>
      <c r="D674" s="67"/>
      <c r="E674" s="67"/>
      <c r="F674" s="67"/>
      <c r="G674" s="67"/>
      <c r="H674" s="67"/>
      <c r="I674" s="103"/>
    </row>
    <row r="675" spans="2:9">
      <c r="B675" s="67"/>
      <c r="C675" s="67"/>
      <c r="D675" s="67"/>
      <c r="E675" s="67"/>
      <c r="F675" s="67"/>
      <c r="G675" s="67"/>
      <c r="H675" s="67"/>
      <c r="I675" s="103"/>
    </row>
    <row r="676" spans="2:9">
      <c r="B676" s="67"/>
      <c r="C676" s="67"/>
      <c r="D676" s="67"/>
      <c r="E676" s="67"/>
      <c r="F676" s="67"/>
      <c r="G676" s="67"/>
      <c r="H676" s="67"/>
      <c r="I676" s="103"/>
    </row>
    <row r="677" spans="2:9">
      <c r="B677" s="67"/>
      <c r="C677" s="67"/>
      <c r="D677" s="67"/>
      <c r="E677" s="67"/>
      <c r="F677" s="67"/>
      <c r="G677" s="67"/>
      <c r="H677" s="67"/>
      <c r="I677" s="103"/>
    </row>
    <row r="678" spans="2:9">
      <c r="B678" s="67"/>
      <c r="C678" s="67"/>
      <c r="D678" s="67"/>
      <c r="E678" s="67"/>
      <c r="F678" s="67"/>
      <c r="G678" s="67"/>
      <c r="H678" s="67"/>
      <c r="I678" s="103"/>
    </row>
    <row r="679" spans="2:9">
      <c r="B679" s="67"/>
      <c r="C679" s="67"/>
      <c r="D679" s="67"/>
      <c r="E679" s="67"/>
      <c r="F679" s="67"/>
      <c r="G679" s="67"/>
      <c r="H679" s="67"/>
      <c r="I679" s="103"/>
    </row>
    <row r="680" spans="2:9">
      <c r="B680" s="67"/>
      <c r="C680" s="67"/>
      <c r="D680" s="67"/>
      <c r="E680" s="67"/>
      <c r="F680" s="67"/>
      <c r="G680" s="67"/>
      <c r="H680" s="67"/>
      <c r="I680" s="103"/>
    </row>
    <row r="681" spans="2:9">
      <c r="B681" s="67"/>
      <c r="C681" s="67"/>
      <c r="D681" s="67"/>
      <c r="E681" s="67"/>
      <c r="F681" s="67"/>
      <c r="G681" s="67"/>
      <c r="H681" s="67"/>
      <c r="I681" s="103"/>
    </row>
    <row r="682" spans="2:9">
      <c r="B682" s="67"/>
      <c r="C682" s="67"/>
      <c r="D682" s="67"/>
      <c r="E682" s="67"/>
      <c r="F682" s="67"/>
      <c r="G682" s="67"/>
      <c r="H682" s="67"/>
      <c r="I682" s="103"/>
    </row>
    <row r="683" spans="2:9">
      <c r="B683" s="67"/>
      <c r="C683" s="67"/>
      <c r="D683" s="67"/>
      <c r="E683" s="67"/>
      <c r="F683" s="67"/>
      <c r="G683" s="67"/>
      <c r="H683" s="67"/>
      <c r="I683" s="103"/>
    </row>
    <row r="684" spans="2:9">
      <c r="B684" s="67"/>
      <c r="C684" s="67"/>
      <c r="D684" s="67"/>
      <c r="E684" s="67"/>
      <c r="F684" s="67"/>
      <c r="G684" s="67"/>
      <c r="H684" s="67"/>
      <c r="I684" s="103"/>
    </row>
    <row r="685" spans="2:9">
      <c r="B685" s="67"/>
      <c r="C685" s="67"/>
      <c r="D685" s="67"/>
      <c r="E685" s="67"/>
      <c r="F685" s="67"/>
      <c r="G685" s="67"/>
      <c r="H685" s="67"/>
      <c r="I685" s="103"/>
    </row>
    <row r="686" spans="2:9">
      <c r="B686" s="67"/>
      <c r="C686" s="67"/>
      <c r="D686" s="67"/>
      <c r="E686" s="67"/>
      <c r="F686" s="67"/>
      <c r="G686" s="67"/>
      <c r="H686" s="67"/>
      <c r="I686" s="103"/>
    </row>
    <row r="687" spans="2:9">
      <c r="B687" s="67"/>
      <c r="C687" s="67"/>
      <c r="D687" s="67"/>
      <c r="E687" s="67"/>
      <c r="F687" s="67"/>
      <c r="G687" s="67"/>
      <c r="H687" s="67"/>
      <c r="I687" s="103"/>
    </row>
    <row r="688" spans="2:9">
      <c r="B688" s="67"/>
      <c r="C688" s="67"/>
      <c r="D688" s="67"/>
      <c r="E688" s="67"/>
      <c r="F688" s="67"/>
      <c r="G688" s="67"/>
      <c r="H688" s="67"/>
      <c r="I688" s="103"/>
    </row>
    <row r="689" spans="2:9">
      <c r="B689" s="67"/>
      <c r="C689" s="67"/>
      <c r="D689" s="67"/>
      <c r="E689" s="67"/>
      <c r="F689" s="67"/>
      <c r="G689" s="67"/>
      <c r="H689" s="67"/>
      <c r="I689" s="103"/>
    </row>
    <row r="690" spans="2:9">
      <c r="B690" s="67"/>
      <c r="C690" s="67"/>
      <c r="D690" s="67"/>
      <c r="E690" s="67"/>
      <c r="F690" s="67"/>
      <c r="G690" s="67"/>
      <c r="H690" s="67"/>
      <c r="I690" s="103"/>
    </row>
    <row r="691" spans="2:9">
      <c r="B691" s="67"/>
      <c r="C691" s="67"/>
      <c r="D691" s="67"/>
      <c r="E691" s="67"/>
      <c r="F691" s="67"/>
      <c r="G691" s="67"/>
      <c r="H691" s="67"/>
      <c r="I691" s="103"/>
    </row>
    <row r="692" spans="2:9">
      <c r="B692" s="67"/>
      <c r="C692" s="67"/>
      <c r="D692" s="67"/>
      <c r="E692" s="67"/>
      <c r="F692" s="67"/>
      <c r="G692" s="67"/>
      <c r="H692" s="67"/>
      <c r="I692" s="103"/>
    </row>
    <row r="693" spans="2:9">
      <c r="B693" s="67"/>
      <c r="C693" s="67"/>
      <c r="D693" s="67"/>
      <c r="E693" s="67"/>
      <c r="F693" s="67"/>
      <c r="G693" s="67"/>
      <c r="H693" s="67"/>
      <c r="I693" s="103"/>
    </row>
    <row r="694" spans="2:9">
      <c r="B694" s="67"/>
      <c r="C694" s="67"/>
      <c r="D694" s="67"/>
      <c r="E694" s="67"/>
      <c r="F694" s="67"/>
      <c r="G694" s="67"/>
      <c r="H694" s="67"/>
      <c r="I694" s="103"/>
    </row>
    <row r="695" spans="2:9">
      <c r="B695" s="67"/>
      <c r="C695" s="67"/>
      <c r="D695" s="67"/>
      <c r="E695" s="67"/>
      <c r="F695" s="67"/>
      <c r="G695" s="67"/>
      <c r="H695" s="67"/>
      <c r="I695" s="103"/>
    </row>
    <row r="696" spans="2:9">
      <c r="B696" s="67"/>
      <c r="C696" s="67"/>
      <c r="D696" s="67"/>
      <c r="E696" s="67"/>
      <c r="F696" s="67"/>
      <c r="G696" s="67"/>
      <c r="H696" s="67"/>
      <c r="I696" s="103"/>
    </row>
    <row r="697" spans="2:9">
      <c r="B697" s="67"/>
      <c r="C697" s="67"/>
      <c r="D697" s="67"/>
      <c r="E697" s="67"/>
      <c r="F697" s="67"/>
      <c r="G697" s="67"/>
      <c r="H697" s="67"/>
      <c r="I697" s="103"/>
    </row>
    <row r="698" spans="2:9">
      <c r="B698" s="67"/>
      <c r="C698" s="67"/>
      <c r="D698" s="67"/>
      <c r="E698" s="67"/>
      <c r="F698" s="67"/>
      <c r="G698" s="67"/>
      <c r="H698" s="67"/>
      <c r="I698" s="103"/>
    </row>
    <row r="699" spans="2:9">
      <c r="B699" s="67"/>
      <c r="C699" s="67"/>
      <c r="D699" s="67"/>
      <c r="E699" s="67"/>
      <c r="F699" s="67"/>
      <c r="G699" s="67"/>
      <c r="H699" s="67"/>
      <c r="I699" s="103"/>
    </row>
    <row r="700" spans="2:9">
      <c r="B700" s="67"/>
      <c r="C700" s="67"/>
      <c r="D700" s="67"/>
      <c r="E700" s="67"/>
      <c r="F700" s="67"/>
      <c r="G700" s="67"/>
      <c r="H700" s="67"/>
      <c r="I700" s="103"/>
    </row>
    <row r="701" spans="2:9">
      <c r="B701" s="67"/>
      <c r="C701" s="67"/>
      <c r="D701" s="67"/>
      <c r="E701" s="67"/>
      <c r="F701" s="67"/>
      <c r="G701" s="67"/>
      <c r="H701" s="67"/>
      <c r="I701" s="103"/>
    </row>
    <row r="702" spans="2:9">
      <c r="B702" s="67"/>
      <c r="C702" s="67"/>
      <c r="D702" s="67"/>
      <c r="E702" s="67"/>
      <c r="F702" s="67"/>
      <c r="G702" s="67"/>
      <c r="H702" s="67"/>
      <c r="I702" s="103"/>
    </row>
    <row r="703" spans="2:9">
      <c r="B703" s="67"/>
      <c r="C703" s="67"/>
      <c r="D703" s="67"/>
      <c r="E703" s="67"/>
      <c r="F703" s="67"/>
      <c r="G703" s="67"/>
      <c r="H703" s="67"/>
      <c r="I703" s="103"/>
    </row>
    <row r="704" spans="2:9">
      <c r="B704" s="67"/>
      <c r="C704" s="67"/>
      <c r="D704" s="67"/>
      <c r="E704" s="67"/>
      <c r="F704" s="67"/>
      <c r="G704" s="67"/>
      <c r="H704" s="67"/>
      <c r="I704" s="103"/>
    </row>
    <row r="705" spans="2:9">
      <c r="B705" s="67"/>
      <c r="C705" s="67"/>
      <c r="D705" s="67"/>
      <c r="E705" s="67"/>
      <c r="F705" s="67"/>
      <c r="G705" s="67"/>
      <c r="H705" s="67"/>
      <c r="I705" s="103"/>
    </row>
    <row r="706" spans="2:9">
      <c r="B706" s="67"/>
      <c r="C706" s="67"/>
      <c r="D706" s="67"/>
      <c r="E706" s="67"/>
      <c r="F706" s="67"/>
      <c r="G706" s="67"/>
      <c r="H706" s="67"/>
      <c r="I706" s="103"/>
    </row>
    <row r="707" spans="2:9">
      <c r="B707" s="67"/>
      <c r="C707" s="67"/>
      <c r="D707" s="67"/>
      <c r="E707" s="67"/>
      <c r="F707" s="67"/>
      <c r="G707" s="67"/>
      <c r="H707" s="67"/>
      <c r="I707" s="103"/>
    </row>
    <row r="708" spans="2:9">
      <c r="B708" s="67"/>
      <c r="C708" s="67"/>
      <c r="D708" s="67"/>
      <c r="E708" s="67"/>
      <c r="F708" s="67"/>
      <c r="G708" s="67"/>
      <c r="H708" s="67"/>
      <c r="I708" s="103"/>
    </row>
    <row r="709" spans="2:9">
      <c r="B709" s="67"/>
      <c r="C709" s="67"/>
      <c r="D709" s="67"/>
      <c r="E709" s="67"/>
      <c r="F709" s="67"/>
      <c r="G709" s="67"/>
      <c r="H709" s="67"/>
      <c r="I709" s="103"/>
    </row>
    <row r="710" spans="2:9">
      <c r="B710" s="67"/>
      <c r="C710" s="67"/>
      <c r="D710" s="67"/>
      <c r="E710" s="67"/>
      <c r="F710" s="67"/>
      <c r="G710" s="67"/>
      <c r="H710" s="67"/>
      <c r="I710" s="103"/>
    </row>
    <row r="711" spans="2:9">
      <c r="B711" s="67"/>
      <c r="C711" s="67"/>
      <c r="D711" s="67"/>
      <c r="E711" s="67"/>
      <c r="F711" s="67"/>
      <c r="G711" s="67"/>
      <c r="H711" s="67"/>
      <c r="I711" s="103"/>
    </row>
    <row r="712" spans="2:9">
      <c r="B712" s="67"/>
      <c r="C712" s="67"/>
      <c r="D712" s="67"/>
      <c r="E712" s="67"/>
      <c r="F712" s="67"/>
      <c r="G712" s="67"/>
      <c r="H712" s="67"/>
      <c r="I712" s="103"/>
    </row>
    <row r="713" spans="2:9">
      <c r="B713" s="67"/>
      <c r="C713" s="67"/>
      <c r="D713" s="67"/>
      <c r="E713" s="67"/>
      <c r="F713" s="67"/>
      <c r="G713" s="67"/>
      <c r="H713" s="67"/>
      <c r="I713" s="103"/>
    </row>
    <row r="714" spans="2:9">
      <c r="B714" s="67"/>
      <c r="C714" s="67"/>
      <c r="D714" s="67"/>
      <c r="E714" s="67"/>
      <c r="F714" s="67"/>
      <c r="G714" s="67"/>
      <c r="H714" s="67"/>
      <c r="I714" s="103"/>
    </row>
    <row r="715" spans="2:9">
      <c r="B715" s="67"/>
      <c r="C715" s="67"/>
      <c r="D715" s="67"/>
      <c r="E715" s="67"/>
      <c r="F715" s="67"/>
      <c r="G715" s="67"/>
      <c r="H715" s="67"/>
      <c r="I715" s="103"/>
    </row>
    <row r="716" spans="2:9">
      <c r="B716" s="67"/>
      <c r="C716" s="67"/>
      <c r="D716" s="67"/>
      <c r="E716" s="67"/>
      <c r="F716" s="67"/>
      <c r="G716" s="67"/>
      <c r="H716" s="67"/>
      <c r="I716" s="103"/>
    </row>
    <row r="717" spans="2:9">
      <c r="B717" s="67"/>
      <c r="C717" s="67"/>
      <c r="D717" s="67"/>
      <c r="E717" s="67"/>
      <c r="F717" s="67"/>
      <c r="G717" s="67"/>
      <c r="H717" s="67"/>
      <c r="I717" s="103"/>
    </row>
    <row r="718" spans="2:9">
      <c r="B718" s="67"/>
      <c r="C718" s="67"/>
      <c r="D718" s="67"/>
      <c r="E718" s="67"/>
      <c r="F718" s="67"/>
      <c r="G718" s="67"/>
      <c r="H718" s="67"/>
      <c r="I718" s="103"/>
    </row>
    <row r="719" spans="2:9">
      <c r="B719" s="67"/>
      <c r="C719" s="67"/>
      <c r="D719" s="67"/>
      <c r="E719" s="67"/>
      <c r="F719" s="67"/>
      <c r="G719" s="67"/>
      <c r="H719" s="67"/>
      <c r="I719" s="103"/>
    </row>
    <row r="720" spans="2:9">
      <c r="B720" s="67"/>
      <c r="C720" s="67"/>
      <c r="D720" s="67"/>
      <c r="E720" s="67"/>
      <c r="F720" s="67"/>
      <c r="G720" s="67"/>
      <c r="H720" s="67"/>
      <c r="I720" s="103"/>
    </row>
    <row r="721" spans="2:9">
      <c r="B721" s="67"/>
      <c r="C721" s="67"/>
      <c r="D721" s="67"/>
      <c r="E721" s="67"/>
      <c r="F721" s="67"/>
      <c r="G721" s="67"/>
      <c r="H721" s="67"/>
      <c r="I721" s="103"/>
    </row>
    <row r="722" spans="2:9">
      <c r="B722" s="67"/>
      <c r="C722" s="67"/>
      <c r="D722" s="67"/>
      <c r="E722" s="67"/>
      <c r="F722" s="67"/>
      <c r="G722" s="67"/>
      <c r="H722" s="67"/>
      <c r="I722" s="103"/>
    </row>
    <row r="723" spans="2:9">
      <c r="B723" s="67"/>
      <c r="C723" s="67"/>
      <c r="D723" s="67"/>
      <c r="E723" s="67"/>
      <c r="F723" s="67"/>
      <c r="G723" s="67"/>
      <c r="H723" s="67"/>
      <c r="I723" s="103"/>
    </row>
    <row r="724" spans="2:9">
      <c r="B724" s="67"/>
      <c r="C724" s="67"/>
      <c r="D724" s="67"/>
      <c r="E724" s="67"/>
      <c r="F724" s="67"/>
      <c r="G724" s="67"/>
      <c r="H724" s="67"/>
      <c r="I724" s="103"/>
    </row>
    <row r="725" spans="2:9">
      <c r="B725" s="67"/>
      <c r="C725" s="67"/>
      <c r="D725" s="67"/>
      <c r="E725" s="67"/>
      <c r="F725" s="67"/>
      <c r="G725" s="67"/>
      <c r="H725" s="67"/>
      <c r="I725" s="103"/>
    </row>
    <row r="726" spans="2:9">
      <c r="B726" s="67"/>
      <c r="C726" s="67"/>
      <c r="D726" s="67"/>
      <c r="E726" s="67"/>
      <c r="F726" s="67"/>
      <c r="G726" s="67"/>
      <c r="H726" s="67"/>
      <c r="I726" s="103"/>
    </row>
    <row r="727" spans="2:9">
      <c r="B727" s="67"/>
      <c r="C727" s="67"/>
      <c r="D727" s="67"/>
      <c r="E727" s="67"/>
      <c r="F727" s="67"/>
      <c r="G727" s="67"/>
      <c r="H727" s="67"/>
      <c r="I727" s="103"/>
    </row>
    <row r="728" spans="2:9">
      <c r="B728" s="67"/>
      <c r="C728" s="67"/>
      <c r="D728" s="67"/>
      <c r="E728" s="67"/>
      <c r="F728" s="67"/>
      <c r="G728" s="67"/>
      <c r="H728" s="67"/>
      <c r="I728" s="103"/>
    </row>
    <row r="729" spans="2:9">
      <c r="B729" s="67"/>
      <c r="C729" s="67"/>
      <c r="D729" s="67"/>
      <c r="E729" s="67"/>
      <c r="F729" s="67"/>
      <c r="G729" s="67"/>
      <c r="H729" s="67"/>
      <c r="I729" s="103"/>
    </row>
    <row r="730" spans="2:9">
      <c r="B730" s="67"/>
      <c r="C730" s="67"/>
      <c r="D730" s="67"/>
      <c r="E730" s="67"/>
      <c r="F730" s="67"/>
      <c r="G730" s="67"/>
      <c r="H730" s="67"/>
      <c r="I730" s="103"/>
    </row>
    <row r="731" spans="2:9">
      <c r="B731" s="67"/>
      <c r="C731" s="67"/>
      <c r="D731" s="67"/>
      <c r="E731" s="67"/>
      <c r="F731" s="67"/>
      <c r="G731" s="67"/>
      <c r="H731" s="67"/>
      <c r="I731" s="103"/>
    </row>
    <row r="732" spans="2:9">
      <c r="B732" s="67"/>
      <c r="C732" s="67"/>
      <c r="D732" s="67"/>
      <c r="E732" s="67"/>
      <c r="F732" s="67"/>
      <c r="G732" s="67"/>
      <c r="H732" s="67"/>
      <c r="I732" s="103"/>
    </row>
    <row r="733" spans="2:9">
      <c r="B733" s="67"/>
      <c r="C733" s="67"/>
      <c r="D733" s="67"/>
      <c r="E733" s="67"/>
      <c r="F733" s="67"/>
      <c r="G733" s="67"/>
      <c r="H733" s="67"/>
      <c r="I733" s="103"/>
    </row>
    <row r="734" spans="2:9">
      <c r="B734" s="67"/>
      <c r="C734" s="67"/>
      <c r="D734" s="67"/>
      <c r="E734" s="67"/>
      <c r="F734" s="67"/>
      <c r="G734" s="67"/>
      <c r="H734" s="67"/>
      <c r="I734" s="103"/>
    </row>
    <row r="735" spans="2:9">
      <c r="B735" s="67"/>
      <c r="C735" s="67"/>
      <c r="D735" s="67"/>
      <c r="E735" s="67"/>
      <c r="F735" s="67"/>
      <c r="G735" s="67"/>
      <c r="H735" s="67"/>
      <c r="I735" s="103"/>
    </row>
    <row r="736" spans="2:9">
      <c r="B736" s="67"/>
      <c r="C736" s="67"/>
      <c r="D736" s="67"/>
      <c r="E736" s="67"/>
      <c r="F736" s="67"/>
      <c r="G736" s="67"/>
      <c r="H736" s="67"/>
      <c r="I736" s="103"/>
    </row>
    <row r="737" spans="2:9">
      <c r="B737" s="67"/>
      <c r="C737" s="67"/>
      <c r="D737" s="67"/>
      <c r="E737" s="67"/>
      <c r="F737" s="67"/>
      <c r="G737" s="67"/>
      <c r="H737" s="67"/>
      <c r="I737" s="103"/>
    </row>
    <row r="738" spans="2:9">
      <c r="B738" s="67"/>
      <c r="C738" s="67"/>
      <c r="D738" s="67"/>
      <c r="E738" s="67"/>
      <c r="F738" s="67"/>
      <c r="G738" s="67"/>
      <c r="H738" s="67"/>
      <c r="I738" s="103"/>
    </row>
    <row r="739" spans="2:9">
      <c r="B739" s="67"/>
      <c r="C739" s="67"/>
      <c r="D739" s="67"/>
      <c r="E739" s="67"/>
      <c r="F739" s="67"/>
      <c r="G739" s="67"/>
      <c r="H739" s="67"/>
      <c r="I739" s="103"/>
    </row>
    <row r="740" spans="2:9">
      <c r="B740" s="67"/>
      <c r="C740" s="67"/>
      <c r="D740" s="67"/>
      <c r="E740" s="67"/>
      <c r="F740" s="67"/>
      <c r="G740" s="67"/>
      <c r="H740" s="67"/>
      <c r="I740" s="103"/>
    </row>
    <row r="741" spans="2:9">
      <c r="B741" s="67"/>
      <c r="C741" s="67"/>
      <c r="D741" s="67"/>
      <c r="E741" s="67"/>
      <c r="F741" s="67"/>
      <c r="G741" s="67"/>
      <c r="H741" s="67"/>
      <c r="I741" s="103"/>
    </row>
    <row r="742" spans="2:9">
      <c r="B742" s="67"/>
      <c r="C742" s="67"/>
      <c r="D742" s="67"/>
      <c r="E742" s="67"/>
      <c r="F742" s="67"/>
      <c r="G742" s="67"/>
      <c r="H742" s="67"/>
      <c r="I742" s="103"/>
    </row>
    <row r="743" spans="2:9">
      <c r="B743" s="67"/>
      <c r="C743" s="67"/>
      <c r="D743" s="67"/>
      <c r="E743" s="67"/>
      <c r="F743" s="67"/>
      <c r="G743" s="67"/>
      <c r="H743" s="67"/>
      <c r="I743" s="103"/>
    </row>
    <row r="744" spans="2:9">
      <c r="B744" s="67"/>
      <c r="C744" s="67"/>
      <c r="D744" s="67"/>
      <c r="E744" s="67"/>
      <c r="F744" s="67"/>
      <c r="G744" s="67"/>
      <c r="H744" s="67"/>
      <c r="I744" s="103"/>
    </row>
    <row r="745" spans="2:9">
      <c r="B745" s="67"/>
      <c r="C745" s="67"/>
      <c r="D745" s="67"/>
      <c r="E745" s="67"/>
      <c r="F745" s="67"/>
      <c r="G745" s="67"/>
      <c r="H745" s="67"/>
      <c r="I745" s="103"/>
    </row>
    <row r="746" spans="2:9">
      <c r="B746" s="67"/>
      <c r="C746" s="67"/>
      <c r="D746" s="67"/>
      <c r="E746" s="67"/>
      <c r="F746" s="67"/>
      <c r="G746" s="67"/>
      <c r="H746" s="67"/>
      <c r="I746" s="103"/>
    </row>
    <row r="747" spans="2:9">
      <c r="B747" s="67"/>
      <c r="C747" s="67"/>
      <c r="D747" s="67"/>
      <c r="E747" s="67"/>
      <c r="F747" s="67"/>
      <c r="G747" s="67"/>
      <c r="H747" s="67"/>
      <c r="I747" s="103"/>
    </row>
    <row r="748" spans="2:9">
      <c r="B748" s="67"/>
      <c r="C748" s="67"/>
      <c r="D748" s="67"/>
      <c r="E748" s="67"/>
      <c r="F748" s="67"/>
      <c r="G748" s="67"/>
      <c r="H748" s="67"/>
      <c r="I748" s="103"/>
    </row>
    <row r="749" spans="2:9">
      <c r="B749" s="67"/>
      <c r="C749" s="67"/>
      <c r="D749" s="67"/>
      <c r="E749" s="67"/>
      <c r="F749" s="67"/>
      <c r="G749" s="67"/>
      <c r="H749" s="67"/>
      <c r="I749" s="103"/>
    </row>
    <row r="750" spans="2:9">
      <c r="B750" s="67"/>
      <c r="C750" s="67"/>
      <c r="D750" s="67"/>
      <c r="E750" s="67"/>
      <c r="F750" s="67"/>
      <c r="G750" s="67"/>
      <c r="H750" s="67"/>
      <c r="I750" s="103"/>
    </row>
    <row r="751" spans="2:9">
      <c r="B751" s="67"/>
      <c r="C751" s="67"/>
      <c r="D751" s="67"/>
      <c r="E751" s="67"/>
      <c r="F751" s="67"/>
      <c r="G751" s="67"/>
      <c r="H751" s="67"/>
      <c r="I751" s="103"/>
    </row>
    <row r="752" spans="2:9">
      <c r="B752" s="67"/>
      <c r="C752" s="67"/>
      <c r="D752" s="67"/>
      <c r="E752" s="67"/>
      <c r="F752" s="67"/>
      <c r="G752" s="67"/>
      <c r="H752" s="67"/>
      <c r="I752" s="103"/>
    </row>
    <row r="753" spans="2:9">
      <c r="B753" s="67"/>
      <c r="C753" s="67"/>
      <c r="D753" s="67"/>
      <c r="E753" s="67"/>
      <c r="F753" s="67"/>
      <c r="G753" s="67"/>
      <c r="H753" s="67"/>
      <c r="I753" s="103"/>
    </row>
    <row r="754" spans="2:9">
      <c r="B754" s="67"/>
      <c r="C754" s="67"/>
      <c r="D754" s="67"/>
      <c r="E754" s="67"/>
      <c r="F754" s="67"/>
      <c r="G754" s="67"/>
      <c r="H754" s="67"/>
      <c r="I754" s="103"/>
    </row>
    <row r="755" spans="2:9">
      <c r="B755" s="67"/>
      <c r="C755" s="67"/>
      <c r="D755" s="67"/>
      <c r="E755" s="67"/>
      <c r="F755" s="67"/>
      <c r="G755" s="67"/>
      <c r="H755" s="67"/>
      <c r="I755" s="103"/>
    </row>
    <row r="756" spans="2:9">
      <c r="B756" s="67"/>
      <c r="C756" s="67"/>
      <c r="D756" s="67"/>
      <c r="E756" s="67"/>
      <c r="F756" s="67"/>
      <c r="G756" s="67"/>
      <c r="H756" s="67"/>
      <c r="I756" s="103"/>
    </row>
    <row r="757" spans="2:9">
      <c r="B757" s="67"/>
      <c r="C757" s="67"/>
      <c r="D757" s="67"/>
      <c r="E757" s="67"/>
      <c r="F757" s="67"/>
      <c r="G757" s="67"/>
      <c r="H757" s="67"/>
      <c r="I757" s="103"/>
    </row>
    <row r="758" spans="2:9">
      <c r="B758" s="67"/>
      <c r="C758" s="67"/>
      <c r="D758" s="67"/>
      <c r="E758" s="67"/>
      <c r="F758" s="67"/>
      <c r="G758" s="67"/>
      <c r="H758" s="67"/>
      <c r="I758" s="103"/>
    </row>
    <row r="759" spans="2:9">
      <c r="B759" s="67"/>
      <c r="C759" s="67"/>
      <c r="D759" s="67"/>
      <c r="E759" s="67"/>
      <c r="F759" s="67"/>
      <c r="G759" s="67"/>
      <c r="H759" s="67"/>
      <c r="I759" s="103"/>
    </row>
    <row r="760" spans="2:9">
      <c r="B760" s="67"/>
      <c r="C760" s="67"/>
      <c r="D760" s="67"/>
      <c r="E760" s="67"/>
      <c r="F760" s="67"/>
      <c r="G760" s="67"/>
      <c r="H760" s="67"/>
      <c r="I760" s="103"/>
    </row>
    <row r="761" spans="2:9">
      <c r="B761" s="67"/>
      <c r="C761" s="67"/>
      <c r="D761" s="67"/>
      <c r="E761" s="67"/>
      <c r="F761" s="67"/>
      <c r="G761" s="67"/>
      <c r="H761" s="67"/>
      <c r="I761" s="103"/>
    </row>
    <row r="762" spans="2:9">
      <c r="B762" s="67"/>
      <c r="C762" s="67"/>
      <c r="D762" s="67"/>
      <c r="E762" s="67"/>
      <c r="F762" s="67"/>
      <c r="G762" s="67"/>
      <c r="H762" s="67"/>
      <c r="I762" s="103"/>
    </row>
    <row r="763" spans="2:9">
      <c r="B763" s="67"/>
      <c r="C763" s="67"/>
      <c r="D763" s="67"/>
      <c r="E763" s="67"/>
      <c r="F763" s="67"/>
      <c r="G763" s="67"/>
      <c r="H763" s="67"/>
      <c r="I763" s="103"/>
    </row>
    <row r="764" spans="2:9">
      <c r="B764" s="67"/>
      <c r="C764" s="67"/>
      <c r="D764" s="67"/>
      <c r="E764" s="67"/>
      <c r="F764" s="67"/>
      <c r="G764" s="67"/>
      <c r="H764" s="67"/>
      <c r="I764" s="103"/>
    </row>
    <row r="765" spans="2:9">
      <c r="B765" s="67"/>
      <c r="C765" s="67"/>
      <c r="D765" s="67"/>
      <c r="E765" s="67"/>
      <c r="F765" s="67"/>
      <c r="G765" s="67"/>
      <c r="H765" s="67"/>
      <c r="I765" s="103"/>
    </row>
    <row r="766" spans="2:9">
      <c r="B766" s="67"/>
      <c r="C766" s="67"/>
      <c r="D766" s="67"/>
      <c r="E766" s="67"/>
      <c r="F766" s="67"/>
      <c r="G766" s="67"/>
      <c r="H766" s="67"/>
      <c r="I766" s="103"/>
    </row>
    <row r="767" spans="2:9">
      <c r="B767" s="67"/>
      <c r="C767" s="67"/>
      <c r="D767" s="67"/>
      <c r="E767" s="67"/>
      <c r="F767" s="67"/>
      <c r="G767" s="67"/>
      <c r="H767" s="67"/>
      <c r="I767" s="103"/>
    </row>
    <row r="768" spans="2:9">
      <c r="B768" s="67"/>
      <c r="C768" s="67"/>
      <c r="D768" s="67"/>
      <c r="E768" s="67"/>
      <c r="F768" s="67"/>
      <c r="G768" s="67"/>
      <c r="H768" s="67"/>
      <c r="I768" s="103"/>
    </row>
    <row r="769" spans="2:9">
      <c r="B769" s="67"/>
      <c r="C769" s="67"/>
      <c r="D769" s="67"/>
      <c r="E769" s="67"/>
      <c r="F769" s="67"/>
      <c r="G769" s="67"/>
      <c r="H769" s="67"/>
      <c r="I769" s="103"/>
    </row>
    <row r="770" spans="2:9">
      <c r="B770" s="67"/>
      <c r="C770" s="67"/>
      <c r="D770" s="67"/>
      <c r="E770" s="67"/>
      <c r="F770" s="67"/>
      <c r="G770" s="67"/>
      <c r="H770" s="67"/>
      <c r="I770" s="103"/>
    </row>
    <row r="771" spans="2:9">
      <c r="B771" s="67"/>
      <c r="C771" s="67"/>
      <c r="D771" s="67"/>
      <c r="E771" s="67"/>
      <c r="F771" s="67"/>
      <c r="G771" s="67"/>
      <c r="H771" s="67"/>
      <c r="I771" s="103"/>
    </row>
    <row r="772" spans="2:9">
      <c r="B772" s="67"/>
      <c r="C772" s="67"/>
      <c r="D772" s="67"/>
      <c r="E772" s="67"/>
      <c r="F772" s="67"/>
      <c r="G772" s="67"/>
      <c r="H772" s="67"/>
      <c r="I772" s="103"/>
    </row>
    <row r="773" spans="2:9">
      <c r="B773" s="67"/>
      <c r="C773" s="67"/>
      <c r="D773" s="67"/>
      <c r="E773" s="67"/>
      <c r="F773" s="67"/>
      <c r="G773" s="67"/>
      <c r="H773" s="67"/>
      <c r="I773" s="103"/>
    </row>
    <row r="774" spans="2:9">
      <c r="B774" s="67"/>
      <c r="C774" s="67"/>
      <c r="D774" s="67"/>
      <c r="E774" s="67"/>
      <c r="F774" s="67"/>
      <c r="G774" s="67"/>
      <c r="H774" s="67"/>
      <c r="I774" s="103"/>
    </row>
    <row r="775" spans="2:9">
      <c r="B775" s="67"/>
      <c r="C775" s="67"/>
      <c r="D775" s="67"/>
      <c r="E775" s="67"/>
      <c r="F775" s="67"/>
      <c r="G775" s="67"/>
      <c r="H775" s="67"/>
      <c r="I775" s="103"/>
    </row>
    <row r="776" spans="2:9">
      <c r="B776" s="67"/>
      <c r="C776" s="67"/>
      <c r="D776" s="67"/>
      <c r="E776" s="67"/>
      <c r="F776" s="67"/>
      <c r="G776" s="67"/>
      <c r="H776" s="67"/>
      <c r="I776" s="103"/>
    </row>
    <row r="777" spans="2:9">
      <c r="B777" s="67"/>
      <c r="C777" s="67"/>
      <c r="D777" s="67"/>
      <c r="E777" s="67"/>
      <c r="F777" s="67"/>
      <c r="G777" s="67"/>
      <c r="H777" s="67"/>
      <c r="I777" s="103"/>
    </row>
    <row r="778" spans="2:9">
      <c r="B778" s="67"/>
      <c r="C778" s="67"/>
      <c r="D778" s="67"/>
      <c r="E778" s="67"/>
      <c r="F778" s="67"/>
      <c r="G778" s="67"/>
      <c r="H778" s="67"/>
      <c r="I778" s="103"/>
    </row>
    <row r="779" spans="2:9">
      <c r="B779" s="67"/>
      <c r="C779" s="67"/>
      <c r="D779" s="67"/>
      <c r="E779" s="67"/>
      <c r="F779" s="67"/>
      <c r="G779" s="67"/>
      <c r="H779" s="67"/>
      <c r="I779" s="103"/>
    </row>
    <row r="780" spans="2:9">
      <c r="B780" s="67"/>
      <c r="C780" s="67"/>
      <c r="D780" s="67"/>
      <c r="E780" s="67"/>
      <c r="F780" s="67"/>
      <c r="G780" s="67"/>
      <c r="H780" s="67"/>
      <c r="I780" s="103"/>
    </row>
    <row r="781" spans="2:9">
      <c r="B781" s="67"/>
      <c r="C781" s="67"/>
      <c r="D781" s="67"/>
      <c r="E781" s="67"/>
      <c r="F781" s="67"/>
      <c r="G781" s="67"/>
      <c r="H781" s="67"/>
      <c r="I781" s="103"/>
    </row>
    <row r="782" spans="2:9">
      <c r="B782" s="67"/>
      <c r="C782" s="67"/>
      <c r="D782" s="67"/>
      <c r="E782" s="67"/>
      <c r="F782" s="67"/>
      <c r="G782" s="67"/>
      <c r="H782" s="67"/>
      <c r="I782" s="103"/>
    </row>
    <row r="783" spans="2:9">
      <c r="B783" s="67"/>
      <c r="C783" s="67"/>
      <c r="D783" s="67"/>
      <c r="E783" s="67"/>
      <c r="F783" s="67"/>
      <c r="G783" s="67"/>
      <c r="H783" s="67"/>
      <c r="I783" s="103"/>
    </row>
    <row r="784" spans="2:9">
      <c r="B784" s="67"/>
      <c r="C784" s="67"/>
      <c r="D784" s="67"/>
      <c r="E784" s="67"/>
      <c r="F784" s="67"/>
      <c r="G784" s="67"/>
      <c r="H784" s="67"/>
      <c r="I784" s="103"/>
    </row>
    <row r="785" spans="2:9">
      <c r="B785" s="67"/>
      <c r="C785" s="67"/>
      <c r="D785" s="67"/>
      <c r="E785" s="67"/>
      <c r="F785" s="67"/>
      <c r="G785" s="67"/>
      <c r="H785" s="67"/>
      <c r="I785" s="103"/>
    </row>
    <row r="786" spans="2:9">
      <c r="B786" s="67"/>
      <c r="C786" s="67"/>
      <c r="D786" s="67"/>
      <c r="E786" s="67"/>
      <c r="F786" s="67"/>
      <c r="G786" s="67"/>
      <c r="H786" s="67"/>
      <c r="I786" s="103"/>
    </row>
    <row r="787" spans="2:9">
      <c r="B787" s="67"/>
      <c r="C787" s="67"/>
      <c r="D787" s="67"/>
      <c r="E787" s="67"/>
      <c r="F787" s="67"/>
      <c r="G787" s="67"/>
      <c r="H787" s="67"/>
      <c r="I787" s="103"/>
    </row>
    <row r="788" spans="2:9">
      <c r="B788" s="67"/>
      <c r="C788" s="67"/>
      <c r="D788" s="67"/>
      <c r="E788" s="67"/>
      <c r="F788" s="67"/>
      <c r="G788" s="67"/>
      <c r="H788" s="67"/>
      <c r="I788" s="103"/>
    </row>
    <row r="789" spans="2:9">
      <c r="B789" s="67"/>
      <c r="C789" s="67"/>
      <c r="D789" s="67"/>
      <c r="E789" s="67"/>
      <c r="F789" s="67"/>
      <c r="G789" s="67"/>
      <c r="H789" s="67"/>
      <c r="I789" s="103"/>
    </row>
    <row r="790" spans="2:9">
      <c r="B790" s="67"/>
      <c r="C790" s="67"/>
      <c r="D790" s="67"/>
      <c r="E790" s="67"/>
      <c r="F790" s="67"/>
      <c r="G790" s="67"/>
      <c r="H790" s="67"/>
      <c r="I790" s="103"/>
    </row>
    <row r="791" spans="2:9">
      <c r="B791" s="67"/>
      <c r="C791" s="67"/>
      <c r="D791" s="67"/>
      <c r="E791" s="67"/>
      <c r="F791" s="67"/>
      <c r="G791" s="67"/>
      <c r="H791" s="67"/>
      <c r="I791" s="103"/>
    </row>
    <row r="792" spans="2:9">
      <c r="B792" s="67"/>
      <c r="C792" s="67"/>
      <c r="D792" s="67"/>
      <c r="E792" s="67"/>
      <c r="F792" s="67"/>
      <c r="G792" s="67"/>
      <c r="H792" s="67"/>
      <c r="I792" s="103"/>
    </row>
    <row r="793" spans="2:9">
      <c r="B793" s="67"/>
      <c r="C793" s="67"/>
      <c r="D793" s="67"/>
      <c r="E793" s="67"/>
      <c r="F793" s="67"/>
      <c r="G793" s="67"/>
      <c r="H793" s="67"/>
      <c r="I793" s="103"/>
    </row>
    <row r="794" spans="2:9">
      <c r="B794" s="67"/>
      <c r="C794" s="67"/>
      <c r="D794" s="67"/>
      <c r="E794" s="67"/>
      <c r="F794" s="67"/>
      <c r="G794" s="67"/>
      <c r="H794" s="67"/>
      <c r="I794" s="103"/>
    </row>
    <row r="795" spans="2:9">
      <c r="B795" s="67"/>
      <c r="C795" s="67"/>
      <c r="D795" s="67"/>
      <c r="E795" s="67"/>
      <c r="F795" s="67"/>
      <c r="G795" s="67"/>
      <c r="H795" s="67"/>
      <c r="I795" s="103"/>
    </row>
    <row r="796" spans="2:9">
      <c r="B796" s="67"/>
      <c r="C796" s="67"/>
      <c r="D796" s="67"/>
      <c r="E796" s="67"/>
      <c r="F796" s="67"/>
      <c r="G796" s="67"/>
      <c r="H796" s="67"/>
      <c r="I796" s="103"/>
    </row>
    <row r="797" spans="2:9">
      <c r="B797" s="67"/>
      <c r="C797" s="67"/>
      <c r="D797" s="67"/>
      <c r="E797" s="67"/>
      <c r="F797" s="67"/>
      <c r="G797" s="67"/>
      <c r="H797" s="67"/>
      <c r="I797" s="103"/>
    </row>
    <row r="798" spans="2:9">
      <c r="B798" s="67"/>
      <c r="C798" s="67"/>
      <c r="D798" s="67"/>
      <c r="E798" s="67"/>
      <c r="F798" s="67"/>
      <c r="G798" s="67"/>
      <c r="H798" s="67"/>
      <c r="I798" s="103"/>
    </row>
    <row r="799" spans="2:9">
      <c r="B799" s="67"/>
      <c r="C799" s="67"/>
      <c r="D799" s="67"/>
      <c r="E799" s="67"/>
      <c r="F799" s="67"/>
      <c r="G799" s="67"/>
      <c r="H799" s="67"/>
      <c r="I799" s="103"/>
    </row>
    <row r="800" spans="2:9">
      <c r="B800" s="67"/>
      <c r="C800" s="67"/>
      <c r="D800" s="67"/>
      <c r="E800" s="67"/>
      <c r="F800" s="67"/>
      <c r="G800" s="67"/>
      <c r="H800" s="67"/>
      <c r="I800" s="103"/>
    </row>
    <row r="801" spans="2:9">
      <c r="B801" s="67"/>
      <c r="C801" s="67"/>
      <c r="D801" s="67"/>
      <c r="E801" s="67"/>
      <c r="F801" s="67"/>
      <c r="G801" s="67"/>
      <c r="H801" s="67"/>
      <c r="I801" s="103"/>
    </row>
    <row r="802" spans="2:9">
      <c r="B802" s="67"/>
      <c r="C802" s="67"/>
      <c r="D802" s="67"/>
      <c r="E802" s="67"/>
      <c r="F802" s="67"/>
      <c r="G802" s="67"/>
      <c r="H802" s="67"/>
      <c r="I802" s="103"/>
    </row>
    <row r="803" spans="2:9">
      <c r="B803" s="67"/>
      <c r="C803" s="67"/>
      <c r="D803" s="67"/>
      <c r="E803" s="67"/>
      <c r="F803" s="67"/>
      <c r="G803" s="67"/>
      <c r="H803" s="67"/>
      <c r="I803" s="103"/>
    </row>
    <row r="804" spans="2:9">
      <c r="B804" s="67"/>
      <c r="C804" s="67"/>
      <c r="D804" s="67"/>
      <c r="E804" s="67"/>
      <c r="F804" s="67"/>
      <c r="G804" s="67"/>
      <c r="H804" s="67"/>
      <c r="I804" s="103"/>
    </row>
    <row r="805" spans="2:9">
      <c r="B805" s="67"/>
      <c r="C805" s="67"/>
      <c r="D805" s="67"/>
      <c r="E805" s="67"/>
      <c r="F805" s="67"/>
      <c r="G805" s="67"/>
      <c r="H805" s="67"/>
      <c r="I805" s="103"/>
    </row>
    <row r="806" spans="2:9">
      <c r="B806" s="67"/>
      <c r="C806" s="67"/>
      <c r="D806" s="67"/>
      <c r="E806" s="67"/>
      <c r="F806" s="67"/>
      <c r="G806" s="67"/>
      <c r="H806" s="67"/>
      <c r="I806" s="103"/>
    </row>
    <row r="807" spans="2:9">
      <c r="B807" s="67"/>
      <c r="C807" s="67"/>
      <c r="D807" s="67"/>
      <c r="E807" s="67"/>
      <c r="F807" s="67"/>
      <c r="G807" s="67"/>
      <c r="H807" s="67"/>
      <c r="I807" s="103"/>
    </row>
    <row r="808" spans="2:9">
      <c r="B808" s="67"/>
      <c r="C808" s="67"/>
      <c r="D808" s="67"/>
      <c r="E808" s="67"/>
      <c r="F808" s="67"/>
      <c r="G808" s="67"/>
      <c r="H808" s="67"/>
      <c r="I808" s="103"/>
    </row>
    <row r="809" spans="2:9">
      <c r="B809" s="67"/>
      <c r="C809" s="67"/>
      <c r="D809" s="67"/>
      <c r="E809" s="67"/>
      <c r="F809" s="67"/>
      <c r="G809" s="67"/>
      <c r="H809" s="67"/>
      <c r="I809" s="103"/>
    </row>
    <row r="810" spans="2:9">
      <c r="B810" s="67"/>
      <c r="C810" s="67"/>
      <c r="D810" s="67"/>
      <c r="E810" s="67"/>
      <c r="F810" s="67"/>
      <c r="G810" s="67"/>
      <c r="H810" s="67"/>
      <c r="I810" s="103"/>
    </row>
    <row r="811" spans="2:9">
      <c r="B811" s="67"/>
      <c r="C811" s="67"/>
      <c r="D811" s="67"/>
      <c r="E811" s="67"/>
      <c r="F811" s="67"/>
      <c r="G811" s="67"/>
      <c r="H811" s="67"/>
      <c r="I811" s="103"/>
    </row>
    <row r="812" spans="2:9">
      <c r="B812" s="67"/>
      <c r="C812" s="67"/>
      <c r="D812" s="67"/>
      <c r="E812" s="67"/>
      <c r="F812" s="67"/>
      <c r="G812" s="67"/>
      <c r="H812" s="67"/>
      <c r="I812" s="103"/>
    </row>
    <row r="813" spans="2:9">
      <c r="B813" s="67"/>
      <c r="C813" s="67"/>
      <c r="D813" s="67"/>
      <c r="E813" s="67"/>
      <c r="F813" s="67"/>
      <c r="G813" s="67"/>
      <c r="H813" s="67"/>
      <c r="I813" s="103"/>
    </row>
    <row r="814" spans="2:9">
      <c r="B814" s="67"/>
      <c r="C814" s="67"/>
      <c r="D814" s="67"/>
      <c r="E814" s="67"/>
      <c r="F814" s="67"/>
      <c r="G814" s="67"/>
      <c r="H814" s="67"/>
      <c r="I814" s="103"/>
    </row>
    <row r="815" spans="2:9">
      <c r="B815" s="67"/>
      <c r="C815" s="67"/>
      <c r="D815" s="67"/>
      <c r="E815" s="67"/>
      <c r="F815" s="67"/>
      <c r="G815" s="67"/>
      <c r="H815" s="67"/>
      <c r="I815" s="103"/>
    </row>
    <row r="816" spans="2:9">
      <c r="B816" s="67"/>
      <c r="C816" s="67"/>
      <c r="D816" s="67"/>
      <c r="E816" s="67"/>
      <c r="F816" s="67"/>
      <c r="G816" s="67"/>
      <c r="H816" s="67"/>
      <c r="I816" s="103"/>
    </row>
    <row r="817" spans="2:9">
      <c r="B817" s="67"/>
      <c r="C817" s="67"/>
      <c r="D817" s="67"/>
      <c r="E817" s="67"/>
      <c r="F817" s="67"/>
      <c r="G817" s="67"/>
      <c r="H817" s="67"/>
      <c r="I817" s="103"/>
    </row>
    <row r="818" spans="2:9">
      <c r="B818" s="67"/>
      <c r="C818" s="67"/>
      <c r="D818" s="67"/>
      <c r="E818" s="67"/>
      <c r="F818" s="67"/>
      <c r="G818" s="67"/>
      <c r="H818" s="67"/>
      <c r="I818" s="103"/>
    </row>
    <row r="819" spans="2:9">
      <c r="B819" s="67"/>
      <c r="C819" s="67"/>
      <c r="D819" s="67"/>
      <c r="E819" s="67"/>
      <c r="F819" s="67"/>
      <c r="G819" s="67"/>
      <c r="H819" s="67"/>
      <c r="I819" s="103"/>
    </row>
    <row r="820" spans="2:9">
      <c r="B820" s="67"/>
      <c r="C820" s="67"/>
      <c r="D820" s="67"/>
      <c r="E820" s="67"/>
      <c r="F820" s="67"/>
      <c r="G820" s="67"/>
      <c r="H820" s="67"/>
      <c r="I820" s="103"/>
    </row>
    <row r="821" spans="2:9">
      <c r="B821" s="67"/>
      <c r="C821" s="67"/>
      <c r="D821" s="67"/>
      <c r="E821" s="67"/>
      <c r="F821" s="67"/>
      <c r="G821" s="67"/>
      <c r="H821" s="67"/>
      <c r="I821" s="103"/>
    </row>
    <row r="822" spans="2:9">
      <c r="B822" s="67"/>
      <c r="C822" s="67"/>
      <c r="D822" s="67"/>
      <c r="E822" s="67"/>
      <c r="F822" s="67"/>
      <c r="G822" s="67"/>
      <c r="H822" s="67"/>
      <c r="I822" s="103"/>
    </row>
    <row r="823" spans="2:9">
      <c r="B823" s="67"/>
      <c r="C823" s="67"/>
      <c r="D823" s="67"/>
      <c r="E823" s="67"/>
      <c r="F823" s="67"/>
      <c r="G823" s="67"/>
      <c r="H823" s="67"/>
      <c r="I823" s="103"/>
    </row>
    <row r="824" spans="2:9">
      <c r="B824" s="67"/>
      <c r="C824" s="67"/>
      <c r="D824" s="67"/>
      <c r="E824" s="67"/>
      <c r="F824" s="67"/>
      <c r="G824" s="67"/>
      <c r="H824" s="67"/>
      <c r="I824" s="103"/>
    </row>
    <row r="825" spans="2:9">
      <c r="B825" s="67"/>
      <c r="C825" s="67"/>
      <c r="D825" s="67"/>
      <c r="E825" s="67"/>
      <c r="F825" s="67"/>
      <c r="G825" s="67"/>
      <c r="H825" s="67"/>
      <c r="I825" s="103"/>
    </row>
    <row r="826" spans="2:9">
      <c r="B826" s="67"/>
      <c r="C826" s="67"/>
      <c r="D826" s="67"/>
      <c r="E826" s="67"/>
      <c r="F826" s="67"/>
      <c r="G826" s="67"/>
      <c r="H826" s="67"/>
      <c r="I826" s="103"/>
    </row>
    <row r="827" spans="2:9">
      <c r="B827" s="67"/>
      <c r="C827" s="67"/>
      <c r="D827" s="67"/>
      <c r="E827" s="67"/>
      <c r="F827" s="67"/>
      <c r="G827" s="67"/>
      <c r="H827" s="67"/>
      <c r="I827" s="103"/>
    </row>
    <row r="828" spans="2:9">
      <c r="B828" s="67"/>
      <c r="C828" s="67"/>
      <c r="D828" s="67"/>
      <c r="E828" s="67"/>
      <c r="F828" s="67"/>
      <c r="G828" s="67"/>
      <c r="H828" s="67"/>
      <c r="I828" s="103"/>
    </row>
    <row r="829" spans="2:9">
      <c r="B829" s="67"/>
      <c r="C829" s="67"/>
      <c r="D829" s="67"/>
      <c r="E829" s="67"/>
      <c r="F829" s="67"/>
      <c r="G829" s="67"/>
      <c r="H829" s="67"/>
      <c r="I829" s="103"/>
    </row>
    <row r="830" spans="2:9">
      <c r="B830" s="67"/>
      <c r="C830" s="67"/>
      <c r="D830" s="67"/>
      <c r="E830" s="67"/>
      <c r="F830" s="67"/>
      <c r="G830" s="67"/>
      <c r="H830" s="67"/>
      <c r="I830" s="103"/>
    </row>
    <row r="831" spans="2:9">
      <c r="B831" s="67"/>
      <c r="C831" s="67"/>
      <c r="D831" s="67"/>
      <c r="E831" s="67"/>
      <c r="F831" s="67"/>
      <c r="G831" s="67"/>
      <c r="H831" s="67"/>
      <c r="I831" s="103"/>
    </row>
    <row r="832" spans="2:9">
      <c r="B832" s="67"/>
      <c r="C832" s="67"/>
      <c r="D832" s="67"/>
      <c r="E832" s="67"/>
      <c r="F832" s="67"/>
      <c r="G832" s="67"/>
      <c r="H832" s="67"/>
      <c r="I832" s="103"/>
    </row>
    <row r="833" spans="2:9">
      <c r="B833" s="67"/>
      <c r="C833" s="67"/>
      <c r="D833" s="67"/>
      <c r="E833" s="67"/>
      <c r="F833" s="67"/>
      <c r="G833" s="67"/>
      <c r="H833" s="67"/>
      <c r="I833" s="103"/>
    </row>
    <row r="834" spans="2:9">
      <c r="B834" s="67"/>
      <c r="C834" s="67"/>
      <c r="D834" s="67"/>
      <c r="E834" s="67"/>
      <c r="F834" s="67"/>
      <c r="G834" s="67"/>
      <c r="H834" s="67"/>
      <c r="I834" s="103"/>
    </row>
    <row r="835" spans="2:9">
      <c r="B835" s="67"/>
      <c r="C835" s="67"/>
      <c r="D835" s="67"/>
      <c r="E835" s="67"/>
      <c r="F835" s="67"/>
      <c r="G835" s="67"/>
      <c r="H835" s="67"/>
      <c r="I835" s="103"/>
    </row>
    <row r="836" spans="2:9">
      <c r="B836" s="67"/>
      <c r="C836" s="67"/>
      <c r="D836" s="67"/>
      <c r="E836" s="67"/>
      <c r="F836" s="67"/>
      <c r="G836" s="67"/>
      <c r="H836" s="67"/>
      <c r="I836" s="103"/>
    </row>
    <row r="837" spans="2:9">
      <c r="B837" s="67"/>
      <c r="C837" s="67"/>
      <c r="D837" s="67"/>
      <c r="E837" s="67"/>
      <c r="F837" s="67"/>
      <c r="G837" s="67"/>
      <c r="H837" s="67"/>
      <c r="I837" s="103"/>
    </row>
    <row r="838" spans="2:9">
      <c r="B838" s="67"/>
      <c r="C838" s="67"/>
      <c r="D838" s="67"/>
      <c r="E838" s="67"/>
      <c r="F838" s="67"/>
      <c r="G838" s="67"/>
      <c r="H838" s="67"/>
      <c r="I838" s="103"/>
    </row>
    <row r="839" spans="2:9">
      <c r="B839" s="67"/>
      <c r="C839" s="67"/>
      <c r="D839" s="67"/>
      <c r="E839" s="67"/>
      <c r="F839" s="67"/>
      <c r="G839" s="67"/>
      <c r="H839" s="67"/>
      <c r="I839" s="103"/>
    </row>
    <row r="840" spans="2:9">
      <c r="B840" s="67"/>
      <c r="C840" s="67"/>
      <c r="D840" s="67"/>
      <c r="E840" s="67"/>
      <c r="F840" s="67"/>
      <c r="G840" s="67"/>
      <c r="H840" s="67"/>
      <c r="I840" s="103"/>
    </row>
    <row r="841" spans="2:9">
      <c r="B841" s="67"/>
      <c r="C841" s="67"/>
      <c r="D841" s="67"/>
      <c r="E841" s="67"/>
      <c r="F841" s="67"/>
      <c r="G841" s="67"/>
      <c r="H841" s="67"/>
      <c r="I841" s="103"/>
    </row>
    <row r="842" spans="2:9">
      <c r="B842" s="67"/>
      <c r="C842" s="67"/>
      <c r="D842" s="67"/>
      <c r="E842" s="67"/>
      <c r="F842" s="67"/>
      <c r="G842" s="67"/>
      <c r="H842" s="67"/>
      <c r="I842" s="103"/>
    </row>
    <row r="843" spans="2:9">
      <c r="B843" s="67"/>
      <c r="C843" s="67"/>
      <c r="D843" s="67"/>
      <c r="E843" s="67"/>
      <c r="F843" s="67"/>
      <c r="G843" s="67"/>
      <c r="H843" s="67"/>
      <c r="I843" s="103"/>
    </row>
    <row r="844" spans="2:9">
      <c r="B844" s="67"/>
      <c r="C844" s="67"/>
      <c r="D844" s="67"/>
      <c r="E844" s="67"/>
      <c r="F844" s="67"/>
      <c r="G844" s="67"/>
      <c r="H844" s="67"/>
      <c r="I844" s="103"/>
    </row>
    <row r="845" spans="2:9">
      <c r="B845" s="67"/>
      <c r="C845" s="67"/>
      <c r="D845" s="67"/>
      <c r="E845" s="67"/>
      <c r="F845" s="67"/>
      <c r="G845" s="67"/>
      <c r="H845" s="67"/>
      <c r="I845" s="103"/>
    </row>
    <row r="846" spans="2:9">
      <c r="B846" s="67"/>
      <c r="C846" s="67"/>
      <c r="D846" s="67"/>
      <c r="E846" s="67"/>
      <c r="F846" s="67"/>
      <c r="G846" s="67"/>
      <c r="H846" s="67"/>
      <c r="I846" s="103"/>
    </row>
    <row r="847" spans="2:9">
      <c r="B847" s="67"/>
      <c r="C847" s="67"/>
      <c r="D847" s="67"/>
      <c r="E847" s="67"/>
      <c r="F847" s="67"/>
      <c r="G847" s="67"/>
      <c r="H847" s="67"/>
      <c r="I847" s="103"/>
    </row>
    <row r="848" spans="2:9">
      <c r="B848" s="67"/>
      <c r="C848" s="67"/>
      <c r="D848" s="67"/>
      <c r="E848" s="67"/>
      <c r="F848" s="67"/>
      <c r="G848" s="67"/>
      <c r="H848" s="67"/>
      <c r="I848" s="103"/>
    </row>
    <row r="849" spans="2:9">
      <c r="B849" s="67"/>
      <c r="C849" s="67"/>
      <c r="D849" s="67"/>
      <c r="E849" s="67"/>
      <c r="F849" s="67"/>
      <c r="G849" s="67"/>
      <c r="H849" s="67"/>
      <c r="I849" s="103"/>
    </row>
    <row r="850" spans="2:9">
      <c r="B850" s="67"/>
      <c r="C850" s="67"/>
      <c r="D850" s="67"/>
      <c r="E850" s="67"/>
      <c r="F850" s="67"/>
      <c r="G850" s="67"/>
      <c r="H850" s="67"/>
      <c r="I850" s="103"/>
    </row>
    <row r="851" spans="2:9">
      <c r="B851" s="67"/>
      <c r="C851" s="67"/>
      <c r="D851" s="67"/>
      <c r="E851" s="67"/>
      <c r="F851" s="67"/>
      <c r="G851" s="67"/>
      <c r="H851" s="67"/>
      <c r="I851" s="103"/>
    </row>
    <row r="852" spans="2:9">
      <c r="B852" s="67"/>
      <c r="C852" s="67"/>
      <c r="D852" s="67"/>
      <c r="E852" s="67"/>
      <c r="F852" s="67"/>
      <c r="G852" s="67"/>
      <c r="H852" s="67"/>
      <c r="I852" s="103"/>
    </row>
    <row r="853" spans="2:9">
      <c r="B853" s="67"/>
      <c r="C853" s="67"/>
      <c r="D853" s="67"/>
      <c r="E853" s="67"/>
      <c r="F853" s="67"/>
      <c r="G853" s="67"/>
      <c r="H853" s="67"/>
      <c r="I853" s="103"/>
    </row>
    <row r="854" spans="2:9">
      <c r="B854" s="67"/>
      <c r="C854" s="67"/>
      <c r="D854" s="67"/>
      <c r="E854" s="67"/>
      <c r="F854" s="67"/>
      <c r="G854" s="67"/>
      <c r="H854" s="67"/>
      <c r="I854" s="103"/>
    </row>
    <row r="855" spans="2:9">
      <c r="B855" s="67"/>
      <c r="C855" s="67"/>
      <c r="D855" s="67"/>
      <c r="E855" s="67"/>
      <c r="F855" s="67"/>
      <c r="G855" s="67"/>
      <c r="H855" s="67"/>
      <c r="I855" s="103"/>
    </row>
    <row r="856" spans="2:9">
      <c r="B856" s="67"/>
      <c r="C856" s="67"/>
      <c r="D856" s="67"/>
      <c r="E856" s="67"/>
      <c r="F856" s="67"/>
      <c r="G856" s="67"/>
      <c r="H856" s="67"/>
      <c r="I856" s="103"/>
    </row>
    <row r="857" spans="2:9">
      <c r="B857" s="67"/>
      <c r="C857" s="67"/>
      <c r="D857" s="67"/>
      <c r="E857" s="67"/>
      <c r="F857" s="67"/>
      <c r="G857" s="67"/>
      <c r="H857" s="67"/>
      <c r="I857" s="103"/>
    </row>
    <row r="858" spans="2:9">
      <c r="B858" s="67"/>
      <c r="C858" s="67"/>
      <c r="D858" s="67"/>
      <c r="E858" s="67"/>
      <c r="F858" s="67"/>
      <c r="G858" s="67"/>
      <c r="H858" s="67"/>
      <c r="I858" s="103"/>
    </row>
    <row r="859" spans="2:9">
      <c r="B859" s="67"/>
      <c r="C859" s="67"/>
      <c r="D859" s="67"/>
      <c r="E859" s="67"/>
      <c r="F859" s="67"/>
      <c r="G859" s="67"/>
      <c r="H859" s="67"/>
      <c r="I859" s="103"/>
    </row>
    <row r="860" spans="2:9">
      <c r="B860" s="67"/>
      <c r="C860" s="67"/>
      <c r="D860" s="67"/>
      <c r="E860" s="67"/>
      <c r="F860" s="67"/>
      <c r="G860" s="67"/>
      <c r="H860" s="67"/>
      <c r="I860" s="103"/>
    </row>
    <row r="861" spans="2:9">
      <c r="B861" s="67"/>
      <c r="C861" s="67"/>
      <c r="D861" s="67"/>
      <c r="E861" s="67"/>
      <c r="F861" s="67"/>
      <c r="G861" s="67"/>
      <c r="H861" s="67"/>
      <c r="I861" s="103"/>
    </row>
    <row r="862" spans="2:9">
      <c r="B862" s="67"/>
      <c r="C862" s="67"/>
      <c r="D862" s="67"/>
      <c r="E862" s="67"/>
      <c r="F862" s="67"/>
      <c r="G862" s="67"/>
      <c r="H862" s="67"/>
      <c r="I862" s="103"/>
    </row>
    <row r="863" spans="2:9">
      <c r="B863" s="67"/>
      <c r="C863" s="67"/>
      <c r="D863" s="67"/>
      <c r="E863" s="67"/>
      <c r="F863" s="67"/>
      <c r="G863" s="67"/>
      <c r="H863" s="67"/>
      <c r="I863" s="103"/>
    </row>
    <row r="864" spans="2:9">
      <c r="B864" s="67"/>
      <c r="C864" s="67"/>
      <c r="D864" s="67"/>
      <c r="E864" s="67"/>
      <c r="F864" s="67"/>
      <c r="G864" s="67"/>
      <c r="H864" s="67"/>
      <c r="I864" s="103"/>
    </row>
    <row r="865" spans="2:9">
      <c r="B865" s="67"/>
      <c r="C865" s="67"/>
      <c r="D865" s="67"/>
      <c r="E865" s="67"/>
      <c r="F865" s="67"/>
      <c r="G865" s="67"/>
      <c r="H865" s="67"/>
      <c r="I865" s="103"/>
    </row>
    <row r="866" spans="2:9">
      <c r="B866" s="67"/>
      <c r="C866" s="67"/>
      <c r="D866" s="67"/>
      <c r="E866" s="67"/>
      <c r="F866" s="67"/>
      <c r="G866" s="67"/>
      <c r="H866" s="67"/>
      <c r="I866" s="103"/>
    </row>
    <row r="867" spans="2:9">
      <c r="B867" s="67"/>
      <c r="C867" s="67"/>
      <c r="D867" s="67"/>
      <c r="E867" s="67"/>
      <c r="F867" s="67"/>
      <c r="G867" s="67"/>
      <c r="H867" s="67"/>
      <c r="I867" s="103"/>
    </row>
    <row r="868" spans="2:9">
      <c r="B868" s="67"/>
      <c r="C868" s="67"/>
      <c r="D868" s="67"/>
      <c r="E868" s="67"/>
      <c r="F868" s="67"/>
      <c r="G868" s="67"/>
      <c r="H868" s="67"/>
      <c r="I868" s="103"/>
    </row>
    <row r="869" spans="2:9">
      <c r="B869" s="67"/>
      <c r="C869" s="67"/>
      <c r="D869" s="67"/>
      <c r="E869" s="67"/>
      <c r="F869" s="67"/>
      <c r="G869" s="67"/>
      <c r="H869" s="67"/>
      <c r="I869" s="103"/>
    </row>
    <row r="870" spans="2:9">
      <c r="B870" s="67"/>
      <c r="C870" s="67"/>
      <c r="D870" s="67"/>
      <c r="E870" s="67"/>
      <c r="F870" s="67"/>
      <c r="G870" s="67"/>
      <c r="H870" s="67"/>
      <c r="I870" s="103"/>
    </row>
    <row r="871" spans="2:9">
      <c r="B871" s="67"/>
      <c r="C871" s="67"/>
      <c r="D871" s="67"/>
      <c r="E871" s="67"/>
      <c r="F871" s="67"/>
      <c r="G871" s="67"/>
      <c r="H871" s="67"/>
      <c r="I871" s="103"/>
    </row>
    <row r="872" spans="2:9">
      <c r="B872" s="67"/>
      <c r="C872" s="67"/>
      <c r="D872" s="67"/>
      <c r="E872" s="67"/>
      <c r="F872" s="67"/>
      <c r="G872" s="67"/>
      <c r="H872" s="67"/>
      <c r="I872" s="103"/>
    </row>
    <row r="873" spans="2:9">
      <c r="B873" s="67"/>
      <c r="C873" s="67"/>
      <c r="D873" s="67"/>
      <c r="E873" s="67"/>
      <c r="F873" s="67"/>
      <c r="G873" s="67"/>
      <c r="H873" s="67"/>
      <c r="I873" s="103"/>
    </row>
    <row r="874" spans="2:9">
      <c r="B874" s="67"/>
      <c r="C874" s="67"/>
      <c r="D874" s="67"/>
      <c r="E874" s="67"/>
      <c r="F874" s="67"/>
      <c r="G874" s="67"/>
      <c r="H874" s="67"/>
      <c r="I874" s="103"/>
    </row>
    <row r="875" spans="2:9">
      <c r="B875" s="67"/>
      <c r="C875" s="67"/>
      <c r="D875" s="67"/>
      <c r="E875" s="67"/>
      <c r="F875" s="67"/>
      <c r="G875" s="67"/>
      <c r="H875" s="67"/>
      <c r="I875" s="103"/>
    </row>
    <row r="876" spans="2:9">
      <c r="B876" s="67"/>
      <c r="C876" s="67"/>
      <c r="D876" s="67"/>
      <c r="E876" s="67"/>
      <c r="F876" s="67"/>
      <c r="G876" s="67"/>
      <c r="H876" s="67"/>
      <c r="I876" s="103"/>
    </row>
    <row r="877" spans="2:9">
      <c r="B877" s="67"/>
      <c r="C877" s="67"/>
      <c r="D877" s="67"/>
      <c r="E877" s="67"/>
      <c r="F877" s="67"/>
      <c r="G877" s="67"/>
      <c r="H877" s="67"/>
      <c r="I877" s="103"/>
    </row>
    <row r="878" spans="2:9">
      <c r="B878" s="67"/>
      <c r="C878" s="67"/>
      <c r="D878" s="67"/>
      <c r="E878" s="67"/>
      <c r="F878" s="67"/>
      <c r="G878" s="67"/>
      <c r="H878" s="67"/>
      <c r="I878" s="103"/>
    </row>
    <row r="879" spans="2:9">
      <c r="B879" s="67"/>
      <c r="C879" s="67"/>
      <c r="D879" s="67"/>
      <c r="E879" s="67"/>
      <c r="F879" s="67"/>
      <c r="G879" s="67"/>
      <c r="H879" s="67"/>
      <c r="I879" s="103"/>
    </row>
    <row r="880" spans="2:9">
      <c r="B880" s="67"/>
      <c r="C880" s="67"/>
      <c r="D880" s="67"/>
      <c r="E880" s="67"/>
      <c r="F880" s="67"/>
      <c r="G880" s="67"/>
      <c r="H880" s="67"/>
      <c r="I880" s="103"/>
    </row>
    <row r="881" spans="2:9">
      <c r="B881" s="67"/>
      <c r="C881" s="67"/>
      <c r="D881" s="67"/>
      <c r="E881" s="67"/>
      <c r="F881" s="67"/>
      <c r="G881" s="67"/>
      <c r="H881" s="67"/>
      <c r="I881" s="103"/>
    </row>
    <row r="882" spans="2:9">
      <c r="B882" s="67"/>
      <c r="C882" s="67"/>
      <c r="D882" s="67"/>
      <c r="E882" s="67"/>
      <c r="F882" s="67"/>
      <c r="G882" s="67"/>
      <c r="H882" s="67"/>
      <c r="I882" s="103"/>
    </row>
    <row r="883" spans="2:9">
      <c r="B883" s="67"/>
      <c r="C883" s="67"/>
      <c r="D883" s="67"/>
      <c r="E883" s="67"/>
      <c r="F883" s="67"/>
      <c r="G883" s="67"/>
      <c r="H883" s="67"/>
      <c r="I883" s="103"/>
    </row>
    <row r="884" spans="2:9">
      <c r="B884" s="67"/>
      <c r="C884" s="67"/>
      <c r="D884" s="67"/>
      <c r="E884" s="67"/>
      <c r="F884" s="67"/>
      <c r="G884" s="67"/>
      <c r="H884" s="67"/>
      <c r="I884" s="103"/>
    </row>
    <row r="885" spans="2:9">
      <c r="B885" s="67"/>
      <c r="C885" s="67"/>
      <c r="D885" s="67"/>
      <c r="E885" s="67"/>
      <c r="F885" s="67"/>
      <c r="G885" s="67"/>
      <c r="H885" s="67"/>
      <c r="I885" s="103"/>
    </row>
    <row r="886" spans="2:9">
      <c r="B886" s="67"/>
      <c r="C886" s="67"/>
      <c r="D886" s="67"/>
      <c r="E886" s="67"/>
      <c r="F886" s="67"/>
      <c r="G886" s="67"/>
      <c r="H886" s="67"/>
      <c r="I886" s="103"/>
    </row>
    <row r="887" spans="2:9">
      <c r="B887" s="67"/>
      <c r="C887" s="67"/>
      <c r="D887" s="67"/>
      <c r="E887" s="67"/>
      <c r="F887" s="67"/>
      <c r="G887" s="67"/>
      <c r="H887" s="67"/>
      <c r="I887" s="103"/>
    </row>
    <row r="888" spans="2:9">
      <c r="B888" s="67"/>
      <c r="C888" s="67"/>
      <c r="D888" s="67"/>
      <c r="E888" s="67"/>
      <c r="F888" s="67"/>
      <c r="G888" s="67"/>
      <c r="H888" s="67"/>
      <c r="I888" s="103"/>
    </row>
    <row r="889" spans="2:9">
      <c r="B889" s="67"/>
      <c r="C889" s="67"/>
      <c r="D889" s="67"/>
      <c r="E889" s="67"/>
      <c r="F889" s="67"/>
      <c r="G889" s="67"/>
      <c r="H889" s="67"/>
      <c r="I889" s="103"/>
    </row>
    <row r="890" spans="2:9">
      <c r="B890" s="67"/>
      <c r="C890" s="67"/>
      <c r="D890" s="67"/>
      <c r="E890" s="67"/>
      <c r="F890" s="67"/>
      <c r="G890" s="67"/>
      <c r="H890" s="67"/>
      <c r="I890" s="103"/>
    </row>
    <row r="891" spans="2:9">
      <c r="B891" s="67"/>
      <c r="C891" s="67"/>
      <c r="D891" s="67"/>
      <c r="E891" s="67"/>
      <c r="F891" s="67"/>
      <c r="G891" s="67"/>
      <c r="H891" s="67"/>
      <c r="I891" s="103"/>
    </row>
    <row r="892" spans="2:9">
      <c r="B892" s="67"/>
      <c r="C892" s="67"/>
      <c r="D892" s="67"/>
      <c r="E892" s="67"/>
      <c r="F892" s="67"/>
      <c r="G892" s="67"/>
      <c r="H892" s="67"/>
      <c r="I892" s="103"/>
    </row>
    <row r="893" spans="2:9">
      <c r="B893" s="67"/>
      <c r="C893" s="67"/>
      <c r="D893" s="67"/>
      <c r="E893" s="67"/>
      <c r="F893" s="67"/>
      <c r="G893" s="67"/>
      <c r="H893" s="67"/>
      <c r="I893" s="103"/>
    </row>
    <row r="894" spans="2:9">
      <c r="B894" s="67"/>
      <c r="C894" s="67"/>
      <c r="D894" s="67"/>
      <c r="E894" s="67"/>
      <c r="F894" s="67"/>
      <c r="G894" s="67"/>
      <c r="H894" s="67"/>
      <c r="I894" s="103"/>
    </row>
    <row r="895" spans="2:9">
      <c r="B895" s="67"/>
      <c r="C895" s="67"/>
      <c r="D895" s="67"/>
      <c r="E895" s="67"/>
      <c r="F895" s="67"/>
      <c r="G895" s="67"/>
      <c r="H895" s="67"/>
      <c r="I895" s="103"/>
    </row>
    <row r="896" spans="2:9">
      <c r="B896" s="67"/>
      <c r="C896" s="67"/>
      <c r="D896" s="67"/>
      <c r="E896" s="67"/>
      <c r="F896" s="67"/>
      <c r="G896" s="67"/>
      <c r="H896" s="67"/>
      <c r="I896" s="103"/>
    </row>
    <row r="897" spans="2:9">
      <c r="B897" s="67"/>
      <c r="C897" s="67"/>
      <c r="D897" s="67"/>
      <c r="E897" s="67"/>
      <c r="F897" s="67"/>
      <c r="G897" s="67"/>
      <c r="H897" s="67"/>
      <c r="I897" s="103"/>
    </row>
    <row r="898" spans="2:9">
      <c r="B898" s="67"/>
      <c r="C898" s="67"/>
      <c r="D898" s="67"/>
      <c r="E898" s="67"/>
      <c r="F898" s="67"/>
      <c r="G898" s="67"/>
      <c r="H898" s="67"/>
      <c r="I898" s="103"/>
    </row>
    <row r="899" spans="2:9">
      <c r="B899" s="67"/>
      <c r="C899" s="67"/>
      <c r="D899" s="67"/>
      <c r="E899" s="67"/>
      <c r="F899" s="67"/>
      <c r="G899" s="67"/>
      <c r="H899" s="67"/>
      <c r="I899" s="103"/>
    </row>
    <row r="900" spans="2:9">
      <c r="B900" s="67"/>
      <c r="C900" s="67"/>
      <c r="D900" s="67"/>
      <c r="E900" s="67"/>
      <c r="F900" s="67"/>
      <c r="G900" s="67"/>
      <c r="H900" s="67"/>
      <c r="I900" s="103"/>
    </row>
    <row r="901" spans="2:9">
      <c r="B901" s="67"/>
      <c r="C901" s="67"/>
      <c r="D901" s="67"/>
      <c r="E901" s="67"/>
      <c r="F901" s="67"/>
      <c r="G901" s="67"/>
      <c r="H901" s="67"/>
      <c r="I901" s="103"/>
    </row>
    <row r="902" spans="2:9">
      <c r="B902" s="67"/>
      <c r="C902" s="67"/>
      <c r="D902" s="67"/>
      <c r="E902" s="67"/>
      <c r="F902" s="67"/>
      <c r="G902" s="67"/>
      <c r="H902" s="67"/>
      <c r="I902" s="103"/>
    </row>
    <row r="903" spans="2:9">
      <c r="B903" s="67"/>
      <c r="C903" s="67"/>
      <c r="D903" s="67"/>
      <c r="E903" s="67"/>
      <c r="F903" s="67"/>
      <c r="G903" s="67"/>
      <c r="H903" s="67"/>
      <c r="I903" s="103"/>
    </row>
    <row r="904" spans="2:9">
      <c r="B904" s="67"/>
      <c r="C904" s="67"/>
      <c r="D904" s="67"/>
      <c r="E904" s="67"/>
      <c r="F904" s="67"/>
      <c r="G904" s="67"/>
      <c r="H904" s="67"/>
      <c r="I904" s="103"/>
    </row>
    <row r="905" spans="2:9">
      <c r="B905" s="67"/>
      <c r="C905" s="67"/>
      <c r="D905" s="67"/>
      <c r="E905" s="67"/>
      <c r="F905" s="67"/>
      <c r="G905" s="67"/>
      <c r="H905" s="67"/>
      <c r="I905" s="103"/>
    </row>
    <row r="906" spans="2:9">
      <c r="B906" s="67"/>
      <c r="C906" s="67"/>
      <c r="D906" s="67"/>
      <c r="E906" s="67"/>
      <c r="F906" s="67"/>
      <c r="G906" s="67"/>
      <c r="H906" s="67"/>
      <c r="I906" s="103"/>
    </row>
    <row r="907" spans="2:9">
      <c r="B907" s="67"/>
      <c r="C907" s="67"/>
      <c r="D907" s="67"/>
      <c r="E907" s="67"/>
      <c r="F907" s="67"/>
      <c r="G907" s="67"/>
      <c r="H907" s="67"/>
      <c r="I907" s="103"/>
    </row>
    <row r="908" spans="2:9">
      <c r="B908" s="67"/>
      <c r="C908" s="67"/>
      <c r="D908" s="67"/>
      <c r="E908" s="67"/>
      <c r="F908" s="67"/>
      <c r="G908" s="67"/>
      <c r="H908" s="67"/>
      <c r="I908" s="103"/>
    </row>
    <row r="909" spans="2:9">
      <c r="B909" s="67"/>
      <c r="C909" s="67"/>
      <c r="D909" s="67"/>
      <c r="E909" s="67"/>
      <c r="F909" s="67"/>
      <c r="G909" s="67"/>
      <c r="H909" s="67"/>
      <c r="I909" s="103"/>
    </row>
    <row r="910" spans="2:9">
      <c r="B910" s="67"/>
      <c r="C910" s="67"/>
      <c r="D910" s="67"/>
      <c r="E910" s="67"/>
      <c r="F910" s="67"/>
      <c r="G910" s="67"/>
      <c r="H910" s="67"/>
      <c r="I910" s="103"/>
    </row>
    <row r="911" spans="2:9">
      <c r="B911" s="67"/>
      <c r="C911" s="67"/>
      <c r="D911" s="67"/>
      <c r="E911" s="67"/>
      <c r="F911" s="67"/>
      <c r="G911" s="67"/>
      <c r="H911" s="67"/>
      <c r="I911" s="103"/>
    </row>
    <row r="912" spans="2:9">
      <c r="B912" s="67"/>
      <c r="C912" s="67"/>
      <c r="D912" s="67"/>
      <c r="E912" s="67"/>
      <c r="F912" s="67"/>
      <c r="G912" s="67"/>
      <c r="H912" s="67"/>
      <c r="I912" s="103"/>
    </row>
    <row r="913" spans="2:9">
      <c r="B913" s="67"/>
      <c r="C913" s="67"/>
      <c r="D913" s="67"/>
      <c r="E913" s="67"/>
      <c r="F913" s="67"/>
      <c r="G913" s="67"/>
      <c r="H913" s="67"/>
      <c r="I913" s="103"/>
    </row>
    <row r="914" spans="2:9">
      <c r="B914" s="67"/>
      <c r="C914" s="67"/>
      <c r="D914" s="67"/>
      <c r="E914" s="67"/>
      <c r="F914" s="67"/>
      <c r="G914" s="67"/>
      <c r="H914" s="67"/>
      <c r="I914" s="103"/>
    </row>
    <row r="915" spans="2:9">
      <c r="B915" s="67"/>
      <c r="C915" s="67"/>
      <c r="D915" s="67"/>
      <c r="E915" s="67"/>
      <c r="F915" s="67"/>
      <c r="G915" s="67"/>
      <c r="H915" s="67"/>
      <c r="I915" s="103"/>
    </row>
    <row r="916" spans="2:9">
      <c r="B916" s="67"/>
      <c r="C916" s="67"/>
      <c r="D916" s="67"/>
      <c r="E916" s="67"/>
      <c r="F916" s="67"/>
      <c r="G916" s="67"/>
      <c r="H916" s="67"/>
      <c r="I916" s="103"/>
    </row>
    <row r="917" spans="2:9">
      <c r="B917" s="67"/>
      <c r="C917" s="67"/>
      <c r="D917" s="67"/>
      <c r="E917" s="67"/>
      <c r="F917" s="67"/>
      <c r="G917" s="67"/>
      <c r="H917" s="67"/>
      <c r="I917" s="103"/>
    </row>
    <row r="918" spans="2:9">
      <c r="B918" s="67"/>
      <c r="C918" s="67"/>
      <c r="D918" s="67"/>
      <c r="E918" s="67"/>
      <c r="F918" s="67"/>
      <c r="G918" s="67"/>
      <c r="H918" s="67"/>
      <c r="I918" s="103"/>
    </row>
    <row r="919" spans="2:9">
      <c r="B919" s="67"/>
      <c r="C919" s="67"/>
      <c r="D919" s="67"/>
      <c r="E919" s="67"/>
      <c r="F919" s="67"/>
      <c r="G919" s="67"/>
      <c r="H919" s="67"/>
      <c r="I919" s="103"/>
    </row>
    <row r="920" spans="2:9">
      <c r="B920" s="67"/>
      <c r="C920" s="67"/>
      <c r="D920" s="67"/>
      <c r="E920" s="67"/>
      <c r="F920" s="67"/>
      <c r="G920" s="67"/>
      <c r="H920" s="67"/>
      <c r="I920" s="103"/>
    </row>
    <row r="921" spans="2:9">
      <c r="B921" s="67"/>
      <c r="C921" s="67"/>
      <c r="D921" s="67"/>
      <c r="E921" s="67"/>
      <c r="F921" s="67"/>
      <c r="G921" s="67"/>
      <c r="H921" s="67"/>
      <c r="I921" s="103"/>
    </row>
    <row r="922" spans="2:9">
      <c r="B922" s="67"/>
      <c r="C922" s="67"/>
      <c r="D922" s="67"/>
      <c r="E922" s="67"/>
      <c r="F922" s="67"/>
      <c r="G922" s="67"/>
      <c r="H922" s="67"/>
      <c r="I922" s="103"/>
    </row>
    <row r="923" spans="2:9">
      <c r="B923" s="67"/>
      <c r="C923" s="67"/>
      <c r="D923" s="67"/>
      <c r="E923" s="67"/>
      <c r="F923" s="67"/>
      <c r="G923" s="67"/>
      <c r="H923" s="67"/>
      <c r="I923" s="103"/>
    </row>
    <row r="924" spans="2:9">
      <c r="B924" s="67"/>
      <c r="C924" s="67"/>
      <c r="D924" s="67"/>
      <c r="E924" s="67"/>
      <c r="F924" s="67"/>
      <c r="G924" s="67"/>
      <c r="H924" s="67"/>
      <c r="I924" s="103"/>
    </row>
    <row r="925" spans="2:9">
      <c r="B925" s="67"/>
      <c r="C925" s="67"/>
      <c r="D925" s="67"/>
      <c r="E925" s="67"/>
      <c r="F925" s="67"/>
      <c r="G925" s="67"/>
      <c r="H925" s="67"/>
      <c r="I925" s="103"/>
    </row>
    <row r="926" spans="2:9">
      <c r="B926" s="67"/>
      <c r="C926" s="67"/>
      <c r="D926" s="67"/>
      <c r="E926" s="67"/>
      <c r="F926" s="67"/>
      <c r="G926" s="67"/>
      <c r="H926" s="67"/>
      <c r="I926" s="103"/>
    </row>
    <row r="927" spans="2:9">
      <c r="B927" s="67"/>
      <c r="C927" s="67"/>
      <c r="D927" s="67"/>
      <c r="E927" s="67"/>
      <c r="F927" s="67"/>
      <c r="G927" s="67"/>
      <c r="H927" s="67"/>
      <c r="I927" s="103"/>
    </row>
    <row r="928" spans="2:9">
      <c r="B928" s="67"/>
      <c r="C928" s="67"/>
      <c r="D928" s="67"/>
      <c r="E928" s="67"/>
      <c r="F928" s="67"/>
      <c r="G928" s="67"/>
      <c r="H928" s="67"/>
      <c r="I928" s="103"/>
    </row>
    <row r="929" spans="2:9">
      <c r="B929" s="67"/>
      <c r="C929" s="67"/>
      <c r="D929" s="67"/>
      <c r="E929" s="67"/>
      <c r="F929" s="67"/>
      <c r="G929" s="67"/>
      <c r="H929" s="67"/>
      <c r="I929" s="103"/>
    </row>
    <row r="930" spans="2:9">
      <c r="B930" s="67"/>
      <c r="C930" s="67"/>
      <c r="D930" s="67"/>
      <c r="E930" s="67"/>
      <c r="F930" s="67"/>
      <c r="G930" s="67"/>
      <c r="H930" s="67"/>
      <c r="I930" s="103"/>
    </row>
    <row r="931" spans="2:9">
      <c r="B931" s="67"/>
      <c r="C931" s="67"/>
      <c r="D931" s="67"/>
      <c r="E931" s="67"/>
      <c r="F931" s="67"/>
      <c r="G931" s="67"/>
      <c r="H931" s="67"/>
      <c r="I931" s="103"/>
    </row>
    <row r="932" spans="2:9">
      <c r="B932" s="67"/>
      <c r="C932" s="67"/>
      <c r="D932" s="67"/>
      <c r="E932" s="67"/>
      <c r="F932" s="67"/>
      <c r="G932" s="67"/>
      <c r="H932" s="67"/>
      <c r="I932" s="103"/>
    </row>
    <row r="933" spans="2:9">
      <c r="B933" s="67"/>
      <c r="C933" s="67"/>
      <c r="D933" s="67"/>
      <c r="E933" s="67"/>
      <c r="F933" s="67"/>
      <c r="G933" s="67"/>
      <c r="H933" s="67"/>
      <c r="I933" s="103"/>
    </row>
    <row r="934" spans="2:9">
      <c r="B934" s="67"/>
      <c r="C934" s="67"/>
      <c r="D934" s="67"/>
      <c r="E934" s="67"/>
      <c r="F934" s="67"/>
      <c r="G934" s="67"/>
      <c r="H934" s="67"/>
      <c r="I934" s="103"/>
    </row>
    <row r="935" spans="2:9">
      <c r="B935" s="67"/>
      <c r="C935" s="67"/>
      <c r="D935" s="67"/>
      <c r="E935" s="67"/>
      <c r="F935" s="67"/>
      <c r="G935" s="67"/>
      <c r="H935" s="67"/>
      <c r="I935" s="103"/>
    </row>
    <row r="936" spans="2:9">
      <c r="B936" s="67"/>
      <c r="C936" s="67"/>
      <c r="D936" s="67"/>
      <c r="E936" s="67"/>
      <c r="F936" s="67"/>
      <c r="G936" s="67"/>
      <c r="H936" s="67"/>
      <c r="I936" s="103"/>
    </row>
    <row r="937" spans="2:9">
      <c r="B937" s="67"/>
      <c r="C937" s="67"/>
      <c r="D937" s="67"/>
      <c r="E937" s="67"/>
      <c r="F937" s="67"/>
      <c r="G937" s="67"/>
      <c r="H937" s="67"/>
      <c r="I937" s="103"/>
    </row>
    <row r="938" spans="2:9">
      <c r="B938" s="67"/>
      <c r="C938" s="67"/>
      <c r="D938" s="67"/>
      <c r="E938" s="67"/>
      <c r="F938" s="67"/>
      <c r="G938" s="67"/>
      <c r="H938" s="67"/>
      <c r="I938" s="103"/>
    </row>
    <row r="939" spans="2:9">
      <c r="B939" s="67"/>
      <c r="C939" s="67"/>
      <c r="D939" s="67"/>
      <c r="E939" s="67"/>
      <c r="F939" s="67"/>
      <c r="G939" s="67"/>
      <c r="H939" s="67"/>
      <c r="I939" s="103"/>
    </row>
    <row r="940" spans="2:9">
      <c r="B940" s="67"/>
      <c r="C940" s="67"/>
      <c r="D940" s="67"/>
      <c r="E940" s="67"/>
      <c r="F940" s="67"/>
      <c r="G940" s="67"/>
      <c r="H940" s="67"/>
      <c r="I940" s="103"/>
    </row>
    <row r="941" spans="2:9">
      <c r="B941" s="67"/>
      <c r="C941" s="67"/>
      <c r="D941" s="67"/>
      <c r="E941" s="67"/>
      <c r="F941" s="67"/>
      <c r="G941" s="67"/>
      <c r="H941" s="67"/>
      <c r="I941" s="103"/>
    </row>
    <row r="942" spans="2:9">
      <c r="B942" s="67"/>
      <c r="C942" s="67"/>
      <c r="D942" s="67"/>
      <c r="E942" s="67"/>
      <c r="F942" s="67"/>
      <c r="G942" s="67"/>
      <c r="H942" s="67"/>
      <c r="I942" s="103"/>
    </row>
    <row r="943" spans="2:9">
      <c r="B943" s="67"/>
      <c r="C943" s="67"/>
      <c r="D943" s="67"/>
      <c r="E943" s="67"/>
      <c r="F943" s="67"/>
      <c r="G943" s="67"/>
      <c r="H943" s="67"/>
      <c r="I943" s="103"/>
    </row>
    <row r="944" spans="2:9">
      <c r="B944" s="67"/>
      <c r="C944" s="67"/>
      <c r="D944" s="67"/>
      <c r="E944" s="67"/>
      <c r="F944" s="67"/>
      <c r="G944" s="67"/>
      <c r="H944" s="67"/>
      <c r="I944" s="103"/>
    </row>
    <row r="945" spans="2:9">
      <c r="B945" s="67"/>
      <c r="C945" s="67"/>
      <c r="D945" s="67"/>
      <c r="E945" s="67"/>
      <c r="F945" s="67"/>
      <c r="G945" s="67"/>
      <c r="H945" s="67"/>
      <c r="I945" s="103"/>
    </row>
    <row r="946" spans="2:9">
      <c r="B946" s="67"/>
      <c r="C946" s="67"/>
      <c r="D946" s="67"/>
      <c r="E946" s="67"/>
      <c r="F946" s="67"/>
      <c r="G946" s="67"/>
      <c r="H946" s="67"/>
      <c r="I946" s="103"/>
    </row>
    <row r="947" spans="2:9">
      <c r="B947" s="67"/>
      <c r="C947" s="67"/>
      <c r="D947" s="67"/>
      <c r="E947" s="67"/>
      <c r="F947" s="67"/>
      <c r="G947" s="67"/>
      <c r="H947" s="67"/>
      <c r="I947" s="103"/>
    </row>
    <row r="948" spans="2:9">
      <c r="B948" s="67"/>
      <c r="C948" s="67"/>
      <c r="D948" s="67"/>
      <c r="E948" s="67"/>
      <c r="F948" s="67"/>
      <c r="G948" s="67"/>
      <c r="H948" s="67"/>
      <c r="I948" s="103"/>
    </row>
    <row r="949" spans="2:9">
      <c r="B949" s="67"/>
      <c r="C949" s="67"/>
      <c r="D949" s="67"/>
      <c r="E949" s="67"/>
      <c r="F949" s="67"/>
      <c r="G949" s="67"/>
      <c r="H949" s="67"/>
      <c r="I949" s="103"/>
    </row>
    <row r="950" spans="2:9">
      <c r="B950" s="67"/>
      <c r="C950" s="67"/>
      <c r="D950" s="67"/>
      <c r="E950" s="67"/>
      <c r="F950" s="67"/>
      <c r="G950" s="67"/>
      <c r="H950" s="67"/>
      <c r="I950" s="103"/>
    </row>
    <row r="951" spans="2:9">
      <c r="B951" s="67"/>
      <c r="C951" s="67"/>
      <c r="D951" s="67"/>
      <c r="E951" s="67"/>
      <c r="F951" s="67"/>
      <c r="G951" s="67"/>
      <c r="H951" s="67"/>
      <c r="I951" s="103"/>
    </row>
    <row r="952" spans="2:9">
      <c r="B952" s="67"/>
      <c r="C952" s="67"/>
      <c r="D952" s="67"/>
      <c r="E952" s="67"/>
      <c r="F952" s="67"/>
      <c r="G952" s="67"/>
      <c r="H952" s="67"/>
      <c r="I952" s="103"/>
    </row>
    <row r="953" spans="2:9">
      <c r="B953" s="67"/>
      <c r="C953" s="67"/>
      <c r="D953" s="67"/>
      <c r="E953" s="67"/>
      <c r="F953" s="67"/>
      <c r="G953" s="67"/>
      <c r="H953" s="67"/>
      <c r="I953" s="103"/>
    </row>
    <row r="954" spans="2:9">
      <c r="B954" s="67"/>
      <c r="C954" s="67"/>
      <c r="D954" s="67"/>
      <c r="E954" s="67"/>
      <c r="F954" s="67"/>
      <c r="G954" s="67"/>
      <c r="H954" s="67"/>
      <c r="I954" s="103"/>
    </row>
    <row r="955" spans="2:9">
      <c r="B955" s="67"/>
      <c r="C955" s="67"/>
      <c r="D955" s="67"/>
      <c r="E955" s="67"/>
      <c r="F955" s="67"/>
      <c r="G955" s="67"/>
      <c r="H955" s="67"/>
      <c r="I955" s="103"/>
    </row>
    <row r="956" spans="2:9">
      <c r="B956" s="67"/>
      <c r="C956" s="67"/>
      <c r="D956" s="67"/>
      <c r="E956" s="67"/>
      <c r="F956" s="67"/>
      <c r="G956" s="67"/>
      <c r="H956" s="67"/>
      <c r="I956" s="103"/>
    </row>
    <row r="957" spans="2:9">
      <c r="B957" s="67"/>
      <c r="C957" s="67"/>
      <c r="D957" s="67"/>
      <c r="E957" s="67"/>
      <c r="F957" s="67"/>
      <c r="G957" s="67"/>
      <c r="H957" s="67"/>
      <c r="I957" s="103"/>
    </row>
    <row r="958" spans="2:9">
      <c r="B958" s="67"/>
      <c r="C958" s="67"/>
      <c r="D958" s="67"/>
      <c r="E958" s="67"/>
      <c r="F958" s="67"/>
      <c r="G958" s="67"/>
      <c r="H958" s="67"/>
      <c r="I958" s="103"/>
    </row>
    <row r="959" spans="2:9">
      <c r="B959" s="67"/>
      <c r="C959" s="67"/>
      <c r="D959" s="67"/>
      <c r="E959" s="67"/>
      <c r="F959" s="67"/>
      <c r="G959" s="67"/>
      <c r="H959" s="67"/>
      <c r="I959" s="103"/>
    </row>
    <row r="960" spans="2:9">
      <c r="B960" s="67"/>
      <c r="C960" s="67"/>
      <c r="D960" s="67"/>
      <c r="E960" s="67"/>
      <c r="F960" s="67"/>
      <c r="G960" s="67"/>
      <c r="H960" s="67"/>
      <c r="I960" s="103"/>
    </row>
    <row r="961" spans="2:9">
      <c r="B961" s="67"/>
      <c r="C961" s="67"/>
      <c r="D961" s="67"/>
      <c r="E961" s="67"/>
      <c r="F961" s="67"/>
      <c r="G961" s="67"/>
      <c r="H961" s="67"/>
      <c r="I961" s="103"/>
    </row>
    <row r="962" spans="2:9">
      <c r="B962" s="67"/>
      <c r="C962" s="67"/>
      <c r="D962" s="67"/>
      <c r="E962" s="67"/>
      <c r="F962" s="67"/>
      <c r="G962" s="67"/>
      <c r="H962" s="67"/>
      <c r="I962" s="103"/>
    </row>
    <row r="963" spans="2:9">
      <c r="B963" s="67"/>
      <c r="C963" s="67"/>
      <c r="D963" s="67"/>
      <c r="E963" s="67"/>
      <c r="F963" s="67"/>
      <c r="G963" s="67"/>
      <c r="H963" s="67"/>
      <c r="I963" s="103"/>
    </row>
    <row r="964" spans="2:9">
      <c r="B964" s="67"/>
      <c r="C964" s="67"/>
      <c r="D964" s="67"/>
      <c r="E964" s="67"/>
      <c r="F964" s="67"/>
      <c r="G964" s="67"/>
      <c r="H964" s="67"/>
      <c r="I964" s="103"/>
    </row>
    <row r="965" spans="2:9">
      <c r="B965" s="67"/>
      <c r="C965" s="67"/>
      <c r="D965" s="67"/>
      <c r="E965" s="67"/>
      <c r="F965" s="67"/>
      <c r="G965" s="67"/>
      <c r="H965" s="67"/>
      <c r="I965" s="103"/>
    </row>
    <row r="966" spans="2:9">
      <c r="B966" s="67"/>
      <c r="C966" s="67"/>
      <c r="D966" s="67"/>
      <c r="E966" s="67"/>
      <c r="F966" s="67"/>
      <c r="G966" s="67"/>
      <c r="H966" s="67"/>
      <c r="I966" s="103"/>
    </row>
    <row r="967" spans="2:9">
      <c r="B967" s="67"/>
      <c r="C967" s="67"/>
      <c r="D967" s="67"/>
      <c r="E967" s="67"/>
      <c r="F967" s="67"/>
      <c r="G967" s="67"/>
      <c r="H967" s="67"/>
      <c r="I967" s="103"/>
    </row>
    <row r="968" spans="2:9">
      <c r="B968" s="67"/>
      <c r="C968" s="67"/>
      <c r="D968" s="67"/>
      <c r="E968" s="67"/>
      <c r="F968" s="67"/>
      <c r="G968" s="67"/>
      <c r="H968" s="67"/>
      <c r="I968" s="103"/>
    </row>
    <row r="969" spans="2:9">
      <c r="B969" s="67"/>
      <c r="C969" s="67"/>
      <c r="D969" s="67"/>
      <c r="E969" s="67"/>
      <c r="F969" s="67"/>
      <c r="G969" s="67"/>
      <c r="H969" s="67"/>
      <c r="I969" s="103"/>
    </row>
    <row r="970" spans="2:9">
      <c r="B970" s="67"/>
      <c r="C970" s="67"/>
      <c r="D970" s="67"/>
      <c r="E970" s="67"/>
      <c r="F970" s="67"/>
      <c r="G970" s="67"/>
      <c r="H970" s="67"/>
      <c r="I970" s="103"/>
    </row>
    <row r="971" spans="2:9">
      <c r="B971" s="67"/>
      <c r="C971" s="67"/>
      <c r="D971" s="67"/>
      <c r="E971" s="67"/>
      <c r="F971" s="67"/>
      <c r="G971" s="67"/>
      <c r="H971" s="67"/>
      <c r="I971" s="103"/>
    </row>
    <row r="972" spans="2:9">
      <c r="B972" s="67"/>
      <c r="C972" s="67"/>
      <c r="D972" s="67"/>
      <c r="E972" s="67"/>
      <c r="F972" s="67"/>
      <c r="G972" s="67"/>
      <c r="H972" s="67"/>
      <c r="I972" s="103"/>
    </row>
    <row r="973" spans="2:9">
      <c r="B973" s="67"/>
      <c r="C973" s="67"/>
      <c r="D973" s="67"/>
      <c r="E973" s="67"/>
      <c r="F973" s="67"/>
      <c r="G973" s="67"/>
      <c r="H973" s="67"/>
      <c r="I973" s="103"/>
    </row>
    <row r="974" spans="2:9">
      <c r="B974" s="67"/>
      <c r="C974" s="67"/>
      <c r="D974" s="67"/>
      <c r="E974" s="67"/>
      <c r="F974" s="67"/>
      <c r="G974" s="67"/>
      <c r="H974" s="67"/>
      <c r="I974" s="103"/>
    </row>
    <row r="975" spans="2:9">
      <c r="B975" s="67"/>
      <c r="C975" s="67"/>
      <c r="D975" s="67"/>
      <c r="E975" s="67"/>
      <c r="F975" s="67"/>
      <c r="G975" s="67"/>
      <c r="H975" s="67"/>
      <c r="I975" s="103"/>
    </row>
    <row r="976" spans="2:9">
      <c r="B976" s="67"/>
      <c r="C976" s="67"/>
      <c r="D976" s="67"/>
      <c r="E976" s="67"/>
      <c r="F976" s="67"/>
      <c r="G976" s="67"/>
      <c r="H976" s="67"/>
      <c r="I976" s="103"/>
    </row>
    <row r="977" spans="2:9">
      <c r="B977" s="67"/>
      <c r="C977" s="67"/>
      <c r="D977" s="67"/>
      <c r="E977" s="67"/>
      <c r="F977" s="67"/>
      <c r="G977" s="67"/>
      <c r="H977" s="67"/>
      <c r="I977" s="103"/>
    </row>
    <row r="978" spans="2:9">
      <c r="B978" s="67"/>
      <c r="C978" s="67"/>
      <c r="D978" s="67"/>
      <c r="E978" s="67"/>
      <c r="F978" s="67"/>
      <c r="G978" s="67"/>
      <c r="H978" s="67"/>
      <c r="I978" s="103"/>
    </row>
    <row r="979" spans="2:9">
      <c r="B979" s="67"/>
      <c r="C979" s="67"/>
      <c r="D979" s="67"/>
      <c r="E979" s="67"/>
      <c r="F979" s="67"/>
      <c r="G979" s="67"/>
      <c r="H979" s="67"/>
      <c r="I979" s="103"/>
    </row>
    <row r="980" spans="2:9">
      <c r="B980" s="67"/>
      <c r="C980" s="67"/>
      <c r="D980" s="67"/>
      <c r="E980" s="67"/>
      <c r="F980" s="67"/>
      <c r="G980" s="67"/>
      <c r="H980" s="67"/>
      <c r="I980" s="103"/>
    </row>
    <row r="981" spans="2:9">
      <c r="B981" s="67"/>
      <c r="C981" s="67"/>
      <c r="D981" s="67"/>
      <c r="E981" s="67"/>
      <c r="F981" s="67"/>
      <c r="G981" s="67"/>
      <c r="H981" s="67"/>
      <c r="I981" s="103"/>
    </row>
    <row r="982" spans="2:9">
      <c r="B982" s="67"/>
      <c r="C982" s="67"/>
      <c r="D982" s="67"/>
      <c r="E982" s="67"/>
      <c r="F982" s="67"/>
      <c r="G982" s="67"/>
      <c r="H982" s="67"/>
      <c r="I982" s="103"/>
    </row>
    <row r="983" spans="2:9">
      <c r="B983" s="67"/>
      <c r="C983" s="67"/>
      <c r="D983" s="67"/>
      <c r="E983" s="67"/>
      <c r="F983" s="67"/>
      <c r="G983" s="67"/>
      <c r="H983" s="67"/>
      <c r="I983" s="103"/>
    </row>
    <row r="984" spans="2:9">
      <c r="B984" s="67"/>
      <c r="C984" s="67"/>
      <c r="D984" s="67"/>
      <c r="E984" s="67"/>
      <c r="F984" s="67"/>
      <c r="G984" s="67"/>
      <c r="H984" s="67"/>
      <c r="I984" s="103"/>
    </row>
    <row r="985" spans="2:9">
      <c r="B985" s="67"/>
      <c r="C985" s="67"/>
      <c r="D985" s="67"/>
      <c r="E985" s="67"/>
      <c r="F985" s="67"/>
      <c r="G985" s="67"/>
      <c r="H985" s="67"/>
      <c r="I985" s="103"/>
    </row>
    <row r="986" spans="2:9">
      <c r="B986" s="67"/>
      <c r="C986" s="67"/>
      <c r="D986" s="67"/>
      <c r="E986" s="67"/>
      <c r="F986" s="67"/>
      <c r="G986" s="67"/>
      <c r="H986" s="67"/>
      <c r="I986" s="103"/>
    </row>
    <row r="987" spans="2:9">
      <c r="B987" s="67"/>
      <c r="C987" s="67"/>
      <c r="D987" s="67"/>
      <c r="E987" s="67"/>
      <c r="F987" s="67"/>
      <c r="G987" s="67"/>
      <c r="H987" s="67"/>
      <c r="I987" s="103"/>
    </row>
    <row r="988" spans="2:9">
      <c r="B988" s="67"/>
      <c r="C988" s="67"/>
      <c r="D988" s="67"/>
      <c r="E988" s="67"/>
      <c r="F988" s="67"/>
      <c r="G988" s="67"/>
      <c r="H988" s="67"/>
      <c r="I988" s="103"/>
    </row>
    <row r="989" spans="2:9">
      <c r="B989" s="67"/>
      <c r="C989" s="67"/>
      <c r="D989" s="67"/>
      <c r="E989" s="67"/>
      <c r="F989" s="67"/>
      <c r="G989" s="67"/>
      <c r="H989" s="67"/>
      <c r="I989" s="103"/>
    </row>
    <row r="990" spans="2:9">
      <c r="B990" s="67"/>
      <c r="C990" s="67"/>
      <c r="D990" s="67"/>
      <c r="E990" s="67"/>
      <c r="F990" s="67"/>
      <c r="G990" s="67"/>
      <c r="H990" s="67"/>
      <c r="I990" s="103"/>
    </row>
    <row r="991" spans="2:9">
      <c r="B991" s="67"/>
      <c r="C991" s="67"/>
      <c r="D991" s="67"/>
      <c r="E991" s="67"/>
      <c r="F991" s="67"/>
      <c r="G991" s="67"/>
      <c r="H991" s="67"/>
      <c r="I991" s="103"/>
    </row>
    <row r="992" spans="2:9">
      <c r="B992" s="67"/>
      <c r="C992" s="67"/>
      <c r="D992" s="67"/>
      <c r="E992" s="67"/>
      <c r="F992" s="67"/>
      <c r="G992" s="67"/>
      <c r="H992" s="67"/>
      <c r="I992" s="103"/>
    </row>
    <row r="993" spans="2:9">
      <c r="B993" s="67"/>
      <c r="C993" s="67"/>
      <c r="D993" s="67"/>
      <c r="E993" s="67"/>
      <c r="F993" s="67"/>
      <c r="G993" s="67"/>
      <c r="H993" s="67"/>
      <c r="I993" s="103"/>
    </row>
    <row r="994" spans="2:9">
      <c r="B994" s="67"/>
      <c r="C994" s="67"/>
      <c r="D994" s="67"/>
      <c r="E994" s="67"/>
      <c r="F994" s="67"/>
      <c r="G994" s="67"/>
      <c r="H994" s="67"/>
      <c r="I994" s="103"/>
    </row>
    <row r="995" spans="2:9">
      <c r="B995" s="67"/>
      <c r="C995" s="67"/>
      <c r="D995" s="67"/>
      <c r="E995" s="67"/>
      <c r="F995" s="67"/>
      <c r="G995" s="67"/>
      <c r="H995" s="67"/>
      <c r="I995" s="103"/>
    </row>
    <row r="996" spans="2:9">
      <c r="B996" s="67"/>
      <c r="C996" s="67"/>
      <c r="D996" s="67"/>
      <c r="E996" s="67"/>
      <c r="F996" s="67"/>
      <c r="G996" s="67"/>
      <c r="H996" s="67"/>
      <c r="I996" s="103"/>
    </row>
    <row r="997" spans="2:9">
      <c r="B997" s="67"/>
      <c r="C997" s="67"/>
      <c r="D997" s="67"/>
      <c r="E997" s="67"/>
      <c r="F997" s="67"/>
      <c r="G997" s="67"/>
      <c r="H997" s="67"/>
      <c r="I997" s="103"/>
    </row>
    <row r="998" spans="2:9">
      <c r="B998" s="67"/>
      <c r="C998" s="67"/>
      <c r="D998" s="67"/>
      <c r="E998" s="67"/>
      <c r="F998" s="67"/>
      <c r="G998" s="67"/>
      <c r="H998" s="67"/>
      <c r="I998" s="103"/>
    </row>
    <row r="999" spans="2:9">
      <c r="B999" s="67"/>
      <c r="C999" s="67"/>
      <c r="D999" s="67"/>
      <c r="E999" s="67"/>
      <c r="F999" s="67"/>
      <c r="G999" s="67"/>
      <c r="H999" s="67"/>
      <c r="I999" s="103"/>
    </row>
    <row r="1000" spans="2:9">
      <c r="B1000" s="67"/>
      <c r="C1000" s="67"/>
      <c r="D1000" s="67"/>
      <c r="E1000" s="67"/>
      <c r="F1000" s="67"/>
      <c r="G1000" s="67"/>
      <c r="H1000" s="67"/>
      <c r="I1000" s="103"/>
    </row>
    <row r="1001" spans="2:9">
      <c r="B1001" s="67"/>
      <c r="C1001" s="67"/>
      <c r="D1001" s="67"/>
      <c r="E1001" s="67"/>
      <c r="F1001" s="67"/>
      <c r="G1001" s="67"/>
      <c r="H1001" s="67"/>
      <c r="I1001" s="103"/>
    </row>
    <row r="1002" spans="2:9">
      <c r="B1002" s="67"/>
      <c r="C1002" s="67"/>
      <c r="D1002" s="67"/>
      <c r="E1002" s="67"/>
      <c r="F1002" s="67"/>
      <c r="G1002" s="67"/>
      <c r="H1002" s="67"/>
      <c r="I1002" s="103"/>
    </row>
    <row r="1003" spans="2:9">
      <c r="B1003" s="67"/>
      <c r="C1003" s="67"/>
      <c r="D1003" s="67"/>
      <c r="E1003" s="67"/>
      <c r="F1003" s="67"/>
      <c r="G1003" s="67"/>
      <c r="H1003" s="67"/>
      <c r="I1003" s="103"/>
    </row>
  </sheetData>
  <mergeCells count="147">
    <mergeCell ref="A143:A148"/>
    <mergeCell ref="B143:B148"/>
    <mergeCell ref="C143:C146"/>
    <mergeCell ref="D143:D146"/>
    <mergeCell ref="C50:C58"/>
    <mergeCell ref="D50:D58"/>
    <mergeCell ref="E50:E51"/>
    <mergeCell ref="F50:F51"/>
    <mergeCell ref="E52:E54"/>
    <mergeCell ref="F52:F54"/>
    <mergeCell ref="E55:E58"/>
    <mergeCell ref="F55:F57"/>
    <mergeCell ref="B84:B125"/>
    <mergeCell ref="A84:A125"/>
    <mergeCell ref="H141:H142"/>
    <mergeCell ref="I141:I142"/>
    <mergeCell ref="A141:A142"/>
    <mergeCell ref="B141:B142"/>
    <mergeCell ref="C141:C142"/>
    <mergeCell ref="D141:D142"/>
    <mergeCell ref="E141:E142"/>
    <mergeCell ref="F141:F142"/>
    <mergeCell ref="G141:G142"/>
    <mergeCell ref="J295:U295"/>
    <mergeCell ref="N210:N211"/>
    <mergeCell ref="O210:O211"/>
    <mergeCell ref="P210:P211"/>
    <mergeCell ref="Q210:Q211"/>
    <mergeCell ref="R210:R211"/>
    <mergeCell ref="S210:S211"/>
    <mergeCell ref="T210:T211"/>
    <mergeCell ref="E89:E92"/>
    <mergeCell ref="E116:E118"/>
    <mergeCell ref="J141:U141"/>
    <mergeCell ref="J210:J211"/>
    <mergeCell ref="K210:K211"/>
    <mergeCell ref="L210:L211"/>
    <mergeCell ref="M210:M211"/>
    <mergeCell ref="U210:U211"/>
    <mergeCell ref="J282:U282"/>
    <mergeCell ref="J284:U284"/>
    <mergeCell ref="J285:U285"/>
    <mergeCell ref="J291:U291"/>
    <mergeCell ref="B132:B138"/>
    <mergeCell ref="C132:C138"/>
    <mergeCell ref="A321:D321"/>
    <mergeCell ref="E151:E158"/>
    <mergeCell ref="F152:F155"/>
    <mergeCell ref="I152:I155"/>
    <mergeCell ref="F156:F158"/>
    <mergeCell ref="A149:A159"/>
    <mergeCell ref="B149:B159"/>
    <mergeCell ref="C149:C150"/>
    <mergeCell ref="D149:D150"/>
    <mergeCell ref="E149:E150"/>
    <mergeCell ref="C151:C158"/>
    <mergeCell ref="D151:D158"/>
    <mergeCell ref="A160:A186"/>
    <mergeCell ref="B160:B186"/>
    <mergeCell ref="C160:C186"/>
    <mergeCell ref="D160:D186"/>
    <mergeCell ref="E160:E186"/>
    <mergeCell ref="F162:F167"/>
    <mergeCell ref="F168:F171"/>
    <mergeCell ref="F172:F173"/>
    <mergeCell ref="H210:H211"/>
    <mergeCell ref="I210:I211"/>
    <mergeCell ref="J247:J252"/>
    <mergeCell ref="C89:C92"/>
    <mergeCell ref="D89:D92"/>
    <mergeCell ref="C103:C107"/>
    <mergeCell ref="D103:D107"/>
    <mergeCell ref="E103:E107"/>
    <mergeCell ref="C108:C111"/>
    <mergeCell ref="D108:D111"/>
    <mergeCell ref="E108:E111"/>
    <mergeCell ref="C112:C115"/>
    <mergeCell ref="D112:D115"/>
    <mergeCell ref="E112:E115"/>
    <mergeCell ref="C116:C118"/>
    <mergeCell ref="D132:D138"/>
    <mergeCell ref="E132:E135"/>
    <mergeCell ref="F132:F135"/>
    <mergeCell ref="E136:E138"/>
    <mergeCell ref="F136:F138"/>
    <mergeCell ref="A139:F139"/>
    <mergeCell ref="A126:A131"/>
    <mergeCell ref="B126:B131"/>
    <mergeCell ref="C126:C131"/>
    <mergeCell ref="D126:D131"/>
    <mergeCell ref="A132:A138"/>
    <mergeCell ref="C84:C88"/>
    <mergeCell ref="D84:D88"/>
    <mergeCell ref="E84:E88"/>
    <mergeCell ref="G247:G252"/>
    <mergeCell ref="H247:H252"/>
    <mergeCell ref="I247:I252"/>
    <mergeCell ref="C93:C102"/>
    <mergeCell ref="D93:D98"/>
    <mergeCell ref="D99:D102"/>
    <mergeCell ref="D116:D118"/>
    <mergeCell ref="C119:C124"/>
    <mergeCell ref="D119:D124"/>
    <mergeCell ref="A35:F35"/>
    <mergeCell ref="A36:B36"/>
    <mergeCell ref="H37:H38"/>
    <mergeCell ref="I37:I38"/>
    <mergeCell ref="J37:U37"/>
    <mergeCell ref="A37:A38"/>
    <mergeCell ref="B37:B38"/>
    <mergeCell ref="C37:C38"/>
    <mergeCell ref="D37:D38"/>
    <mergeCell ref="E37:E38"/>
    <mergeCell ref="F37:F38"/>
    <mergeCell ref="G37:G38"/>
    <mergeCell ref="D6:D7"/>
    <mergeCell ref="E6:E7"/>
    <mergeCell ref="H6:H7"/>
    <mergeCell ref="I6:I7"/>
    <mergeCell ref="I8:I9"/>
    <mergeCell ref="I25:I26"/>
    <mergeCell ref="I27:I28"/>
    <mergeCell ref="A1:V2"/>
    <mergeCell ref="A3:V3"/>
    <mergeCell ref="A4:V4"/>
    <mergeCell ref="A5:B5"/>
    <mergeCell ref="A6:A7"/>
    <mergeCell ref="B6:B7"/>
    <mergeCell ref="C6:C7"/>
    <mergeCell ref="J6:U6"/>
    <mergeCell ref="F6:F7"/>
    <mergeCell ref="G6:G7"/>
    <mergeCell ref="G8:G9"/>
    <mergeCell ref="G25:G26"/>
    <mergeCell ref="G27:G28"/>
    <mergeCell ref="F82:F83"/>
    <mergeCell ref="G82:G83"/>
    <mergeCell ref="H82:H83"/>
    <mergeCell ref="I82:I83"/>
    <mergeCell ref="J82:U82"/>
    <mergeCell ref="A80:F80"/>
    <mergeCell ref="A81:B81"/>
    <mergeCell ref="A82:A83"/>
    <mergeCell ref="B82:B83"/>
    <mergeCell ref="C82:C83"/>
    <mergeCell ref="D82:D83"/>
    <mergeCell ref="E82:E83"/>
  </mergeCells>
  <pageMargins left="0.7" right="0.7" top="0.75" bottom="0.75" header="0" footer="0"/>
  <pageSetup paperSize="9" orientation="portrait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>
      <selection activeCell="D14" sqref="D14"/>
    </sheetView>
  </sheetViews>
  <sheetFormatPr defaultColWidth="14.42578125" defaultRowHeight="15" customHeight="1"/>
  <cols>
    <col min="1" max="1" width="10" customWidth="1"/>
    <col min="2" max="2" width="19.7109375" customWidth="1"/>
    <col min="3" max="3" width="39.42578125" customWidth="1"/>
    <col min="4" max="4" width="9" customWidth="1"/>
    <col min="5" max="5" width="15.7109375" customWidth="1"/>
    <col min="6" max="6" width="17.28515625" customWidth="1"/>
    <col min="7" max="7" width="20.28515625" customWidth="1"/>
    <col min="8" max="8" width="19.7109375" style="1055" customWidth="1"/>
    <col min="9" max="9" width="52.7109375" customWidth="1"/>
    <col min="10" max="10" width="17.7109375" customWidth="1"/>
    <col min="11" max="26" width="10" customWidth="1"/>
  </cols>
  <sheetData>
    <row r="1" spans="1:26" ht="18.75" customHeight="1">
      <c r="A1" s="949" t="s">
        <v>656</v>
      </c>
      <c r="B1" s="890"/>
      <c r="C1" s="890"/>
      <c r="D1" s="890"/>
      <c r="E1" s="890"/>
      <c r="F1" s="890"/>
      <c r="G1" s="890"/>
      <c r="H1" s="890"/>
      <c r="I1" s="890"/>
    </row>
    <row r="2" spans="1:26" ht="18.75" customHeight="1">
      <c r="A2" s="949" t="s">
        <v>16</v>
      </c>
      <c r="B2" s="890"/>
      <c r="C2" s="890"/>
      <c r="D2" s="890"/>
      <c r="E2" s="890"/>
      <c r="F2" s="890"/>
      <c r="G2" s="890"/>
      <c r="H2" s="890"/>
      <c r="I2" s="890"/>
    </row>
    <row r="3" spans="1:26" ht="18.75" customHeight="1">
      <c r="A3" s="208"/>
      <c r="B3" s="208"/>
      <c r="D3" s="208"/>
      <c r="E3" s="208"/>
      <c r="F3" s="208"/>
      <c r="G3" s="209"/>
      <c r="H3" s="1071"/>
      <c r="I3" s="210"/>
    </row>
    <row r="4" spans="1:26" ht="18.75" customHeight="1">
      <c r="A4" s="208"/>
      <c r="B4" s="208"/>
      <c r="D4" s="208"/>
      <c r="E4" s="208"/>
      <c r="F4" s="208"/>
      <c r="G4" s="209"/>
      <c r="H4" s="1071"/>
      <c r="I4" s="210"/>
    </row>
    <row r="5" spans="1:26" ht="18.75" customHeight="1">
      <c r="A5" s="1041" t="s">
        <v>657</v>
      </c>
      <c r="B5" s="1041" t="s">
        <v>658</v>
      </c>
      <c r="C5" s="1041" t="s">
        <v>659</v>
      </c>
      <c r="D5" s="1042" t="s">
        <v>660</v>
      </c>
      <c r="E5" s="1043"/>
      <c r="F5" s="1044"/>
      <c r="G5" s="1045" t="s">
        <v>661</v>
      </c>
      <c r="H5" s="1072" t="s">
        <v>662</v>
      </c>
      <c r="I5" s="1046" t="s">
        <v>663</v>
      </c>
      <c r="J5" s="1041" t="s">
        <v>664</v>
      </c>
    </row>
    <row r="6" spans="1:26" ht="18.75" customHeight="1">
      <c r="A6" s="1047"/>
      <c r="B6" s="1047"/>
      <c r="C6" s="1047"/>
      <c r="D6" s="1048" t="s">
        <v>665</v>
      </c>
      <c r="E6" s="1048" t="s">
        <v>666</v>
      </c>
      <c r="F6" s="1048" t="s">
        <v>667</v>
      </c>
      <c r="G6" s="1047"/>
      <c r="H6" s="1073"/>
      <c r="I6" s="1047"/>
      <c r="J6" s="1047"/>
    </row>
    <row r="7" spans="1:26" ht="18.75" customHeight="1">
      <c r="A7" s="214">
        <v>1</v>
      </c>
      <c r="B7" s="215" t="s">
        <v>668</v>
      </c>
      <c r="C7" s="216" t="s">
        <v>669</v>
      </c>
      <c r="D7" s="214">
        <v>1</v>
      </c>
      <c r="E7" s="214">
        <v>2</v>
      </c>
      <c r="F7" s="214">
        <v>1</v>
      </c>
      <c r="G7" s="217">
        <v>700000</v>
      </c>
      <c r="H7" s="1074">
        <f>F7*G7</f>
        <v>700000</v>
      </c>
      <c r="I7" s="218" t="s">
        <v>670</v>
      </c>
      <c r="J7" s="219" t="s">
        <v>671</v>
      </c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spans="1:26" ht="18.75" customHeight="1">
      <c r="A8" s="221">
        <v>2</v>
      </c>
      <c r="B8" s="222" t="s">
        <v>672</v>
      </c>
      <c r="C8" s="223" t="s">
        <v>673</v>
      </c>
      <c r="D8" s="223">
        <v>0</v>
      </c>
      <c r="E8" s="223">
        <v>1</v>
      </c>
      <c r="F8" s="223">
        <v>1</v>
      </c>
      <c r="G8" s="224">
        <v>950000</v>
      </c>
      <c r="H8" s="1075">
        <f t="shared" ref="H8:H9" si="0">G8*F8</f>
        <v>950000</v>
      </c>
      <c r="I8" s="226" t="s">
        <v>674</v>
      </c>
      <c r="J8" s="227" t="s">
        <v>671</v>
      </c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 spans="1:26" ht="18.75" customHeight="1">
      <c r="A9" s="228">
        <v>3</v>
      </c>
      <c r="B9" s="222" t="s">
        <v>672</v>
      </c>
      <c r="C9" s="223" t="s">
        <v>675</v>
      </c>
      <c r="D9" s="223">
        <v>1</v>
      </c>
      <c r="E9" s="223">
        <v>2</v>
      </c>
      <c r="F9" s="223">
        <v>1</v>
      </c>
      <c r="G9" s="224">
        <v>950000</v>
      </c>
      <c r="H9" s="1075">
        <f t="shared" si="0"/>
        <v>950000</v>
      </c>
      <c r="I9" s="226"/>
      <c r="J9" s="227" t="s">
        <v>671</v>
      </c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 spans="1:26" ht="18.75" customHeight="1">
      <c r="A10" s="214">
        <v>4</v>
      </c>
      <c r="B10" s="222" t="s">
        <v>676</v>
      </c>
      <c r="C10" s="223" t="s">
        <v>677</v>
      </c>
      <c r="D10" s="229">
        <v>2</v>
      </c>
      <c r="E10" s="229">
        <v>3</v>
      </c>
      <c r="F10" s="229">
        <v>1</v>
      </c>
      <c r="G10" s="225">
        <v>920000</v>
      </c>
      <c r="H10" s="1075">
        <v>920000</v>
      </c>
      <c r="I10" s="230" t="s">
        <v>678</v>
      </c>
      <c r="J10" s="227" t="s">
        <v>671</v>
      </c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 spans="1:26" ht="18.75" customHeight="1">
      <c r="A11" s="221">
        <v>5</v>
      </c>
      <c r="B11" s="215" t="s">
        <v>668</v>
      </c>
      <c r="C11" s="216" t="s">
        <v>679</v>
      </c>
      <c r="D11" s="214">
        <v>3</v>
      </c>
      <c r="E11" s="214">
        <v>4</v>
      </c>
      <c r="F11" s="214">
        <v>1</v>
      </c>
      <c r="G11" s="217">
        <v>900000</v>
      </c>
      <c r="H11" s="1074">
        <f>F11*G11</f>
        <v>900000</v>
      </c>
      <c r="I11" s="218" t="s">
        <v>680</v>
      </c>
      <c r="J11" s="219" t="s">
        <v>671</v>
      </c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 spans="1:26" ht="18.75" customHeight="1">
      <c r="A12" s="228">
        <v>6</v>
      </c>
      <c r="B12" s="222" t="s">
        <v>672</v>
      </c>
      <c r="C12" s="223" t="s">
        <v>681</v>
      </c>
      <c r="D12" s="229">
        <v>0</v>
      </c>
      <c r="E12" s="229">
        <v>3</v>
      </c>
      <c r="F12" s="229">
        <v>3</v>
      </c>
      <c r="G12" s="224">
        <v>300000</v>
      </c>
      <c r="H12" s="1075">
        <v>900000</v>
      </c>
      <c r="I12" s="226"/>
      <c r="J12" s="227" t="s">
        <v>671</v>
      </c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 spans="1:26" ht="18.75" customHeight="1">
      <c r="A13" s="214">
        <v>7</v>
      </c>
      <c r="B13" s="222" t="s">
        <v>672</v>
      </c>
      <c r="C13" s="223" t="s">
        <v>682</v>
      </c>
      <c r="D13" s="223">
        <v>0</v>
      </c>
      <c r="E13" s="223">
        <v>1</v>
      </c>
      <c r="F13" s="223">
        <v>1</v>
      </c>
      <c r="G13" s="224">
        <v>850000</v>
      </c>
      <c r="H13" s="1075">
        <f>G13*F13</f>
        <v>850000</v>
      </c>
      <c r="I13" s="226" t="s">
        <v>674</v>
      </c>
      <c r="J13" s="227" t="s">
        <v>671</v>
      </c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 spans="1:26" ht="18.75" customHeight="1">
      <c r="A14" s="221">
        <v>8</v>
      </c>
      <c r="B14" s="222" t="s">
        <v>676</v>
      </c>
      <c r="C14" s="223" t="s">
        <v>683</v>
      </c>
      <c r="D14" s="229">
        <v>2</v>
      </c>
      <c r="E14" s="229">
        <v>4</v>
      </c>
      <c r="F14" s="229">
        <v>2</v>
      </c>
      <c r="G14" s="225">
        <v>402500</v>
      </c>
      <c r="H14" s="1075">
        <f>F14*G14</f>
        <v>805000</v>
      </c>
      <c r="I14" s="230" t="s">
        <v>684</v>
      </c>
      <c r="J14" s="227" t="s">
        <v>671</v>
      </c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 spans="1:26" ht="18.75" customHeight="1">
      <c r="A15" s="228">
        <v>9</v>
      </c>
      <c r="B15" s="222" t="s">
        <v>672</v>
      </c>
      <c r="C15" s="223" t="s">
        <v>685</v>
      </c>
      <c r="D15" s="229">
        <v>0</v>
      </c>
      <c r="E15" s="229">
        <v>1</v>
      </c>
      <c r="F15" s="229">
        <v>1</v>
      </c>
      <c r="G15" s="224">
        <v>800000</v>
      </c>
      <c r="H15" s="1075">
        <v>800000</v>
      </c>
      <c r="I15" s="231" t="s">
        <v>674</v>
      </c>
      <c r="J15" s="232" t="s">
        <v>671</v>
      </c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 spans="1:26" ht="18.75" customHeight="1">
      <c r="A16" s="214">
        <v>10</v>
      </c>
      <c r="B16" s="222" t="s">
        <v>686</v>
      </c>
      <c r="C16" s="223" t="s">
        <v>687</v>
      </c>
      <c r="D16" s="229">
        <v>0</v>
      </c>
      <c r="E16" s="229">
        <v>1</v>
      </c>
      <c r="F16" s="229">
        <v>1</v>
      </c>
      <c r="G16" s="225">
        <v>800000</v>
      </c>
      <c r="H16" s="1075">
        <v>800000</v>
      </c>
      <c r="I16" s="230"/>
      <c r="J16" s="232" t="s">
        <v>671</v>
      </c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 spans="1:26" ht="18.75" customHeight="1">
      <c r="A17" s="221">
        <v>11</v>
      </c>
      <c r="B17" s="233" t="s">
        <v>603</v>
      </c>
      <c r="C17" s="234" t="s">
        <v>688</v>
      </c>
      <c r="D17" s="235"/>
      <c r="E17" s="236"/>
      <c r="F17" s="235">
        <v>5</v>
      </c>
      <c r="G17" s="237">
        <v>150000</v>
      </c>
      <c r="H17" s="1076">
        <f t="shared" ref="H17:H18" si="1">SUM(G17*F17)</f>
        <v>750000</v>
      </c>
      <c r="I17" s="239" t="s">
        <v>689</v>
      </c>
      <c r="J17" s="240" t="s">
        <v>690</v>
      </c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 spans="1:26" ht="18.75" customHeight="1">
      <c r="A18" s="228">
        <v>12</v>
      </c>
      <c r="B18" s="233" t="s">
        <v>603</v>
      </c>
      <c r="C18" s="234" t="s">
        <v>691</v>
      </c>
      <c r="D18" s="242"/>
      <c r="E18" s="236"/>
      <c r="F18" s="235">
        <v>5</v>
      </c>
      <c r="G18" s="243">
        <v>150000</v>
      </c>
      <c r="H18" s="1076">
        <f t="shared" si="1"/>
        <v>750000</v>
      </c>
      <c r="I18" s="244" t="s">
        <v>689</v>
      </c>
      <c r="J18" s="240" t="s">
        <v>692</v>
      </c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spans="1:26" ht="18.75" customHeight="1">
      <c r="A19" s="214">
        <v>13</v>
      </c>
      <c r="B19" s="222" t="s">
        <v>672</v>
      </c>
      <c r="C19" s="223" t="s">
        <v>693</v>
      </c>
      <c r="D19" s="223">
        <v>1</v>
      </c>
      <c r="E19" s="223">
        <v>2</v>
      </c>
      <c r="F19" s="223">
        <v>1</v>
      </c>
      <c r="G19" s="224">
        <v>750000</v>
      </c>
      <c r="H19" s="1075">
        <f>G19*F19</f>
        <v>750000</v>
      </c>
      <c r="I19" s="226"/>
      <c r="J19" s="227" t="s">
        <v>671</v>
      </c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 spans="1:26" ht="31.5" customHeight="1">
      <c r="A20" s="221">
        <v>14</v>
      </c>
      <c r="B20" s="233" t="s">
        <v>603</v>
      </c>
      <c r="C20" s="234" t="s">
        <v>694</v>
      </c>
      <c r="D20" s="242"/>
      <c r="E20" s="236"/>
      <c r="F20" s="235">
        <v>2</v>
      </c>
      <c r="G20" s="243">
        <v>350000</v>
      </c>
      <c r="H20" s="1076">
        <f>SUM(G20*F20)</f>
        <v>700000</v>
      </c>
      <c r="I20" s="244" t="s">
        <v>695</v>
      </c>
      <c r="J20" s="242" t="s">
        <v>696</v>
      </c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</row>
    <row r="21" spans="1:26" ht="18.75" customHeight="1">
      <c r="A21" s="228">
        <v>15</v>
      </c>
      <c r="B21" s="222" t="s">
        <v>697</v>
      </c>
      <c r="C21" s="245" t="s">
        <v>698</v>
      </c>
      <c r="D21" s="246">
        <v>1</v>
      </c>
      <c r="E21" s="246">
        <v>3</v>
      </c>
      <c r="F21" s="246">
        <v>2</v>
      </c>
      <c r="G21" s="247">
        <v>350000</v>
      </c>
      <c r="H21" s="1077">
        <f>G21*F21</f>
        <v>700000</v>
      </c>
      <c r="I21" s="249" t="s">
        <v>699</v>
      </c>
      <c r="J21" s="227" t="s">
        <v>700</v>
      </c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spans="1:26" ht="15.75" customHeight="1">
      <c r="A22" s="214">
        <v>16</v>
      </c>
      <c r="B22" s="222" t="s">
        <v>701</v>
      </c>
      <c r="C22" s="223" t="s">
        <v>702</v>
      </c>
      <c r="D22" s="229">
        <v>2</v>
      </c>
      <c r="E22" s="229">
        <v>3</v>
      </c>
      <c r="F22" s="229">
        <v>1</v>
      </c>
      <c r="G22" s="225">
        <v>700000</v>
      </c>
      <c r="H22" s="1075">
        <v>700000</v>
      </c>
      <c r="I22" s="250" t="s">
        <v>703</v>
      </c>
      <c r="J22" s="251" t="s">
        <v>704</v>
      </c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 spans="1:26" ht="15.75" customHeight="1">
      <c r="A23" s="221">
        <v>17</v>
      </c>
      <c r="B23" s="222" t="s">
        <v>686</v>
      </c>
      <c r="C23" s="223" t="s">
        <v>705</v>
      </c>
      <c r="D23" s="229">
        <v>0</v>
      </c>
      <c r="E23" s="229">
        <v>1</v>
      </c>
      <c r="F23" s="229">
        <v>1</v>
      </c>
      <c r="G23" s="252">
        <v>700000</v>
      </c>
      <c r="H23" s="1078">
        <v>700000</v>
      </c>
      <c r="I23" s="230"/>
      <c r="J23" s="227" t="s">
        <v>671</v>
      </c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 spans="1:26" ht="18.75" customHeight="1">
      <c r="A24" s="228">
        <v>18</v>
      </c>
      <c r="B24" s="233" t="s">
        <v>603</v>
      </c>
      <c r="C24" s="234" t="s">
        <v>706</v>
      </c>
      <c r="D24" s="242"/>
      <c r="E24" s="236"/>
      <c r="F24" s="235">
        <v>2</v>
      </c>
      <c r="G24" s="243">
        <v>345000</v>
      </c>
      <c r="H24" s="1076">
        <f t="shared" ref="H24:H25" si="2">SUM(G24*F24)</f>
        <v>690000</v>
      </c>
      <c r="I24" s="244" t="s">
        <v>707</v>
      </c>
      <c r="J24" s="242" t="s">
        <v>696</v>
      </c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</row>
    <row r="25" spans="1:26" ht="31.5" customHeight="1">
      <c r="A25" s="214">
        <v>19</v>
      </c>
      <c r="B25" s="233" t="s">
        <v>603</v>
      </c>
      <c r="C25" s="234" t="s">
        <v>708</v>
      </c>
      <c r="D25" s="242"/>
      <c r="E25" s="236"/>
      <c r="F25" s="235">
        <v>2</v>
      </c>
      <c r="G25" s="243">
        <v>345000</v>
      </c>
      <c r="H25" s="1076">
        <f t="shared" si="2"/>
        <v>690000</v>
      </c>
      <c r="I25" s="244" t="s">
        <v>709</v>
      </c>
      <c r="J25" s="242" t="s">
        <v>690</v>
      </c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</row>
    <row r="26" spans="1:26" ht="18.75" customHeight="1">
      <c r="A26" s="221">
        <v>20</v>
      </c>
      <c r="B26" s="254" t="s">
        <v>668</v>
      </c>
      <c r="C26" s="216" t="s">
        <v>710</v>
      </c>
      <c r="D26" s="214">
        <v>2</v>
      </c>
      <c r="E26" s="214">
        <v>2</v>
      </c>
      <c r="F26" s="214">
        <v>2</v>
      </c>
      <c r="G26" s="255">
        <v>300000</v>
      </c>
      <c r="H26" s="1074">
        <f>F26*G26</f>
        <v>600000</v>
      </c>
      <c r="I26" s="256" t="s">
        <v>711</v>
      </c>
      <c r="J26" s="219" t="s">
        <v>671</v>
      </c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 spans="1:26" ht="18.75" customHeight="1">
      <c r="A27" s="228">
        <v>21</v>
      </c>
      <c r="B27" s="257" t="s">
        <v>672</v>
      </c>
      <c r="C27" s="223" t="s">
        <v>712</v>
      </c>
      <c r="D27" s="223"/>
      <c r="E27" s="223"/>
      <c r="F27" s="223">
        <v>1</v>
      </c>
      <c r="G27" s="224">
        <v>600000</v>
      </c>
      <c r="H27" s="1075">
        <f t="shared" ref="H27:H29" si="3">G27*F27</f>
        <v>600000</v>
      </c>
      <c r="I27" s="226"/>
      <c r="J27" s="227" t="s">
        <v>671</v>
      </c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spans="1:26" ht="18.75" customHeight="1">
      <c r="A28" s="214">
        <v>22</v>
      </c>
      <c r="B28" s="258" t="s">
        <v>672</v>
      </c>
      <c r="C28" s="223" t="s">
        <v>713</v>
      </c>
      <c r="D28" s="223">
        <v>2</v>
      </c>
      <c r="E28" s="223">
        <v>3</v>
      </c>
      <c r="F28" s="223">
        <v>1</v>
      </c>
      <c r="G28" s="224">
        <v>600000</v>
      </c>
      <c r="H28" s="1075">
        <f t="shared" si="3"/>
        <v>600000</v>
      </c>
      <c r="I28" s="226"/>
      <c r="J28" s="227" t="s">
        <v>671</v>
      </c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spans="1:26" ht="18.75" customHeight="1">
      <c r="A29" s="221">
        <v>23</v>
      </c>
      <c r="B29" s="259" t="s">
        <v>672</v>
      </c>
      <c r="C29" s="223" t="s">
        <v>714</v>
      </c>
      <c r="D29" s="229"/>
      <c r="E29" s="229"/>
      <c r="F29" s="229">
        <v>1</v>
      </c>
      <c r="G29" s="225">
        <v>500000</v>
      </c>
      <c r="H29" s="1075">
        <f t="shared" si="3"/>
        <v>500000</v>
      </c>
      <c r="I29" s="230"/>
      <c r="J29" s="227" t="s">
        <v>671</v>
      </c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 spans="1:26" ht="18.75" customHeight="1">
      <c r="A30" s="228">
        <v>24</v>
      </c>
      <c r="B30" s="258" t="s">
        <v>672</v>
      </c>
      <c r="C30" s="223" t="s">
        <v>715</v>
      </c>
      <c r="D30" s="223">
        <v>0</v>
      </c>
      <c r="E30" s="223">
        <v>1</v>
      </c>
      <c r="F30" s="223">
        <v>1</v>
      </c>
      <c r="G30" s="260">
        <v>500000</v>
      </c>
      <c r="H30" s="1075">
        <v>500000</v>
      </c>
      <c r="I30" s="226" t="s">
        <v>674</v>
      </c>
      <c r="J30" s="227" t="s">
        <v>671</v>
      </c>
      <c r="K30" s="220"/>
      <c r="L30" s="220"/>
      <c r="M30" s="220"/>
      <c r="N30" s="220"/>
      <c r="O30" s="220"/>
      <c r="P30" s="220"/>
      <c r="Q30" s="220"/>
      <c r="R30" s="220"/>
      <c r="S30" s="220"/>
      <c r="T30" s="220"/>
      <c r="U30" s="220"/>
      <c r="V30" s="220"/>
      <c r="W30" s="220"/>
      <c r="X30" s="220"/>
      <c r="Y30" s="220"/>
      <c r="Z30" s="220"/>
    </row>
    <row r="31" spans="1:26" ht="18.75" customHeight="1">
      <c r="A31" s="214">
        <v>25</v>
      </c>
      <c r="B31" s="230"/>
      <c r="C31" s="261" t="s">
        <v>716</v>
      </c>
      <c r="D31" s="262">
        <v>3</v>
      </c>
      <c r="E31" s="262">
        <v>4</v>
      </c>
      <c r="F31" s="262">
        <v>1</v>
      </c>
      <c r="G31" s="248">
        <v>500000</v>
      </c>
      <c r="H31" s="1077">
        <v>500000</v>
      </c>
      <c r="I31" s="230" t="s">
        <v>717</v>
      </c>
      <c r="J31" s="263" t="s">
        <v>671</v>
      </c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spans="1:26" ht="18.75" customHeight="1">
      <c r="A32" s="221">
        <v>26</v>
      </c>
      <c r="B32" s="264" t="s">
        <v>701</v>
      </c>
      <c r="C32" s="265" t="s">
        <v>718</v>
      </c>
      <c r="D32" s="266">
        <v>0</v>
      </c>
      <c r="E32" s="266">
        <v>1</v>
      </c>
      <c r="F32" s="266">
        <v>1</v>
      </c>
      <c r="G32" s="267">
        <v>500000</v>
      </c>
      <c r="H32" s="1079">
        <v>500000</v>
      </c>
      <c r="I32" s="268" t="s">
        <v>719</v>
      </c>
      <c r="J32" s="11" t="s">
        <v>704</v>
      </c>
      <c r="K32" s="269"/>
      <c r="L32" s="269"/>
      <c r="M32" s="269"/>
      <c r="N32" s="269"/>
      <c r="O32" s="269"/>
      <c r="P32" s="269"/>
      <c r="Q32" s="269"/>
      <c r="R32" s="269"/>
      <c r="S32" s="269"/>
      <c r="T32" s="269"/>
      <c r="U32" s="269"/>
      <c r="V32" s="269"/>
      <c r="W32" s="269"/>
      <c r="X32" s="269"/>
      <c r="Y32" s="269"/>
      <c r="Z32" s="269"/>
    </row>
    <row r="33" spans="1:26" ht="18.75" customHeight="1">
      <c r="A33" s="228">
        <v>27</v>
      </c>
      <c r="B33" s="222" t="s">
        <v>676</v>
      </c>
      <c r="C33" s="223" t="s">
        <v>720</v>
      </c>
      <c r="D33" s="223">
        <v>0</v>
      </c>
      <c r="E33" s="223">
        <v>1</v>
      </c>
      <c r="F33" s="223">
        <v>1</v>
      </c>
      <c r="G33" s="252">
        <v>431250</v>
      </c>
      <c r="H33" s="1075">
        <f>G33*F33</f>
        <v>431250</v>
      </c>
      <c r="I33" s="226" t="s">
        <v>678</v>
      </c>
      <c r="J33" s="227" t="s">
        <v>671</v>
      </c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spans="1:26" ht="18.75" customHeight="1">
      <c r="A34" s="214">
        <v>28</v>
      </c>
      <c r="B34" s="222" t="s">
        <v>676</v>
      </c>
      <c r="C34" s="223" t="s">
        <v>721</v>
      </c>
      <c r="D34" s="229">
        <v>1</v>
      </c>
      <c r="E34" s="229">
        <v>2</v>
      </c>
      <c r="F34" s="229">
        <v>1</v>
      </c>
      <c r="G34" s="225">
        <v>402500</v>
      </c>
      <c r="H34" s="1075">
        <f>F34*G34</f>
        <v>402500</v>
      </c>
      <c r="I34" s="230" t="s">
        <v>722</v>
      </c>
      <c r="J34" s="227" t="s">
        <v>671</v>
      </c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spans="1:26" ht="18.75" customHeight="1">
      <c r="A35" s="221">
        <v>29</v>
      </c>
      <c r="B35" s="222" t="s">
        <v>672</v>
      </c>
      <c r="C35" s="223" t="s">
        <v>723</v>
      </c>
      <c r="D35" s="227">
        <v>8</v>
      </c>
      <c r="E35" s="229">
        <v>8</v>
      </c>
      <c r="F35" s="229">
        <v>8</v>
      </c>
      <c r="G35" s="224">
        <v>50000</v>
      </c>
      <c r="H35" s="1075">
        <v>400000</v>
      </c>
      <c r="I35" s="231"/>
      <c r="J35" s="227" t="s">
        <v>671</v>
      </c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 spans="1:26" ht="18.75" customHeight="1">
      <c r="A36" s="228">
        <v>30</v>
      </c>
      <c r="B36" s="222" t="s">
        <v>724</v>
      </c>
      <c r="C36" s="261" t="s">
        <v>725</v>
      </c>
      <c r="D36" s="229">
        <v>1</v>
      </c>
      <c r="E36" s="229">
        <v>2</v>
      </c>
      <c r="F36" s="229">
        <v>1</v>
      </c>
      <c r="G36" s="225">
        <v>400000</v>
      </c>
      <c r="H36" s="1077">
        <f t="shared" ref="H36:H37" si="4">G36*F36</f>
        <v>400000</v>
      </c>
      <c r="I36" s="230" t="s">
        <v>726</v>
      </c>
      <c r="J36" s="245" t="s">
        <v>671</v>
      </c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 spans="1:26" ht="18.75" customHeight="1">
      <c r="A37" s="214">
        <v>31</v>
      </c>
      <c r="B37" s="222" t="s">
        <v>724</v>
      </c>
      <c r="C37" s="261" t="s">
        <v>727</v>
      </c>
      <c r="D37" s="229">
        <v>0</v>
      </c>
      <c r="E37" s="229">
        <v>2</v>
      </c>
      <c r="F37" s="229">
        <v>2</v>
      </c>
      <c r="G37" s="225">
        <v>200000</v>
      </c>
      <c r="H37" s="1077">
        <f t="shared" si="4"/>
        <v>400000</v>
      </c>
      <c r="I37" s="230" t="s">
        <v>728</v>
      </c>
      <c r="J37" s="245" t="s">
        <v>671</v>
      </c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spans="1:26" ht="18.75" customHeight="1">
      <c r="A38" s="221">
        <v>32</v>
      </c>
      <c r="B38" s="222" t="s">
        <v>686</v>
      </c>
      <c r="C38" s="223" t="s">
        <v>729</v>
      </c>
      <c r="D38" s="229">
        <v>0</v>
      </c>
      <c r="E38" s="229">
        <v>1</v>
      </c>
      <c r="F38" s="229">
        <v>1</v>
      </c>
      <c r="G38" s="252">
        <v>400000</v>
      </c>
      <c r="H38" s="1078">
        <v>400000</v>
      </c>
      <c r="I38" s="223"/>
      <c r="J38" s="227" t="s">
        <v>671</v>
      </c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spans="1:26" ht="18.75" customHeight="1">
      <c r="A39" s="228">
        <v>33</v>
      </c>
      <c r="B39" s="222" t="s">
        <v>676</v>
      </c>
      <c r="C39" s="223" t="s">
        <v>730</v>
      </c>
      <c r="D39" s="229">
        <v>0</v>
      </c>
      <c r="E39" s="229">
        <v>1</v>
      </c>
      <c r="F39" s="229">
        <v>1</v>
      </c>
      <c r="G39" s="225">
        <v>396750</v>
      </c>
      <c r="H39" s="1075">
        <f>F39*G39</f>
        <v>396750</v>
      </c>
      <c r="I39" s="230" t="s">
        <v>731</v>
      </c>
      <c r="J39" s="227" t="s">
        <v>671</v>
      </c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spans="1:26" ht="18.75" customHeight="1">
      <c r="A40" s="214">
        <v>34</v>
      </c>
      <c r="B40" s="222" t="s">
        <v>672</v>
      </c>
      <c r="C40" s="223" t="s">
        <v>732</v>
      </c>
      <c r="D40" s="229">
        <v>1</v>
      </c>
      <c r="E40" s="229">
        <v>3</v>
      </c>
      <c r="F40" s="229">
        <v>2</v>
      </c>
      <c r="G40" s="224">
        <v>360000</v>
      </c>
      <c r="H40" s="1075">
        <v>360000</v>
      </c>
      <c r="I40" s="226"/>
      <c r="J40" s="227" t="s">
        <v>671</v>
      </c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spans="1:26" ht="18.75" customHeight="1">
      <c r="A41" s="221">
        <v>35</v>
      </c>
      <c r="B41" s="222" t="s">
        <v>672</v>
      </c>
      <c r="C41" s="223" t="s">
        <v>733</v>
      </c>
      <c r="D41" s="229">
        <v>1</v>
      </c>
      <c r="E41" s="229">
        <v>3</v>
      </c>
      <c r="F41" s="229">
        <v>2</v>
      </c>
      <c r="G41" s="224">
        <v>360000</v>
      </c>
      <c r="H41" s="1075">
        <v>360000</v>
      </c>
      <c r="I41" s="226"/>
      <c r="J41" s="227" t="s">
        <v>671</v>
      </c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 spans="1:26" ht="18.75" customHeight="1">
      <c r="A42" s="228">
        <v>36</v>
      </c>
      <c r="B42" s="222" t="s">
        <v>672</v>
      </c>
      <c r="C42" s="223" t="s">
        <v>734</v>
      </c>
      <c r="D42" s="223">
        <v>2</v>
      </c>
      <c r="E42" s="223">
        <v>3</v>
      </c>
      <c r="F42" s="223">
        <v>1</v>
      </c>
      <c r="G42" s="224">
        <v>350000</v>
      </c>
      <c r="H42" s="1075">
        <f>G42*F42</f>
        <v>350000</v>
      </c>
      <c r="I42" s="226"/>
      <c r="J42" s="227" t="s">
        <v>671</v>
      </c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 spans="1:26" ht="18.75" customHeight="1">
      <c r="A43" s="214">
        <v>37</v>
      </c>
      <c r="B43" s="215" t="s">
        <v>668</v>
      </c>
      <c r="C43" s="216" t="s">
        <v>735</v>
      </c>
      <c r="D43" s="214">
        <v>1</v>
      </c>
      <c r="E43" s="214">
        <v>2</v>
      </c>
      <c r="F43" s="214">
        <v>1</v>
      </c>
      <c r="G43" s="255">
        <v>345000</v>
      </c>
      <c r="H43" s="1074">
        <f t="shared" ref="H43:H44" si="5">F43*G43</f>
        <v>345000</v>
      </c>
      <c r="I43" s="256" t="s">
        <v>736</v>
      </c>
      <c r="J43" s="219" t="s">
        <v>671</v>
      </c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spans="1:26" ht="18.75" customHeight="1">
      <c r="A44" s="221">
        <v>38</v>
      </c>
      <c r="B44" s="215" t="s">
        <v>668</v>
      </c>
      <c r="C44" s="216" t="s">
        <v>737</v>
      </c>
      <c r="D44" s="214">
        <v>1</v>
      </c>
      <c r="E44" s="214">
        <v>2</v>
      </c>
      <c r="F44" s="214">
        <v>1</v>
      </c>
      <c r="G44" s="255">
        <v>345000</v>
      </c>
      <c r="H44" s="1074">
        <f t="shared" si="5"/>
        <v>345000</v>
      </c>
      <c r="I44" s="256" t="s">
        <v>738</v>
      </c>
      <c r="J44" s="219" t="s">
        <v>671</v>
      </c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 spans="1:26" ht="18.75" customHeight="1">
      <c r="A45" s="228">
        <v>39</v>
      </c>
      <c r="B45" s="222" t="s">
        <v>686</v>
      </c>
      <c r="C45" s="223" t="s">
        <v>739</v>
      </c>
      <c r="D45" s="229">
        <v>1</v>
      </c>
      <c r="E45" s="229">
        <v>2</v>
      </c>
      <c r="F45" s="229">
        <v>1</v>
      </c>
      <c r="G45" s="252">
        <v>172000</v>
      </c>
      <c r="H45" s="1078">
        <v>344000</v>
      </c>
      <c r="I45" s="223"/>
      <c r="J45" s="227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 spans="1:26" ht="18.75" customHeight="1">
      <c r="A46" s="214">
        <v>40</v>
      </c>
      <c r="B46" s="222" t="s">
        <v>672</v>
      </c>
      <c r="C46" s="223" t="s">
        <v>740</v>
      </c>
      <c r="D46" s="223">
        <v>0</v>
      </c>
      <c r="E46" s="223">
        <v>2</v>
      </c>
      <c r="F46" s="223">
        <v>2</v>
      </c>
      <c r="G46" s="224">
        <v>150000</v>
      </c>
      <c r="H46" s="1075">
        <f>G46*F46</f>
        <v>300000</v>
      </c>
      <c r="I46" s="226"/>
      <c r="J46" s="227" t="s">
        <v>671</v>
      </c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 spans="1:26" ht="18.75" customHeight="1">
      <c r="A47" s="221">
        <v>41</v>
      </c>
      <c r="B47" s="222" t="s">
        <v>672</v>
      </c>
      <c r="C47" s="223" t="s">
        <v>741</v>
      </c>
      <c r="D47" s="223"/>
      <c r="E47" s="223"/>
      <c r="F47" s="223"/>
      <c r="G47" s="224">
        <v>300000</v>
      </c>
      <c r="H47" s="1075">
        <v>300000</v>
      </c>
      <c r="I47" s="226"/>
      <c r="J47" s="227" t="s">
        <v>671</v>
      </c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 spans="1:26" ht="18.75" customHeight="1">
      <c r="A48" s="228">
        <v>42</v>
      </c>
      <c r="B48" s="222" t="s">
        <v>724</v>
      </c>
      <c r="C48" s="223" t="s">
        <v>742</v>
      </c>
      <c r="D48" s="229">
        <v>0</v>
      </c>
      <c r="E48" s="229">
        <v>2</v>
      </c>
      <c r="F48" s="229">
        <v>2</v>
      </c>
      <c r="G48" s="225">
        <v>150000</v>
      </c>
      <c r="H48" s="1077">
        <f t="shared" ref="H48:H49" si="6">G48*F48</f>
        <v>300000</v>
      </c>
      <c r="I48" s="230" t="s">
        <v>743</v>
      </c>
      <c r="J48" s="245" t="s">
        <v>671</v>
      </c>
      <c r="K48" s="220"/>
      <c r="L48" s="220"/>
      <c r="M48" s="220"/>
      <c r="N48" s="220"/>
      <c r="O48" s="220"/>
      <c r="P48" s="220"/>
      <c r="Q48" s="220"/>
      <c r="R48" s="220"/>
      <c r="S48" s="220"/>
      <c r="T48" s="220"/>
      <c r="U48" s="220"/>
      <c r="V48" s="220"/>
      <c r="W48" s="220"/>
      <c r="X48" s="220"/>
      <c r="Y48" s="220"/>
      <c r="Z48" s="220"/>
    </row>
    <row r="49" spans="1:26" ht="33.75" customHeight="1">
      <c r="A49" s="214">
        <v>43</v>
      </c>
      <c r="B49" s="222" t="s">
        <v>744</v>
      </c>
      <c r="C49" s="223" t="s">
        <v>745</v>
      </c>
      <c r="D49" s="229">
        <v>10</v>
      </c>
      <c r="E49" s="229">
        <v>5</v>
      </c>
      <c r="F49" s="229">
        <v>5</v>
      </c>
      <c r="G49" s="225">
        <v>60000</v>
      </c>
      <c r="H49" s="1077">
        <f t="shared" si="6"/>
        <v>300000</v>
      </c>
      <c r="I49" s="230" t="s">
        <v>726</v>
      </c>
      <c r="J49" s="245" t="s">
        <v>671</v>
      </c>
      <c r="K49" s="220"/>
      <c r="L49" s="220"/>
      <c r="M49" s="220"/>
      <c r="N49" s="220"/>
      <c r="O49" s="220"/>
      <c r="P49" s="220"/>
      <c r="Q49" s="220"/>
      <c r="R49" s="220"/>
      <c r="S49" s="220"/>
      <c r="T49" s="220"/>
      <c r="U49" s="220"/>
      <c r="V49" s="220"/>
      <c r="W49" s="220"/>
      <c r="X49" s="220"/>
      <c r="Y49" s="220"/>
      <c r="Z49" s="220"/>
    </row>
    <row r="50" spans="1:26" ht="18.75" customHeight="1">
      <c r="A50" s="221">
        <v>44</v>
      </c>
      <c r="B50" s="222" t="s">
        <v>701</v>
      </c>
      <c r="C50" s="223" t="s">
        <v>746</v>
      </c>
      <c r="D50" s="229">
        <v>0</v>
      </c>
      <c r="E50" s="229">
        <v>1</v>
      </c>
      <c r="F50" s="229">
        <v>1</v>
      </c>
      <c r="G50" s="225">
        <v>300000</v>
      </c>
      <c r="H50" s="1075">
        <v>300000</v>
      </c>
      <c r="I50" s="250" t="s">
        <v>747</v>
      </c>
      <c r="J50" s="251" t="s">
        <v>748</v>
      </c>
      <c r="K50" s="220"/>
      <c r="L50" s="220"/>
      <c r="M50" s="220"/>
      <c r="N50" s="220"/>
      <c r="O50" s="220"/>
      <c r="P50" s="220"/>
      <c r="Q50" s="220"/>
      <c r="R50" s="220"/>
      <c r="S50" s="220"/>
      <c r="T50" s="220"/>
      <c r="U50" s="220"/>
      <c r="V50" s="220"/>
      <c r="W50" s="220"/>
      <c r="X50" s="220"/>
      <c r="Y50" s="220"/>
      <c r="Z50" s="220"/>
    </row>
    <row r="51" spans="1:26" ht="18.75" customHeight="1">
      <c r="A51" s="228">
        <v>45</v>
      </c>
      <c r="B51" s="222" t="s">
        <v>701</v>
      </c>
      <c r="C51" s="270" t="s">
        <v>669</v>
      </c>
      <c r="D51" s="229">
        <v>0</v>
      </c>
      <c r="E51" s="229">
        <v>1</v>
      </c>
      <c r="F51" s="229">
        <v>1</v>
      </c>
      <c r="G51" s="271">
        <v>300000</v>
      </c>
      <c r="H51" s="1080">
        <v>300000</v>
      </c>
      <c r="I51" s="223" t="s">
        <v>749</v>
      </c>
      <c r="J51" s="227" t="s">
        <v>704</v>
      </c>
      <c r="K51" s="220"/>
      <c r="L51" s="220"/>
      <c r="M51" s="220"/>
      <c r="N51" s="220"/>
      <c r="O51" s="220"/>
      <c r="P51" s="220"/>
      <c r="Q51" s="220"/>
      <c r="R51" s="220"/>
      <c r="S51" s="220"/>
      <c r="T51" s="220"/>
      <c r="U51" s="220"/>
      <c r="V51" s="220"/>
      <c r="W51" s="220"/>
      <c r="X51" s="220"/>
      <c r="Y51" s="220"/>
      <c r="Z51" s="220"/>
    </row>
    <row r="52" spans="1:26" ht="18.75" customHeight="1">
      <c r="A52" s="214">
        <v>46</v>
      </c>
      <c r="B52" s="222" t="s">
        <v>672</v>
      </c>
      <c r="C52" s="223" t="s">
        <v>750</v>
      </c>
      <c r="D52" s="229">
        <v>6</v>
      </c>
      <c r="E52" s="229">
        <v>10</v>
      </c>
      <c r="F52" s="229">
        <v>4</v>
      </c>
      <c r="G52" s="225">
        <v>70000</v>
      </c>
      <c r="H52" s="1075">
        <f t="shared" ref="H52:H55" si="7">G52*F52</f>
        <v>280000</v>
      </c>
      <c r="I52" s="230"/>
      <c r="J52" s="227" t="s">
        <v>671</v>
      </c>
      <c r="K52" s="220"/>
      <c r="L52" s="220"/>
      <c r="M52" s="220"/>
      <c r="N52" s="220"/>
      <c r="O52" s="220"/>
      <c r="P52" s="220"/>
      <c r="Q52" s="220"/>
      <c r="R52" s="220"/>
      <c r="S52" s="220"/>
      <c r="T52" s="220"/>
      <c r="U52" s="220"/>
      <c r="V52" s="220"/>
      <c r="W52" s="220"/>
      <c r="X52" s="220"/>
      <c r="Y52" s="220"/>
      <c r="Z52" s="220"/>
    </row>
    <row r="53" spans="1:26" ht="18.75" customHeight="1">
      <c r="A53" s="221">
        <v>47</v>
      </c>
      <c r="B53" s="222" t="s">
        <v>697</v>
      </c>
      <c r="C53" s="223" t="s">
        <v>751</v>
      </c>
      <c r="D53" s="229">
        <v>1</v>
      </c>
      <c r="E53" s="229">
        <v>2</v>
      </c>
      <c r="F53" s="229">
        <v>1</v>
      </c>
      <c r="G53" s="272">
        <v>200000</v>
      </c>
      <c r="H53" s="1077">
        <f t="shared" si="7"/>
        <v>200000</v>
      </c>
      <c r="I53" s="273" t="s">
        <v>752</v>
      </c>
      <c r="J53" s="251" t="s">
        <v>753</v>
      </c>
      <c r="K53" s="220"/>
      <c r="L53" s="220"/>
      <c r="M53" s="220"/>
      <c r="N53" s="220"/>
      <c r="O53" s="220"/>
      <c r="P53" s="220"/>
      <c r="Q53" s="220"/>
      <c r="R53" s="220"/>
      <c r="S53" s="220"/>
      <c r="T53" s="220"/>
      <c r="U53" s="220"/>
      <c r="V53" s="220"/>
      <c r="W53" s="220"/>
      <c r="X53" s="220"/>
      <c r="Y53" s="220"/>
      <c r="Z53" s="220"/>
    </row>
    <row r="54" spans="1:26" ht="18.75" customHeight="1">
      <c r="A54" s="228">
        <v>48</v>
      </c>
      <c r="B54" s="222" t="s">
        <v>697</v>
      </c>
      <c r="C54" s="223" t="s">
        <v>754</v>
      </c>
      <c r="D54" s="229">
        <v>1</v>
      </c>
      <c r="E54" s="229">
        <v>6</v>
      </c>
      <c r="F54" s="229">
        <v>5</v>
      </c>
      <c r="G54" s="247">
        <v>40000</v>
      </c>
      <c r="H54" s="1077">
        <f t="shared" si="7"/>
        <v>200000</v>
      </c>
      <c r="I54" s="249" t="s">
        <v>752</v>
      </c>
      <c r="J54" s="227" t="s">
        <v>700</v>
      </c>
      <c r="K54" s="220"/>
      <c r="L54" s="220"/>
      <c r="M54" s="220"/>
      <c r="N54" s="220"/>
      <c r="O54" s="220"/>
      <c r="P54" s="220"/>
      <c r="Q54" s="220"/>
      <c r="R54" s="220"/>
      <c r="S54" s="220"/>
      <c r="T54" s="220"/>
      <c r="U54" s="220"/>
      <c r="V54" s="220"/>
      <c r="W54" s="220"/>
      <c r="X54" s="220"/>
      <c r="Y54" s="220"/>
      <c r="Z54" s="220"/>
    </row>
    <row r="55" spans="1:26" ht="18.75" customHeight="1">
      <c r="A55" s="214">
        <v>49</v>
      </c>
      <c r="B55" s="222" t="s">
        <v>672</v>
      </c>
      <c r="C55" s="223" t="s">
        <v>755</v>
      </c>
      <c r="D55" s="223">
        <v>2</v>
      </c>
      <c r="E55" s="223">
        <v>2</v>
      </c>
      <c r="F55" s="223">
        <v>1</v>
      </c>
      <c r="G55" s="224">
        <v>200000</v>
      </c>
      <c r="H55" s="1075">
        <f t="shared" si="7"/>
        <v>200000</v>
      </c>
      <c r="I55" s="226"/>
      <c r="J55" s="227" t="s">
        <v>671</v>
      </c>
      <c r="K55" s="220"/>
      <c r="L55" s="220"/>
      <c r="M55" s="220"/>
      <c r="N55" s="220"/>
      <c r="O55" s="220"/>
      <c r="P55" s="220"/>
      <c r="Q55" s="220"/>
      <c r="R55" s="220"/>
      <c r="S55" s="220"/>
      <c r="T55" s="220"/>
      <c r="U55" s="220"/>
      <c r="V55" s="220"/>
      <c r="W55" s="220"/>
      <c r="X55" s="220"/>
      <c r="Y55" s="220"/>
      <c r="Z55" s="220"/>
    </row>
    <row r="56" spans="1:26" ht="18.75" customHeight="1">
      <c r="A56" s="221">
        <v>50</v>
      </c>
      <c r="B56" s="264" t="s">
        <v>701</v>
      </c>
      <c r="C56" s="265" t="s">
        <v>756</v>
      </c>
      <c r="D56" s="266">
        <v>1</v>
      </c>
      <c r="E56" s="266">
        <v>2</v>
      </c>
      <c r="F56" s="266">
        <v>1</v>
      </c>
      <c r="G56" s="267">
        <v>200000</v>
      </c>
      <c r="H56" s="1079">
        <v>200000</v>
      </c>
      <c r="I56" s="268" t="s">
        <v>757</v>
      </c>
      <c r="J56" s="11" t="s">
        <v>671</v>
      </c>
      <c r="K56" s="269"/>
      <c r="L56" s="269"/>
      <c r="M56" s="269"/>
      <c r="N56" s="269"/>
      <c r="O56" s="269"/>
      <c r="P56" s="269"/>
      <c r="Q56" s="269"/>
      <c r="R56" s="269"/>
      <c r="S56" s="269"/>
      <c r="T56" s="269"/>
      <c r="U56" s="269"/>
      <c r="V56" s="269"/>
      <c r="W56" s="269"/>
      <c r="X56" s="269"/>
      <c r="Y56" s="269"/>
      <c r="Z56" s="269"/>
    </row>
    <row r="57" spans="1:26" ht="18.75" customHeight="1">
      <c r="A57" s="228">
        <v>51</v>
      </c>
      <c r="B57" s="222" t="s">
        <v>676</v>
      </c>
      <c r="C57" s="223" t="s">
        <v>739</v>
      </c>
      <c r="D57" s="229">
        <v>2</v>
      </c>
      <c r="E57" s="229">
        <v>3</v>
      </c>
      <c r="F57" s="229">
        <v>1</v>
      </c>
      <c r="G57" s="225">
        <v>172500</v>
      </c>
      <c r="H57" s="1075">
        <f>G57*F57</f>
        <v>172500</v>
      </c>
      <c r="I57" s="230" t="s">
        <v>758</v>
      </c>
      <c r="J57" s="227" t="s">
        <v>704</v>
      </c>
      <c r="K57" s="220"/>
      <c r="L57" s="220"/>
      <c r="M57" s="220"/>
      <c r="N57" s="220"/>
      <c r="O57" s="220"/>
      <c r="P57" s="220"/>
      <c r="Q57" s="220"/>
      <c r="R57" s="220"/>
      <c r="S57" s="220"/>
      <c r="T57" s="220"/>
      <c r="U57" s="220"/>
      <c r="V57" s="220"/>
      <c r="W57" s="220"/>
      <c r="X57" s="220"/>
      <c r="Y57" s="220"/>
      <c r="Z57" s="220"/>
    </row>
    <row r="58" spans="1:26" ht="18.75" customHeight="1">
      <c r="A58" s="214">
        <v>52</v>
      </c>
      <c r="B58" s="222" t="s">
        <v>686</v>
      </c>
      <c r="C58" s="223" t="s">
        <v>759</v>
      </c>
      <c r="D58" s="229">
        <v>1</v>
      </c>
      <c r="E58" s="229">
        <v>2</v>
      </c>
      <c r="F58" s="229">
        <v>1</v>
      </c>
      <c r="G58" s="274">
        <v>172000</v>
      </c>
      <c r="H58" s="1081">
        <v>172000</v>
      </c>
      <c r="I58" s="230"/>
      <c r="J58" s="227" t="s">
        <v>671</v>
      </c>
      <c r="K58" s="220"/>
      <c r="L58" s="220"/>
      <c r="M58" s="220"/>
      <c r="N58" s="220"/>
      <c r="O58" s="220"/>
      <c r="P58" s="220"/>
      <c r="Q58" s="220"/>
      <c r="R58" s="220"/>
      <c r="S58" s="220"/>
      <c r="T58" s="220"/>
      <c r="U58" s="220"/>
      <c r="V58" s="220"/>
      <c r="W58" s="220"/>
      <c r="X58" s="220"/>
      <c r="Y58" s="220"/>
      <c r="Z58" s="220"/>
    </row>
    <row r="59" spans="1:26" ht="18.75" customHeight="1">
      <c r="A59" s="221">
        <v>53</v>
      </c>
      <c r="B59" s="264" t="s">
        <v>676</v>
      </c>
      <c r="C59" s="265" t="s">
        <v>760</v>
      </c>
      <c r="D59" s="266">
        <v>2</v>
      </c>
      <c r="E59" s="266">
        <v>3</v>
      </c>
      <c r="F59" s="266">
        <v>1</v>
      </c>
      <c r="G59" s="267">
        <v>115000</v>
      </c>
      <c r="H59" s="1079">
        <f t="shared" ref="H59:H60" si="8">G59*F59</f>
        <v>115000</v>
      </c>
      <c r="I59" s="268" t="s">
        <v>758</v>
      </c>
      <c r="J59" s="11" t="s">
        <v>704</v>
      </c>
      <c r="K59" s="269"/>
      <c r="L59" s="269"/>
      <c r="M59" s="269"/>
      <c r="N59" s="269"/>
      <c r="O59" s="269"/>
      <c r="P59" s="269"/>
      <c r="Q59" s="269"/>
      <c r="R59" s="269"/>
      <c r="S59" s="269"/>
      <c r="T59" s="269"/>
      <c r="U59" s="269"/>
      <c r="V59" s="269"/>
      <c r="W59" s="269"/>
      <c r="X59" s="269"/>
      <c r="Y59" s="269"/>
      <c r="Z59" s="269"/>
    </row>
    <row r="60" spans="1:26" ht="18.75" customHeight="1">
      <c r="A60" s="228">
        <v>54</v>
      </c>
      <c r="B60" s="222" t="s">
        <v>724</v>
      </c>
      <c r="C60" s="261" t="s">
        <v>761</v>
      </c>
      <c r="D60" s="229">
        <v>1</v>
      </c>
      <c r="E60" s="229">
        <v>2</v>
      </c>
      <c r="F60" s="229">
        <v>1</v>
      </c>
      <c r="G60" s="225">
        <v>50000</v>
      </c>
      <c r="H60" s="1077">
        <f t="shared" si="8"/>
        <v>50000</v>
      </c>
      <c r="I60" s="230" t="s">
        <v>762</v>
      </c>
      <c r="J60" s="245" t="s">
        <v>671</v>
      </c>
      <c r="K60" s="220"/>
      <c r="L60" s="220"/>
      <c r="M60" s="220"/>
      <c r="N60" s="220"/>
      <c r="O60" s="220"/>
      <c r="P60" s="220"/>
      <c r="Q60" s="220"/>
      <c r="R60" s="220"/>
      <c r="S60" s="220"/>
      <c r="T60" s="220"/>
      <c r="U60" s="220"/>
      <c r="V60" s="220"/>
      <c r="W60" s="220"/>
      <c r="X60" s="220"/>
      <c r="Y60" s="220"/>
      <c r="Z60" s="220"/>
    </row>
    <row r="61" spans="1:26" ht="18.75" customHeight="1">
      <c r="A61" s="214">
        <v>55</v>
      </c>
      <c r="B61" s="215" t="s">
        <v>668</v>
      </c>
      <c r="C61" s="216" t="s">
        <v>763</v>
      </c>
      <c r="D61" s="214"/>
      <c r="E61" s="214">
        <v>1</v>
      </c>
      <c r="F61" s="214">
        <v>1</v>
      </c>
      <c r="G61" s="255">
        <v>30000</v>
      </c>
      <c r="H61" s="1074">
        <f>F61*G61</f>
        <v>30000</v>
      </c>
      <c r="I61" s="256" t="s">
        <v>764</v>
      </c>
      <c r="J61" s="219" t="s">
        <v>671</v>
      </c>
      <c r="K61" s="220"/>
      <c r="L61" s="220"/>
      <c r="M61" s="220"/>
      <c r="N61" s="220"/>
      <c r="O61" s="220"/>
      <c r="P61" s="220"/>
      <c r="Q61" s="220"/>
      <c r="R61" s="220"/>
      <c r="S61" s="220"/>
      <c r="T61" s="220"/>
      <c r="U61" s="220"/>
      <c r="V61" s="220"/>
      <c r="W61" s="220"/>
      <c r="X61" s="220"/>
      <c r="Y61" s="220"/>
      <c r="Z61" s="220"/>
    </row>
    <row r="62" spans="1:26" ht="18.75" customHeight="1">
      <c r="A62" s="221">
        <v>56</v>
      </c>
      <c r="B62" s="222" t="s">
        <v>672</v>
      </c>
      <c r="C62" s="223" t="s">
        <v>765</v>
      </c>
      <c r="D62" s="223">
        <v>2</v>
      </c>
      <c r="E62" s="223">
        <v>4</v>
      </c>
      <c r="F62" s="223">
        <v>2</v>
      </c>
      <c r="G62" s="224">
        <v>10000</v>
      </c>
      <c r="H62" s="1075">
        <f>G62*F62</f>
        <v>20000</v>
      </c>
      <c r="I62" s="226"/>
      <c r="J62" s="227" t="s">
        <v>671</v>
      </c>
      <c r="K62" s="220"/>
      <c r="L62" s="220"/>
      <c r="M62" s="220"/>
      <c r="N62" s="220"/>
      <c r="O62" s="220"/>
      <c r="P62" s="220"/>
      <c r="Q62" s="220"/>
      <c r="R62" s="220"/>
      <c r="S62" s="220"/>
      <c r="T62" s="220"/>
      <c r="U62" s="220"/>
      <c r="V62" s="220"/>
      <c r="W62" s="220"/>
      <c r="X62" s="220"/>
      <c r="Y62" s="220"/>
      <c r="Z62" s="220"/>
    </row>
    <row r="63" spans="1:26" ht="18.75" customHeight="1">
      <c r="A63" s="214">
        <v>57</v>
      </c>
      <c r="B63" s="257" t="s">
        <v>766</v>
      </c>
      <c r="C63" s="223" t="s">
        <v>705</v>
      </c>
      <c r="D63" s="229"/>
      <c r="E63" s="229">
        <v>1</v>
      </c>
      <c r="F63" s="229">
        <v>1</v>
      </c>
      <c r="G63" s="275">
        <v>700000</v>
      </c>
      <c r="H63" s="1078">
        <v>700000</v>
      </c>
      <c r="I63" s="220"/>
      <c r="J63" s="220"/>
      <c r="K63" s="276"/>
      <c r="L63" s="276"/>
      <c r="M63" s="276"/>
      <c r="N63" s="276"/>
      <c r="O63" s="276"/>
      <c r="P63" s="276"/>
      <c r="Q63" s="276"/>
      <c r="R63" s="276"/>
      <c r="S63" s="276"/>
      <c r="T63" s="276"/>
      <c r="U63" s="276"/>
      <c r="V63" s="276"/>
      <c r="W63" s="276"/>
      <c r="X63" s="276"/>
      <c r="Y63" s="276"/>
      <c r="Z63" s="276"/>
    </row>
    <row r="64" spans="1:26" ht="18.75" customHeight="1">
      <c r="A64" s="214">
        <v>58</v>
      </c>
      <c r="B64" s="222" t="s">
        <v>697</v>
      </c>
      <c r="C64" s="223" t="s">
        <v>767</v>
      </c>
      <c r="D64" s="277">
        <v>0</v>
      </c>
      <c r="E64" s="277">
        <v>2</v>
      </c>
      <c r="F64" s="277">
        <v>1</v>
      </c>
      <c r="G64" s="247">
        <v>900000</v>
      </c>
      <c r="H64" s="1077">
        <f t="shared" ref="H64:H65" si="9">G64*F64</f>
        <v>900000</v>
      </c>
      <c r="I64" s="249" t="s">
        <v>768</v>
      </c>
      <c r="J64" s="227" t="s">
        <v>700</v>
      </c>
      <c r="K64" s="220"/>
      <c r="L64" s="220"/>
      <c r="M64" s="220"/>
      <c r="N64" s="220"/>
      <c r="O64" s="220"/>
      <c r="P64" s="220"/>
      <c r="Q64" s="220"/>
      <c r="R64" s="220"/>
      <c r="S64" s="220"/>
      <c r="T64" s="220"/>
      <c r="U64" s="220"/>
      <c r="V64" s="220"/>
      <c r="W64" s="220"/>
      <c r="X64" s="220"/>
      <c r="Y64" s="220"/>
      <c r="Z64" s="220"/>
    </row>
    <row r="65" spans="1:26" ht="18.75" customHeight="1">
      <c r="A65" s="221">
        <v>59</v>
      </c>
      <c r="B65" s="264" t="s">
        <v>676</v>
      </c>
      <c r="C65" s="265" t="s">
        <v>769</v>
      </c>
      <c r="D65" s="266">
        <v>3</v>
      </c>
      <c r="E65" s="266">
        <v>5</v>
      </c>
      <c r="F65" s="266">
        <v>2</v>
      </c>
      <c r="G65" s="267">
        <v>805000</v>
      </c>
      <c r="H65" s="1079">
        <f t="shared" si="9"/>
        <v>1610000</v>
      </c>
      <c r="I65" s="278" t="s">
        <v>678</v>
      </c>
      <c r="J65" s="11" t="s">
        <v>671</v>
      </c>
      <c r="K65" s="269"/>
      <c r="L65" s="269"/>
      <c r="M65" s="269"/>
      <c r="N65" s="269"/>
      <c r="O65" s="269"/>
      <c r="P65" s="269"/>
      <c r="Q65" s="269"/>
      <c r="R65" s="269"/>
      <c r="S65" s="269"/>
      <c r="T65" s="269"/>
      <c r="U65" s="269"/>
      <c r="V65" s="269"/>
      <c r="W65" s="269"/>
      <c r="X65" s="269"/>
      <c r="Y65" s="269"/>
      <c r="Z65" s="269"/>
    </row>
    <row r="66" spans="1:26" ht="18.75" customHeight="1">
      <c r="A66" s="228">
        <v>60</v>
      </c>
      <c r="B66" s="222" t="s">
        <v>686</v>
      </c>
      <c r="C66" s="223" t="s">
        <v>770</v>
      </c>
      <c r="D66" s="229">
        <v>2</v>
      </c>
      <c r="E66" s="229">
        <v>3</v>
      </c>
      <c r="F66" s="229">
        <v>1</v>
      </c>
      <c r="G66" s="225">
        <v>805000</v>
      </c>
      <c r="H66" s="1075">
        <v>1610000</v>
      </c>
      <c r="I66" s="230"/>
      <c r="J66" s="227" t="s">
        <v>671</v>
      </c>
      <c r="K66" s="220"/>
      <c r="L66" s="220"/>
      <c r="M66" s="220"/>
      <c r="N66" s="220"/>
      <c r="O66" s="220"/>
      <c r="P66" s="220"/>
      <c r="Q66" s="220"/>
      <c r="R66" s="220"/>
      <c r="S66" s="220"/>
      <c r="T66" s="220"/>
      <c r="U66" s="220"/>
      <c r="V66" s="220"/>
      <c r="W66" s="220"/>
      <c r="X66" s="220"/>
      <c r="Y66" s="220"/>
      <c r="Z66" s="220"/>
    </row>
    <row r="67" spans="1:26" ht="18.75" customHeight="1">
      <c r="A67" s="214">
        <v>61</v>
      </c>
      <c r="B67" s="222" t="s">
        <v>766</v>
      </c>
      <c r="C67" s="223" t="s">
        <v>771</v>
      </c>
      <c r="D67" s="229"/>
      <c r="E67" s="229">
        <v>2</v>
      </c>
      <c r="F67" s="229">
        <v>2</v>
      </c>
      <c r="G67" s="275">
        <v>750000</v>
      </c>
      <c r="H67" s="1078">
        <v>1400000</v>
      </c>
      <c r="I67" s="279"/>
      <c r="J67" s="279"/>
      <c r="K67" s="220"/>
      <c r="L67" s="220"/>
      <c r="M67" s="220"/>
      <c r="N67" s="220"/>
      <c r="O67" s="220"/>
      <c r="P67" s="220"/>
      <c r="Q67" s="220"/>
      <c r="R67" s="220"/>
      <c r="S67" s="220"/>
      <c r="T67" s="220"/>
      <c r="U67" s="220"/>
      <c r="V67" s="220"/>
      <c r="W67" s="220"/>
      <c r="X67" s="220"/>
      <c r="Y67" s="220"/>
      <c r="Z67" s="220"/>
    </row>
    <row r="68" spans="1:26" ht="18.75" customHeight="1">
      <c r="A68" s="214">
        <v>62</v>
      </c>
      <c r="B68" s="233" t="s">
        <v>603</v>
      </c>
      <c r="C68" s="234" t="s">
        <v>772</v>
      </c>
      <c r="D68" s="280"/>
      <c r="E68" s="236"/>
      <c r="F68" s="280">
        <v>2</v>
      </c>
      <c r="G68" s="238">
        <v>661250</v>
      </c>
      <c r="H68" s="1076">
        <f t="shared" ref="H68:H69" si="10">SUM(G68*F68)</f>
        <v>1322500</v>
      </c>
      <c r="I68" s="239" t="s">
        <v>773</v>
      </c>
      <c r="J68" s="242" t="s">
        <v>671</v>
      </c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</row>
    <row r="69" spans="1:26" ht="18.75" customHeight="1">
      <c r="A69" s="221">
        <v>63</v>
      </c>
      <c r="B69" s="233" t="s">
        <v>603</v>
      </c>
      <c r="C69" s="234" t="s">
        <v>774</v>
      </c>
      <c r="D69" s="235"/>
      <c r="E69" s="236"/>
      <c r="F69" s="235">
        <v>2</v>
      </c>
      <c r="G69" s="243">
        <v>661250</v>
      </c>
      <c r="H69" s="1076">
        <f t="shared" si="10"/>
        <v>1322500</v>
      </c>
      <c r="I69" s="239" t="s">
        <v>773</v>
      </c>
      <c r="J69" s="242" t="s">
        <v>690</v>
      </c>
      <c r="K69" s="241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1"/>
      <c r="Y69" s="241"/>
      <c r="Z69" s="241"/>
    </row>
    <row r="70" spans="1:26" ht="18.75" customHeight="1">
      <c r="A70" s="228">
        <v>64</v>
      </c>
      <c r="B70" s="281" t="s">
        <v>775</v>
      </c>
      <c r="C70" s="282" t="s">
        <v>776</v>
      </c>
      <c r="D70" s="283">
        <v>1</v>
      </c>
      <c r="E70" s="283">
        <v>3</v>
      </c>
      <c r="F70" s="283">
        <v>2</v>
      </c>
      <c r="G70" s="284">
        <v>600000</v>
      </c>
      <c r="H70" s="1082">
        <f>E70*G70</f>
        <v>1800000</v>
      </c>
      <c r="I70" s="282" t="s">
        <v>777</v>
      </c>
      <c r="J70" s="285" t="s">
        <v>671</v>
      </c>
      <c r="K70" s="286"/>
      <c r="L70" s="286"/>
      <c r="M70" s="286"/>
      <c r="N70" s="286"/>
      <c r="O70" s="286"/>
      <c r="P70" s="286"/>
      <c r="Q70" s="286"/>
      <c r="R70" s="286"/>
      <c r="S70" s="286"/>
      <c r="T70" s="286"/>
      <c r="U70" s="286"/>
      <c r="V70" s="286"/>
      <c r="W70" s="286"/>
      <c r="X70" s="286"/>
      <c r="Y70" s="286"/>
      <c r="Z70" s="286"/>
    </row>
    <row r="71" spans="1:26" ht="18.75" customHeight="1">
      <c r="A71" s="214">
        <v>65</v>
      </c>
      <c r="B71" s="222" t="s">
        <v>697</v>
      </c>
      <c r="C71" s="223" t="s">
        <v>778</v>
      </c>
      <c r="D71" s="277">
        <v>3</v>
      </c>
      <c r="E71" s="277">
        <v>6</v>
      </c>
      <c r="F71" s="277">
        <v>3</v>
      </c>
      <c r="G71" s="247">
        <v>575000</v>
      </c>
      <c r="H71" s="1077">
        <f>G71*F71</f>
        <v>1725000</v>
      </c>
      <c r="I71" s="249" t="s">
        <v>752</v>
      </c>
      <c r="J71" s="251" t="s">
        <v>753</v>
      </c>
      <c r="K71" s="220"/>
      <c r="L71" s="220"/>
      <c r="M71" s="220"/>
      <c r="N71" s="220"/>
      <c r="O71" s="220"/>
      <c r="P71" s="220"/>
      <c r="Q71" s="220"/>
      <c r="R71" s="220"/>
      <c r="S71" s="220"/>
      <c r="T71" s="220"/>
      <c r="U71" s="220"/>
      <c r="V71" s="220"/>
      <c r="W71" s="220"/>
      <c r="X71" s="220"/>
      <c r="Y71" s="220"/>
      <c r="Z71" s="220"/>
    </row>
    <row r="72" spans="1:26" ht="18.75" customHeight="1">
      <c r="A72" s="221">
        <v>66</v>
      </c>
      <c r="B72" s="222" t="s">
        <v>676</v>
      </c>
      <c r="C72" s="223" t="s">
        <v>713</v>
      </c>
      <c r="D72" s="229">
        <v>3</v>
      </c>
      <c r="E72" s="229">
        <v>5</v>
      </c>
      <c r="F72" s="229">
        <v>1</v>
      </c>
      <c r="G72" s="225">
        <v>575000</v>
      </c>
      <c r="H72" s="1075">
        <f>F72*G72</f>
        <v>575000</v>
      </c>
      <c r="I72" s="230" t="s">
        <v>779</v>
      </c>
      <c r="J72" s="227" t="s">
        <v>671</v>
      </c>
      <c r="K72" s="220"/>
      <c r="L72" s="220"/>
      <c r="M72" s="220"/>
      <c r="N72" s="220"/>
      <c r="O72" s="220"/>
      <c r="P72" s="220"/>
      <c r="Q72" s="220"/>
      <c r="R72" s="220"/>
      <c r="S72" s="220"/>
      <c r="T72" s="220"/>
      <c r="U72" s="220"/>
      <c r="V72" s="220"/>
      <c r="W72" s="220"/>
      <c r="X72" s="220"/>
      <c r="Y72" s="220"/>
      <c r="Z72" s="220"/>
    </row>
    <row r="73" spans="1:26" ht="18.75" customHeight="1">
      <c r="A73" s="228">
        <v>67</v>
      </c>
      <c r="B73" s="222" t="s">
        <v>686</v>
      </c>
      <c r="C73" s="223" t="s">
        <v>780</v>
      </c>
      <c r="D73" s="229">
        <v>1</v>
      </c>
      <c r="E73" s="229">
        <v>2</v>
      </c>
      <c r="F73" s="229">
        <v>1</v>
      </c>
      <c r="G73" s="252">
        <v>575000</v>
      </c>
      <c r="H73" s="1078">
        <v>1150000</v>
      </c>
      <c r="I73" s="230"/>
      <c r="J73" s="227" t="s">
        <v>671</v>
      </c>
      <c r="K73" s="220"/>
      <c r="L73" s="220"/>
      <c r="M73" s="220"/>
      <c r="N73" s="220"/>
      <c r="O73" s="220"/>
      <c r="P73" s="220"/>
      <c r="Q73" s="220"/>
      <c r="R73" s="220"/>
      <c r="S73" s="220"/>
      <c r="T73" s="220"/>
      <c r="U73" s="220"/>
      <c r="V73" s="220"/>
      <c r="W73" s="220"/>
      <c r="X73" s="220"/>
      <c r="Y73" s="220"/>
      <c r="Z73" s="220"/>
    </row>
    <row r="74" spans="1:26" ht="18.75" customHeight="1">
      <c r="A74" s="214">
        <v>68</v>
      </c>
      <c r="B74" s="215" t="s">
        <v>668</v>
      </c>
      <c r="C74" s="216" t="s">
        <v>781</v>
      </c>
      <c r="D74" s="214">
        <v>10</v>
      </c>
      <c r="E74" s="214">
        <v>15</v>
      </c>
      <c r="F74" s="214">
        <v>5</v>
      </c>
      <c r="G74" s="255">
        <v>500000</v>
      </c>
      <c r="H74" s="1074">
        <f>F74*G74</f>
        <v>2500000</v>
      </c>
      <c r="I74" s="256" t="s">
        <v>782</v>
      </c>
      <c r="J74" s="219" t="s">
        <v>671</v>
      </c>
      <c r="K74" s="220"/>
      <c r="L74" s="220"/>
      <c r="M74" s="220"/>
      <c r="N74" s="220"/>
      <c r="O74" s="220"/>
      <c r="P74" s="220"/>
      <c r="Q74" s="220"/>
      <c r="R74" s="220"/>
      <c r="S74" s="220"/>
      <c r="T74" s="220"/>
      <c r="U74" s="220"/>
      <c r="V74" s="220"/>
      <c r="W74" s="220"/>
      <c r="X74" s="220"/>
      <c r="Y74" s="220"/>
      <c r="Z74" s="220"/>
    </row>
    <row r="75" spans="1:26" ht="18.75" customHeight="1">
      <c r="A75" s="221">
        <v>69</v>
      </c>
      <c r="B75" s="222" t="s">
        <v>766</v>
      </c>
      <c r="C75" s="223" t="s">
        <v>734</v>
      </c>
      <c r="D75" s="229"/>
      <c r="E75" s="229">
        <v>4</v>
      </c>
      <c r="F75" s="229">
        <v>4</v>
      </c>
      <c r="G75" s="275">
        <v>500000</v>
      </c>
      <c r="H75" s="1078">
        <v>2000000</v>
      </c>
      <c r="I75" s="279"/>
      <c r="J75" s="279"/>
      <c r="K75" s="220"/>
      <c r="L75" s="220"/>
      <c r="M75" s="220"/>
      <c r="N75" s="220"/>
      <c r="O75" s="220"/>
      <c r="P75" s="220"/>
      <c r="Q75" s="220"/>
      <c r="R75" s="220"/>
      <c r="S75" s="220"/>
      <c r="T75" s="220"/>
      <c r="U75" s="220"/>
      <c r="V75" s="220"/>
      <c r="W75" s="220"/>
      <c r="X75" s="220"/>
      <c r="Y75" s="220"/>
      <c r="Z75" s="220"/>
    </row>
    <row r="76" spans="1:26" ht="18.75" customHeight="1">
      <c r="A76" s="228">
        <v>70</v>
      </c>
      <c r="B76" s="222" t="s">
        <v>672</v>
      </c>
      <c r="C76" s="261" t="s">
        <v>783</v>
      </c>
      <c r="D76" s="262">
        <v>5</v>
      </c>
      <c r="E76" s="262">
        <v>7</v>
      </c>
      <c r="F76" s="262">
        <v>3</v>
      </c>
      <c r="G76" s="248">
        <v>500000</v>
      </c>
      <c r="H76" s="1077">
        <f>G76*F76</f>
        <v>1500000</v>
      </c>
      <c r="I76" s="230"/>
      <c r="J76" s="227" t="s">
        <v>671</v>
      </c>
      <c r="K76" s="220"/>
      <c r="L76" s="220"/>
      <c r="M76" s="220"/>
      <c r="N76" s="220"/>
      <c r="O76" s="220"/>
      <c r="P76" s="220"/>
      <c r="Q76" s="220"/>
      <c r="R76" s="220"/>
      <c r="S76" s="220"/>
      <c r="T76" s="220"/>
      <c r="U76" s="220"/>
      <c r="V76" s="220"/>
      <c r="W76" s="220"/>
      <c r="X76" s="220"/>
      <c r="Y76" s="220"/>
      <c r="Z76" s="220"/>
    </row>
    <row r="77" spans="1:26" ht="18.75" customHeight="1">
      <c r="A77" s="214">
        <v>71</v>
      </c>
      <c r="B77" s="233" t="s">
        <v>603</v>
      </c>
      <c r="C77" s="234" t="s">
        <v>784</v>
      </c>
      <c r="D77" s="242"/>
      <c r="E77" s="236"/>
      <c r="F77" s="235">
        <v>10</v>
      </c>
      <c r="G77" s="243">
        <v>450000</v>
      </c>
      <c r="H77" s="1076">
        <f>SUM(G77*F77)</f>
        <v>4500000</v>
      </c>
      <c r="I77" s="244" t="s">
        <v>785</v>
      </c>
      <c r="J77" s="242" t="s">
        <v>690</v>
      </c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  <c r="Z77" s="241"/>
    </row>
    <row r="78" spans="1:26" ht="18.75" customHeight="1">
      <c r="A78" s="221">
        <v>72</v>
      </c>
      <c r="B78" s="222" t="s">
        <v>697</v>
      </c>
      <c r="C78" s="223" t="s">
        <v>786</v>
      </c>
      <c r="D78" s="229">
        <v>5</v>
      </c>
      <c r="E78" s="229">
        <v>10</v>
      </c>
      <c r="F78" s="229">
        <v>5</v>
      </c>
      <c r="G78" s="272">
        <v>450000</v>
      </c>
      <c r="H78" s="1077">
        <f t="shared" ref="H78:H80" si="11">G78*F78</f>
        <v>2250000</v>
      </c>
      <c r="I78" s="230" t="s">
        <v>752</v>
      </c>
      <c r="J78" s="227" t="s">
        <v>753</v>
      </c>
      <c r="K78" s="220"/>
      <c r="L78" s="220"/>
      <c r="M78" s="220"/>
      <c r="N78" s="220"/>
      <c r="O78" s="220"/>
      <c r="P78" s="220"/>
      <c r="Q78" s="220"/>
      <c r="R78" s="220"/>
      <c r="S78" s="220"/>
      <c r="T78" s="220"/>
      <c r="U78" s="220"/>
      <c r="V78" s="220"/>
      <c r="W78" s="220"/>
      <c r="X78" s="220"/>
      <c r="Y78" s="220"/>
      <c r="Z78" s="220"/>
    </row>
    <row r="79" spans="1:26" ht="18.75" customHeight="1">
      <c r="A79" s="228">
        <v>73</v>
      </c>
      <c r="B79" s="222" t="s">
        <v>672</v>
      </c>
      <c r="C79" s="223" t="s">
        <v>787</v>
      </c>
      <c r="D79" s="223"/>
      <c r="E79" s="223"/>
      <c r="F79" s="223">
        <v>4</v>
      </c>
      <c r="G79" s="224">
        <v>450000</v>
      </c>
      <c r="H79" s="1075">
        <f t="shared" si="11"/>
        <v>1800000</v>
      </c>
      <c r="I79" s="226"/>
      <c r="J79" s="227" t="s">
        <v>671</v>
      </c>
      <c r="K79" s="220"/>
      <c r="L79" s="220"/>
      <c r="M79" s="220"/>
      <c r="N79" s="220"/>
      <c r="O79" s="220"/>
      <c r="P79" s="220"/>
      <c r="Q79" s="220"/>
      <c r="R79" s="220"/>
      <c r="S79" s="220"/>
      <c r="T79" s="220"/>
      <c r="U79" s="220"/>
      <c r="V79" s="220"/>
      <c r="W79" s="220"/>
      <c r="X79" s="220"/>
      <c r="Y79" s="220"/>
      <c r="Z79" s="220"/>
    </row>
    <row r="80" spans="1:26" ht="18.75" customHeight="1">
      <c r="A80" s="214">
        <v>74</v>
      </c>
      <c r="B80" s="222" t="s">
        <v>788</v>
      </c>
      <c r="C80" s="262" t="s">
        <v>789</v>
      </c>
      <c r="D80" s="262"/>
      <c r="E80" s="262"/>
      <c r="F80" s="262">
        <v>3</v>
      </c>
      <c r="G80" s="248">
        <v>450000</v>
      </c>
      <c r="H80" s="1077">
        <f t="shared" si="11"/>
        <v>1350000</v>
      </c>
      <c r="I80" s="222" t="s">
        <v>790</v>
      </c>
      <c r="J80" s="287" t="s">
        <v>671</v>
      </c>
      <c r="K80" s="220"/>
      <c r="L80" s="220"/>
      <c r="M80" s="220"/>
      <c r="N80" s="220"/>
      <c r="O80" s="220"/>
      <c r="P80" s="220"/>
      <c r="Q80" s="220"/>
      <c r="R80" s="220"/>
      <c r="S80" s="220"/>
      <c r="T80" s="220"/>
      <c r="U80" s="220"/>
      <c r="V80" s="220"/>
      <c r="W80" s="220"/>
      <c r="X80" s="220"/>
      <c r="Y80" s="220"/>
      <c r="Z80" s="220"/>
    </row>
    <row r="81" spans="1:26" ht="18.75" customHeight="1">
      <c r="A81" s="221">
        <v>75</v>
      </c>
      <c r="B81" s="233" t="s">
        <v>603</v>
      </c>
      <c r="C81" s="234" t="s">
        <v>791</v>
      </c>
      <c r="D81" s="242"/>
      <c r="E81" s="236"/>
      <c r="F81" s="235">
        <v>10</v>
      </c>
      <c r="G81" s="243">
        <v>431250</v>
      </c>
      <c r="H81" s="1076">
        <f>SUM(G81*F81)</f>
        <v>4312500</v>
      </c>
      <c r="I81" s="244" t="s">
        <v>792</v>
      </c>
      <c r="J81" s="242" t="s">
        <v>696</v>
      </c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</row>
    <row r="82" spans="1:26" ht="18.75" customHeight="1">
      <c r="A82" s="228">
        <v>76</v>
      </c>
      <c r="B82" s="264" t="s">
        <v>701</v>
      </c>
      <c r="C82" s="288" t="s">
        <v>793</v>
      </c>
      <c r="D82" s="289">
        <v>4</v>
      </c>
      <c r="E82" s="289">
        <v>8</v>
      </c>
      <c r="F82" s="289">
        <v>4</v>
      </c>
      <c r="G82" s="290">
        <v>402500</v>
      </c>
      <c r="H82" s="1083">
        <f t="shared" ref="H82:H84" si="12">G82*F82</f>
        <v>1610000</v>
      </c>
      <c r="I82" s="268" t="s">
        <v>794</v>
      </c>
      <c r="J82" s="11" t="s">
        <v>671</v>
      </c>
      <c r="K82" s="269"/>
      <c r="L82" s="269"/>
      <c r="M82" s="269"/>
      <c r="N82" s="269"/>
      <c r="O82" s="269"/>
      <c r="P82" s="269"/>
      <c r="Q82" s="269"/>
      <c r="R82" s="269"/>
      <c r="S82" s="269"/>
      <c r="T82" s="269"/>
      <c r="U82" s="269"/>
      <c r="V82" s="269"/>
      <c r="W82" s="269"/>
      <c r="X82" s="269"/>
      <c r="Y82" s="269"/>
      <c r="Z82" s="269"/>
    </row>
    <row r="83" spans="1:26" ht="18.75" customHeight="1">
      <c r="A83" s="214">
        <v>77</v>
      </c>
      <c r="B83" s="222" t="s">
        <v>686</v>
      </c>
      <c r="C83" s="261" t="s">
        <v>783</v>
      </c>
      <c r="D83" s="262">
        <v>4</v>
      </c>
      <c r="E83" s="262">
        <v>8</v>
      </c>
      <c r="F83" s="262">
        <v>4</v>
      </c>
      <c r="G83" s="248">
        <v>402500</v>
      </c>
      <c r="H83" s="1077">
        <f t="shared" si="12"/>
        <v>1610000</v>
      </c>
      <c r="I83" s="230" t="s">
        <v>795</v>
      </c>
      <c r="J83" s="227" t="s">
        <v>671</v>
      </c>
      <c r="K83" s="220"/>
      <c r="L83" s="220"/>
      <c r="M83" s="220"/>
      <c r="N83" s="220"/>
      <c r="O83" s="220"/>
      <c r="P83" s="220"/>
      <c r="Q83" s="220"/>
      <c r="R83" s="220"/>
      <c r="S83" s="220"/>
      <c r="T83" s="220"/>
      <c r="U83" s="220"/>
      <c r="V83" s="220"/>
      <c r="W83" s="220"/>
      <c r="X83" s="220"/>
      <c r="Y83" s="220"/>
      <c r="Z83" s="220"/>
    </row>
    <row r="84" spans="1:26" ht="42" customHeight="1">
      <c r="A84" s="221">
        <v>78</v>
      </c>
      <c r="B84" s="222" t="s">
        <v>724</v>
      </c>
      <c r="C84" s="261" t="s">
        <v>796</v>
      </c>
      <c r="D84" s="229">
        <v>2</v>
      </c>
      <c r="E84" s="229">
        <v>10</v>
      </c>
      <c r="F84" s="229">
        <v>8</v>
      </c>
      <c r="G84" s="225">
        <v>400000</v>
      </c>
      <c r="H84" s="1077">
        <f t="shared" si="12"/>
        <v>3200000</v>
      </c>
      <c r="I84" s="230" t="s">
        <v>797</v>
      </c>
      <c r="J84" s="245" t="s">
        <v>671</v>
      </c>
      <c r="K84" s="220"/>
      <c r="L84" s="220"/>
      <c r="M84" s="220"/>
      <c r="N84" s="220"/>
      <c r="O84" s="220"/>
      <c r="P84" s="220"/>
      <c r="Q84" s="220"/>
      <c r="R84" s="220"/>
      <c r="S84" s="220"/>
      <c r="T84" s="220"/>
      <c r="U84" s="220"/>
      <c r="V84" s="220"/>
      <c r="W84" s="220"/>
      <c r="X84" s="220"/>
      <c r="Y84" s="220"/>
      <c r="Z84" s="220"/>
    </row>
    <row r="85" spans="1:26" ht="18.75" customHeight="1">
      <c r="A85" s="228">
        <v>79</v>
      </c>
      <c r="B85" s="222" t="s">
        <v>672</v>
      </c>
      <c r="C85" s="223" t="s">
        <v>798</v>
      </c>
      <c r="D85" s="229"/>
      <c r="E85" s="229">
        <v>3</v>
      </c>
      <c r="F85" s="229">
        <v>6</v>
      </c>
      <c r="G85" s="224">
        <v>400000</v>
      </c>
      <c r="H85" s="1075">
        <v>1200000</v>
      </c>
      <c r="I85" s="226"/>
      <c r="J85" s="227" t="s">
        <v>671</v>
      </c>
      <c r="K85" s="220"/>
      <c r="L85" s="220"/>
      <c r="M85" s="220"/>
      <c r="N85" s="220"/>
      <c r="O85" s="220"/>
      <c r="P85" s="220"/>
      <c r="Q85" s="220"/>
      <c r="R85" s="220"/>
      <c r="S85" s="220"/>
      <c r="T85" s="220"/>
      <c r="U85" s="220"/>
      <c r="V85" s="220"/>
      <c r="W85" s="220"/>
      <c r="X85" s="220"/>
      <c r="Y85" s="220"/>
      <c r="Z85" s="220"/>
    </row>
    <row r="86" spans="1:26" ht="18.75" customHeight="1">
      <c r="A86" s="214">
        <v>80</v>
      </c>
      <c r="B86" s="291" t="s">
        <v>603</v>
      </c>
      <c r="C86" s="234" t="s">
        <v>799</v>
      </c>
      <c r="D86" s="242"/>
      <c r="E86" s="236"/>
      <c r="F86" s="235">
        <v>12</v>
      </c>
      <c r="G86" s="243">
        <v>396750</v>
      </c>
      <c r="H86" s="1076">
        <f t="shared" ref="H86:H93" si="13">SUM(G86*F86)</f>
        <v>4761000</v>
      </c>
      <c r="I86" s="292" t="s">
        <v>792</v>
      </c>
      <c r="J86" s="293" t="s">
        <v>696</v>
      </c>
      <c r="K86" s="241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1"/>
      <c r="Y86" s="241"/>
      <c r="Z86" s="241"/>
    </row>
    <row r="87" spans="1:26" ht="18.75" customHeight="1">
      <c r="A87" s="221">
        <v>81</v>
      </c>
      <c r="B87" s="291" t="s">
        <v>603</v>
      </c>
      <c r="C87" s="234" t="s">
        <v>800</v>
      </c>
      <c r="D87" s="242"/>
      <c r="E87" s="236"/>
      <c r="F87" s="235">
        <v>5</v>
      </c>
      <c r="G87" s="243">
        <v>385000</v>
      </c>
      <c r="H87" s="1076">
        <f t="shared" si="13"/>
        <v>1925000</v>
      </c>
      <c r="I87" s="292" t="s">
        <v>785</v>
      </c>
      <c r="J87" s="293" t="s">
        <v>690</v>
      </c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</row>
    <row r="88" spans="1:26" ht="18.75" customHeight="1">
      <c r="A88" s="228">
        <v>82</v>
      </c>
      <c r="B88" s="291" t="s">
        <v>603</v>
      </c>
      <c r="C88" s="234" t="s">
        <v>801</v>
      </c>
      <c r="D88" s="242"/>
      <c r="E88" s="236"/>
      <c r="F88" s="235">
        <v>3</v>
      </c>
      <c r="G88" s="243">
        <v>385000</v>
      </c>
      <c r="H88" s="1076">
        <f t="shared" si="13"/>
        <v>1155000</v>
      </c>
      <c r="I88" s="292" t="s">
        <v>802</v>
      </c>
      <c r="J88" s="293" t="s">
        <v>690</v>
      </c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1"/>
      <c r="Y88" s="241"/>
      <c r="Z88" s="241"/>
    </row>
    <row r="89" spans="1:26" ht="18.75" customHeight="1">
      <c r="A89" s="214">
        <v>83</v>
      </c>
      <c r="B89" s="291" t="s">
        <v>603</v>
      </c>
      <c r="C89" s="234" t="s">
        <v>803</v>
      </c>
      <c r="D89" s="294"/>
      <c r="E89" s="236"/>
      <c r="F89" s="235">
        <v>10</v>
      </c>
      <c r="G89" s="243">
        <v>350000</v>
      </c>
      <c r="H89" s="1076">
        <f t="shared" si="13"/>
        <v>3500000</v>
      </c>
      <c r="I89" s="292" t="s">
        <v>804</v>
      </c>
      <c r="J89" s="293" t="s">
        <v>805</v>
      </c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</row>
    <row r="90" spans="1:26" ht="18.75" customHeight="1">
      <c r="A90" s="221">
        <v>84</v>
      </c>
      <c r="B90" s="291" t="s">
        <v>603</v>
      </c>
      <c r="C90" s="234" t="s">
        <v>806</v>
      </c>
      <c r="D90" s="242"/>
      <c r="E90" s="236"/>
      <c r="F90" s="235">
        <v>10</v>
      </c>
      <c r="G90" s="243">
        <v>350000</v>
      </c>
      <c r="H90" s="1076">
        <f t="shared" si="13"/>
        <v>3500000</v>
      </c>
      <c r="I90" s="292" t="s">
        <v>804</v>
      </c>
      <c r="J90" s="293" t="s">
        <v>805</v>
      </c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1"/>
      <c r="Y90" s="241"/>
      <c r="Z90" s="241"/>
    </row>
    <row r="91" spans="1:26" ht="18.75" customHeight="1">
      <c r="A91" s="228">
        <v>85</v>
      </c>
      <c r="B91" s="291" t="s">
        <v>603</v>
      </c>
      <c r="C91" s="234" t="s">
        <v>807</v>
      </c>
      <c r="D91" s="235"/>
      <c r="E91" s="236"/>
      <c r="F91" s="235">
        <v>8</v>
      </c>
      <c r="G91" s="243">
        <v>350000</v>
      </c>
      <c r="H91" s="1076">
        <f t="shared" si="13"/>
        <v>2800000</v>
      </c>
      <c r="I91" s="295" t="s">
        <v>808</v>
      </c>
      <c r="J91" s="293" t="s">
        <v>805</v>
      </c>
      <c r="K91" s="241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</row>
    <row r="92" spans="1:26" ht="18.75" customHeight="1">
      <c r="A92" s="214">
        <v>86</v>
      </c>
      <c r="B92" s="291" t="s">
        <v>603</v>
      </c>
      <c r="C92" s="234" t="s">
        <v>809</v>
      </c>
      <c r="D92" s="294"/>
      <c r="E92" s="236"/>
      <c r="F92" s="235">
        <v>8</v>
      </c>
      <c r="G92" s="243">
        <v>350000</v>
      </c>
      <c r="H92" s="1076">
        <f t="shared" si="13"/>
        <v>2800000</v>
      </c>
      <c r="I92" s="292" t="s">
        <v>808</v>
      </c>
      <c r="J92" s="293" t="s">
        <v>805</v>
      </c>
      <c r="K92" s="241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1"/>
      <c r="Y92" s="241"/>
      <c r="Z92" s="241"/>
    </row>
    <row r="93" spans="1:26" ht="18.75" customHeight="1">
      <c r="A93" s="221">
        <v>87</v>
      </c>
      <c r="B93" s="291" t="s">
        <v>603</v>
      </c>
      <c r="C93" s="1056" t="s">
        <v>810</v>
      </c>
      <c r="D93" s="1057"/>
      <c r="E93" s="553"/>
      <c r="F93" s="390">
        <v>5</v>
      </c>
      <c r="G93" s="413">
        <v>345000</v>
      </c>
      <c r="H93" s="1084">
        <f t="shared" si="13"/>
        <v>1725000</v>
      </c>
      <c r="I93" s="292" t="s">
        <v>811</v>
      </c>
      <c r="J93" s="293" t="s">
        <v>690</v>
      </c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</row>
    <row r="94" spans="1:26" ht="18.75" customHeight="1">
      <c r="A94" s="228">
        <v>88</v>
      </c>
      <c r="B94" s="1060" t="s">
        <v>766</v>
      </c>
      <c r="C94" s="1060" t="s">
        <v>812</v>
      </c>
      <c r="D94" s="1060"/>
      <c r="E94" s="1060">
        <v>1</v>
      </c>
      <c r="F94" s="1060">
        <v>1</v>
      </c>
      <c r="G94" s="1061">
        <v>400000</v>
      </c>
      <c r="H94" s="1085">
        <v>400000</v>
      </c>
      <c r="I94" s="1062"/>
      <c r="J94" s="296"/>
      <c r="K94" s="220"/>
      <c r="L94" s="220"/>
      <c r="M94" s="220"/>
      <c r="N94" s="220"/>
      <c r="O94" s="220"/>
      <c r="P94" s="220"/>
      <c r="Q94" s="220"/>
      <c r="R94" s="220"/>
      <c r="S94" s="220"/>
      <c r="T94" s="220"/>
      <c r="U94" s="220"/>
      <c r="V94" s="220"/>
      <c r="W94" s="220"/>
      <c r="X94" s="220"/>
      <c r="Y94" s="220"/>
      <c r="Z94" s="220"/>
    </row>
    <row r="95" spans="1:26" ht="18.75" customHeight="1">
      <c r="A95" s="214">
        <v>89</v>
      </c>
      <c r="B95" s="1060" t="s">
        <v>686</v>
      </c>
      <c r="C95" s="1063" t="s">
        <v>813</v>
      </c>
      <c r="D95" s="1060"/>
      <c r="E95" s="1060">
        <v>1</v>
      </c>
      <c r="F95" s="1060">
        <v>1</v>
      </c>
      <c r="G95" s="1061">
        <v>1500000</v>
      </c>
      <c r="H95" s="1085">
        <v>1500000</v>
      </c>
      <c r="I95" s="1062"/>
      <c r="J95" s="296"/>
      <c r="K95" s="220"/>
      <c r="L95" s="220"/>
      <c r="M95" s="220"/>
      <c r="N95" s="220"/>
      <c r="O95" s="220"/>
      <c r="P95" s="220"/>
      <c r="Q95" s="220"/>
      <c r="R95" s="220"/>
      <c r="S95" s="220"/>
      <c r="T95" s="220"/>
      <c r="U95" s="220"/>
      <c r="V95" s="220"/>
      <c r="W95" s="220"/>
      <c r="X95" s="220"/>
      <c r="Y95" s="220"/>
      <c r="Z95" s="220"/>
    </row>
    <row r="96" spans="1:26" ht="18.75" customHeight="1">
      <c r="A96" s="221">
        <v>90</v>
      </c>
      <c r="B96" s="1064" t="s">
        <v>603</v>
      </c>
      <c r="C96" s="1065" t="s">
        <v>814</v>
      </c>
      <c r="D96" s="1066"/>
      <c r="E96" s="1067"/>
      <c r="F96" s="1068">
        <v>3</v>
      </c>
      <c r="G96" s="1069">
        <v>345000</v>
      </c>
      <c r="H96" s="1086">
        <f t="shared" ref="H96:H97" si="14">SUM(G96*F96)</f>
        <v>1035000</v>
      </c>
      <c r="I96" s="1070" t="s">
        <v>815</v>
      </c>
      <c r="J96" s="293" t="s">
        <v>696</v>
      </c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</row>
    <row r="97" spans="1:26" ht="18.75" customHeight="1">
      <c r="A97" s="228">
        <v>91</v>
      </c>
      <c r="B97" s="291" t="s">
        <v>603</v>
      </c>
      <c r="C97" s="521" t="s">
        <v>816</v>
      </c>
      <c r="D97" s="520"/>
      <c r="E97" s="562"/>
      <c r="F97" s="1058">
        <v>8</v>
      </c>
      <c r="G97" s="1059">
        <v>300000</v>
      </c>
      <c r="H97" s="1087">
        <f t="shared" si="14"/>
        <v>2400000</v>
      </c>
      <c r="I97" s="292" t="s">
        <v>792</v>
      </c>
      <c r="J97" s="293" t="s">
        <v>690</v>
      </c>
      <c r="K97" s="241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</row>
    <row r="98" spans="1:26" ht="18.75" customHeight="1">
      <c r="A98" s="208"/>
      <c r="B98" s="208"/>
      <c r="D98" s="208"/>
      <c r="E98" s="208"/>
      <c r="F98" s="208"/>
      <c r="G98" s="209"/>
      <c r="H98" s="1071">
        <f>SUM(H7:H97)</f>
        <v>96627500</v>
      </c>
      <c r="I98" s="210"/>
    </row>
    <row r="99" spans="1:26" ht="18.75" customHeight="1">
      <c r="A99" s="208"/>
      <c r="B99" s="208"/>
      <c r="D99" s="208"/>
      <c r="E99" s="208"/>
      <c r="F99" s="208"/>
      <c r="G99" s="209"/>
      <c r="H99" s="1071"/>
      <c r="I99" s="210"/>
    </row>
    <row r="100" spans="1:26" ht="18.75" customHeight="1">
      <c r="A100" s="208"/>
      <c r="B100" s="208"/>
      <c r="D100" s="208"/>
      <c r="E100" s="208"/>
      <c r="F100" s="208"/>
      <c r="G100" s="209"/>
      <c r="H100" s="1049"/>
      <c r="I100" s="210"/>
    </row>
    <row r="101" spans="1:26" ht="18.75" customHeight="1">
      <c r="A101" s="208"/>
      <c r="B101" s="208"/>
      <c r="D101" s="208"/>
      <c r="E101" s="208"/>
      <c r="F101" s="208"/>
      <c r="G101" s="209"/>
      <c r="H101" s="1071"/>
      <c r="I101" s="210"/>
    </row>
    <row r="102" spans="1:26" ht="18.75" customHeight="1">
      <c r="A102" s="208"/>
      <c r="B102" s="208"/>
      <c r="D102" s="208"/>
      <c r="E102" s="208"/>
      <c r="F102" s="208"/>
      <c r="G102" s="209"/>
      <c r="H102" s="1071"/>
      <c r="I102" s="210"/>
    </row>
    <row r="103" spans="1:26" ht="18.75" customHeight="1">
      <c r="A103" s="208"/>
      <c r="B103" s="208"/>
      <c r="D103" s="208"/>
      <c r="E103" s="208"/>
      <c r="F103" s="208"/>
      <c r="G103" s="209"/>
      <c r="H103" s="1071"/>
      <c r="I103" s="210"/>
    </row>
    <row r="104" spans="1:26" ht="18.75" customHeight="1">
      <c r="A104" s="208"/>
      <c r="B104" s="208"/>
      <c r="D104" s="208"/>
      <c r="E104" s="208"/>
      <c r="F104" s="208"/>
      <c r="G104" s="209"/>
      <c r="H104" s="1071"/>
      <c r="I104" s="210"/>
    </row>
    <row r="105" spans="1:26" ht="18.75" customHeight="1">
      <c r="A105" s="208"/>
      <c r="B105" s="208"/>
      <c r="D105" s="208"/>
      <c r="E105" s="208"/>
      <c r="F105" s="1040"/>
      <c r="G105" s="209"/>
      <c r="H105" s="1071"/>
      <c r="I105" s="210"/>
    </row>
    <row r="106" spans="1:26" ht="18.75" customHeight="1">
      <c r="A106" s="208"/>
      <c r="B106" s="208"/>
      <c r="D106" s="208"/>
      <c r="E106" s="208"/>
      <c r="F106" s="1040"/>
      <c r="G106" s="209"/>
      <c r="H106" s="1071"/>
      <c r="I106" s="210"/>
    </row>
    <row r="107" spans="1:26" ht="18.75" customHeight="1">
      <c r="A107" s="208"/>
      <c r="B107" s="208"/>
      <c r="D107" s="208"/>
      <c r="E107" s="208"/>
      <c r="F107" s="208"/>
      <c r="G107" s="209"/>
      <c r="H107" s="1071"/>
      <c r="I107" s="210"/>
    </row>
    <row r="108" spans="1:26" ht="18.75" customHeight="1">
      <c r="A108" s="208"/>
      <c r="B108" s="208"/>
      <c r="D108" s="208"/>
      <c r="E108" s="208"/>
      <c r="F108" s="208"/>
      <c r="G108" s="209"/>
      <c r="H108" s="1071"/>
      <c r="I108" s="210"/>
    </row>
    <row r="109" spans="1:26" ht="18.75" customHeight="1">
      <c r="A109" s="208"/>
      <c r="B109" s="208"/>
      <c r="D109" s="208"/>
      <c r="E109" s="208"/>
      <c r="F109" s="208"/>
      <c r="G109" s="209"/>
      <c r="H109" s="1071"/>
      <c r="I109" s="210"/>
    </row>
    <row r="110" spans="1:26" ht="18.75" customHeight="1">
      <c r="A110" s="208"/>
      <c r="B110" s="208"/>
      <c r="D110" s="208"/>
      <c r="E110" s="208"/>
      <c r="F110" s="208"/>
      <c r="G110" s="209"/>
      <c r="H110" s="1071"/>
      <c r="I110" s="210"/>
    </row>
    <row r="111" spans="1:26" ht="18.75" customHeight="1">
      <c r="A111" s="208"/>
      <c r="B111" s="208"/>
      <c r="D111" s="208"/>
      <c r="E111" s="208"/>
      <c r="F111" s="208"/>
      <c r="G111" s="209"/>
      <c r="H111" s="1071"/>
      <c r="I111" s="210"/>
    </row>
    <row r="112" spans="1:26" ht="18.75" customHeight="1">
      <c r="A112" s="208"/>
      <c r="B112" s="208"/>
      <c r="D112" s="208"/>
      <c r="E112" s="208"/>
      <c r="F112" s="208"/>
      <c r="G112" s="209"/>
      <c r="H112" s="1071"/>
      <c r="I112" s="210"/>
    </row>
    <row r="113" spans="1:9" ht="18.75" customHeight="1">
      <c r="A113" s="208"/>
      <c r="B113" s="208"/>
      <c r="D113" s="208"/>
      <c r="E113" s="208"/>
      <c r="F113" s="208"/>
      <c r="G113" s="209"/>
      <c r="H113" s="1071"/>
      <c r="I113" s="210"/>
    </row>
    <row r="114" spans="1:9" ht="18.75" customHeight="1">
      <c r="A114" s="208"/>
      <c r="B114" s="208"/>
      <c r="D114" s="208"/>
      <c r="E114" s="208"/>
      <c r="F114" s="208"/>
      <c r="G114" s="209"/>
      <c r="H114" s="1071"/>
      <c r="I114" s="210"/>
    </row>
    <row r="115" spans="1:9" ht="18.75" customHeight="1">
      <c r="A115" s="208"/>
      <c r="B115" s="208"/>
      <c r="D115" s="208"/>
      <c r="E115" s="208"/>
      <c r="F115" s="208"/>
      <c r="G115" s="209"/>
      <c r="H115" s="1071"/>
      <c r="I115" s="210"/>
    </row>
    <row r="116" spans="1:9" ht="18.75" customHeight="1">
      <c r="A116" s="208"/>
      <c r="B116" s="208"/>
      <c r="D116" s="208"/>
      <c r="E116" s="208"/>
      <c r="F116" s="208"/>
      <c r="G116" s="209"/>
      <c r="H116" s="1071"/>
      <c r="I116" s="210"/>
    </row>
    <row r="117" spans="1:9" ht="18.75" customHeight="1">
      <c r="A117" s="208"/>
      <c r="B117" s="208"/>
      <c r="D117" s="208"/>
      <c r="E117" s="208"/>
      <c r="F117" s="208"/>
      <c r="G117" s="209"/>
      <c r="H117" s="1071"/>
      <c r="I117" s="210"/>
    </row>
    <row r="118" spans="1:9" ht="18.75" customHeight="1">
      <c r="A118" s="208"/>
      <c r="B118" s="208"/>
      <c r="D118" s="208"/>
      <c r="E118" s="208"/>
      <c r="F118" s="208"/>
      <c r="G118" s="209"/>
      <c r="H118" s="1071"/>
      <c r="I118" s="210"/>
    </row>
    <row r="119" spans="1:9" ht="18.75" customHeight="1">
      <c r="A119" s="208"/>
      <c r="B119" s="208"/>
      <c r="D119" s="208"/>
      <c r="E119" s="208"/>
      <c r="F119" s="208"/>
      <c r="G119" s="209"/>
      <c r="H119" s="1071"/>
      <c r="I119" s="210"/>
    </row>
    <row r="120" spans="1:9" ht="18.75" customHeight="1">
      <c r="A120" s="208"/>
      <c r="B120" s="208"/>
      <c r="D120" s="208"/>
      <c r="E120" s="208"/>
      <c r="F120" s="208"/>
      <c r="G120" s="209"/>
      <c r="H120" s="1071"/>
      <c r="I120" s="210"/>
    </row>
    <row r="121" spans="1:9" ht="18.75" customHeight="1">
      <c r="A121" s="208"/>
      <c r="B121" s="208"/>
      <c r="D121" s="208"/>
      <c r="E121" s="208"/>
      <c r="F121" s="208"/>
      <c r="G121" s="209"/>
      <c r="H121" s="1071"/>
      <c r="I121" s="210"/>
    </row>
    <row r="122" spans="1:9" ht="18.75" customHeight="1">
      <c r="A122" s="208"/>
      <c r="B122" s="208"/>
      <c r="D122" s="208"/>
      <c r="E122" s="208"/>
      <c r="F122" s="208"/>
      <c r="G122" s="209"/>
      <c r="H122" s="1071"/>
      <c r="I122" s="210"/>
    </row>
    <row r="123" spans="1:9" ht="18.75" customHeight="1">
      <c r="A123" s="208"/>
      <c r="B123" s="208"/>
      <c r="D123" s="208"/>
      <c r="E123" s="208"/>
      <c r="F123" s="208"/>
      <c r="G123" s="209"/>
      <c r="H123" s="1071"/>
      <c r="I123" s="210"/>
    </row>
    <row r="124" spans="1:9" ht="18.75" customHeight="1">
      <c r="A124" s="208"/>
      <c r="B124" s="208"/>
      <c r="D124" s="208"/>
      <c r="E124" s="208"/>
      <c r="F124" s="208"/>
      <c r="G124" s="209"/>
      <c r="H124" s="1071"/>
      <c r="I124" s="210"/>
    </row>
    <row r="125" spans="1:9" ht="18.75" customHeight="1">
      <c r="A125" s="208"/>
      <c r="B125" s="208"/>
      <c r="D125" s="208"/>
      <c r="E125" s="208"/>
      <c r="F125" s="208"/>
      <c r="G125" s="209"/>
      <c r="H125" s="1071"/>
      <c r="I125" s="210"/>
    </row>
    <row r="126" spans="1:9" ht="18.75" customHeight="1">
      <c r="A126" s="208"/>
      <c r="B126" s="208"/>
      <c r="D126" s="208"/>
      <c r="E126" s="208"/>
      <c r="F126" s="208"/>
      <c r="G126" s="209"/>
      <c r="H126" s="1071"/>
      <c r="I126" s="210"/>
    </row>
    <row r="127" spans="1:9" ht="18.75" customHeight="1">
      <c r="A127" s="208"/>
      <c r="B127" s="208"/>
      <c r="D127" s="208"/>
      <c r="E127" s="208"/>
      <c r="F127" s="208"/>
      <c r="G127" s="209"/>
      <c r="H127" s="1071"/>
      <c r="I127" s="210"/>
    </row>
    <row r="128" spans="1:9" ht="18.75" customHeight="1">
      <c r="A128" s="208"/>
      <c r="B128" s="208"/>
      <c r="D128" s="208"/>
      <c r="E128" s="208"/>
      <c r="F128" s="208"/>
      <c r="G128" s="209"/>
      <c r="H128" s="1071"/>
      <c r="I128" s="210"/>
    </row>
    <row r="129" spans="1:9" ht="18.75" customHeight="1">
      <c r="A129" s="208"/>
      <c r="B129" s="208"/>
      <c r="D129" s="208"/>
      <c r="E129" s="208"/>
      <c r="F129" s="208"/>
      <c r="G129" s="209"/>
      <c r="H129" s="1071"/>
      <c r="I129" s="210"/>
    </row>
    <row r="130" spans="1:9" ht="18.75" customHeight="1">
      <c r="A130" s="208"/>
      <c r="B130" s="208"/>
      <c r="D130" s="208"/>
      <c r="E130" s="208"/>
      <c r="F130" s="208"/>
      <c r="G130" s="209"/>
      <c r="H130" s="1071"/>
      <c r="I130" s="210"/>
    </row>
    <row r="131" spans="1:9" ht="18.75" customHeight="1">
      <c r="A131" s="208"/>
      <c r="B131" s="208"/>
      <c r="D131" s="208"/>
      <c r="E131" s="208"/>
      <c r="F131" s="208"/>
      <c r="G131" s="209"/>
      <c r="H131" s="1071"/>
      <c r="I131" s="210"/>
    </row>
    <row r="132" spans="1:9" ht="18.75" customHeight="1">
      <c r="A132" s="208"/>
      <c r="B132" s="208"/>
      <c r="D132" s="208"/>
      <c r="E132" s="208"/>
      <c r="F132" s="208"/>
      <c r="G132" s="209"/>
      <c r="H132" s="1071"/>
      <c r="I132" s="210"/>
    </row>
    <row r="133" spans="1:9" ht="18.75" customHeight="1">
      <c r="A133" s="208"/>
      <c r="B133" s="208"/>
      <c r="D133" s="208"/>
      <c r="E133" s="208"/>
      <c r="F133" s="208"/>
      <c r="G133" s="209"/>
      <c r="H133" s="1071"/>
      <c r="I133" s="210"/>
    </row>
    <row r="134" spans="1:9" ht="18.75" customHeight="1">
      <c r="A134" s="208"/>
      <c r="B134" s="208"/>
      <c r="D134" s="208"/>
      <c r="E134" s="208"/>
      <c r="F134" s="208"/>
      <c r="G134" s="209"/>
      <c r="H134" s="1071"/>
      <c r="I134" s="210"/>
    </row>
    <row r="135" spans="1:9" ht="18.75" customHeight="1">
      <c r="A135" s="208"/>
      <c r="B135" s="208"/>
      <c r="D135" s="208"/>
      <c r="E135" s="208"/>
      <c r="F135" s="208"/>
      <c r="G135" s="209"/>
      <c r="H135" s="1071"/>
      <c r="I135" s="210"/>
    </row>
    <row r="136" spans="1:9" ht="18.75" customHeight="1">
      <c r="A136" s="208"/>
      <c r="B136" s="208"/>
      <c r="D136" s="208"/>
      <c r="E136" s="208"/>
      <c r="F136" s="208"/>
      <c r="G136" s="209"/>
      <c r="H136" s="1071"/>
      <c r="I136" s="210"/>
    </row>
    <row r="137" spans="1:9" ht="18.75" customHeight="1">
      <c r="A137" s="208"/>
      <c r="B137" s="208"/>
      <c r="D137" s="208"/>
      <c r="E137" s="208"/>
      <c r="F137" s="208"/>
      <c r="G137" s="209"/>
      <c r="H137" s="1071"/>
      <c r="I137" s="210"/>
    </row>
    <row r="138" spans="1:9" ht="18.75" customHeight="1">
      <c r="A138" s="208"/>
      <c r="B138" s="208"/>
      <c r="D138" s="208"/>
      <c r="E138" s="208"/>
      <c r="F138" s="208"/>
      <c r="G138" s="209"/>
      <c r="H138" s="1071"/>
      <c r="I138" s="210"/>
    </row>
    <row r="139" spans="1:9" ht="18.75" customHeight="1">
      <c r="A139" s="208"/>
      <c r="B139" s="208"/>
      <c r="D139" s="208"/>
      <c r="E139" s="208"/>
      <c r="F139" s="208"/>
      <c r="G139" s="209"/>
      <c r="H139" s="1071"/>
      <c r="I139" s="210"/>
    </row>
    <row r="140" spans="1:9" ht="18.75" customHeight="1">
      <c r="A140" s="208"/>
      <c r="B140" s="208"/>
      <c r="D140" s="208"/>
      <c r="E140" s="208"/>
      <c r="F140" s="208"/>
      <c r="G140" s="209"/>
      <c r="H140" s="1071"/>
      <c r="I140" s="210"/>
    </row>
    <row r="141" spans="1:9" ht="18.75" customHeight="1">
      <c r="A141" s="208"/>
      <c r="B141" s="208"/>
      <c r="D141" s="208"/>
      <c r="E141" s="208"/>
      <c r="F141" s="208"/>
      <c r="G141" s="209"/>
      <c r="H141" s="1071"/>
      <c r="I141" s="210"/>
    </row>
    <row r="142" spans="1:9" ht="18.75" customHeight="1">
      <c r="A142" s="208"/>
      <c r="B142" s="208"/>
      <c r="D142" s="208"/>
      <c r="E142" s="208"/>
      <c r="F142" s="208"/>
      <c r="G142" s="209"/>
      <c r="H142" s="1071"/>
      <c r="I142" s="210"/>
    </row>
    <row r="143" spans="1:9" ht="18.75" customHeight="1">
      <c r="A143" s="208"/>
      <c r="B143" s="208"/>
      <c r="D143" s="208"/>
      <c r="E143" s="208"/>
      <c r="F143" s="208"/>
      <c r="G143" s="209"/>
      <c r="H143" s="1071"/>
      <c r="I143" s="210"/>
    </row>
    <row r="144" spans="1:9" ht="18.75" customHeight="1">
      <c r="A144" s="208"/>
      <c r="B144" s="208"/>
      <c r="D144" s="208"/>
      <c r="E144" s="208"/>
      <c r="F144" s="208"/>
      <c r="G144" s="209"/>
      <c r="H144" s="1071"/>
      <c r="I144" s="210"/>
    </row>
    <row r="145" spans="1:9" ht="18.75" customHeight="1">
      <c r="A145" s="208"/>
      <c r="B145" s="208"/>
      <c r="D145" s="208"/>
      <c r="E145" s="208"/>
      <c r="F145" s="208"/>
      <c r="G145" s="209"/>
      <c r="H145" s="1071"/>
      <c r="I145" s="210"/>
    </row>
    <row r="146" spans="1:9" ht="18.75" customHeight="1">
      <c r="A146" s="208"/>
      <c r="B146" s="208"/>
      <c r="D146" s="208"/>
      <c r="E146" s="208"/>
      <c r="F146" s="208"/>
      <c r="G146" s="209"/>
      <c r="H146" s="1071"/>
      <c r="I146" s="210"/>
    </row>
    <row r="147" spans="1:9" ht="18.75" customHeight="1">
      <c r="A147" s="208"/>
      <c r="B147" s="208"/>
      <c r="D147" s="208"/>
      <c r="E147" s="208"/>
      <c r="F147" s="208"/>
      <c r="G147" s="209"/>
      <c r="H147" s="1071"/>
      <c r="I147" s="210"/>
    </row>
    <row r="148" spans="1:9" ht="18.75" customHeight="1">
      <c r="A148" s="208"/>
      <c r="B148" s="208"/>
      <c r="D148" s="208"/>
      <c r="E148" s="208"/>
      <c r="F148" s="208"/>
      <c r="G148" s="209"/>
      <c r="H148" s="1071"/>
      <c r="I148" s="210"/>
    </row>
    <row r="149" spans="1:9" ht="18.75" customHeight="1">
      <c r="A149" s="208"/>
      <c r="B149" s="208"/>
      <c r="D149" s="208"/>
      <c r="E149" s="208"/>
      <c r="F149" s="208"/>
      <c r="G149" s="209"/>
      <c r="H149" s="1071"/>
      <c r="I149" s="210"/>
    </row>
    <row r="150" spans="1:9" ht="18.75" customHeight="1">
      <c r="A150" s="208"/>
      <c r="B150" s="208"/>
      <c r="D150" s="208"/>
      <c r="E150" s="208"/>
      <c r="F150" s="208"/>
      <c r="G150" s="209"/>
      <c r="H150" s="1071"/>
      <c r="I150" s="210"/>
    </row>
    <row r="151" spans="1:9" ht="18.75" customHeight="1">
      <c r="A151" s="208"/>
      <c r="B151" s="208"/>
      <c r="D151" s="208"/>
      <c r="E151" s="208"/>
      <c r="F151" s="208"/>
      <c r="G151" s="209"/>
      <c r="H151" s="1071"/>
      <c r="I151" s="210"/>
    </row>
    <row r="152" spans="1:9" ht="18.75" customHeight="1">
      <c r="A152" s="208"/>
      <c r="B152" s="208"/>
      <c r="D152" s="208"/>
      <c r="E152" s="208"/>
      <c r="F152" s="208"/>
      <c r="G152" s="209"/>
      <c r="H152" s="1071"/>
      <c r="I152" s="210"/>
    </row>
    <row r="153" spans="1:9" ht="18.75" customHeight="1">
      <c r="A153" s="208"/>
      <c r="B153" s="208"/>
      <c r="D153" s="208"/>
      <c r="E153" s="208"/>
      <c r="F153" s="208"/>
      <c r="G153" s="209"/>
      <c r="H153" s="1071"/>
      <c r="I153" s="210"/>
    </row>
    <row r="154" spans="1:9" ht="18.75" customHeight="1">
      <c r="A154" s="208"/>
      <c r="B154" s="208"/>
      <c r="D154" s="208"/>
      <c r="E154" s="208"/>
      <c r="F154" s="208"/>
      <c r="G154" s="209"/>
      <c r="H154" s="1071"/>
      <c r="I154" s="210"/>
    </row>
    <row r="155" spans="1:9" ht="18.75" customHeight="1">
      <c r="A155" s="208"/>
      <c r="B155" s="208"/>
      <c r="D155" s="208"/>
      <c r="E155" s="208"/>
      <c r="F155" s="208"/>
      <c r="G155" s="209"/>
      <c r="H155" s="1071"/>
      <c r="I155" s="210"/>
    </row>
    <row r="156" spans="1:9" ht="18.75" customHeight="1">
      <c r="A156" s="208"/>
      <c r="B156" s="208"/>
      <c r="D156" s="208"/>
      <c r="E156" s="208"/>
      <c r="F156" s="208"/>
      <c r="G156" s="209"/>
      <c r="H156" s="1071"/>
      <c r="I156" s="210"/>
    </row>
    <row r="157" spans="1:9" ht="18.75" customHeight="1">
      <c r="A157" s="208"/>
      <c r="B157" s="208"/>
      <c r="D157" s="208"/>
      <c r="E157" s="208"/>
      <c r="F157" s="208"/>
      <c r="G157" s="209"/>
      <c r="H157" s="1071"/>
      <c r="I157" s="210"/>
    </row>
    <row r="158" spans="1:9" ht="18.75" customHeight="1">
      <c r="A158" s="208"/>
      <c r="B158" s="208"/>
      <c r="D158" s="208"/>
      <c r="E158" s="208"/>
      <c r="F158" s="208"/>
      <c r="G158" s="209"/>
      <c r="H158" s="1071"/>
      <c r="I158" s="210"/>
    </row>
    <row r="159" spans="1:9" ht="18.75" customHeight="1">
      <c r="A159" s="208"/>
      <c r="B159" s="208"/>
      <c r="D159" s="208"/>
      <c r="E159" s="208"/>
      <c r="F159" s="208"/>
      <c r="G159" s="209"/>
      <c r="H159" s="1071"/>
      <c r="I159" s="210"/>
    </row>
    <row r="160" spans="1:9" ht="18.75" customHeight="1">
      <c r="A160" s="208"/>
      <c r="B160" s="208"/>
      <c r="D160" s="208"/>
      <c r="E160" s="208"/>
      <c r="F160" s="208"/>
      <c r="G160" s="209"/>
      <c r="H160" s="1071"/>
      <c r="I160" s="210"/>
    </row>
    <row r="161" spans="1:9" ht="18.75" customHeight="1">
      <c r="A161" s="208"/>
      <c r="B161" s="208"/>
      <c r="D161" s="208"/>
      <c r="E161" s="208"/>
      <c r="F161" s="208"/>
      <c r="G161" s="209"/>
      <c r="H161" s="1071"/>
      <c r="I161" s="210"/>
    </row>
    <row r="162" spans="1:9" ht="18.75" customHeight="1">
      <c r="A162" s="208"/>
      <c r="B162" s="208"/>
      <c r="D162" s="208"/>
      <c r="E162" s="208"/>
      <c r="F162" s="208"/>
      <c r="G162" s="209"/>
      <c r="H162" s="1071"/>
      <c r="I162" s="210"/>
    </row>
    <row r="163" spans="1:9" ht="18.75" customHeight="1">
      <c r="A163" s="208"/>
      <c r="B163" s="208"/>
      <c r="D163" s="208"/>
      <c r="E163" s="208"/>
      <c r="F163" s="208"/>
      <c r="G163" s="209"/>
      <c r="H163" s="1071"/>
      <c r="I163" s="210"/>
    </row>
    <row r="164" spans="1:9" ht="18.75" customHeight="1">
      <c r="A164" s="208"/>
      <c r="B164" s="208"/>
      <c r="D164" s="208"/>
      <c r="E164" s="208"/>
      <c r="F164" s="208"/>
      <c r="G164" s="209"/>
      <c r="H164" s="1071"/>
      <c r="I164" s="210"/>
    </row>
    <row r="165" spans="1:9" ht="18.75" customHeight="1">
      <c r="A165" s="208"/>
      <c r="B165" s="208"/>
      <c r="D165" s="208"/>
      <c r="E165" s="208"/>
      <c r="F165" s="208"/>
      <c r="G165" s="209"/>
      <c r="H165" s="1071"/>
      <c r="I165" s="210"/>
    </row>
    <row r="166" spans="1:9" ht="18.75" customHeight="1">
      <c r="A166" s="208"/>
      <c r="B166" s="208"/>
      <c r="D166" s="208"/>
      <c r="E166" s="208"/>
      <c r="F166" s="208"/>
      <c r="G166" s="209"/>
      <c r="H166" s="1071"/>
      <c r="I166" s="210"/>
    </row>
    <row r="167" spans="1:9" ht="18.75" customHeight="1">
      <c r="A167" s="208"/>
      <c r="B167" s="208"/>
      <c r="D167" s="208"/>
      <c r="E167" s="208"/>
      <c r="F167" s="208"/>
      <c r="G167" s="209"/>
      <c r="H167" s="1071"/>
      <c r="I167" s="210"/>
    </row>
    <row r="168" spans="1:9" ht="18.75" customHeight="1">
      <c r="A168" s="208"/>
      <c r="B168" s="208"/>
      <c r="D168" s="208"/>
      <c r="E168" s="208"/>
      <c r="F168" s="208"/>
      <c r="G168" s="209"/>
      <c r="H168" s="1071"/>
      <c r="I168" s="210"/>
    </row>
    <row r="169" spans="1:9" ht="18.75" customHeight="1">
      <c r="A169" s="208"/>
      <c r="B169" s="208"/>
      <c r="D169" s="208"/>
      <c r="E169" s="208"/>
      <c r="F169" s="208"/>
      <c r="G169" s="209"/>
      <c r="H169" s="1071"/>
      <c r="I169" s="210"/>
    </row>
    <row r="170" spans="1:9" ht="18.75" customHeight="1">
      <c r="A170" s="208"/>
      <c r="B170" s="208"/>
      <c r="D170" s="208"/>
      <c r="E170" s="208"/>
      <c r="F170" s="208"/>
      <c r="G170" s="209"/>
      <c r="H170" s="1071"/>
      <c r="I170" s="210"/>
    </row>
    <row r="171" spans="1:9" ht="18.75" customHeight="1">
      <c r="A171" s="208"/>
      <c r="B171" s="208"/>
      <c r="D171" s="208"/>
      <c r="E171" s="208"/>
      <c r="F171" s="208"/>
      <c r="G171" s="209"/>
      <c r="H171" s="1071"/>
      <c r="I171" s="210"/>
    </row>
    <row r="172" spans="1:9" ht="18.75" customHeight="1">
      <c r="A172" s="208"/>
      <c r="B172" s="208"/>
      <c r="D172" s="208"/>
      <c r="E172" s="208"/>
      <c r="F172" s="208"/>
      <c r="G172" s="209"/>
      <c r="H172" s="1071"/>
      <c r="I172" s="210"/>
    </row>
    <row r="173" spans="1:9" ht="18.75" customHeight="1">
      <c r="A173" s="208"/>
      <c r="B173" s="208"/>
      <c r="D173" s="208"/>
      <c r="E173" s="208"/>
      <c r="F173" s="208"/>
      <c r="G173" s="209"/>
      <c r="H173" s="1071"/>
      <c r="I173" s="210"/>
    </row>
    <row r="174" spans="1:9" ht="18.75" customHeight="1">
      <c r="A174" s="208"/>
      <c r="B174" s="208"/>
      <c r="D174" s="208"/>
      <c r="E174" s="208"/>
      <c r="F174" s="208"/>
      <c r="G174" s="209"/>
      <c r="H174" s="1071"/>
      <c r="I174" s="210"/>
    </row>
    <row r="175" spans="1:9" ht="18.75" customHeight="1">
      <c r="A175" s="208"/>
      <c r="B175" s="208"/>
      <c r="D175" s="208"/>
      <c r="E175" s="208"/>
      <c r="F175" s="208"/>
      <c r="G175" s="209"/>
      <c r="H175" s="1071"/>
      <c r="I175" s="210"/>
    </row>
    <row r="176" spans="1:9" ht="18.75" customHeight="1">
      <c r="A176" s="208"/>
      <c r="B176" s="208"/>
      <c r="D176" s="208"/>
      <c r="E176" s="208"/>
      <c r="F176" s="208"/>
      <c r="G176" s="209"/>
      <c r="H176" s="1071"/>
      <c r="I176" s="210"/>
    </row>
    <row r="177" spans="1:9" ht="18.75" customHeight="1">
      <c r="A177" s="208"/>
      <c r="B177" s="208"/>
      <c r="D177" s="208"/>
      <c r="E177" s="208"/>
      <c r="F177" s="208"/>
      <c r="G177" s="209"/>
      <c r="H177" s="1071"/>
      <c r="I177" s="210"/>
    </row>
    <row r="178" spans="1:9" ht="18.75" customHeight="1">
      <c r="A178" s="208"/>
      <c r="B178" s="208"/>
      <c r="D178" s="208"/>
      <c r="E178" s="208"/>
      <c r="F178" s="208"/>
      <c r="G178" s="209"/>
      <c r="H178" s="1071"/>
      <c r="I178" s="210"/>
    </row>
    <row r="179" spans="1:9" ht="18.75" customHeight="1">
      <c r="A179" s="208"/>
      <c r="B179" s="208"/>
      <c r="D179" s="208"/>
      <c r="E179" s="208"/>
      <c r="F179" s="208"/>
      <c r="G179" s="209"/>
      <c r="H179" s="1071"/>
      <c r="I179" s="210"/>
    </row>
    <row r="180" spans="1:9" ht="18.75" customHeight="1">
      <c r="A180" s="208"/>
      <c r="B180" s="208"/>
      <c r="D180" s="208"/>
      <c r="E180" s="208"/>
      <c r="F180" s="208"/>
      <c r="G180" s="209"/>
      <c r="H180" s="1071"/>
      <c r="I180" s="210"/>
    </row>
    <row r="181" spans="1:9" ht="18.75" customHeight="1">
      <c r="A181" s="208"/>
      <c r="B181" s="208"/>
      <c r="D181" s="208"/>
      <c r="E181" s="208"/>
      <c r="F181" s="208"/>
      <c r="G181" s="209"/>
      <c r="H181" s="1071"/>
      <c r="I181" s="210"/>
    </row>
    <row r="182" spans="1:9" ht="18.75" customHeight="1">
      <c r="A182" s="208"/>
      <c r="B182" s="208"/>
      <c r="D182" s="208"/>
      <c r="E182" s="208"/>
      <c r="F182" s="208"/>
      <c r="G182" s="209"/>
      <c r="H182" s="1071"/>
      <c r="I182" s="210"/>
    </row>
    <row r="183" spans="1:9" ht="18.75" customHeight="1">
      <c r="A183" s="208"/>
      <c r="B183" s="208"/>
      <c r="D183" s="208"/>
      <c r="E183" s="208"/>
      <c r="F183" s="208"/>
      <c r="G183" s="209"/>
      <c r="H183" s="1071"/>
      <c r="I183" s="210"/>
    </row>
    <row r="184" spans="1:9" ht="18.75" customHeight="1">
      <c r="A184" s="208"/>
      <c r="B184" s="208"/>
      <c r="D184" s="208"/>
      <c r="E184" s="208"/>
      <c r="F184" s="208"/>
      <c r="G184" s="209"/>
      <c r="H184" s="1071"/>
      <c r="I184" s="210"/>
    </row>
    <row r="185" spans="1:9" ht="18.75" customHeight="1">
      <c r="A185" s="208"/>
      <c r="B185" s="208"/>
      <c r="D185" s="208"/>
      <c r="E185" s="208"/>
      <c r="F185" s="208"/>
      <c r="G185" s="209"/>
      <c r="H185" s="1071"/>
      <c r="I185" s="210"/>
    </row>
    <row r="186" spans="1:9" ht="18.75" customHeight="1">
      <c r="A186" s="208"/>
      <c r="B186" s="208"/>
      <c r="D186" s="208"/>
      <c r="E186" s="208"/>
      <c r="F186" s="208"/>
      <c r="G186" s="209"/>
      <c r="H186" s="1071"/>
      <c r="I186" s="210"/>
    </row>
    <row r="187" spans="1:9" ht="18.75" customHeight="1">
      <c r="A187" s="208"/>
      <c r="B187" s="208"/>
      <c r="D187" s="208"/>
      <c r="E187" s="208"/>
      <c r="F187" s="208"/>
      <c r="G187" s="209"/>
      <c r="H187" s="1071"/>
      <c r="I187" s="210"/>
    </row>
    <row r="188" spans="1:9" ht="18.75" customHeight="1">
      <c r="A188" s="208"/>
      <c r="B188" s="208"/>
      <c r="D188" s="208"/>
      <c r="E188" s="208"/>
      <c r="F188" s="208"/>
      <c r="G188" s="209"/>
      <c r="H188" s="1071"/>
      <c r="I188" s="210"/>
    </row>
    <row r="189" spans="1:9" ht="18.75" customHeight="1">
      <c r="A189" s="208"/>
      <c r="B189" s="208"/>
      <c r="D189" s="208"/>
      <c r="E189" s="208"/>
      <c r="F189" s="208"/>
      <c r="G189" s="209"/>
      <c r="H189" s="1071"/>
      <c r="I189" s="210"/>
    </row>
    <row r="190" spans="1:9" ht="18.75" customHeight="1">
      <c r="A190" s="208"/>
      <c r="B190" s="208"/>
      <c r="D190" s="208"/>
      <c r="E190" s="208"/>
      <c r="F190" s="208"/>
      <c r="G190" s="209"/>
      <c r="H190" s="1071"/>
      <c r="I190" s="210"/>
    </row>
    <row r="191" spans="1:9" ht="18.75" customHeight="1">
      <c r="A191" s="208"/>
      <c r="B191" s="208"/>
      <c r="D191" s="208"/>
      <c r="E191" s="208"/>
      <c r="F191" s="208"/>
      <c r="G191" s="209"/>
      <c r="H191" s="1071"/>
      <c r="I191" s="210"/>
    </row>
    <row r="192" spans="1:9" ht="18.75" customHeight="1">
      <c r="A192" s="208"/>
      <c r="B192" s="208"/>
      <c r="D192" s="208"/>
      <c r="E192" s="208"/>
      <c r="F192" s="208"/>
      <c r="G192" s="209"/>
      <c r="H192" s="1071"/>
      <c r="I192" s="210"/>
    </row>
    <row r="193" spans="1:9" ht="18.75" customHeight="1">
      <c r="A193" s="208"/>
      <c r="B193" s="208"/>
      <c r="D193" s="208"/>
      <c r="E193" s="208"/>
      <c r="F193" s="208"/>
      <c r="G193" s="209"/>
      <c r="H193" s="1071"/>
      <c r="I193" s="210"/>
    </row>
    <row r="194" spans="1:9" ht="18.75" customHeight="1">
      <c r="A194" s="208"/>
      <c r="B194" s="208"/>
      <c r="D194" s="208"/>
      <c r="E194" s="208"/>
      <c r="F194" s="208"/>
      <c r="G194" s="209"/>
      <c r="H194" s="1071"/>
      <c r="I194" s="210"/>
    </row>
    <row r="195" spans="1:9" ht="18.75" customHeight="1">
      <c r="A195" s="208"/>
      <c r="B195" s="208"/>
      <c r="D195" s="208"/>
      <c r="E195" s="208"/>
      <c r="F195" s="208"/>
      <c r="G195" s="209"/>
      <c r="H195" s="1071"/>
      <c r="I195" s="210"/>
    </row>
    <row r="196" spans="1:9" ht="18.75" customHeight="1">
      <c r="A196" s="208"/>
      <c r="B196" s="208"/>
      <c r="D196" s="208"/>
      <c r="E196" s="208"/>
      <c r="F196" s="208"/>
      <c r="G196" s="209"/>
      <c r="H196" s="1071"/>
      <c r="I196" s="210"/>
    </row>
    <row r="197" spans="1:9" ht="18.75" customHeight="1">
      <c r="A197" s="208"/>
      <c r="B197" s="208"/>
      <c r="D197" s="208"/>
      <c r="E197" s="208"/>
      <c r="F197" s="208"/>
      <c r="G197" s="209"/>
      <c r="H197" s="1071"/>
      <c r="I197" s="210"/>
    </row>
    <row r="198" spans="1:9" ht="18.75" customHeight="1">
      <c r="A198" s="208"/>
      <c r="B198" s="208"/>
      <c r="D198" s="208"/>
      <c r="E198" s="208"/>
      <c r="F198" s="208"/>
      <c r="G198" s="209"/>
      <c r="H198" s="1071"/>
      <c r="I198" s="210"/>
    </row>
    <row r="199" spans="1:9" ht="18.75" customHeight="1">
      <c r="A199" s="208"/>
      <c r="B199" s="208"/>
      <c r="D199" s="208"/>
      <c r="E199" s="208"/>
      <c r="F199" s="208"/>
      <c r="G199" s="209"/>
      <c r="H199" s="1071"/>
      <c r="I199" s="210"/>
    </row>
    <row r="200" spans="1:9" ht="18.75" customHeight="1">
      <c r="A200" s="208"/>
      <c r="B200" s="208"/>
      <c r="D200" s="208"/>
      <c r="E200" s="208"/>
      <c r="F200" s="208"/>
      <c r="G200" s="209"/>
      <c r="H200" s="1071"/>
      <c r="I200" s="210"/>
    </row>
    <row r="201" spans="1:9" ht="18.75" customHeight="1">
      <c r="A201" s="208"/>
      <c r="B201" s="208"/>
      <c r="D201" s="208"/>
      <c r="E201" s="208"/>
      <c r="F201" s="208"/>
      <c r="G201" s="209"/>
      <c r="H201" s="1071"/>
      <c r="I201" s="210"/>
    </row>
    <row r="202" spans="1:9" ht="18.75" customHeight="1">
      <c r="A202" s="208"/>
      <c r="B202" s="208"/>
      <c r="D202" s="208"/>
      <c r="E202" s="208"/>
      <c r="F202" s="208"/>
      <c r="G202" s="209"/>
      <c r="H202" s="1071"/>
      <c r="I202" s="210"/>
    </row>
    <row r="203" spans="1:9" ht="18.75" customHeight="1">
      <c r="A203" s="208"/>
      <c r="B203" s="208"/>
      <c r="D203" s="208"/>
      <c r="E203" s="208"/>
      <c r="F203" s="208"/>
      <c r="G203" s="209"/>
      <c r="H203" s="1071"/>
      <c r="I203" s="210"/>
    </row>
    <row r="204" spans="1:9" ht="18.75" customHeight="1">
      <c r="A204" s="208"/>
      <c r="B204" s="208"/>
      <c r="D204" s="208"/>
      <c r="E204" s="208"/>
      <c r="F204" s="208"/>
      <c r="G204" s="209"/>
      <c r="H204" s="1071"/>
      <c r="I204" s="210"/>
    </row>
    <row r="205" spans="1:9" ht="18.75" customHeight="1">
      <c r="A205" s="208"/>
      <c r="B205" s="208"/>
      <c r="D205" s="208"/>
      <c r="E205" s="208"/>
      <c r="F205" s="208"/>
      <c r="G205" s="209"/>
      <c r="H205" s="1071"/>
      <c r="I205" s="210"/>
    </row>
    <row r="206" spans="1:9" ht="18.75" customHeight="1">
      <c r="A206" s="208"/>
      <c r="B206" s="208"/>
      <c r="D206" s="208"/>
      <c r="E206" s="208"/>
      <c r="F206" s="208"/>
      <c r="G206" s="209"/>
      <c r="H206" s="1071"/>
      <c r="I206" s="210"/>
    </row>
    <row r="207" spans="1:9" ht="18.75" customHeight="1">
      <c r="A207" s="208"/>
      <c r="B207" s="208"/>
      <c r="D207" s="208"/>
      <c r="E207" s="208"/>
      <c r="F207" s="208"/>
      <c r="G207" s="209"/>
      <c r="H207" s="1071"/>
      <c r="I207" s="210"/>
    </row>
    <row r="208" spans="1:9" ht="18.75" customHeight="1">
      <c r="A208" s="208"/>
      <c r="B208" s="208"/>
      <c r="D208" s="208"/>
      <c r="E208" s="208"/>
      <c r="F208" s="208"/>
      <c r="G208" s="209"/>
      <c r="H208" s="1071"/>
      <c r="I208" s="210"/>
    </row>
    <row r="209" spans="1:9" ht="18.75" customHeight="1">
      <c r="A209" s="208"/>
      <c r="B209" s="208"/>
      <c r="D209" s="208"/>
      <c r="E209" s="208"/>
      <c r="F209" s="208"/>
      <c r="G209" s="209"/>
      <c r="H209" s="1071"/>
      <c r="I209" s="210"/>
    </row>
    <row r="210" spans="1:9" ht="18.75" customHeight="1">
      <c r="A210" s="208"/>
      <c r="B210" s="208"/>
      <c r="D210" s="208"/>
      <c r="E210" s="208"/>
      <c r="F210" s="208"/>
      <c r="G210" s="209"/>
      <c r="H210" s="1071"/>
      <c r="I210" s="210"/>
    </row>
    <row r="211" spans="1:9" ht="18.75" customHeight="1">
      <c r="A211" s="208"/>
      <c r="B211" s="208"/>
      <c r="D211" s="208"/>
      <c r="E211" s="208"/>
      <c r="F211" s="208"/>
      <c r="G211" s="209"/>
      <c r="H211" s="1071"/>
      <c r="I211" s="210"/>
    </row>
    <row r="212" spans="1:9" ht="18.75" customHeight="1">
      <c r="A212" s="208"/>
      <c r="B212" s="208"/>
      <c r="D212" s="208"/>
      <c r="E212" s="208"/>
      <c r="F212" s="208"/>
      <c r="G212" s="209"/>
      <c r="H212" s="1071"/>
      <c r="I212" s="210"/>
    </row>
    <row r="213" spans="1:9" ht="18.75" customHeight="1">
      <c r="A213" s="208"/>
      <c r="B213" s="208"/>
      <c r="D213" s="208"/>
      <c r="E213" s="208"/>
      <c r="F213" s="208"/>
      <c r="G213" s="209"/>
      <c r="H213" s="1071"/>
      <c r="I213" s="210"/>
    </row>
    <row r="214" spans="1:9" ht="18.75" customHeight="1">
      <c r="A214" s="208"/>
      <c r="B214" s="208"/>
      <c r="D214" s="208"/>
      <c r="E214" s="208"/>
      <c r="F214" s="208"/>
      <c r="G214" s="209"/>
      <c r="H214" s="1071"/>
      <c r="I214" s="210"/>
    </row>
    <row r="215" spans="1:9" ht="18.75" customHeight="1">
      <c r="A215" s="208"/>
      <c r="B215" s="208"/>
      <c r="D215" s="208"/>
      <c r="E215" s="208"/>
      <c r="F215" s="208"/>
      <c r="G215" s="209"/>
      <c r="H215" s="1071"/>
      <c r="I215" s="210"/>
    </row>
    <row r="216" spans="1:9" ht="18.75" customHeight="1">
      <c r="A216" s="208"/>
      <c r="B216" s="208"/>
      <c r="D216" s="208"/>
      <c r="E216" s="208"/>
      <c r="F216" s="208"/>
      <c r="G216" s="209"/>
      <c r="H216" s="1071"/>
      <c r="I216" s="210"/>
    </row>
    <row r="217" spans="1:9" ht="18.75" customHeight="1">
      <c r="A217" s="208"/>
      <c r="B217" s="208"/>
      <c r="D217" s="208"/>
      <c r="E217" s="208"/>
      <c r="F217" s="208"/>
      <c r="G217" s="209"/>
      <c r="H217" s="1071"/>
      <c r="I217" s="210"/>
    </row>
    <row r="218" spans="1:9" ht="18.75" customHeight="1">
      <c r="A218" s="208"/>
      <c r="B218" s="208"/>
      <c r="D218" s="208"/>
      <c r="E218" s="208"/>
      <c r="F218" s="208"/>
      <c r="G218" s="209"/>
      <c r="H218" s="1071"/>
      <c r="I218" s="210"/>
    </row>
    <row r="219" spans="1:9" ht="18.75" customHeight="1">
      <c r="A219" s="208"/>
      <c r="B219" s="208"/>
      <c r="D219" s="208"/>
      <c r="E219" s="208"/>
      <c r="F219" s="208"/>
      <c r="G219" s="209"/>
      <c r="H219" s="1071"/>
      <c r="I219" s="210"/>
    </row>
    <row r="220" spans="1:9" ht="18.75" customHeight="1">
      <c r="A220" s="208"/>
      <c r="B220" s="208"/>
      <c r="D220" s="208"/>
      <c r="E220" s="208"/>
      <c r="F220" s="208"/>
      <c r="G220" s="209"/>
      <c r="H220" s="1071"/>
      <c r="I220" s="210"/>
    </row>
    <row r="221" spans="1:9" ht="18.75" customHeight="1">
      <c r="A221" s="208"/>
      <c r="B221" s="208"/>
      <c r="D221" s="208"/>
      <c r="E221" s="208"/>
      <c r="F221" s="208"/>
      <c r="G221" s="209"/>
      <c r="H221" s="1071"/>
      <c r="I221" s="210"/>
    </row>
    <row r="222" spans="1:9" ht="18.75" customHeight="1">
      <c r="A222" s="208"/>
      <c r="B222" s="208"/>
      <c r="D222" s="208"/>
      <c r="E222" s="208"/>
      <c r="F222" s="208"/>
      <c r="G222" s="209"/>
      <c r="H222" s="1071"/>
      <c r="I222" s="210"/>
    </row>
    <row r="223" spans="1:9" ht="18.75" customHeight="1">
      <c r="A223" s="208"/>
      <c r="B223" s="208"/>
      <c r="D223" s="208"/>
      <c r="E223" s="208"/>
      <c r="F223" s="208"/>
      <c r="G223" s="209"/>
      <c r="H223" s="1071"/>
      <c r="I223" s="210"/>
    </row>
    <row r="224" spans="1:9" ht="18.75" customHeight="1">
      <c r="A224" s="208"/>
      <c r="B224" s="208"/>
      <c r="D224" s="208"/>
      <c r="E224" s="208"/>
      <c r="F224" s="208"/>
      <c r="G224" s="209"/>
      <c r="H224" s="1071"/>
      <c r="I224" s="210"/>
    </row>
    <row r="225" spans="1:9" ht="18.75" customHeight="1">
      <c r="A225" s="208"/>
      <c r="B225" s="208"/>
      <c r="D225" s="208"/>
      <c r="E225" s="208"/>
      <c r="F225" s="208"/>
      <c r="G225" s="209"/>
      <c r="H225" s="1071"/>
      <c r="I225" s="210"/>
    </row>
    <row r="226" spans="1:9" ht="18.75" customHeight="1">
      <c r="A226" s="208"/>
      <c r="B226" s="208"/>
      <c r="D226" s="208"/>
      <c r="E226" s="208"/>
      <c r="F226" s="208"/>
      <c r="G226" s="209"/>
      <c r="H226" s="1071"/>
      <c r="I226" s="210"/>
    </row>
    <row r="227" spans="1:9" ht="18.75" customHeight="1">
      <c r="A227" s="208"/>
      <c r="B227" s="208"/>
      <c r="D227" s="208"/>
      <c r="E227" s="208"/>
      <c r="F227" s="208"/>
      <c r="G227" s="209"/>
      <c r="H227" s="1071"/>
      <c r="I227" s="210"/>
    </row>
    <row r="228" spans="1:9" ht="18.75" customHeight="1">
      <c r="A228" s="208"/>
      <c r="B228" s="208"/>
      <c r="D228" s="208"/>
      <c r="E228" s="208"/>
      <c r="F228" s="208"/>
      <c r="G228" s="209"/>
      <c r="H228" s="1071"/>
      <c r="I228" s="210"/>
    </row>
    <row r="229" spans="1:9" ht="18.75" customHeight="1">
      <c r="A229" s="208"/>
      <c r="B229" s="208"/>
      <c r="D229" s="208"/>
      <c r="E229" s="208"/>
      <c r="F229" s="208"/>
      <c r="G229" s="209"/>
      <c r="H229" s="1071"/>
      <c r="I229" s="210"/>
    </row>
    <row r="230" spans="1:9" ht="18.75" customHeight="1">
      <c r="A230" s="208"/>
      <c r="B230" s="208"/>
      <c r="D230" s="208"/>
      <c r="E230" s="208"/>
      <c r="F230" s="208"/>
      <c r="G230" s="209"/>
      <c r="H230" s="1071"/>
      <c r="I230" s="210"/>
    </row>
    <row r="231" spans="1:9" ht="18.75" customHeight="1">
      <c r="A231" s="208"/>
      <c r="B231" s="208"/>
      <c r="D231" s="208"/>
      <c r="E231" s="208"/>
      <c r="F231" s="208"/>
      <c r="G231" s="209"/>
      <c r="H231" s="1071"/>
      <c r="I231" s="210"/>
    </row>
    <row r="232" spans="1:9" ht="18.75" customHeight="1">
      <c r="A232" s="208"/>
      <c r="B232" s="208"/>
      <c r="D232" s="208"/>
      <c r="E232" s="208"/>
      <c r="F232" s="208"/>
      <c r="G232" s="209"/>
      <c r="H232" s="1071"/>
      <c r="I232" s="210"/>
    </row>
    <row r="233" spans="1:9" ht="18.75" customHeight="1">
      <c r="A233" s="208"/>
      <c r="B233" s="208"/>
      <c r="D233" s="208"/>
      <c r="E233" s="208"/>
      <c r="F233" s="208"/>
      <c r="G233" s="209"/>
      <c r="H233" s="1071"/>
      <c r="I233" s="210"/>
    </row>
    <row r="234" spans="1:9" ht="18.75" customHeight="1">
      <c r="A234" s="208"/>
      <c r="B234" s="208"/>
      <c r="D234" s="208"/>
      <c r="E234" s="208"/>
      <c r="F234" s="208"/>
      <c r="G234" s="209"/>
      <c r="H234" s="1071"/>
      <c r="I234" s="210"/>
    </row>
    <row r="235" spans="1:9" ht="18.75" customHeight="1">
      <c r="A235" s="208"/>
      <c r="B235" s="208"/>
      <c r="D235" s="208"/>
      <c r="E235" s="208"/>
      <c r="F235" s="208"/>
      <c r="G235" s="209"/>
      <c r="H235" s="1071"/>
      <c r="I235" s="210"/>
    </row>
    <row r="236" spans="1:9" ht="18.75" customHeight="1">
      <c r="A236" s="208"/>
      <c r="B236" s="208"/>
      <c r="D236" s="208"/>
      <c r="E236" s="208"/>
      <c r="F236" s="208"/>
      <c r="G236" s="209"/>
      <c r="H236" s="1071"/>
      <c r="I236" s="210"/>
    </row>
    <row r="237" spans="1:9" ht="18.75" customHeight="1">
      <c r="A237" s="208"/>
      <c r="B237" s="208"/>
      <c r="D237" s="208"/>
      <c r="E237" s="208"/>
      <c r="F237" s="208"/>
      <c r="G237" s="209"/>
      <c r="H237" s="1071"/>
      <c r="I237" s="210"/>
    </row>
    <row r="238" spans="1:9" ht="18.75" customHeight="1">
      <c r="A238" s="208"/>
      <c r="B238" s="208"/>
      <c r="D238" s="208"/>
      <c r="E238" s="208"/>
      <c r="F238" s="208"/>
      <c r="G238" s="209"/>
      <c r="H238" s="1071"/>
      <c r="I238" s="210"/>
    </row>
    <row r="239" spans="1:9" ht="18.75" customHeight="1">
      <c r="A239" s="208"/>
      <c r="B239" s="208"/>
      <c r="D239" s="208"/>
      <c r="E239" s="208"/>
      <c r="F239" s="208"/>
      <c r="G239" s="209"/>
      <c r="H239" s="1071"/>
      <c r="I239" s="210"/>
    </row>
    <row r="240" spans="1:9" ht="18.75" customHeight="1">
      <c r="A240" s="208"/>
      <c r="B240" s="208"/>
      <c r="D240" s="208"/>
      <c r="E240" s="208"/>
      <c r="F240" s="208"/>
      <c r="G240" s="209"/>
      <c r="H240" s="1071"/>
      <c r="I240" s="210"/>
    </row>
    <row r="241" spans="1:9" ht="18.75" customHeight="1">
      <c r="A241" s="208"/>
      <c r="B241" s="208"/>
      <c r="D241" s="208"/>
      <c r="E241" s="208"/>
      <c r="F241" s="208"/>
      <c r="G241" s="209"/>
      <c r="H241" s="1071"/>
      <c r="I241" s="210"/>
    </row>
    <row r="242" spans="1:9" ht="18.75" customHeight="1">
      <c r="A242" s="208"/>
      <c r="B242" s="208"/>
      <c r="D242" s="208"/>
      <c r="E242" s="208"/>
      <c r="F242" s="208"/>
      <c r="G242" s="209"/>
      <c r="H242" s="1071"/>
      <c r="I242" s="210"/>
    </row>
    <row r="243" spans="1:9" ht="18.75" customHeight="1">
      <c r="A243" s="208"/>
      <c r="B243" s="208"/>
      <c r="D243" s="208"/>
      <c r="E243" s="208"/>
      <c r="F243" s="208"/>
      <c r="G243" s="209"/>
      <c r="H243" s="1071"/>
      <c r="I243" s="210"/>
    </row>
    <row r="244" spans="1:9" ht="18.75" customHeight="1">
      <c r="A244" s="208"/>
      <c r="B244" s="208"/>
      <c r="D244" s="208"/>
      <c r="E244" s="208"/>
      <c r="F244" s="208"/>
      <c r="G244" s="209"/>
      <c r="H244" s="1071"/>
      <c r="I244" s="210"/>
    </row>
    <row r="245" spans="1:9" ht="18.75" customHeight="1">
      <c r="A245" s="208"/>
      <c r="B245" s="208"/>
      <c r="D245" s="208"/>
      <c r="E245" s="208"/>
      <c r="F245" s="208"/>
      <c r="G245" s="209"/>
      <c r="H245" s="1071"/>
      <c r="I245" s="210"/>
    </row>
    <row r="246" spans="1:9" ht="18.75" customHeight="1">
      <c r="A246" s="208"/>
      <c r="B246" s="208"/>
      <c r="D246" s="208"/>
      <c r="E246" s="208"/>
      <c r="F246" s="208"/>
      <c r="G246" s="209"/>
      <c r="H246" s="1071"/>
      <c r="I246" s="210"/>
    </row>
    <row r="247" spans="1:9" ht="18.75" customHeight="1">
      <c r="A247" s="208"/>
      <c r="B247" s="208"/>
      <c r="D247" s="208"/>
      <c r="E247" s="208"/>
      <c r="F247" s="208"/>
      <c r="G247" s="209"/>
      <c r="H247" s="1071"/>
      <c r="I247" s="210"/>
    </row>
    <row r="248" spans="1:9" ht="18.75" customHeight="1">
      <c r="A248" s="208"/>
      <c r="B248" s="208"/>
      <c r="D248" s="208"/>
      <c r="E248" s="208"/>
      <c r="F248" s="208"/>
      <c r="G248" s="209"/>
      <c r="H248" s="1071"/>
      <c r="I248" s="210"/>
    </row>
    <row r="249" spans="1:9" ht="18.75" customHeight="1">
      <c r="A249" s="208"/>
      <c r="B249" s="208"/>
      <c r="D249" s="208"/>
      <c r="E249" s="208"/>
      <c r="F249" s="208"/>
      <c r="G249" s="209"/>
      <c r="H249" s="1071"/>
      <c r="I249" s="210"/>
    </row>
    <row r="250" spans="1:9" ht="18.75" customHeight="1">
      <c r="A250" s="208"/>
      <c r="B250" s="208"/>
      <c r="D250" s="208"/>
      <c r="E250" s="208"/>
      <c r="F250" s="208"/>
      <c r="G250" s="209"/>
      <c r="H250" s="1071"/>
      <c r="I250" s="210"/>
    </row>
    <row r="251" spans="1:9" ht="18.75" customHeight="1">
      <c r="A251" s="208"/>
      <c r="B251" s="208"/>
      <c r="D251" s="208"/>
      <c r="E251" s="208"/>
      <c r="F251" s="208"/>
      <c r="G251" s="209"/>
      <c r="H251" s="1071"/>
      <c r="I251" s="210"/>
    </row>
    <row r="252" spans="1:9" ht="18.75" customHeight="1">
      <c r="A252" s="208"/>
      <c r="B252" s="208"/>
      <c r="D252" s="208"/>
      <c r="E252" s="208"/>
      <c r="F252" s="208"/>
      <c r="G252" s="209"/>
      <c r="H252" s="1071"/>
      <c r="I252" s="210"/>
    </row>
    <row r="253" spans="1:9" ht="18.75" customHeight="1">
      <c r="A253" s="208"/>
      <c r="B253" s="208"/>
      <c r="D253" s="208"/>
      <c r="E253" s="208"/>
      <c r="F253" s="208"/>
      <c r="G253" s="209"/>
      <c r="H253" s="1071"/>
      <c r="I253" s="210"/>
    </row>
    <row r="254" spans="1:9" ht="18.75" customHeight="1">
      <c r="A254" s="208"/>
      <c r="B254" s="208"/>
      <c r="D254" s="208"/>
      <c r="E254" s="208"/>
      <c r="F254" s="208"/>
      <c r="G254" s="209"/>
      <c r="H254" s="1071"/>
      <c r="I254" s="210"/>
    </row>
    <row r="255" spans="1:9" ht="18.75" customHeight="1">
      <c r="A255" s="208"/>
      <c r="B255" s="208"/>
      <c r="D255" s="208"/>
      <c r="E255" s="208"/>
      <c r="F255" s="208"/>
      <c r="G255" s="209"/>
      <c r="H255" s="1071"/>
      <c r="I255" s="210"/>
    </row>
    <row r="256" spans="1:9" ht="18.75" customHeight="1">
      <c r="A256" s="208"/>
      <c r="B256" s="208"/>
      <c r="D256" s="208"/>
      <c r="E256" s="208"/>
      <c r="F256" s="208"/>
      <c r="G256" s="209"/>
      <c r="H256" s="1071"/>
      <c r="I256" s="210"/>
    </row>
    <row r="257" spans="1:10" ht="18.75" customHeight="1">
      <c r="A257" s="208"/>
      <c r="B257" s="208"/>
      <c r="D257" s="208"/>
      <c r="E257" s="208"/>
      <c r="F257" s="208"/>
      <c r="G257" s="209"/>
      <c r="H257" s="1071"/>
      <c r="I257" s="210"/>
    </row>
    <row r="258" spans="1:10" ht="18.75" customHeight="1">
      <c r="A258" s="208"/>
      <c r="B258" s="208"/>
      <c r="D258" s="208"/>
      <c r="E258" s="208"/>
      <c r="F258" s="208"/>
      <c r="G258" s="209"/>
      <c r="H258" s="1071"/>
      <c r="I258" s="210"/>
    </row>
    <row r="259" spans="1:10" ht="18.75" customHeight="1">
      <c r="A259" s="208"/>
      <c r="B259" s="208"/>
      <c r="D259" s="208"/>
      <c r="E259" s="208"/>
      <c r="F259" s="208"/>
      <c r="G259" s="209"/>
      <c r="H259" s="1071"/>
      <c r="I259" s="210"/>
    </row>
    <row r="260" spans="1:10" ht="18.75" customHeight="1">
      <c r="A260" s="208"/>
      <c r="B260" s="208"/>
      <c r="D260" s="208"/>
      <c r="E260" s="208"/>
      <c r="F260" s="208"/>
      <c r="G260" s="209"/>
      <c r="H260" s="1071"/>
      <c r="I260" s="210"/>
    </row>
    <row r="261" spans="1:10" ht="18.75" customHeight="1">
      <c r="A261" s="208"/>
      <c r="B261" s="208"/>
      <c r="D261" s="208"/>
      <c r="E261" s="208"/>
      <c r="F261" s="208"/>
      <c r="G261" s="209"/>
      <c r="H261" s="1071"/>
      <c r="I261" s="210"/>
    </row>
    <row r="262" spans="1:10" ht="18.75" customHeight="1">
      <c r="A262" s="208"/>
      <c r="B262" s="208"/>
      <c r="D262" s="208"/>
      <c r="E262" s="208"/>
      <c r="F262" s="208"/>
      <c r="G262" s="209"/>
      <c r="H262" s="1071"/>
      <c r="I262" s="210"/>
    </row>
    <row r="263" spans="1:10" ht="18.75" customHeight="1">
      <c r="A263" s="298">
        <v>205</v>
      </c>
      <c r="B263" s="299" t="s">
        <v>775</v>
      </c>
      <c r="C263" s="300" t="s">
        <v>817</v>
      </c>
      <c r="D263" s="301">
        <v>0</v>
      </c>
      <c r="E263" s="302">
        <v>1</v>
      </c>
      <c r="F263" s="302">
        <v>1</v>
      </c>
      <c r="G263" s="303">
        <v>115000</v>
      </c>
      <c r="H263" s="1088">
        <v>115000</v>
      </c>
      <c r="I263" s="304" t="s">
        <v>818</v>
      </c>
      <c r="J263" s="9" t="s">
        <v>671</v>
      </c>
    </row>
    <row r="264" spans="1:10" ht="18.75" customHeight="1">
      <c r="A264" s="208"/>
      <c r="B264" s="208"/>
      <c r="D264" s="208"/>
      <c r="E264" s="208"/>
      <c r="F264" s="208"/>
      <c r="G264" s="209"/>
      <c r="H264" s="1071"/>
      <c r="I264" s="210"/>
    </row>
    <row r="265" spans="1:10" ht="18.75" customHeight="1">
      <c r="A265" s="208"/>
      <c r="B265" s="208"/>
      <c r="C265" s="305" t="s">
        <v>7</v>
      </c>
      <c r="D265" s="208"/>
      <c r="E265" s="208"/>
      <c r="F265" s="208"/>
      <c r="G265" s="209"/>
      <c r="H265" s="1071">
        <f>SUM(H7:H263)</f>
        <v>193370000</v>
      </c>
      <c r="I265" s="210"/>
    </row>
    <row r="266" spans="1:10" ht="18.75" customHeight="1">
      <c r="A266" s="208"/>
      <c r="B266" s="208"/>
      <c r="D266" s="208"/>
      <c r="E266" s="208"/>
      <c r="F266" s="208"/>
      <c r="G266" s="209"/>
      <c r="H266" s="1071"/>
      <c r="I266" s="210"/>
    </row>
    <row r="267" spans="1:10" ht="18.75" customHeight="1">
      <c r="A267" s="208"/>
      <c r="B267" s="208"/>
      <c r="D267" s="208"/>
      <c r="E267" s="208"/>
      <c r="F267" s="208"/>
      <c r="G267" s="209"/>
      <c r="H267" s="1071"/>
      <c r="I267" s="210"/>
    </row>
    <row r="268" spans="1:10" ht="18.75" customHeight="1">
      <c r="A268" s="208"/>
      <c r="B268" s="208"/>
      <c r="D268" s="208"/>
      <c r="E268" s="208"/>
      <c r="F268" s="208"/>
      <c r="G268" s="209"/>
      <c r="H268" s="1071"/>
      <c r="I268" s="210"/>
    </row>
    <row r="269" spans="1:10" ht="18.75" customHeight="1">
      <c r="A269" s="208"/>
      <c r="B269" s="208"/>
      <c r="D269" s="208"/>
      <c r="E269" s="208"/>
      <c r="F269" s="208"/>
      <c r="G269" s="209"/>
      <c r="H269" s="1071"/>
      <c r="I269" s="210"/>
    </row>
    <row r="270" spans="1:10" ht="18.75" customHeight="1">
      <c r="A270" s="208"/>
      <c r="B270" s="208"/>
      <c r="D270" s="208"/>
      <c r="E270" s="208"/>
      <c r="F270" s="208"/>
      <c r="G270" s="209"/>
      <c r="H270" s="1071"/>
      <c r="I270" s="210"/>
    </row>
    <row r="271" spans="1:10" ht="18.75" customHeight="1">
      <c r="A271" s="208"/>
      <c r="B271" s="208"/>
      <c r="D271" s="208"/>
      <c r="E271" s="208"/>
      <c r="F271" s="208"/>
      <c r="G271" s="209"/>
      <c r="H271" s="1071"/>
      <c r="I271" s="210"/>
    </row>
    <row r="272" spans="1:10" ht="18.75" customHeight="1">
      <c r="A272" s="208"/>
      <c r="B272" s="208"/>
      <c r="D272" s="208"/>
      <c r="E272" s="208"/>
      <c r="F272" s="208"/>
      <c r="G272" s="209"/>
      <c r="H272" s="1071"/>
      <c r="I272" s="210"/>
    </row>
    <row r="273" spans="1:9" ht="18.75" customHeight="1">
      <c r="A273" s="208"/>
      <c r="B273" s="208"/>
      <c r="D273" s="208"/>
      <c r="E273" s="208"/>
      <c r="F273" s="208"/>
      <c r="G273" s="209"/>
      <c r="H273" s="1071"/>
      <c r="I273" s="210"/>
    </row>
    <row r="274" spans="1:9" ht="18.75" customHeight="1">
      <c r="A274" s="208"/>
      <c r="B274" s="208"/>
      <c r="D274" s="208"/>
      <c r="E274" s="208"/>
      <c r="F274" s="208"/>
      <c r="G274" s="209"/>
      <c r="H274" s="1071"/>
      <c r="I274" s="210"/>
    </row>
    <row r="275" spans="1:9" ht="18.75" customHeight="1">
      <c r="A275" s="208"/>
      <c r="B275" s="208"/>
      <c r="D275" s="208"/>
      <c r="E275" s="208"/>
      <c r="F275" s="208"/>
      <c r="G275" s="209"/>
      <c r="H275" s="1071"/>
      <c r="I275" s="210"/>
    </row>
    <row r="276" spans="1:9" ht="18.75" customHeight="1">
      <c r="A276" s="208"/>
      <c r="B276" s="208"/>
      <c r="D276" s="208"/>
      <c r="E276" s="208"/>
      <c r="F276" s="208"/>
      <c r="G276" s="209"/>
      <c r="H276" s="1071"/>
      <c r="I276" s="210"/>
    </row>
    <row r="277" spans="1:9" ht="18.75" customHeight="1">
      <c r="A277" s="208"/>
      <c r="B277" s="208"/>
      <c r="D277" s="208"/>
      <c r="E277" s="208"/>
      <c r="F277" s="208"/>
      <c r="G277" s="209"/>
      <c r="H277" s="1071"/>
      <c r="I277" s="210"/>
    </row>
    <row r="278" spans="1:9" ht="18.75" customHeight="1">
      <c r="A278" s="208"/>
      <c r="B278" s="208"/>
      <c r="D278" s="208"/>
      <c r="E278" s="208"/>
      <c r="F278" s="208"/>
      <c r="G278" s="209"/>
      <c r="H278" s="1071"/>
      <c r="I278" s="210"/>
    </row>
    <row r="279" spans="1:9" ht="18.75" customHeight="1">
      <c r="A279" s="208"/>
      <c r="B279" s="208"/>
      <c r="D279" s="208"/>
      <c r="E279" s="208"/>
      <c r="F279" s="208"/>
      <c r="G279" s="209"/>
      <c r="H279" s="1071"/>
      <c r="I279" s="210"/>
    </row>
    <row r="280" spans="1:9" ht="18.75" customHeight="1">
      <c r="A280" s="208"/>
      <c r="B280" s="208"/>
      <c r="D280" s="208"/>
      <c r="E280" s="208"/>
      <c r="F280" s="208"/>
      <c r="G280" s="209"/>
      <c r="H280" s="1071"/>
      <c r="I280" s="210"/>
    </row>
    <row r="281" spans="1:9" ht="18.75" customHeight="1">
      <c r="A281" s="208"/>
      <c r="B281" s="208"/>
      <c r="D281" s="208"/>
      <c r="E281" s="208"/>
      <c r="F281" s="208"/>
      <c r="G281" s="209"/>
      <c r="H281" s="1071"/>
      <c r="I281" s="210"/>
    </row>
    <row r="282" spans="1:9" ht="18.75" customHeight="1">
      <c r="A282" s="208"/>
      <c r="B282" s="208"/>
      <c r="D282" s="208"/>
      <c r="E282" s="208"/>
      <c r="F282" s="208"/>
      <c r="G282" s="209"/>
      <c r="H282" s="1071"/>
      <c r="I282" s="210"/>
    </row>
    <row r="283" spans="1:9" ht="18.75" customHeight="1">
      <c r="A283" s="208"/>
      <c r="B283" s="208"/>
      <c r="D283" s="208"/>
      <c r="E283" s="208"/>
      <c r="F283" s="208"/>
      <c r="G283" s="209"/>
      <c r="H283" s="1071"/>
      <c r="I283" s="210"/>
    </row>
    <row r="284" spans="1:9" ht="18.75" customHeight="1">
      <c r="A284" s="208"/>
      <c r="B284" s="208"/>
      <c r="D284" s="208"/>
      <c r="E284" s="208"/>
      <c r="F284" s="208"/>
      <c r="G284" s="209"/>
      <c r="H284" s="1071"/>
      <c r="I284" s="210"/>
    </row>
    <row r="285" spans="1:9" ht="18.75" customHeight="1">
      <c r="A285" s="208"/>
      <c r="B285" s="208"/>
      <c r="D285" s="208"/>
      <c r="E285" s="208"/>
      <c r="F285" s="208"/>
      <c r="G285" s="209"/>
      <c r="H285" s="1071"/>
      <c r="I285" s="210"/>
    </row>
    <row r="286" spans="1:9" ht="18.75" customHeight="1">
      <c r="A286" s="208"/>
      <c r="B286" s="208"/>
      <c r="D286" s="208"/>
      <c r="E286" s="208"/>
      <c r="F286" s="208"/>
      <c r="G286" s="209"/>
      <c r="H286" s="1071"/>
      <c r="I286" s="210"/>
    </row>
    <row r="287" spans="1:9" ht="18.75" customHeight="1">
      <c r="A287" s="208"/>
      <c r="B287" s="208"/>
      <c r="D287" s="208"/>
      <c r="E287" s="208"/>
      <c r="F287" s="208"/>
      <c r="G287" s="209"/>
      <c r="H287" s="1071"/>
      <c r="I287" s="210"/>
    </row>
    <row r="288" spans="1:9" ht="18.75" customHeight="1">
      <c r="A288" s="208"/>
      <c r="B288" s="208"/>
      <c r="D288" s="208"/>
      <c r="E288" s="208"/>
      <c r="F288" s="208"/>
      <c r="G288" s="209"/>
      <c r="H288" s="1071"/>
      <c r="I288" s="210"/>
    </row>
    <row r="289" spans="1:9" ht="18.75" customHeight="1">
      <c r="A289" s="208"/>
      <c r="B289" s="208"/>
      <c r="D289" s="208"/>
      <c r="E289" s="208"/>
      <c r="F289" s="208"/>
      <c r="G289" s="209"/>
      <c r="H289" s="1071"/>
      <c r="I289" s="210"/>
    </row>
    <row r="290" spans="1:9" ht="18.75" customHeight="1">
      <c r="A290" s="208"/>
      <c r="B290" s="208"/>
      <c r="D290" s="208"/>
      <c r="E290" s="208"/>
      <c r="F290" s="208"/>
      <c r="G290" s="209"/>
      <c r="H290" s="1071"/>
      <c r="I290" s="210"/>
    </row>
    <row r="291" spans="1:9" ht="18.75" customHeight="1">
      <c r="A291" s="208"/>
      <c r="B291" s="208"/>
      <c r="D291" s="208"/>
      <c r="E291" s="208"/>
      <c r="F291" s="208"/>
      <c r="G291" s="209"/>
      <c r="H291" s="1071"/>
      <c r="I291" s="210"/>
    </row>
    <row r="292" spans="1:9" ht="18.75" customHeight="1">
      <c r="A292" s="208"/>
      <c r="B292" s="208"/>
      <c r="D292" s="208"/>
      <c r="E292" s="208"/>
      <c r="F292" s="208"/>
      <c r="G292" s="209"/>
      <c r="H292" s="1071"/>
      <c r="I292" s="210"/>
    </row>
    <row r="293" spans="1:9" ht="18.75" customHeight="1">
      <c r="A293" s="208"/>
      <c r="B293" s="208"/>
      <c r="D293" s="208"/>
      <c r="E293" s="208"/>
      <c r="F293" s="208"/>
      <c r="G293" s="209"/>
      <c r="H293" s="1071"/>
      <c r="I293" s="210"/>
    </row>
    <row r="294" spans="1:9" ht="18.75" customHeight="1">
      <c r="A294" s="208"/>
      <c r="B294" s="208"/>
      <c r="D294" s="208"/>
      <c r="E294" s="208"/>
      <c r="F294" s="208"/>
      <c r="G294" s="209"/>
      <c r="H294" s="1071"/>
      <c r="I294" s="210"/>
    </row>
    <row r="295" spans="1:9" ht="18.75" customHeight="1">
      <c r="A295" s="208"/>
      <c r="B295" s="208"/>
      <c r="D295" s="208"/>
      <c r="E295" s="208"/>
      <c r="F295" s="208"/>
      <c r="G295" s="209"/>
      <c r="H295" s="1071"/>
      <c r="I295" s="210"/>
    </row>
    <row r="296" spans="1:9" ht="18.75" customHeight="1">
      <c r="A296" s="208"/>
      <c r="B296" s="208"/>
      <c r="D296" s="208"/>
      <c r="E296" s="208"/>
      <c r="F296" s="208"/>
      <c r="G296" s="209"/>
      <c r="H296" s="1071"/>
      <c r="I296" s="210"/>
    </row>
    <row r="297" spans="1:9" ht="18.75" customHeight="1">
      <c r="A297" s="208"/>
      <c r="B297" s="208"/>
      <c r="D297" s="208"/>
      <c r="E297" s="208"/>
      <c r="F297" s="208"/>
      <c r="G297" s="209"/>
      <c r="H297" s="1071"/>
      <c r="I297" s="210"/>
    </row>
    <row r="298" spans="1:9" ht="18.75" customHeight="1">
      <c r="A298" s="208"/>
      <c r="B298" s="208"/>
      <c r="D298" s="208"/>
      <c r="E298" s="208"/>
      <c r="F298" s="208"/>
      <c r="G298" s="209"/>
      <c r="H298" s="1071"/>
      <c r="I298" s="210"/>
    </row>
    <row r="299" spans="1:9" ht="18.75" customHeight="1">
      <c r="A299" s="208"/>
      <c r="B299" s="208"/>
      <c r="D299" s="208"/>
      <c r="E299" s="208"/>
      <c r="F299" s="208"/>
      <c r="G299" s="209"/>
      <c r="H299" s="1071"/>
      <c r="I299" s="210"/>
    </row>
    <row r="300" spans="1:9" ht="18.75" customHeight="1">
      <c r="A300" s="208"/>
      <c r="B300" s="208"/>
      <c r="D300" s="208"/>
      <c r="E300" s="208"/>
      <c r="F300" s="208"/>
      <c r="G300" s="209"/>
      <c r="H300" s="1071"/>
      <c r="I300" s="210"/>
    </row>
    <row r="301" spans="1:9" ht="18.75" customHeight="1">
      <c r="A301" s="208"/>
      <c r="B301" s="208"/>
      <c r="D301" s="208"/>
      <c r="E301" s="208"/>
      <c r="F301" s="208"/>
      <c r="G301" s="209"/>
      <c r="H301" s="1071"/>
      <c r="I301" s="210"/>
    </row>
    <row r="302" spans="1:9" ht="18.75" customHeight="1">
      <c r="A302" s="208"/>
      <c r="B302" s="208"/>
      <c r="D302" s="208"/>
      <c r="E302" s="208"/>
      <c r="F302" s="208"/>
      <c r="G302" s="209"/>
      <c r="H302" s="1071"/>
      <c r="I302" s="210"/>
    </row>
    <row r="303" spans="1:9" ht="18.75" customHeight="1">
      <c r="A303" s="208"/>
      <c r="B303" s="208"/>
      <c r="D303" s="208"/>
      <c r="E303" s="208"/>
      <c r="F303" s="208"/>
      <c r="G303" s="209"/>
      <c r="H303" s="1071"/>
      <c r="I303" s="210"/>
    </row>
    <row r="304" spans="1:9" ht="18.75" customHeight="1">
      <c r="A304" s="208"/>
      <c r="B304" s="208"/>
      <c r="D304" s="208"/>
      <c r="E304" s="208"/>
      <c r="F304" s="208"/>
      <c r="G304" s="209"/>
      <c r="H304" s="1071"/>
      <c r="I304" s="210"/>
    </row>
    <row r="305" spans="1:9" ht="18.75" customHeight="1">
      <c r="A305" s="208"/>
      <c r="B305" s="208"/>
      <c r="D305" s="208"/>
      <c r="E305" s="208"/>
      <c r="F305" s="208"/>
      <c r="G305" s="209"/>
      <c r="H305" s="1071"/>
      <c r="I305" s="210"/>
    </row>
    <row r="306" spans="1:9" ht="18.75" customHeight="1">
      <c r="A306" s="208"/>
      <c r="B306" s="208"/>
      <c r="D306" s="208"/>
      <c r="E306" s="208"/>
      <c r="F306" s="208"/>
      <c r="G306" s="209"/>
      <c r="H306" s="1071"/>
      <c r="I306" s="210"/>
    </row>
    <row r="307" spans="1:9" ht="18.75" customHeight="1">
      <c r="A307" s="208"/>
      <c r="B307" s="208"/>
      <c r="D307" s="208"/>
      <c r="E307" s="208"/>
      <c r="F307" s="208"/>
      <c r="G307" s="209"/>
      <c r="H307" s="1071"/>
      <c r="I307" s="210"/>
    </row>
    <row r="308" spans="1:9" ht="18.75" customHeight="1">
      <c r="A308" s="208"/>
      <c r="B308" s="208"/>
      <c r="D308" s="208"/>
      <c r="E308" s="208"/>
      <c r="F308" s="208"/>
      <c r="G308" s="209"/>
      <c r="H308" s="1071"/>
      <c r="I308" s="210"/>
    </row>
    <row r="309" spans="1:9" ht="18.75" customHeight="1">
      <c r="A309" s="208"/>
      <c r="B309" s="208"/>
      <c r="D309" s="208"/>
      <c r="E309" s="208"/>
      <c r="F309" s="208"/>
      <c r="G309" s="209"/>
      <c r="H309" s="1071"/>
      <c r="I309" s="210"/>
    </row>
    <row r="310" spans="1:9" ht="18.75" customHeight="1">
      <c r="A310" s="208"/>
      <c r="B310" s="208"/>
      <c r="D310" s="208"/>
      <c r="E310" s="208"/>
      <c r="F310" s="208"/>
      <c r="G310" s="209"/>
      <c r="H310" s="1071"/>
      <c r="I310" s="210"/>
    </row>
    <row r="311" spans="1:9" ht="18.75" customHeight="1">
      <c r="A311" s="208"/>
      <c r="B311" s="208"/>
      <c r="D311" s="208"/>
      <c r="E311" s="208"/>
      <c r="F311" s="208"/>
      <c r="G311" s="209"/>
      <c r="H311" s="1071"/>
      <c r="I311" s="210"/>
    </row>
    <row r="312" spans="1:9" ht="18.75" customHeight="1">
      <c r="A312" s="208"/>
      <c r="B312" s="208"/>
      <c r="D312" s="208"/>
      <c r="E312" s="208"/>
      <c r="F312" s="208"/>
      <c r="G312" s="209"/>
      <c r="H312" s="1071"/>
      <c r="I312" s="210"/>
    </row>
    <row r="313" spans="1:9" ht="18.75" customHeight="1">
      <c r="A313" s="208"/>
      <c r="B313" s="208"/>
      <c r="D313" s="208"/>
      <c r="E313" s="208"/>
      <c r="F313" s="208"/>
      <c r="G313" s="209"/>
      <c r="H313" s="1071"/>
      <c r="I313" s="210"/>
    </row>
    <row r="314" spans="1:9" ht="18.75" customHeight="1">
      <c r="A314" s="208"/>
      <c r="B314" s="208"/>
      <c r="D314" s="208"/>
      <c r="E314" s="208"/>
      <c r="F314" s="208"/>
      <c r="G314" s="209"/>
      <c r="H314" s="1071"/>
      <c r="I314" s="210"/>
    </row>
    <row r="315" spans="1:9" ht="18.75" customHeight="1">
      <c r="A315" s="208"/>
      <c r="B315" s="208"/>
      <c r="D315" s="208"/>
      <c r="E315" s="208"/>
      <c r="F315" s="208"/>
      <c r="G315" s="209"/>
      <c r="H315" s="1071"/>
      <c r="I315" s="210"/>
    </row>
    <row r="316" spans="1:9" ht="18.75" customHeight="1">
      <c r="A316" s="208"/>
      <c r="B316" s="208"/>
      <c r="D316" s="208"/>
      <c r="E316" s="208"/>
      <c r="F316" s="208"/>
      <c r="G316" s="209"/>
      <c r="H316" s="1071"/>
      <c r="I316" s="210"/>
    </row>
    <row r="317" spans="1:9" ht="18.75" customHeight="1">
      <c r="A317" s="208"/>
      <c r="B317" s="208"/>
      <c r="D317" s="208"/>
      <c r="E317" s="208"/>
      <c r="F317" s="208"/>
      <c r="G317" s="209"/>
      <c r="H317" s="1071"/>
      <c r="I317" s="210"/>
    </row>
    <row r="318" spans="1:9" ht="18.75" customHeight="1">
      <c r="A318" s="208"/>
      <c r="B318" s="208"/>
      <c r="D318" s="208"/>
      <c r="E318" s="208"/>
      <c r="F318" s="208"/>
      <c r="G318" s="209"/>
      <c r="H318" s="1071"/>
      <c r="I318" s="210"/>
    </row>
    <row r="319" spans="1:9" ht="18.75" customHeight="1">
      <c r="A319" s="208"/>
      <c r="B319" s="208"/>
      <c r="D319" s="208"/>
      <c r="E319" s="208"/>
      <c r="F319" s="208"/>
      <c r="G319" s="209"/>
      <c r="H319" s="1071"/>
      <c r="I319" s="210"/>
    </row>
    <row r="320" spans="1:9" ht="18.75" customHeight="1">
      <c r="A320" s="208"/>
      <c r="B320" s="208"/>
      <c r="D320" s="208"/>
      <c r="E320" s="208"/>
      <c r="F320" s="208"/>
      <c r="G320" s="209"/>
      <c r="H320" s="1071"/>
      <c r="I320" s="210"/>
    </row>
    <row r="321" spans="1:9" ht="18.75" customHeight="1">
      <c r="A321" s="208"/>
      <c r="B321" s="208"/>
      <c r="D321" s="208"/>
      <c r="E321" s="208"/>
      <c r="F321" s="208"/>
      <c r="G321" s="209"/>
      <c r="H321" s="1071"/>
      <c r="I321" s="210"/>
    </row>
    <row r="322" spans="1:9" ht="18.75" customHeight="1">
      <c r="A322" s="208"/>
      <c r="B322" s="208"/>
      <c r="D322" s="208"/>
      <c r="E322" s="208"/>
      <c r="F322" s="208"/>
      <c r="G322" s="209"/>
      <c r="H322" s="1071"/>
      <c r="I322" s="210"/>
    </row>
    <row r="323" spans="1:9" ht="18.75" customHeight="1">
      <c r="A323" s="208"/>
      <c r="B323" s="208"/>
      <c r="D323" s="208"/>
      <c r="E323" s="208"/>
      <c r="F323" s="208"/>
      <c r="G323" s="209"/>
      <c r="H323" s="1071"/>
      <c r="I323" s="210"/>
    </row>
    <row r="324" spans="1:9" ht="18.75" customHeight="1">
      <c r="A324" s="208"/>
      <c r="B324" s="208"/>
      <c r="D324" s="208"/>
      <c r="E324" s="208"/>
      <c r="F324" s="208"/>
      <c r="G324" s="209"/>
      <c r="H324" s="1071"/>
      <c r="I324" s="210"/>
    </row>
    <row r="325" spans="1:9" ht="18.75" customHeight="1">
      <c r="A325" s="208"/>
      <c r="B325" s="208"/>
      <c r="D325" s="208"/>
      <c r="E325" s="208"/>
      <c r="F325" s="208"/>
      <c r="G325" s="209"/>
      <c r="H325" s="1071"/>
      <c r="I325" s="210"/>
    </row>
    <row r="326" spans="1:9" ht="18.75" customHeight="1">
      <c r="A326" s="208"/>
      <c r="B326" s="208"/>
      <c r="D326" s="208"/>
      <c r="E326" s="208"/>
      <c r="F326" s="208"/>
      <c r="G326" s="209"/>
      <c r="H326" s="1071"/>
      <c r="I326" s="210"/>
    </row>
    <row r="327" spans="1:9" ht="18.75" customHeight="1">
      <c r="A327" s="208"/>
      <c r="B327" s="208"/>
      <c r="D327" s="208"/>
      <c r="E327" s="208"/>
      <c r="F327" s="208"/>
      <c r="G327" s="209"/>
      <c r="H327" s="1071"/>
      <c r="I327" s="210"/>
    </row>
    <row r="328" spans="1:9" ht="18.75" customHeight="1">
      <c r="A328" s="208"/>
      <c r="B328" s="208"/>
      <c r="D328" s="208"/>
      <c r="E328" s="208"/>
      <c r="F328" s="208"/>
      <c r="G328" s="209"/>
      <c r="H328" s="1071"/>
      <c r="I328" s="210"/>
    </row>
    <row r="329" spans="1:9" ht="18.75" customHeight="1">
      <c r="A329" s="208"/>
      <c r="B329" s="208"/>
      <c r="D329" s="208"/>
      <c r="E329" s="208"/>
      <c r="F329" s="208"/>
      <c r="G329" s="209"/>
      <c r="H329" s="1071"/>
      <c r="I329" s="210"/>
    </row>
    <row r="330" spans="1:9" ht="18.75" customHeight="1">
      <c r="A330" s="208"/>
      <c r="B330" s="208"/>
      <c r="D330" s="208"/>
      <c r="E330" s="208"/>
      <c r="F330" s="208"/>
      <c r="G330" s="209"/>
      <c r="H330" s="1071"/>
      <c r="I330" s="210"/>
    </row>
    <row r="331" spans="1:9" ht="18.75" customHeight="1">
      <c r="A331" s="208"/>
      <c r="B331" s="208"/>
      <c r="D331" s="208"/>
      <c r="E331" s="208"/>
      <c r="F331" s="208"/>
      <c r="G331" s="209"/>
      <c r="H331" s="1071"/>
      <c r="I331" s="210"/>
    </row>
    <row r="332" spans="1:9" ht="18.75" customHeight="1">
      <c r="A332" s="208"/>
      <c r="B332" s="208"/>
      <c r="D332" s="208"/>
      <c r="E332" s="208"/>
      <c r="F332" s="208"/>
      <c r="G332" s="209"/>
      <c r="H332" s="1071"/>
      <c r="I332" s="210"/>
    </row>
    <row r="333" spans="1:9" ht="18.75" customHeight="1">
      <c r="A333" s="208"/>
      <c r="B333" s="208"/>
      <c r="D333" s="208"/>
      <c r="E333" s="208"/>
      <c r="F333" s="208"/>
      <c r="G333" s="209"/>
      <c r="H333" s="1071"/>
      <c r="I333" s="210"/>
    </row>
    <row r="334" spans="1:9" ht="18.75" customHeight="1">
      <c r="A334" s="208"/>
      <c r="B334" s="208"/>
      <c r="D334" s="208"/>
      <c r="E334" s="208"/>
      <c r="F334" s="208"/>
      <c r="G334" s="209"/>
      <c r="H334" s="1071"/>
      <c r="I334" s="210"/>
    </row>
    <row r="335" spans="1:9" ht="18.75" customHeight="1">
      <c r="A335" s="208"/>
      <c r="B335" s="208"/>
      <c r="D335" s="208"/>
      <c r="E335" s="208"/>
      <c r="F335" s="208"/>
      <c r="G335" s="209"/>
      <c r="H335" s="1071"/>
      <c r="I335" s="210"/>
    </row>
    <row r="336" spans="1:9" ht="18.75" customHeight="1">
      <c r="A336" s="208"/>
      <c r="B336" s="208"/>
      <c r="D336" s="208"/>
      <c r="E336" s="208"/>
      <c r="F336" s="208"/>
      <c r="G336" s="209"/>
      <c r="H336" s="1071"/>
      <c r="I336" s="210"/>
    </row>
    <row r="337" spans="1:9" ht="18.75" customHeight="1">
      <c r="A337" s="208"/>
      <c r="B337" s="208"/>
      <c r="D337" s="208"/>
      <c r="E337" s="208"/>
      <c r="F337" s="208"/>
      <c r="G337" s="209"/>
      <c r="H337" s="1071"/>
      <c r="I337" s="210"/>
    </row>
    <row r="338" spans="1:9" ht="18.75" customHeight="1">
      <c r="A338" s="208"/>
      <c r="B338" s="208"/>
      <c r="D338" s="208"/>
      <c r="E338" s="208"/>
      <c r="F338" s="208"/>
      <c r="G338" s="209"/>
      <c r="H338" s="1071"/>
      <c r="I338" s="210"/>
    </row>
    <row r="339" spans="1:9" ht="18.75" customHeight="1">
      <c r="A339" s="208"/>
      <c r="B339" s="208"/>
      <c r="D339" s="208"/>
      <c r="E339" s="208"/>
      <c r="F339" s="208"/>
      <c r="G339" s="209"/>
      <c r="H339" s="1071"/>
      <c r="I339" s="210"/>
    </row>
    <row r="340" spans="1:9" ht="18.75" customHeight="1">
      <c r="A340" s="208"/>
      <c r="B340" s="208"/>
      <c r="D340" s="208"/>
      <c r="E340" s="208"/>
      <c r="F340" s="208"/>
      <c r="G340" s="209"/>
      <c r="H340" s="1071"/>
      <c r="I340" s="210"/>
    </row>
    <row r="341" spans="1:9" ht="18.75" customHeight="1">
      <c r="A341" s="208"/>
      <c r="B341" s="208"/>
      <c r="D341" s="208"/>
      <c r="E341" s="208"/>
      <c r="F341" s="208"/>
      <c r="G341" s="209"/>
      <c r="H341" s="1071"/>
      <c r="I341" s="210"/>
    </row>
    <row r="342" spans="1:9" ht="18.75" customHeight="1">
      <c r="A342" s="208"/>
      <c r="B342" s="208"/>
      <c r="D342" s="208"/>
      <c r="E342" s="208"/>
      <c r="F342" s="208"/>
      <c r="G342" s="209"/>
      <c r="H342" s="1071"/>
      <c r="I342" s="210"/>
    </row>
    <row r="343" spans="1:9" ht="18.75" customHeight="1">
      <c r="A343" s="208"/>
      <c r="B343" s="208"/>
      <c r="D343" s="208"/>
      <c r="E343" s="208"/>
      <c r="F343" s="208"/>
      <c r="G343" s="209"/>
      <c r="H343" s="1071"/>
      <c r="I343" s="210"/>
    </row>
    <row r="344" spans="1:9" ht="18.75" customHeight="1">
      <c r="A344" s="208"/>
      <c r="B344" s="208"/>
      <c r="D344" s="208"/>
      <c r="E344" s="208"/>
      <c r="F344" s="208"/>
      <c r="G344" s="209"/>
      <c r="H344" s="1071"/>
      <c r="I344" s="210"/>
    </row>
    <row r="345" spans="1:9" ht="18.75" customHeight="1">
      <c r="A345" s="208"/>
      <c r="B345" s="208"/>
      <c r="D345" s="208"/>
      <c r="E345" s="208"/>
      <c r="F345" s="208"/>
      <c r="G345" s="209"/>
      <c r="H345" s="1071"/>
      <c r="I345" s="210"/>
    </row>
    <row r="346" spans="1:9" ht="18.75" customHeight="1">
      <c r="A346" s="208"/>
      <c r="B346" s="208"/>
      <c r="D346" s="208"/>
      <c r="E346" s="208"/>
      <c r="F346" s="208"/>
      <c r="G346" s="209"/>
      <c r="H346" s="1071"/>
      <c r="I346" s="210"/>
    </row>
    <row r="347" spans="1:9" ht="18.75" customHeight="1">
      <c r="A347" s="208"/>
      <c r="B347" s="208"/>
      <c r="D347" s="208"/>
      <c r="E347" s="208"/>
      <c r="F347" s="208"/>
      <c r="G347" s="209"/>
      <c r="H347" s="1071"/>
      <c r="I347" s="210"/>
    </row>
    <row r="348" spans="1:9" ht="18.75" customHeight="1">
      <c r="A348" s="208"/>
      <c r="B348" s="208"/>
      <c r="D348" s="208"/>
      <c r="E348" s="208"/>
      <c r="F348" s="208"/>
      <c r="G348" s="209"/>
      <c r="H348" s="1071"/>
      <c r="I348" s="210"/>
    </row>
    <row r="349" spans="1:9" ht="18.75" customHeight="1">
      <c r="A349" s="208"/>
      <c r="B349" s="208"/>
      <c r="D349" s="208"/>
      <c r="E349" s="208"/>
      <c r="F349" s="208"/>
      <c r="G349" s="209"/>
      <c r="H349" s="1071"/>
      <c r="I349" s="210"/>
    </row>
    <row r="350" spans="1:9" ht="18.75" customHeight="1">
      <c r="A350" s="208"/>
      <c r="B350" s="208"/>
      <c r="D350" s="208"/>
      <c r="E350" s="208"/>
      <c r="F350" s="208"/>
      <c r="G350" s="209"/>
      <c r="H350" s="1071"/>
      <c r="I350" s="210"/>
    </row>
    <row r="351" spans="1:9" ht="18.75" customHeight="1">
      <c r="A351" s="208"/>
      <c r="B351" s="208"/>
      <c r="D351" s="208"/>
      <c r="E351" s="208"/>
      <c r="F351" s="208"/>
      <c r="G351" s="209"/>
      <c r="H351" s="1071"/>
      <c r="I351" s="210"/>
    </row>
    <row r="352" spans="1:9" ht="18.75" customHeight="1">
      <c r="A352" s="208"/>
      <c r="B352" s="208"/>
      <c r="D352" s="208"/>
      <c r="E352" s="208"/>
      <c r="F352" s="208"/>
      <c r="G352" s="209"/>
      <c r="H352" s="1071"/>
      <c r="I352" s="210"/>
    </row>
    <row r="353" spans="1:9" ht="18.75" customHeight="1">
      <c r="A353" s="208"/>
      <c r="B353" s="208"/>
      <c r="D353" s="208"/>
      <c r="E353" s="208"/>
      <c r="F353" s="208"/>
      <c r="G353" s="209"/>
      <c r="H353" s="1071"/>
      <c r="I353" s="210"/>
    </row>
    <row r="354" spans="1:9" ht="18.75" customHeight="1">
      <c r="A354" s="208"/>
      <c r="B354" s="208"/>
      <c r="D354" s="208"/>
      <c r="E354" s="208"/>
      <c r="F354" s="208"/>
      <c r="G354" s="209"/>
      <c r="H354" s="1071"/>
      <c r="I354" s="210"/>
    </row>
    <row r="355" spans="1:9" ht="18.75" customHeight="1">
      <c r="A355" s="208"/>
      <c r="B355" s="208"/>
      <c r="D355" s="208"/>
      <c r="E355" s="208"/>
      <c r="F355" s="208"/>
      <c r="G355" s="209"/>
      <c r="H355" s="1071"/>
      <c r="I355" s="210"/>
    </row>
    <row r="356" spans="1:9" ht="18.75" customHeight="1">
      <c r="A356" s="208"/>
      <c r="B356" s="208"/>
      <c r="D356" s="208"/>
      <c r="E356" s="208"/>
      <c r="F356" s="208"/>
      <c r="G356" s="209"/>
      <c r="H356" s="1071"/>
      <c r="I356" s="210"/>
    </row>
    <row r="357" spans="1:9" ht="18.75" customHeight="1">
      <c r="A357" s="208"/>
      <c r="B357" s="208"/>
      <c r="D357" s="208"/>
      <c r="E357" s="208"/>
      <c r="F357" s="208"/>
      <c r="G357" s="209"/>
      <c r="H357" s="1071"/>
      <c r="I357" s="210"/>
    </row>
    <row r="358" spans="1:9" ht="18.75" customHeight="1">
      <c r="A358" s="208"/>
      <c r="B358" s="208"/>
      <c r="D358" s="208"/>
      <c r="E358" s="208"/>
      <c r="F358" s="208"/>
      <c r="G358" s="209"/>
      <c r="H358" s="1071"/>
      <c r="I358" s="210"/>
    </row>
    <row r="359" spans="1:9" ht="18.75" customHeight="1">
      <c r="A359" s="208"/>
      <c r="B359" s="208"/>
      <c r="D359" s="208"/>
      <c r="E359" s="208"/>
      <c r="F359" s="208"/>
      <c r="G359" s="209"/>
      <c r="H359" s="1071"/>
      <c r="I359" s="210"/>
    </row>
    <row r="360" spans="1:9" ht="18.75" customHeight="1">
      <c r="A360" s="208"/>
      <c r="B360" s="208"/>
      <c r="D360" s="208"/>
      <c r="E360" s="208"/>
      <c r="F360" s="208"/>
      <c r="G360" s="209"/>
      <c r="H360" s="1071"/>
      <c r="I360" s="210"/>
    </row>
    <row r="361" spans="1:9" ht="18.75" customHeight="1">
      <c r="A361" s="208"/>
      <c r="B361" s="208"/>
      <c r="D361" s="208"/>
      <c r="E361" s="208"/>
      <c r="F361" s="208"/>
      <c r="G361" s="209"/>
      <c r="H361" s="1071"/>
      <c r="I361" s="210"/>
    </row>
    <row r="362" spans="1:9" ht="18.75" customHeight="1">
      <c r="A362" s="208"/>
      <c r="B362" s="208"/>
      <c r="D362" s="208"/>
      <c r="E362" s="208"/>
      <c r="F362" s="208"/>
      <c r="G362" s="209"/>
      <c r="H362" s="1071"/>
      <c r="I362" s="210"/>
    </row>
    <row r="363" spans="1:9" ht="18.75" customHeight="1">
      <c r="A363" s="208"/>
      <c r="B363" s="208"/>
      <c r="D363" s="208"/>
      <c r="E363" s="208"/>
      <c r="F363" s="208"/>
      <c r="G363" s="209"/>
      <c r="H363" s="1071"/>
      <c r="I363" s="210"/>
    </row>
    <row r="364" spans="1:9" ht="18.75" customHeight="1">
      <c r="A364" s="208"/>
      <c r="B364" s="208"/>
      <c r="D364" s="208"/>
      <c r="E364" s="208"/>
      <c r="F364" s="208"/>
      <c r="G364" s="209"/>
      <c r="H364" s="1071"/>
      <c r="I364" s="210"/>
    </row>
    <row r="365" spans="1:9" ht="18.75" customHeight="1">
      <c r="A365" s="208"/>
      <c r="B365" s="208"/>
      <c r="D365" s="208"/>
      <c r="E365" s="208"/>
      <c r="F365" s="208"/>
      <c r="G365" s="209"/>
      <c r="H365" s="1071"/>
      <c r="I365" s="210"/>
    </row>
    <row r="366" spans="1:9" ht="18.75" customHeight="1">
      <c r="A366" s="208"/>
      <c r="B366" s="208"/>
      <c r="D366" s="208"/>
      <c r="E366" s="208"/>
      <c r="F366" s="208"/>
      <c r="G366" s="209"/>
      <c r="H366" s="1071"/>
      <c r="I366" s="210"/>
    </row>
    <row r="367" spans="1:9" ht="18.75" customHeight="1">
      <c r="A367" s="208"/>
      <c r="B367" s="208"/>
      <c r="D367" s="208"/>
      <c r="E367" s="208"/>
      <c r="F367" s="208"/>
      <c r="G367" s="209"/>
      <c r="H367" s="1071"/>
      <c r="I367" s="210"/>
    </row>
    <row r="368" spans="1:9" ht="18.75" customHeight="1">
      <c r="A368" s="208"/>
      <c r="B368" s="208"/>
      <c r="D368" s="208"/>
      <c r="E368" s="208"/>
      <c r="F368" s="208"/>
      <c r="G368" s="209"/>
      <c r="H368" s="1071"/>
      <c r="I368" s="210"/>
    </row>
    <row r="369" spans="1:9" ht="18.75" customHeight="1">
      <c r="A369" s="208"/>
      <c r="B369" s="208"/>
      <c r="D369" s="208"/>
      <c r="E369" s="208"/>
      <c r="F369" s="208"/>
      <c r="G369" s="209"/>
      <c r="H369" s="1071"/>
      <c r="I369" s="210"/>
    </row>
    <row r="370" spans="1:9" ht="18.75" customHeight="1">
      <c r="A370" s="208"/>
      <c r="B370" s="208"/>
      <c r="D370" s="208"/>
      <c r="E370" s="208"/>
      <c r="F370" s="208"/>
      <c r="G370" s="209"/>
      <c r="H370" s="1071"/>
      <c r="I370" s="210"/>
    </row>
    <row r="371" spans="1:9" ht="18.75" customHeight="1">
      <c r="A371" s="208"/>
      <c r="B371" s="208"/>
      <c r="D371" s="208"/>
      <c r="E371" s="208"/>
      <c r="F371" s="208"/>
      <c r="G371" s="209"/>
      <c r="H371" s="1071"/>
      <c r="I371" s="210"/>
    </row>
    <row r="372" spans="1:9" ht="18.75" customHeight="1">
      <c r="A372" s="208"/>
      <c r="B372" s="208"/>
      <c r="D372" s="208"/>
      <c r="E372" s="208"/>
      <c r="F372" s="208"/>
      <c r="G372" s="209"/>
      <c r="H372" s="1071"/>
      <c r="I372" s="210"/>
    </row>
    <row r="373" spans="1:9" ht="18.75" customHeight="1">
      <c r="A373" s="208"/>
      <c r="B373" s="208"/>
      <c r="D373" s="208"/>
      <c r="E373" s="208"/>
      <c r="F373" s="208"/>
      <c r="G373" s="209"/>
      <c r="H373" s="1071"/>
      <c r="I373" s="210"/>
    </row>
    <row r="374" spans="1:9" ht="18.75" customHeight="1">
      <c r="A374" s="208"/>
      <c r="B374" s="208"/>
      <c r="D374" s="208"/>
      <c r="E374" s="208"/>
      <c r="F374" s="208"/>
      <c r="G374" s="209"/>
      <c r="H374" s="1071"/>
      <c r="I374" s="210"/>
    </row>
    <row r="375" spans="1:9" ht="18.75" customHeight="1">
      <c r="A375" s="208"/>
      <c r="B375" s="208"/>
      <c r="D375" s="208"/>
      <c r="E375" s="208"/>
      <c r="F375" s="208"/>
      <c r="G375" s="209"/>
      <c r="H375" s="1071"/>
      <c r="I375" s="210"/>
    </row>
    <row r="376" spans="1:9" ht="18.75" customHeight="1">
      <c r="A376" s="208"/>
      <c r="B376" s="208"/>
      <c r="D376" s="208"/>
      <c r="E376" s="208"/>
      <c r="F376" s="208"/>
      <c r="G376" s="209"/>
      <c r="H376" s="1071"/>
      <c r="I376" s="210"/>
    </row>
    <row r="377" spans="1:9" ht="18.75" customHeight="1">
      <c r="A377" s="208"/>
      <c r="B377" s="208"/>
      <c r="D377" s="208"/>
      <c r="E377" s="208"/>
      <c r="F377" s="208"/>
      <c r="G377" s="209"/>
      <c r="H377" s="1071"/>
      <c r="I377" s="210"/>
    </row>
    <row r="378" spans="1:9" ht="18.75" customHeight="1">
      <c r="A378" s="208"/>
      <c r="B378" s="208"/>
      <c r="D378" s="208"/>
      <c r="E378" s="208"/>
      <c r="F378" s="208"/>
      <c r="G378" s="209"/>
      <c r="H378" s="1071"/>
      <c r="I378" s="210"/>
    </row>
    <row r="379" spans="1:9" ht="18.75" customHeight="1">
      <c r="A379" s="208"/>
      <c r="B379" s="208"/>
      <c r="D379" s="208"/>
      <c r="E379" s="208"/>
      <c r="F379" s="208"/>
      <c r="G379" s="209"/>
      <c r="H379" s="1071"/>
      <c r="I379" s="210"/>
    </row>
    <row r="380" spans="1:9" ht="18.75" customHeight="1">
      <c r="A380" s="208"/>
      <c r="B380" s="208"/>
      <c r="D380" s="208"/>
      <c r="E380" s="208"/>
      <c r="F380" s="208"/>
      <c r="G380" s="209"/>
      <c r="H380" s="1071"/>
      <c r="I380" s="210"/>
    </row>
    <row r="381" spans="1:9" ht="18.75" customHeight="1">
      <c r="A381" s="208"/>
      <c r="B381" s="208"/>
      <c r="D381" s="208"/>
      <c r="E381" s="208"/>
      <c r="F381" s="208"/>
      <c r="G381" s="209"/>
      <c r="H381" s="1071"/>
      <c r="I381" s="210"/>
    </row>
    <row r="382" spans="1:9" ht="18.75" customHeight="1">
      <c r="A382" s="208"/>
      <c r="B382" s="208"/>
      <c r="D382" s="208"/>
      <c r="E382" s="208"/>
      <c r="F382" s="208"/>
      <c r="G382" s="209"/>
      <c r="H382" s="1071"/>
      <c r="I382" s="210"/>
    </row>
    <row r="383" spans="1:9" ht="18.75" customHeight="1">
      <c r="A383" s="208"/>
      <c r="B383" s="208"/>
      <c r="D383" s="208"/>
      <c r="E383" s="208"/>
      <c r="F383" s="208"/>
      <c r="G383" s="209"/>
      <c r="H383" s="1071"/>
      <c r="I383" s="210"/>
    </row>
    <row r="384" spans="1:9" ht="18.75" customHeight="1">
      <c r="A384" s="208"/>
      <c r="B384" s="208"/>
      <c r="D384" s="208"/>
      <c r="E384" s="208"/>
      <c r="F384" s="208"/>
      <c r="G384" s="209"/>
      <c r="H384" s="1071"/>
      <c r="I384" s="210"/>
    </row>
    <row r="385" spans="1:9" ht="18.75" customHeight="1">
      <c r="A385" s="208"/>
      <c r="B385" s="208"/>
      <c r="D385" s="208"/>
      <c r="E385" s="208"/>
      <c r="F385" s="208"/>
      <c r="G385" s="209"/>
      <c r="H385" s="1071"/>
      <c r="I385" s="210"/>
    </row>
    <row r="386" spans="1:9" ht="18.75" customHeight="1">
      <c r="A386" s="208"/>
      <c r="B386" s="208"/>
      <c r="D386" s="208"/>
      <c r="E386" s="208"/>
      <c r="F386" s="208"/>
      <c r="G386" s="209"/>
      <c r="H386" s="1071"/>
      <c r="I386" s="210"/>
    </row>
    <row r="387" spans="1:9" ht="18.75" customHeight="1">
      <c r="A387" s="208"/>
      <c r="B387" s="208"/>
      <c r="D387" s="208"/>
      <c r="E387" s="208"/>
      <c r="F387" s="208"/>
      <c r="G387" s="209"/>
      <c r="H387" s="1071"/>
      <c r="I387" s="210"/>
    </row>
    <row r="388" spans="1:9" ht="18.75" customHeight="1">
      <c r="A388" s="208"/>
      <c r="B388" s="208"/>
      <c r="D388" s="208"/>
      <c r="E388" s="208"/>
      <c r="F388" s="208"/>
      <c r="G388" s="209"/>
      <c r="H388" s="1071"/>
      <c r="I388" s="210"/>
    </row>
    <row r="389" spans="1:9" ht="18.75" customHeight="1">
      <c r="A389" s="208"/>
      <c r="B389" s="208"/>
      <c r="D389" s="208"/>
      <c r="E389" s="208"/>
      <c r="F389" s="208"/>
      <c r="G389" s="209"/>
      <c r="H389" s="1071"/>
      <c r="I389" s="210"/>
    </row>
    <row r="390" spans="1:9" ht="18.75" customHeight="1">
      <c r="A390" s="208"/>
      <c r="B390" s="208"/>
      <c r="D390" s="208"/>
      <c r="E390" s="208"/>
      <c r="F390" s="208"/>
      <c r="G390" s="209"/>
      <c r="H390" s="1071"/>
      <c r="I390" s="210"/>
    </row>
    <row r="391" spans="1:9" ht="18.75" customHeight="1">
      <c r="A391" s="208"/>
      <c r="B391" s="208"/>
      <c r="D391" s="208"/>
      <c r="E391" s="208"/>
      <c r="F391" s="208"/>
      <c r="G391" s="209"/>
      <c r="H391" s="1071"/>
      <c r="I391" s="210"/>
    </row>
    <row r="392" spans="1:9" ht="18.75" customHeight="1">
      <c r="A392" s="208"/>
      <c r="B392" s="208"/>
      <c r="D392" s="208"/>
      <c r="E392" s="208"/>
      <c r="F392" s="208"/>
      <c r="G392" s="209"/>
      <c r="H392" s="1071"/>
      <c r="I392" s="210"/>
    </row>
    <row r="393" spans="1:9" ht="18.75" customHeight="1">
      <c r="A393" s="208"/>
      <c r="B393" s="208"/>
      <c r="D393" s="208"/>
      <c r="E393" s="208"/>
      <c r="F393" s="208"/>
      <c r="G393" s="209"/>
      <c r="H393" s="1071"/>
      <c r="I393" s="210"/>
    </row>
    <row r="394" spans="1:9" ht="18.75" customHeight="1">
      <c r="A394" s="208"/>
      <c r="B394" s="208"/>
      <c r="D394" s="208"/>
      <c r="E394" s="208"/>
      <c r="F394" s="208"/>
      <c r="G394" s="209"/>
      <c r="H394" s="1071"/>
      <c r="I394" s="210"/>
    </row>
    <row r="395" spans="1:9" ht="18.75" customHeight="1">
      <c r="A395" s="208"/>
      <c r="B395" s="208"/>
      <c r="D395" s="208"/>
      <c r="E395" s="208"/>
      <c r="F395" s="208"/>
      <c r="G395" s="209"/>
      <c r="H395" s="1071"/>
      <c r="I395" s="210"/>
    </row>
    <row r="396" spans="1:9" ht="18.75" customHeight="1">
      <c r="A396" s="208"/>
      <c r="B396" s="208"/>
      <c r="D396" s="208"/>
      <c r="E396" s="208"/>
      <c r="F396" s="208"/>
      <c r="G396" s="209"/>
      <c r="H396" s="1071"/>
      <c r="I396" s="210"/>
    </row>
    <row r="397" spans="1:9" ht="18.75" customHeight="1">
      <c r="A397" s="208"/>
      <c r="B397" s="208"/>
      <c r="D397" s="208"/>
      <c r="E397" s="208"/>
      <c r="F397" s="208"/>
      <c r="G397" s="209"/>
      <c r="H397" s="1071"/>
      <c r="I397" s="210"/>
    </row>
    <row r="398" spans="1:9" ht="18.75" customHeight="1">
      <c r="A398" s="208"/>
      <c r="B398" s="208"/>
      <c r="D398" s="208"/>
      <c r="E398" s="208"/>
      <c r="F398" s="208"/>
      <c r="G398" s="209"/>
      <c r="H398" s="1071"/>
      <c r="I398" s="210"/>
    </row>
    <row r="399" spans="1:9" ht="18.75" customHeight="1">
      <c r="A399" s="208"/>
      <c r="B399" s="208"/>
      <c r="D399" s="208"/>
      <c r="E399" s="208"/>
      <c r="F399" s="208"/>
      <c r="G399" s="209"/>
      <c r="H399" s="1071"/>
      <c r="I399" s="210"/>
    </row>
    <row r="400" spans="1:9" ht="18.75" customHeight="1">
      <c r="A400" s="208"/>
      <c r="B400" s="208"/>
      <c r="D400" s="208"/>
      <c r="E400" s="208"/>
      <c r="F400" s="208"/>
      <c r="G400" s="209"/>
      <c r="H400" s="1071"/>
      <c r="I400" s="210"/>
    </row>
    <row r="401" spans="1:9" ht="18.75" customHeight="1">
      <c r="A401" s="208"/>
      <c r="B401" s="208"/>
      <c r="D401" s="208"/>
      <c r="E401" s="208"/>
      <c r="F401" s="208"/>
      <c r="G401" s="209"/>
      <c r="H401" s="1071"/>
      <c r="I401" s="210"/>
    </row>
    <row r="402" spans="1:9" ht="18.75" customHeight="1">
      <c r="A402" s="208"/>
      <c r="B402" s="208"/>
      <c r="D402" s="208"/>
      <c r="E402" s="208"/>
      <c r="F402" s="208"/>
      <c r="G402" s="209"/>
      <c r="H402" s="1071"/>
      <c r="I402" s="210"/>
    </row>
    <row r="403" spans="1:9" ht="18.75" customHeight="1">
      <c r="A403" s="208"/>
      <c r="B403" s="208"/>
      <c r="D403" s="208"/>
      <c r="E403" s="208"/>
      <c r="F403" s="208"/>
      <c r="G403" s="209"/>
      <c r="H403" s="1071"/>
      <c r="I403" s="210"/>
    </row>
    <row r="404" spans="1:9" ht="18.75" customHeight="1">
      <c r="A404" s="208"/>
      <c r="B404" s="208"/>
      <c r="D404" s="208"/>
      <c r="E404" s="208"/>
      <c r="F404" s="208"/>
      <c r="G404" s="209"/>
      <c r="H404" s="1071"/>
      <c r="I404" s="210"/>
    </row>
    <row r="405" spans="1:9" ht="18.75" customHeight="1">
      <c r="A405" s="208"/>
      <c r="B405" s="208"/>
      <c r="D405" s="208"/>
      <c r="E405" s="208"/>
      <c r="F405" s="208"/>
      <c r="G405" s="209"/>
      <c r="H405" s="1071"/>
      <c r="I405" s="210"/>
    </row>
    <row r="406" spans="1:9" ht="18.75" customHeight="1">
      <c r="A406" s="208"/>
      <c r="B406" s="208"/>
      <c r="D406" s="208"/>
      <c r="E406" s="208"/>
      <c r="F406" s="208"/>
      <c r="G406" s="209"/>
      <c r="H406" s="1071"/>
      <c r="I406" s="210"/>
    </row>
    <row r="407" spans="1:9" ht="18.75" customHeight="1">
      <c r="A407" s="208"/>
      <c r="B407" s="208"/>
      <c r="D407" s="208"/>
      <c r="E407" s="208"/>
      <c r="F407" s="208"/>
      <c r="G407" s="209"/>
      <c r="H407" s="1071"/>
      <c r="I407" s="210"/>
    </row>
    <row r="408" spans="1:9" ht="18.75" customHeight="1">
      <c r="A408" s="208"/>
      <c r="B408" s="208"/>
      <c r="D408" s="208"/>
      <c r="E408" s="208"/>
      <c r="F408" s="208"/>
      <c r="G408" s="209"/>
      <c r="H408" s="1071"/>
      <c r="I408" s="210"/>
    </row>
    <row r="409" spans="1:9" ht="18.75" customHeight="1">
      <c r="A409" s="208"/>
      <c r="B409" s="208"/>
      <c r="D409" s="208"/>
      <c r="E409" s="208"/>
      <c r="F409" s="208"/>
      <c r="G409" s="209"/>
      <c r="H409" s="1071"/>
      <c r="I409" s="210"/>
    </row>
    <row r="410" spans="1:9" ht="18.75" customHeight="1">
      <c r="A410" s="208"/>
      <c r="B410" s="208"/>
      <c r="D410" s="208"/>
      <c r="E410" s="208"/>
      <c r="F410" s="208"/>
      <c r="G410" s="209"/>
      <c r="H410" s="1071"/>
      <c r="I410" s="210"/>
    </row>
    <row r="411" spans="1:9" ht="18.75" customHeight="1">
      <c r="A411" s="208"/>
      <c r="B411" s="208"/>
      <c r="D411" s="208"/>
      <c r="E411" s="208"/>
      <c r="F411" s="208"/>
      <c r="G411" s="209"/>
      <c r="H411" s="1071"/>
      <c r="I411" s="210"/>
    </row>
    <row r="412" spans="1:9" ht="18.75" customHeight="1">
      <c r="A412" s="208"/>
      <c r="B412" s="208"/>
      <c r="D412" s="208"/>
      <c r="E412" s="208"/>
      <c r="F412" s="208"/>
      <c r="G412" s="209"/>
      <c r="H412" s="1071"/>
      <c r="I412" s="210"/>
    </row>
    <row r="413" spans="1:9" ht="18.75" customHeight="1">
      <c r="A413" s="208"/>
      <c r="B413" s="208"/>
      <c r="D413" s="208"/>
      <c r="E413" s="208"/>
      <c r="F413" s="208"/>
      <c r="G413" s="209"/>
      <c r="H413" s="1071"/>
      <c r="I413" s="210"/>
    </row>
    <row r="414" spans="1:9" ht="18.75" customHeight="1">
      <c r="A414" s="208"/>
      <c r="B414" s="208"/>
      <c r="D414" s="208"/>
      <c r="E414" s="208"/>
      <c r="F414" s="208"/>
      <c r="G414" s="209"/>
      <c r="H414" s="1071"/>
      <c r="I414" s="210"/>
    </row>
    <row r="415" spans="1:9" ht="18.75" customHeight="1">
      <c r="A415" s="208"/>
      <c r="B415" s="208"/>
      <c r="D415" s="208"/>
      <c r="E415" s="208"/>
      <c r="F415" s="208"/>
      <c r="G415" s="209"/>
      <c r="H415" s="1071"/>
      <c r="I415" s="210"/>
    </row>
    <row r="416" spans="1:9" ht="18.75" customHeight="1">
      <c r="A416" s="208"/>
      <c r="B416" s="208"/>
      <c r="D416" s="208"/>
      <c r="E416" s="208"/>
      <c r="F416" s="208"/>
      <c r="G416" s="209"/>
      <c r="H416" s="1071"/>
      <c r="I416" s="210"/>
    </row>
    <row r="417" spans="1:9" ht="18.75" customHeight="1">
      <c r="A417" s="208"/>
      <c r="B417" s="208"/>
      <c r="D417" s="208"/>
      <c r="E417" s="208"/>
      <c r="F417" s="208"/>
      <c r="G417" s="209"/>
      <c r="H417" s="1071"/>
      <c r="I417" s="210"/>
    </row>
    <row r="418" spans="1:9" ht="18.75" customHeight="1">
      <c r="A418" s="208"/>
      <c r="B418" s="208"/>
      <c r="D418" s="208"/>
      <c r="E418" s="208"/>
      <c r="F418" s="208"/>
      <c r="G418" s="209"/>
      <c r="H418" s="1071"/>
      <c r="I418" s="210"/>
    </row>
    <row r="419" spans="1:9" ht="18.75" customHeight="1">
      <c r="A419" s="208"/>
      <c r="B419" s="208"/>
      <c r="D419" s="208"/>
      <c r="E419" s="208"/>
      <c r="F419" s="208"/>
      <c r="G419" s="209"/>
      <c r="H419" s="1071"/>
      <c r="I419" s="210"/>
    </row>
    <row r="420" spans="1:9" ht="18.75" customHeight="1">
      <c r="A420" s="208"/>
      <c r="B420" s="208"/>
      <c r="D420" s="208"/>
      <c r="E420" s="208"/>
      <c r="F420" s="208"/>
      <c r="G420" s="209"/>
      <c r="H420" s="1071"/>
      <c r="I420" s="210"/>
    </row>
    <row r="421" spans="1:9" ht="18.75" customHeight="1">
      <c r="A421" s="208"/>
      <c r="B421" s="208"/>
      <c r="D421" s="208"/>
      <c r="E421" s="208"/>
      <c r="F421" s="208"/>
      <c r="G421" s="209"/>
      <c r="H421" s="1071"/>
      <c r="I421" s="210"/>
    </row>
    <row r="422" spans="1:9" ht="18.75" customHeight="1">
      <c r="A422" s="208"/>
      <c r="B422" s="208"/>
      <c r="D422" s="208"/>
      <c r="E422" s="208"/>
      <c r="F422" s="208"/>
      <c r="G422" s="209"/>
      <c r="H422" s="1071"/>
      <c r="I422" s="210"/>
    </row>
    <row r="423" spans="1:9" ht="18.75" customHeight="1">
      <c r="A423" s="208"/>
      <c r="B423" s="208"/>
      <c r="D423" s="208"/>
      <c r="E423" s="208"/>
      <c r="F423" s="208"/>
      <c r="G423" s="209"/>
      <c r="H423" s="1071"/>
      <c r="I423" s="210"/>
    </row>
    <row r="424" spans="1:9" ht="18.75" customHeight="1">
      <c r="A424" s="208"/>
      <c r="B424" s="208"/>
      <c r="D424" s="208"/>
      <c r="E424" s="208"/>
      <c r="F424" s="208"/>
      <c r="G424" s="209"/>
      <c r="H424" s="1071"/>
      <c r="I424" s="210"/>
    </row>
    <row r="425" spans="1:9" ht="18.75" customHeight="1">
      <c r="A425" s="208"/>
      <c r="B425" s="208"/>
      <c r="D425" s="208"/>
      <c r="E425" s="208"/>
      <c r="F425" s="208"/>
      <c r="G425" s="209"/>
      <c r="H425" s="1071"/>
      <c r="I425" s="210"/>
    </row>
    <row r="426" spans="1:9" ht="18.75" customHeight="1">
      <c r="A426" s="208"/>
      <c r="B426" s="208"/>
      <c r="D426" s="208"/>
      <c r="E426" s="208"/>
      <c r="F426" s="208"/>
      <c r="G426" s="209"/>
      <c r="H426" s="1071"/>
      <c r="I426" s="210"/>
    </row>
    <row r="427" spans="1:9" ht="18.75" customHeight="1">
      <c r="A427" s="208"/>
      <c r="B427" s="208"/>
      <c r="D427" s="208"/>
      <c r="E427" s="208"/>
      <c r="F427" s="208"/>
      <c r="G427" s="209"/>
      <c r="H427" s="1071"/>
      <c r="I427" s="210"/>
    </row>
    <row r="428" spans="1:9" ht="18.75" customHeight="1">
      <c r="A428" s="208"/>
      <c r="B428" s="208"/>
      <c r="D428" s="208"/>
      <c r="E428" s="208"/>
      <c r="F428" s="208"/>
      <c r="G428" s="209"/>
      <c r="H428" s="1071"/>
      <c r="I428" s="210"/>
    </row>
    <row r="429" spans="1:9" ht="18.75" customHeight="1">
      <c r="A429" s="208"/>
      <c r="B429" s="208"/>
      <c r="D429" s="208"/>
      <c r="E429" s="208"/>
      <c r="F429" s="208"/>
      <c r="G429" s="209"/>
      <c r="H429" s="1071"/>
      <c r="I429" s="210"/>
    </row>
    <row r="430" spans="1:9" ht="18.75" customHeight="1">
      <c r="A430" s="208"/>
      <c r="B430" s="208"/>
      <c r="D430" s="208"/>
      <c r="E430" s="208"/>
      <c r="F430" s="208"/>
      <c r="G430" s="209"/>
      <c r="H430" s="1071"/>
      <c r="I430" s="210"/>
    </row>
    <row r="431" spans="1:9" ht="18.75" customHeight="1">
      <c r="A431" s="208"/>
      <c r="B431" s="208"/>
      <c r="D431" s="208"/>
      <c r="E431" s="208"/>
      <c r="F431" s="208"/>
      <c r="G431" s="209"/>
      <c r="H431" s="1071"/>
      <c r="I431" s="210"/>
    </row>
    <row r="432" spans="1:9" ht="18.75" customHeight="1">
      <c r="A432" s="208"/>
      <c r="B432" s="208"/>
      <c r="D432" s="208"/>
      <c r="E432" s="208"/>
      <c r="F432" s="208"/>
      <c r="G432" s="209"/>
      <c r="H432" s="1071"/>
      <c r="I432" s="210"/>
    </row>
    <row r="433" spans="1:9" ht="18.75" customHeight="1">
      <c r="A433" s="208"/>
      <c r="B433" s="208"/>
      <c r="D433" s="208"/>
      <c r="E433" s="208"/>
      <c r="F433" s="208"/>
      <c r="G433" s="209"/>
      <c r="H433" s="1071"/>
      <c r="I433" s="210"/>
    </row>
    <row r="434" spans="1:9" ht="18.75" customHeight="1">
      <c r="A434" s="208"/>
      <c r="B434" s="208"/>
      <c r="D434" s="208"/>
      <c r="E434" s="208"/>
      <c r="F434" s="208"/>
      <c r="G434" s="209"/>
      <c r="H434" s="1071"/>
      <c r="I434" s="210"/>
    </row>
    <row r="435" spans="1:9" ht="18.75" customHeight="1">
      <c r="A435" s="208"/>
      <c r="B435" s="208"/>
      <c r="D435" s="208"/>
      <c r="E435" s="208"/>
      <c r="F435" s="208"/>
      <c r="G435" s="209"/>
      <c r="H435" s="1071"/>
      <c r="I435" s="210"/>
    </row>
    <row r="436" spans="1:9" ht="18.75" customHeight="1">
      <c r="A436" s="208"/>
      <c r="B436" s="208"/>
      <c r="D436" s="208"/>
      <c r="E436" s="208"/>
      <c r="F436" s="208"/>
      <c r="G436" s="209"/>
      <c r="H436" s="1071"/>
      <c r="I436" s="210"/>
    </row>
    <row r="437" spans="1:9" ht="18.75" customHeight="1">
      <c r="A437" s="208"/>
      <c r="B437" s="208"/>
      <c r="D437" s="208"/>
      <c r="E437" s="208"/>
      <c r="F437" s="208"/>
      <c r="G437" s="209"/>
      <c r="H437" s="1071"/>
      <c r="I437" s="210"/>
    </row>
    <row r="438" spans="1:9" ht="18.75" customHeight="1">
      <c r="A438" s="208"/>
      <c r="B438" s="208"/>
      <c r="D438" s="208"/>
      <c r="E438" s="208"/>
      <c r="F438" s="208"/>
      <c r="G438" s="209"/>
      <c r="H438" s="1071"/>
      <c r="I438" s="210"/>
    </row>
    <row r="439" spans="1:9" ht="18.75" customHeight="1">
      <c r="A439" s="208"/>
      <c r="B439" s="208"/>
      <c r="D439" s="208"/>
      <c r="E439" s="208"/>
      <c r="F439" s="208"/>
      <c r="G439" s="209"/>
      <c r="H439" s="1071"/>
      <c r="I439" s="210"/>
    </row>
    <row r="440" spans="1:9" ht="18.75" customHeight="1">
      <c r="A440" s="208"/>
      <c r="B440" s="208"/>
      <c r="D440" s="208"/>
      <c r="E440" s="208"/>
      <c r="F440" s="208"/>
      <c r="G440" s="209"/>
      <c r="H440" s="1071"/>
      <c r="I440" s="210"/>
    </row>
    <row r="441" spans="1:9" ht="18.75" customHeight="1">
      <c r="A441" s="208"/>
      <c r="B441" s="208"/>
      <c r="D441" s="208"/>
      <c r="E441" s="208"/>
      <c r="F441" s="208"/>
      <c r="G441" s="209"/>
      <c r="H441" s="1071"/>
      <c r="I441" s="210"/>
    </row>
    <row r="442" spans="1:9" ht="18.75" customHeight="1">
      <c r="A442" s="208"/>
      <c r="B442" s="208"/>
      <c r="D442" s="208"/>
      <c r="E442" s="208"/>
      <c r="F442" s="208"/>
      <c r="G442" s="209"/>
      <c r="H442" s="1071"/>
      <c r="I442" s="210"/>
    </row>
    <row r="443" spans="1:9" ht="18.75" customHeight="1">
      <c r="A443" s="208"/>
      <c r="B443" s="208"/>
      <c r="D443" s="208"/>
      <c r="E443" s="208"/>
      <c r="F443" s="208"/>
      <c r="G443" s="209"/>
      <c r="H443" s="1071"/>
      <c r="I443" s="210"/>
    </row>
    <row r="444" spans="1:9" ht="18.75" customHeight="1">
      <c r="A444" s="208"/>
      <c r="B444" s="208"/>
      <c r="D444" s="208"/>
      <c r="E444" s="208"/>
      <c r="F444" s="208"/>
      <c r="G444" s="209"/>
      <c r="H444" s="1071"/>
      <c r="I444" s="210"/>
    </row>
    <row r="445" spans="1:9" ht="18.75" customHeight="1">
      <c r="A445" s="208"/>
      <c r="B445" s="208"/>
      <c r="D445" s="208"/>
      <c r="E445" s="208"/>
      <c r="F445" s="208"/>
      <c r="G445" s="209"/>
      <c r="H445" s="1071"/>
      <c r="I445" s="210"/>
    </row>
    <row r="446" spans="1:9" ht="18.75" customHeight="1">
      <c r="A446" s="208"/>
      <c r="B446" s="208"/>
      <c r="D446" s="208"/>
      <c r="E446" s="208"/>
      <c r="F446" s="208"/>
      <c r="G446" s="209"/>
      <c r="H446" s="1071"/>
      <c r="I446" s="210"/>
    </row>
    <row r="447" spans="1:9" ht="18.75" customHeight="1">
      <c r="A447" s="208"/>
      <c r="B447" s="208"/>
      <c r="D447" s="208"/>
      <c r="E447" s="208"/>
      <c r="F447" s="208"/>
      <c r="G447" s="209"/>
      <c r="H447" s="1071"/>
      <c r="I447" s="210"/>
    </row>
    <row r="448" spans="1:9" ht="18.75" customHeight="1">
      <c r="A448" s="208"/>
      <c r="B448" s="208"/>
      <c r="D448" s="208"/>
      <c r="E448" s="208"/>
      <c r="F448" s="208"/>
      <c r="G448" s="209"/>
      <c r="H448" s="1071"/>
      <c r="I448" s="210"/>
    </row>
    <row r="449" spans="1:9" ht="18.75" customHeight="1">
      <c r="A449" s="208"/>
      <c r="B449" s="208"/>
      <c r="D449" s="208"/>
      <c r="E449" s="208"/>
      <c r="F449" s="208"/>
      <c r="G449" s="209"/>
      <c r="H449" s="1071"/>
      <c r="I449" s="210"/>
    </row>
    <row r="450" spans="1:9" ht="18.75" customHeight="1">
      <c r="A450" s="208"/>
      <c r="B450" s="208"/>
      <c r="D450" s="208"/>
      <c r="E450" s="208"/>
      <c r="F450" s="208"/>
      <c r="G450" s="209"/>
      <c r="H450" s="1071"/>
      <c r="I450" s="210"/>
    </row>
    <row r="451" spans="1:9" ht="18.75" customHeight="1">
      <c r="A451" s="208"/>
      <c r="B451" s="208"/>
      <c r="D451" s="208"/>
      <c r="E451" s="208"/>
      <c r="F451" s="208"/>
      <c r="G451" s="209"/>
      <c r="H451" s="1071"/>
      <c r="I451" s="210"/>
    </row>
    <row r="452" spans="1:9" ht="18.75" customHeight="1">
      <c r="A452" s="208"/>
      <c r="B452" s="208"/>
      <c r="D452" s="208"/>
      <c r="E452" s="208"/>
      <c r="F452" s="208"/>
      <c r="G452" s="209"/>
      <c r="H452" s="1071"/>
      <c r="I452" s="210"/>
    </row>
    <row r="453" spans="1:9" ht="18.75" customHeight="1">
      <c r="A453" s="208"/>
      <c r="B453" s="208"/>
      <c r="D453" s="208"/>
      <c r="E453" s="208"/>
      <c r="F453" s="208"/>
      <c r="G453" s="209"/>
      <c r="H453" s="1071"/>
      <c r="I453" s="210"/>
    </row>
    <row r="454" spans="1:9" ht="18.75" customHeight="1">
      <c r="A454" s="208"/>
      <c r="B454" s="208"/>
      <c r="D454" s="208"/>
      <c r="E454" s="208"/>
      <c r="F454" s="208"/>
      <c r="G454" s="209"/>
      <c r="H454" s="1071"/>
      <c r="I454" s="210"/>
    </row>
    <row r="455" spans="1:9" ht="18.75" customHeight="1">
      <c r="A455" s="208"/>
      <c r="B455" s="208"/>
      <c r="D455" s="208"/>
      <c r="E455" s="208"/>
      <c r="F455" s="208"/>
      <c r="G455" s="209"/>
      <c r="H455" s="1071"/>
      <c r="I455" s="210"/>
    </row>
    <row r="456" spans="1:9" ht="18.75" customHeight="1">
      <c r="A456" s="208"/>
      <c r="B456" s="208"/>
      <c r="D456" s="208"/>
      <c r="E456" s="208"/>
      <c r="F456" s="208"/>
      <c r="G456" s="209"/>
      <c r="H456" s="1071"/>
      <c r="I456" s="210"/>
    </row>
    <row r="457" spans="1:9" ht="18.75" customHeight="1">
      <c r="A457" s="208"/>
      <c r="B457" s="208"/>
      <c r="D457" s="208"/>
      <c r="E457" s="208"/>
      <c r="F457" s="208"/>
      <c r="G457" s="209"/>
      <c r="H457" s="1071"/>
      <c r="I457" s="210"/>
    </row>
    <row r="458" spans="1:9" ht="18.75" customHeight="1">
      <c r="A458" s="208"/>
      <c r="B458" s="208"/>
      <c r="D458" s="208"/>
      <c r="E458" s="208"/>
      <c r="F458" s="208"/>
      <c r="G458" s="209"/>
      <c r="H458" s="1071"/>
      <c r="I458" s="210"/>
    </row>
    <row r="459" spans="1:9" ht="18.75" customHeight="1">
      <c r="A459" s="208"/>
      <c r="B459" s="208"/>
      <c r="D459" s="208"/>
      <c r="E459" s="208"/>
      <c r="F459" s="208"/>
      <c r="G459" s="209"/>
      <c r="H459" s="1071"/>
      <c r="I459" s="210"/>
    </row>
    <row r="460" spans="1:9" ht="18.75" customHeight="1">
      <c r="A460" s="208"/>
      <c r="B460" s="208"/>
      <c r="D460" s="208"/>
      <c r="E460" s="208"/>
      <c r="F460" s="208"/>
      <c r="G460" s="209"/>
      <c r="H460" s="1071"/>
      <c r="I460" s="210"/>
    </row>
    <row r="461" spans="1:9" ht="18.75" customHeight="1">
      <c r="A461" s="208"/>
      <c r="B461" s="208"/>
      <c r="D461" s="208"/>
      <c r="E461" s="208"/>
      <c r="F461" s="208"/>
      <c r="G461" s="209"/>
      <c r="H461" s="1071"/>
      <c r="I461" s="210"/>
    </row>
    <row r="462" spans="1:9" ht="18.75" customHeight="1">
      <c r="A462" s="208"/>
      <c r="B462" s="208"/>
      <c r="D462" s="208"/>
      <c r="E462" s="208"/>
      <c r="F462" s="208"/>
      <c r="G462" s="209"/>
      <c r="H462" s="1071"/>
      <c r="I462" s="210"/>
    </row>
    <row r="463" spans="1:9" ht="18.75" customHeight="1">
      <c r="A463" s="208"/>
      <c r="B463" s="208"/>
      <c r="D463" s="208"/>
      <c r="E463" s="208"/>
      <c r="F463" s="208"/>
      <c r="G463" s="209"/>
      <c r="H463" s="1071"/>
      <c r="I463" s="210"/>
    </row>
    <row r="464" spans="1:9" ht="18.75" customHeight="1">
      <c r="A464" s="208"/>
      <c r="B464" s="208"/>
      <c r="D464" s="208"/>
      <c r="E464" s="208"/>
      <c r="F464" s="208"/>
      <c r="G464" s="209"/>
      <c r="H464" s="1071"/>
      <c r="I464" s="210"/>
    </row>
    <row r="465" spans="1:9" ht="18.75" customHeight="1">
      <c r="A465" s="208"/>
      <c r="B465" s="208"/>
      <c r="D465" s="208"/>
      <c r="E465" s="208"/>
      <c r="F465" s="208"/>
      <c r="G465" s="209"/>
      <c r="H465" s="1071"/>
      <c r="I465" s="210"/>
    </row>
    <row r="466" spans="1:9" ht="15.75" customHeight="1"/>
    <row r="467" spans="1:9" ht="15.75" customHeight="1"/>
    <row r="468" spans="1:9" ht="15.75" customHeight="1"/>
    <row r="469" spans="1:9" ht="15.75" customHeight="1"/>
    <row r="470" spans="1:9" ht="15.75" customHeight="1"/>
    <row r="471" spans="1:9" ht="15.75" customHeight="1"/>
    <row r="472" spans="1:9" ht="15.75" customHeight="1"/>
    <row r="473" spans="1:9" ht="15.75" customHeight="1"/>
    <row r="474" spans="1:9" ht="15.75" customHeight="1"/>
    <row r="475" spans="1:9" ht="15.75" customHeight="1"/>
    <row r="476" spans="1:9" ht="15.75" customHeight="1"/>
    <row r="477" spans="1:9" ht="15.75" customHeight="1"/>
    <row r="478" spans="1:9" ht="15.75" customHeight="1"/>
    <row r="479" spans="1:9" ht="15.75" customHeight="1"/>
    <row r="480" spans="1:9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D5:F5"/>
  </mergeCells>
  <pageMargins left="0.25" right="0.25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topLeftCell="A31" workbookViewId="0">
      <selection activeCell="C44" sqref="C44"/>
    </sheetView>
  </sheetViews>
  <sheetFormatPr defaultColWidth="14.42578125" defaultRowHeight="15" customHeight="1"/>
  <cols>
    <col min="1" max="1" width="6.5703125" customWidth="1"/>
    <col min="2" max="2" width="20.42578125" customWidth="1"/>
    <col min="3" max="3" width="34" customWidth="1"/>
    <col min="4" max="4" width="29.7109375" customWidth="1"/>
    <col min="5" max="5" width="24.28515625" customWidth="1"/>
    <col min="6" max="6" width="13.28515625" customWidth="1"/>
    <col min="7" max="7" width="18" style="1055" customWidth="1"/>
    <col min="8" max="8" width="28.5703125" customWidth="1"/>
    <col min="9" max="9" width="15.7109375" customWidth="1"/>
    <col min="10" max="26" width="10" customWidth="1"/>
  </cols>
  <sheetData>
    <row r="1" spans="1:26" ht="15.75" customHeight="1">
      <c r="A1" s="951" t="s">
        <v>819</v>
      </c>
      <c r="B1" s="890"/>
      <c r="C1" s="890"/>
      <c r="D1" s="890"/>
      <c r="E1" s="890"/>
      <c r="F1" s="306"/>
      <c r="G1" s="1049"/>
      <c r="H1" s="306"/>
      <c r="I1" s="306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spans="1:26" ht="15.75" customHeight="1">
      <c r="A2" s="306"/>
      <c r="B2" s="306"/>
      <c r="C2" s="306"/>
      <c r="D2" s="306"/>
      <c r="E2" s="307"/>
      <c r="F2" s="306"/>
      <c r="G2" s="1049"/>
      <c r="H2" s="308">
        <f>SUM(G5:G41)</f>
        <v>81253400</v>
      </c>
      <c r="I2" s="306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</row>
    <row r="3" spans="1:26" ht="15.75" customHeight="1">
      <c r="A3" s="306"/>
      <c r="B3" s="306"/>
      <c r="C3" s="306"/>
      <c r="D3" s="306"/>
      <c r="E3" s="307"/>
      <c r="F3" s="306"/>
      <c r="G3" s="1049"/>
      <c r="H3" s="306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</row>
    <row r="4" spans="1:26" ht="15.75" customHeight="1">
      <c r="A4" s="309" t="s">
        <v>820</v>
      </c>
      <c r="B4" s="310" t="s">
        <v>821</v>
      </c>
      <c r="C4" s="310" t="s">
        <v>822</v>
      </c>
      <c r="D4" s="310" t="s">
        <v>823</v>
      </c>
      <c r="E4" s="310" t="s">
        <v>824</v>
      </c>
      <c r="F4" s="311" t="s">
        <v>825</v>
      </c>
      <c r="G4" s="1050" t="s">
        <v>826</v>
      </c>
      <c r="H4" s="310" t="s">
        <v>827</v>
      </c>
      <c r="I4" s="312" t="s">
        <v>664</v>
      </c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</row>
    <row r="5" spans="1:26" ht="15.75" customHeight="1">
      <c r="A5" s="313">
        <v>1</v>
      </c>
      <c r="B5" s="314" t="s">
        <v>828</v>
      </c>
      <c r="C5" s="314" t="s">
        <v>829</v>
      </c>
      <c r="D5" s="314" t="s">
        <v>830</v>
      </c>
      <c r="E5" s="315">
        <v>24</v>
      </c>
      <c r="F5" s="316">
        <v>500000</v>
      </c>
      <c r="G5" s="1051">
        <v>12000000</v>
      </c>
      <c r="H5" s="314" t="s">
        <v>831</v>
      </c>
      <c r="I5" s="317" t="s">
        <v>671</v>
      </c>
      <c r="J5" s="318"/>
      <c r="K5" s="318"/>
      <c r="L5" s="318"/>
      <c r="M5" s="318"/>
      <c r="N5" s="318"/>
      <c r="O5" s="318"/>
      <c r="P5" s="318"/>
      <c r="Q5" s="318"/>
      <c r="R5" s="318"/>
      <c r="S5" s="318"/>
      <c r="T5" s="318"/>
      <c r="U5" s="318"/>
      <c r="V5" s="318"/>
      <c r="W5" s="318"/>
      <c r="X5" s="318"/>
      <c r="Y5" s="318"/>
      <c r="Z5" s="318"/>
    </row>
    <row r="6" spans="1:26" ht="15.75" customHeight="1">
      <c r="A6" s="313">
        <v>2</v>
      </c>
      <c r="B6" s="319" t="s">
        <v>832</v>
      </c>
      <c r="C6" s="319" t="s">
        <v>833</v>
      </c>
      <c r="D6" s="319" t="s">
        <v>834</v>
      </c>
      <c r="E6" s="320">
        <v>20</v>
      </c>
      <c r="F6" s="321">
        <v>155000</v>
      </c>
      <c r="G6" s="1051">
        <v>3100000</v>
      </c>
      <c r="H6" s="319"/>
      <c r="I6" s="317" t="s">
        <v>671</v>
      </c>
      <c r="J6" s="318"/>
      <c r="K6" s="318"/>
      <c r="L6" s="318"/>
      <c r="M6" s="318"/>
      <c r="N6" s="318"/>
      <c r="O6" s="318"/>
      <c r="P6" s="318"/>
      <c r="Q6" s="318"/>
      <c r="R6" s="318"/>
      <c r="S6" s="318"/>
      <c r="T6" s="318"/>
      <c r="U6" s="318"/>
      <c r="V6" s="318"/>
      <c r="W6" s="318"/>
      <c r="X6" s="318"/>
      <c r="Y6" s="318"/>
      <c r="Z6" s="318"/>
    </row>
    <row r="7" spans="1:26" ht="15.75" customHeight="1">
      <c r="A7" s="313">
        <v>3</v>
      </c>
      <c r="B7" s="319" t="s">
        <v>832</v>
      </c>
      <c r="C7" s="319" t="s">
        <v>835</v>
      </c>
      <c r="D7" s="319" t="s">
        <v>830</v>
      </c>
      <c r="E7" s="320">
        <v>4</v>
      </c>
      <c r="F7" s="321">
        <v>50000</v>
      </c>
      <c r="G7" s="1051">
        <v>200000</v>
      </c>
      <c r="H7" s="319"/>
      <c r="I7" s="317" t="s">
        <v>671</v>
      </c>
      <c r="J7" s="318"/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</row>
    <row r="8" spans="1:26" ht="15.75" customHeight="1">
      <c r="A8" s="313">
        <v>4</v>
      </c>
      <c r="B8" s="319" t="s">
        <v>836</v>
      </c>
      <c r="C8" s="319" t="s">
        <v>837</v>
      </c>
      <c r="D8" s="322"/>
      <c r="E8" s="320">
        <v>5</v>
      </c>
      <c r="F8" s="323">
        <v>200000</v>
      </c>
      <c r="G8" s="1051">
        <v>1000000</v>
      </c>
      <c r="H8" s="319" t="s">
        <v>838</v>
      </c>
      <c r="I8" s="317"/>
      <c r="J8" s="318"/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</row>
    <row r="9" spans="1:26" ht="15.75" customHeight="1">
      <c r="A9" s="313">
        <v>5</v>
      </c>
      <c r="B9" s="324" t="s">
        <v>788</v>
      </c>
      <c r="C9" s="314" t="s">
        <v>839</v>
      </c>
      <c r="D9" s="324" t="s">
        <v>830</v>
      </c>
      <c r="E9" s="324">
        <v>24</v>
      </c>
      <c r="F9" s="316">
        <v>220000</v>
      </c>
      <c r="G9" s="1051">
        <v>5280000</v>
      </c>
      <c r="H9" s="314" t="s">
        <v>840</v>
      </c>
      <c r="I9" s="317" t="s">
        <v>671</v>
      </c>
      <c r="J9" s="318"/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</row>
    <row r="10" spans="1:26" ht="15.75" customHeight="1">
      <c r="A10" s="313">
        <v>6</v>
      </c>
      <c r="B10" s="324" t="s">
        <v>788</v>
      </c>
      <c r="C10" s="314" t="s">
        <v>841</v>
      </c>
      <c r="D10" s="324" t="s">
        <v>830</v>
      </c>
      <c r="E10" s="324">
        <v>8</v>
      </c>
      <c r="F10" s="316">
        <v>132000</v>
      </c>
      <c r="G10" s="1051">
        <v>1053600</v>
      </c>
      <c r="H10" s="314" t="s">
        <v>840</v>
      </c>
      <c r="I10" s="317" t="s">
        <v>671</v>
      </c>
      <c r="J10" s="318"/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</row>
    <row r="11" spans="1:26" ht="15.75" customHeight="1">
      <c r="A11" s="313">
        <v>7</v>
      </c>
      <c r="B11" s="324" t="s">
        <v>788</v>
      </c>
      <c r="C11" s="314" t="s">
        <v>842</v>
      </c>
      <c r="D11" s="324" t="s">
        <v>830</v>
      </c>
      <c r="E11" s="324">
        <v>8</v>
      </c>
      <c r="F11" s="316">
        <v>92.5</v>
      </c>
      <c r="G11" s="1051">
        <v>740000</v>
      </c>
      <c r="H11" s="314" t="s">
        <v>840</v>
      </c>
      <c r="I11" s="317" t="s">
        <v>671</v>
      </c>
      <c r="J11" s="318"/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</row>
    <row r="12" spans="1:26" ht="15.75" customHeight="1">
      <c r="A12" s="313">
        <v>8</v>
      </c>
      <c r="B12" s="324" t="s">
        <v>788</v>
      </c>
      <c r="C12" s="314" t="s">
        <v>843</v>
      </c>
      <c r="D12" s="324" t="s">
        <v>830</v>
      </c>
      <c r="E12" s="324">
        <v>12</v>
      </c>
      <c r="F12" s="316">
        <v>82.5</v>
      </c>
      <c r="G12" s="1051">
        <v>990000</v>
      </c>
      <c r="H12" s="314" t="s">
        <v>840</v>
      </c>
      <c r="I12" s="317" t="s">
        <v>671</v>
      </c>
      <c r="J12" s="318"/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</row>
    <row r="13" spans="1:26" ht="15.75" customHeight="1">
      <c r="A13" s="313">
        <v>9</v>
      </c>
      <c r="B13" s="324" t="s">
        <v>788</v>
      </c>
      <c r="C13" s="314" t="s">
        <v>844</v>
      </c>
      <c r="D13" s="324" t="s">
        <v>830</v>
      </c>
      <c r="E13" s="324">
        <v>6</v>
      </c>
      <c r="F13" s="316">
        <v>246.5</v>
      </c>
      <c r="G13" s="1051">
        <v>1479000</v>
      </c>
      <c r="H13" s="314" t="s">
        <v>840</v>
      </c>
      <c r="I13" s="317" t="s">
        <v>671</v>
      </c>
      <c r="J13" s="318"/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</row>
    <row r="14" spans="1:26" ht="15.75" customHeight="1">
      <c r="A14" s="313">
        <v>10</v>
      </c>
      <c r="B14" s="324" t="s">
        <v>788</v>
      </c>
      <c r="C14" s="314" t="s">
        <v>845</v>
      </c>
      <c r="D14" s="324" t="s">
        <v>830</v>
      </c>
      <c r="E14" s="324">
        <v>8</v>
      </c>
      <c r="F14" s="316">
        <v>105.4</v>
      </c>
      <c r="G14" s="1051">
        <v>843000</v>
      </c>
      <c r="H14" s="314" t="s">
        <v>840</v>
      </c>
      <c r="I14" s="317" t="s">
        <v>671</v>
      </c>
      <c r="J14" s="318"/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</row>
    <row r="15" spans="1:26" ht="15.75" customHeight="1">
      <c r="A15" s="313">
        <v>11</v>
      </c>
      <c r="B15" s="324" t="s">
        <v>788</v>
      </c>
      <c r="C15" s="314" t="s">
        <v>846</v>
      </c>
      <c r="D15" s="324" t="s">
        <v>830</v>
      </c>
      <c r="E15" s="324">
        <v>8</v>
      </c>
      <c r="F15" s="316">
        <v>105.4</v>
      </c>
      <c r="G15" s="1051">
        <v>843000</v>
      </c>
      <c r="H15" s="314" t="s">
        <v>840</v>
      </c>
      <c r="I15" s="317" t="s">
        <v>671</v>
      </c>
      <c r="J15" s="318"/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</row>
    <row r="16" spans="1:26" ht="15.75" customHeight="1">
      <c r="A16" s="313">
        <v>12</v>
      </c>
      <c r="B16" s="324" t="s">
        <v>788</v>
      </c>
      <c r="C16" s="314" t="s">
        <v>847</v>
      </c>
      <c r="D16" s="324" t="s">
        <v>830</v>
      </c>
      <c r="E16" s="324">
        <v>24</v>
      </c>
      <c r="F16" s="316">
        <v>12000</v>
      </c>
      <c r="G16" s="1051">
        <v>288000</v>
      </c>
      <c r="H16" s="314" t="s">
        <v>840</v>
      </c>
      <c r="I16" s="317" t="s">
        <v>671</v>
      </c>
      <c r="J16" s="318"/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</row>
    <row r="17" spans="1:26" ht="15.75" customHeight="1">
      <c r="A17" s="313">
        <v>13</v>
      </c>
      <c r="B17" s="324" t="s">
        <v>788</v>
      </c>
      <c r="C17" s="314" t="s">
        <v>848</v>
      </c>
      <c r="D17" s="315" t="s">
        <v>849</v>
      </c>
      <c r="E17" s="324">
        <v>8</v>
      </c>
      <c r="F17" s="316">
        <v>184.6</v>
      </c>
      <c r="G17" s="1051">
        <v>1476800</v>
      </c>
      <c r="H17" s="314" t="s">
        <v>840</v>
      </c>
      <c r="I17" s="317" t="s">
        <v>671</v>
      </c>
      <c r="J17" s="318"/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</row>
    <row r="18" spans="1:26" ht="15.75" customHeight="1">
      <c r="A18" s="313">
        <v>14</v>
      </c>
      <c r="B18" s="324" t="s">
        <v>788</v>
      </c>
      <c r="C18" s="314" t="s">
        <v>850</v>
      </c>
      <c r="D18" s="315" t="s">
        <v>830</v>
      </c>
      <c r="E18" s="324">
        <v>8</v>
      </c>
      <c r="F18" s="316">
        <v>190</v>
      </c>
      <c r="G18" s="1051">
        <v>1520000</v>
      </c>
      <c r="H18" s="314" t="s">
        <v>840</v>
      </c>
      <c r="I18" s="317" t="s">
        <v>671</v>
      </c>
      <c r="J18" s="318"/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</row>
    <row r="19" spans="1:26" ht="15.75" customHeight="1">
      <c r="A19" s="313">
        <v>15</v>
      </c>
      <c r="B19" s="315" t="s">
        <v>788</v>
      </c>
      <c r="C19" s="315" t="s">
        <v>851</v>
      </c>
      <c r="D19" s="315" t="s">
        <v>849</v>
      </c>
      <c r="E19" s="315">
        <v>8</v>
      </c>
      <c r="F19" s="316">
        <v>190</v>
      </c>
      <c r="G19" s="1051">
        <v>1520000</v>
      </c>
      <c r="H19" s="314" t="s">
        <v>840</v>
      </c>
      <c r="I19" s="317" t="s">
        <v>671</v>
      </c>
      <c r="J19" s="318"/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</row>
    <row r="20" spans="1:26" ht="15.75" customHeight="1">
      <c r="A20" s="313">
        <v>16</v>
      </c>
      <c r="B20" s="315" t="s">
        <v>788</v>
      </c>
      <c r="C20" s="315" t="s">
        <v>852</v>
      </c>
      <c r="D20" s="315" t="s">
        <v>849</v>
      </c>
      <c r="E20" s="315">
        <v>8</v>
      </c>
      <c r="F20" s="316">
        <v>165</v>
      </c>
      <c r="G20" s="1051">
        <v>1320000</v>
      </c>
      <c r="H20" s="314" t="s">
        <v>840</v>
      </c>
      <c r="I20" s="317" t="s">
        <v>671</v>
      </c>
      <c r="J20" s="318"/>
      <c r="K20" s="318"/>
      <c r="L20" s="318"/>
      <c r="M20" s="318"/>
      <c r="N20" s="318"/>
      <c r="O20" s="318"/>
      <c r="P20" s="318"/>
      <c r="Q20" s="318"/>
      <c r="R20" s="318"/>
      <c r="S20" s="318"/>
      <c r="T20" s="318"/>
      <c r="U20" s="318"/>
      <c r="V20" s="318"/>
      <c r="W20" s="318"/>
      <c r="X20" s="318"/>
      <c r="Y20" s="318"/>
      <c r="Z20" s="318"/>
    </row>
    <row r="21" spans="1:26" ht="15.75" customHeight="1">
      <c r="A21" s="313">
        <v>17</v>
      </c>
      <c r="B21" s="315" t="s">
        <v>788</v>
      </c>
      <c r="C21" s="315" t="s">
        <v>853</v>
      </c>
      <c r="D21" s="315" t="s">
        <v>854</v>
      </c>
      <c r="E21" s="315">
        <v>8</v>
      </c>
      <c r="F21" s="316">
        <v>200</v>
      </c>
      <c r="G21" s="1051">
        <v>1600000</v>
      </c>
      <c r="H21" s="314" t="s">
        <v>840</v>
      </c>
      <c r="I21" s="317" t="s">
        <v>671</v>
      </c>
      <c r="J21" s="318"/>
      <c r="K21" s="318"/>
      <c r="L21" s="318"/>
      <c r="M21" s="318"/>
      <c r="N21" s="318"/>
      <c r="O21" s="318"/>
      <c r="P21" s="318"/>
      <c r="Q21" s="318"/>
      <c r="R21" s="318"/>
      <c r="S21" s="318"/>
      <c r="T21" s="318"/>
      <c r="U21" s="318"/>
      <c r="V21" s="318"/>
      <c r="W21" s="318"/>
      <c r="X21" s="318"/>
      <c r="Y21" s="318"/>
      <c r="Z21" s="318"/>
    </row>
    <row r="22" spans="1:26" ht="15.75" customHeight="1">
      <c r="A22" s="313">
        <v>18</v>
      </c>
      <c r="B22" s="315" t="s">
        <v>788</v>
      </c>
      <c r="C22" s="315" t="s">
        <v>855</v>
      </c>
      <c r="D22" s="315" t="s">
        <v>849</v>
      </c>
      <c r="E22" s="315">
        <v>8</v>
      </c>
      <c r="F22" s="316">
        <v>165</v>
      </c>
      <c r="G22" s="1051">
        <v>1320000</v>
      </c>
      <c r="H22" s="314" t="s">
        <v>840</v>
      </c>
      <c r="I22" s="317" t="s">
        <v>671</v>
      </c>
      <c r="J22" s="318"/>
      <c r="K22" s="318"/>
      <c r="L22" s="318"/>
      <c r="M22" s="318"/>
      <c r="N22" s="318"/>
      <c r="O22" s="318"/>
      <c r="P22" s="318"/>
      <c r="Q22" s="318"/>
      <c r="R22" s="318"/>
      <c r="S22" s="318"/>
      <c r="T22" s="318"/>
      <c r="U22" s="318"/>
      <c r="V22" s="318"/>
      <c r="W22" s="318"/>
      <c r="X22" s="318"/>
      <c r="Y22" s="318"/>
      <c r="Z22" s="318"/>
    </row>
    <row r="23" spans="1:26" ht="15.75" customHeight="1">
      <c r="A23" s="313">
        <v>19</v>
      </c>
      <c r="B23" s="319" t="s">
        <v>856</v>
      </c>
      <c r="C23" s="319" t="s">
        <v>857</v>
      </c>
      <c r="D23" s="319" t="s">
        <v>858</v>
      </c>
      <c r="E23" s="325">
        <v>6</v>
      </c>
      <c r="F23" s="321">
        <v>400</v>
      </c>
      <c r="G23" s="1051">
        <v>2400000</v>
      </c>
      <c r="H23" s="319"/>
      <c r="I23" s="317" t="s">
        <v>671</v>
      </c>
      <c r="J23" s="318"/>
      <c r="K23" s="318"/>
      <c r="L23" s="318"/>
      <c r="M23" s="318"/>
      <c r="N23" s="318"/>
      <c r="O23" s="318"/>
      <c r="P23" s="318"/>
      <c r="Q23" s="318"/>
      <c r="R23" s="318"/>
      <c r="S23" s="318"/>
      <c r="T23" s="318"/>
      <c r="U23" s="318"/>
      <c r="V23" s="318"/>
      <c r="W23" s="318"/>
      <c r="X23" s="318"/>
      <c r="Y23" s="318"/>
      <c r="Z23" s="318"/>
    </row>
    <row r="24" spans="1:26" ht="15.75" customHeight="1">
      <c r="A24" s="313">
        <v>20</v>
      </c>
      <c r="B24" s="319" t="s">
        <v>856</v>
      </c>
      <c r="C24" s="319" t="s">
        <v>859</v>
      </c>
      <c r="D24" s="319" t="s">
        <v>830</v>
      </c>
      <c r="E24" s="325">
        <v>60</v>
      </c>
      <c r="F24" s="321">
        <v>75</v>
      </c>
      <c r="G24" s="1051">
        <v>4500000</v>
      </c>
      <c r="H24" s="319"/>
      <c r="I24" s="317" t="s">
        <v>671</v>
      </c>
      <c r="J24" s="318"/>
      <c r="K24" s="318"/>
      <c r="L24" s="318"/>
      <c r="M24" s="318"/>
      <c r="N24" s="318"/>
      <c r="O24" s="318"/>
      <c r="P24" s="318"/>
      <c r="Q24" s="318"/>
      <c r="R24" s="318"/>
      <c r="S24" s="318"/>
      <c r="T24" s="318"/>
      <c r="U24" s="318"/>
      <c r="V24" s="318"/>
      <c r="W24" s="318"/>
      <c r="X24" s="318"/>
      <c r="Y24" s="318"/>
      <c r="Z24" s="318"/>
    </row>
    <row r="25" spans="1:26" ht="15.75" customHeight="1">
      <c r="A25" s="313">
        <v>21</v>
      </c>
      <c r="B25" s="319" t="s">
        <v>856</v>
      </c>
      <c r="C25" s="319" t="s">
        <v>860</v>
      </c>
      <c r="D25" s="319" t="s">
        <v>830</v>
      </c>
      <c r="E25" s="325">
        <v>30</v>
      </c>
      <c r="F25" s="321">
        <v>150</v>
      </c>
      <c r="G25" s="1051">
        <v>4500000</v>
      </c>
      <c r="H25" s="319"/>
      <c r="I25" s="317" t="s">
        <v>671</v>
      </c>
      <c r="J25" s="318"/>
      <c r="K25" s="318"/>
      <c r="L25" s="318"/>
      <c r="M25" s="318"/>
      <c r="N25" s="318"/>
      <c r="O25" s="318"/>
      <c r="P25" s="318"/>
      <c r="Q25" s="318"/>
      <c r="R25" s="318"/>
      <c r="S25" s="318"/>
      <c r="T25" s="318"/>
      <c r="U25" s="318"/>
      <c r="V25" s="318"/>
      <c r="W25" s="318"/>
      <c r="X25" s="318"/>
      <c r="Y25" s="318"/>
      <c r="Z25" s="318"/>
    </row>
    <row r="26" spans="1:26" ht="15.75" customHeight="1">
      <c r="A26" s="313">
        <v>22</v>
      </c>
      <c r="B26" s="319" t="s">
        <v>672</v>
      </c>
      <c r="C26" s="319" t="s">
        <v>861</v>
      </c>
      <c r="D26" s="319" t="s">
        <v>830</v>
      </c>
      <c r="E26" s="325">
        <v>16</v>
      </c>
      <c r="F26" s="321">
        <v>215</v>
      </c>
      <c r="G26" s="1051">
        <v>3440000</v>
      </c>
      <c r="H26" s="319"/>
      <c r="I26" s="317" t="s">
        <v>671</v>
      </c>
      <c r="J26" s="318"/>
      <c r="K26" s="318"/>
      <c r="L26" s="318"/>
      <c r="M26" s="318"/>
      <c r="N26" s="318"/>
      <c r="O26" s="318"/>
      <c r="P26" s="318"/>
      <c r="Q26" s="318"/>
      <c r="R26" s="318"/>
      <c r="S26" s="318"/>
      <c r="T26" s="318"/>
      <c r="U26" s="318"/>
      <c r="V26" s="318"/>
      <c r="W26" s="318"/>
      <c r="X26" s="318"/>
      <c r="Y26" s="318"/>
      <c r="Z26" s="318"/>
    </row>
    <row r="27" spans="1:26" ht="15.75" customHeight="1">
      <c r="A27" s="313">
        <v>23</v>
      </c>
      <c r="B27" s="319" t="s">
        <v>672</v>
      </c>
      <c r="C27" s="319" t="s">
        <v>862</v>
      </c>
      <c r="D27" s="319" t="s">
        <v>830</v>
      </c>
      <c r="E27" s="325">
        <v>22</v>
      </c>
      <c r="F27" s="321">
        <v>110</v>
      </c>
      <c r="G27" s="1051">
        <v>2420000</v>
      </c>
      <c r="H27" s="319"/>
      <c r="I27" s="317" t="s">
        <v>671</v>
      </c>
      <c r="J27" s="318"/>
      <c r="K27" s="318"/>
      <c r="L27" s="318"/>
      <c r="M27" s="318"/>
      <c r="N27" s="318"/>
      <c r="O27" s="318"/>
      <c r="P27" s="318"/>
      <c r="Q27" s="318"/>
      <c r="R27" s="318"/>
      <c r="S27" s="318"/>
      <c r="T27" s="318"/>
      <c r="U27" s="318"/>
      <c r="V27" s="318"/>
      <c r="W27" s="318"/>
      <c r="X27" s="318"/>
      <c r="Y27" s="318"/>
      <c r="Z27" s="318"/>
    </row>
    <row r="28" spans="1:26" ht="15.75" customHeight="1">
      <c r="A28" s="313">
        <v>24</v>
      </c>
      <c r="B28" s="319" t="s">
        <v>672</v>
      </c>
      <c r="C28" s="319" t="s">
        <v>863</v>
      </c>
      <c r="D28" s="319" t="s">
        <v>830</v>
      </c>
      <c r="E28" s="325">
        <v>22</v>
      </c>
      <c r="F28" s="321">
        <v>110</v>
      </c>
      <c r="G28" s="1051">
        <v>2420000</v>
      </c>
      <c r="H28" s="319"/>
      <c r="I28" s="317" t="s">
        <v>671</v>
      </c>
      <c r="J28" s="318"/>
      <c r="K28" s="318"/>
      <c r="L28" s="318"/>
      <c r="M28" s="318"/>
      <c r="N28" s="318"/>
      <c r="O28" s="318"/>
      <c r="P28" s="318"/>
      <c r="Q28" s="318"/>
      <c r="R28" s="318"/>
      <c r="S28" s="318"/>
      <c r="T28" s="318"/>
      <c r="U28" s="318"/>
      <c r="V28" s="318"/>
      <c r="W28" s="318"/>
      <c r="X28" s="318"/>
      <c r="Y28" s="318"/>
      <c r="Z28" s="318"/>
    </row>
    <row r="29" spans="1:26" ht="15.75" customHeight="1">
      <c r="A29" s="313">
        <v>25</v>
      </c>
      <c r="B29" s="319" t="s">
        <v>672</v>
      </c>
      <c r="C29" s="319" t="s">
        <v>864</v>
      </c>
      <c r="D29" s="319" t="s">
        <v>865</v>
      </c>
      <c r="E29" s="325">
        <v>10</v>
      </c>
      <c r="F29" s="321">
        <v>50</v>
      </c>
      <c r="G29" s="1051">
        <v>500000</v>
      </c>
      <c r="H29" s="319"/>
      <c r="I29" s="319" t="s">
        <v>671</v>
      </c>
      <c r="J29" s="318"/>
      <c r="K29" s="318"/>
      <c r="L29" s="318"/>
      <c r="M29" s="318"/>
      <c r="N29" s="318"/>
      <c r="O29" s="318"/>
      <c r="P29" s="318"/>
      <c r="Q29" s="318"/>
      <c r="R29" s="318"/>
      <c r="S29" s="318"/>
      <c r="T29" s="318"/>
      <c r="U29" s="318"/>
      <c r="V29" s="318"/>
      <c r="W29" s="318"/>
      <c r="X29" s="318"/>
      <c r="Y29" s="318"/>
      <c r="Z29" s="318"/>
    </row>
    <row r="30" spans="1:26" ht="15.75" customHeight="1">
      <c r="A30" s="313">
        <v>26</v>
      </c>
      <c r="B30" s="319" t="s">
        <v>672</v>
      </c>
      <c r="C30" s="319" t="s">
        <v>866</v>
      </c>
      <c r="D30" s="319" t="s">
        <v>830</v>
      </c>
      <c r="E30" s="325">
        <v>10</v>
      </c>
      <c r="F30" s="321">
        <v>30</v>
      </c>
      <c r="G30" s="1051">
        <v>300000</v>
      </c>
      <c r="H30" s="319"/>
      <c r="I30" s="319" t="s">
        <v>671</v>
      </c>
      <c r="J30" s="318"/>
      <c r="K30" s="318"/>
      <c r="L30" s="318"/>
      <c r="M30" s="318"/>
      <c r="N30" s="318"/>
      <c r="O30" s="318"/>
      <c r="P30" s="318"/>
      <c r="Q30" s="318"/>
      <c r="R30" s="318"/>
      <c r="S30" s="318"/>
      <c r="T30" s="318"/>
      <c r="U30" s="318"/>
      <c r="V30" s="318"/>
      <c r="W30" s="318"/>
      <c r="X30" s="318"/>
      <c r="Y30" s="318"/>
      <c r="Z30" s="318"/>
    </row>
    <row r="31" spans="1:26" ht="15.75" customHeight="1">
      <c r="A31" s="313">
        <v>27</v>
      </c>
      <c r="B31" s="319" t="s">
        <v>672</v>
      </c>
      <c r="C31" s="319" t="s">
        <v>867</v>
      </c>
      <c r="D31" s="319"/>
      <c r="E31" s="325">
        <v>8</v>
      </c>
      <c r="F31" s="321">
        <v>300</v>
      </c>
      <c r="G31" s="1051">
        <v>2400000</v>
      </c>
      <c r="H31" s="319"/>
      <c r="I31" s="317"/>
      <c r="J31" s="318"/>
      <c r="K31" s="318"/>
      <c r="L31" s="318"/>
      <c r="M31" s="318"/>
      <c r="N31" s="318"/>
      <c r="O31" s="318"/>
      <c r="P31" s="318"/>
      <c r="Q31" s="318"/>
      <c r="R31" s="318"/>
      <c r="S31" s="318"/>
      <c r="T31" s="318"/>
      <c r="U31" s="318"/>
      <c r="V31" s="318"/>
      <c r="W31" s="318"/>
      <c r="X31" s="318"/>
      <c r="Y31" s="318"/>
      <c r="Z31" s="318"/>
    </row>
    <row r="32" spans="1:26" ht="15.75" customHeight="1">
      <c r="A32" s="313">
        <v>28</v>
      </c>
      <c r="B32" s="326" t="s">
        <v>868</v>
      </c>
      <c r="C32" s="326" t="s">
        <v>869</v>
      </c>
      <c r="D32" s="326" t="s">
        <v>870</v>
      </c>
      <c r="E32" s="327">
        <v>20</v>
      </c>
      <c r="F32" s="328">
        <v>100</v>
      </c>
      <c r="G32" s="1052">
        <v>2000000</v>
      </c>
      <c r="H32" s="326" t="s">
        <v>871</v>
      </c>
      <c r="I32" s="317" t="s">
        <v>671</v>
      </c>
      <c r="J32" s="318"/>
      <c r="K32" s="318"/>
      <c r="L32" s="318"/>
      <c r="M32" s="318"/>
      <c r="N32" s="318"/>
      <c r="O32" s="318"/>
      <c r="P32" s="318"/>
      <c r="Q32" s="318"/>
      <c r="R32" s="318"/>
      <c r="S32" s="318"/>
      <c r="T32" s="318"/>
      <c r="U32" s="318"/>
      <c r="V32" s="318"/>
      <c r="W32" s="318"/>
      <c r="X32" s="318"/>
      <c r="Y32" s="318"/>
      <c r="Z32" s="318"/>
    </row>
    <row r="33" spans="1:26" ht="15.75" customHeight="1">
      <c r="A33" s="313">
        <v>29</v>
      </c>
      <c r="B33" s="329" t="s">
        <v>872</v>
      </c>
      <c r="C33" s="329" t="s">
        <v>873</v>
      </c>
      <c r="D33" s="329"/>
      <c r="E33" s="330">
        <v>24</v>
      </c>
      <c r="F33" s="331">
        <v>215</v>
      </c>
      <c r="G33" s="1053">
        <v>5160000</v>
      </c>
      <c r="H33" s="329" t="s">
        <v>874</v>
      </c>
      <c r="I33" s="332" t="s">
        <v>671</v>
      </c>
      <c r="J33" s="318"/>
      <c r="K33" s="318"/>
      <c r="L33" s="318"/>
      <c r="M33" s="318"/>
      <c r="N33" s="318"/>
      <c r="O33" s="318"/>
      <c r="P33" s="318"/>
      <c r="Q33" s="318"/>
      <c r="R33" s="318"/>
      <c r="S33" s="318"/>
      <c r="T33" s="318"/>
      <c r="U33" s="318"/>
      <c r="V33" s="318"/>
      <c r="W33" s="318"/>
      <c r="X33" s="318"/>
      <c r="Y33" s="318"/>
      <c r="Z33" s="318"/>
    </row>
    <row r="34" spans="1:26" ht="15.75" customHeight="1">
      <c r="A34" s="313">
        <v>30</v>
      </c>
      <c r="B34" s="329" t="s">
        <v>872</v>
      </c>
      <c r="C34" s="319" t="s">
        <v>875</v>
      </c>
      <c r="D34" s="319"/>
      <c r="E34" s="325">
        <v>16</v>
      </c>
      <c r="F34" s="321">
        <v>110</v>
      </c>
      <c r="G34" s="1053">
        <v>1760000</v>
      </c>
      <c r="H34" s="319"/>
      <c r="I34" s="317" t="s">
        <v>671</v>
      </c>
      <c r="J34" s="318"/>
      <c r="K34" s="318"/>
      <c r="L34" s="318"/>
      <c r="M34" s="318"/>
      <c r="N34" s="318"/>
      <c r="O34" s="318"/>
      <c r="P34" s="318"/>
      <c r="Q34" s="318"/>
      <c r="R34" s="318"/>
      <c r="S34" s="318"/>
      <c r="T34" s="318"/>
      <c r="U34" s="318"/>
      <c r="V34" s="318"/>
      <c r="W34" s="318"/>
      <c r="X34" s="318"/>
      <c r="Y34" s="318"/>
      <c r="Z34" s="318"/>
    </row>
    <row r="35" spans="1:26" ht="15.75" customHeight="1">
      <c r="A35" s="313">
        <v>31</v>
      </c>
      <c r="B35" s="329" t="s">
        <v>872</v>
      </c>
      <c r="C35" s="319" t="s">
        <v>863</v>
      </c>
      <c r="D35" s="319"/>
      <c r="E35" s="325">
        <v>24</v>
      </c>
      <c r="F35" s="321">
        <v>110</v>
      </c>
      <c r="G35" s="1053">
        <v>2640000</v>
      </c>
      <c r="H35" s="319"/>
      <c r="I35" s="317" t="s">
        <v>671</v>
      </c>
      <c r="J35" s="318"/>
      <c r="K35" s="318"/>
      <c r="L35" s="318"/>
      <c r="M35" s="318"/>
      <c r="N35" s="318"/>
      <c r="O35" s="318"/>
      <c r="P35" s="318"/>
      <c r="Q35" s="318"/>
      <c r="R35" s="318"/>
      <c r="S35" s="318"/>
      <c r="T35" s="318"/>
      <c r="U35" s="318"/>
      <c r="V35" s="318"/>
      <c r="W35" s="318"/>
      <c r="X35" s="318"/>
      <c r="Y35" s="318"/>
      <c r="Z35" s="318"/>
    </row>
    <row r="36" spans="1:26" ht="15.75" customHeight="1">
      <c r="A36" s="313">
        <v>32</v>
      </c>
      <c r="B36" s="329" t="s">
        <v>872</v>
      </c>
      <c r="C36" s="319" t="s">
        <v>864</v>
      </c>
      <c r="D36" s="319"/>
      <c r="E36" s="325">
        <v>16</v>
      </c>
      <c r="F36" s="321">
        <v>110</v>
      </c>
      <c r="G36" s="1053">
        <v>1760000</v>
      </c>
      <c r="H36" s="319"/>
      <c r="I36" s="317" t="s">
        <v>671</v>
      </c>
      <c r="J36" s="318"/>
      <c r="K36" s="318"/>
      <c r="L36" s="318"/>
      <c r="M36" s="318"/>
      <c r="N36" s="318"/>
      <c r="O36" s="318"/>
      <c r="P36" s="318"/>
      <c r="Q36" s="318"/>
      <c r="R36" s="318"/>
      <c r="S36" s="318"/>
      <c r="T36" s="318"/>
      <c r="U36" s="318"/>
      <c r="V36" s="318"/>
      <c r="W36" s="318"/>
      <c r="X36" s="318"/>
      <c r="Y36" s="318"/>
      <c r="Z36" s="318"/>
    </row>
    <row r="37" spans="1:26" ht="15.75" customHeight="1">
      <c r="A37" s="313">
        <v>33</v>
      </c>
      <c r="B37" s="319" t="s">
        <v>701</v>
      </c>
      <c r="C37" s="319" t="s">
        <v>876</v>
      </c>
      <c r="D37" s="325">
        <v>7</v>
      </c>
      <c r="E37" s="323">
        <v>4</v>
      </c>
      <c r="F37" s="321">
        <v>172.5</v>
      </c>
      <c r="G37" s="1054">
        <v>690000</v>
      </c>
      <c r="H37" s="319" t="s">
        <v>877</v>
      </c>
      <c r="I37" s="317" t="s">
        <v>671</v>
      </c>
      <c r="J37" s="318"/>
      <c r="K37" s="318"/>
      <c r="L37" s="318"/>
      <c r="M37" s="318"/>
      <c r="N37" s="318"/>
      <c r="O37" s="318"/>
      <c r="P37" s="318"/>
      <c r="Q37" s="318"/>
      <c r="R37" s="318"/>
      <c r="S37" s="318"/>
      <c r="T37" s="318"/>
      <c r="U37" s="318"/>
      <c r="V37" s="318"/>
      <c r="W37" s="318"/>
      <c r="X37" s="318"/>
      <c r="Y37" s="318"/>
      <c r="Z37" s="318"/>
    </row>
    <row r="38" spans="1:26" ht="15.75" customHeight="1">
      <c r="A38" s="313">
        <v>34</v>
      </c>
      <c r="B38" s="319" t="s">
        <v>701</v>
      </c>
      <c r="C38" s="319" t="s">
        <v>878</v>
      </c>
      <c r="D38" s="325">
        <v>4</v>
      </c>
      <c r="E38" s="325">
        <v>4</v>
      </c>
      <c r="F38" s="321" t="s">
        <v>879</v>
      </c>
      <c r="G38" s="1054">
        <v>690000</v>
      </c>
      <c r="H38" s="319" t="s">
        <v>880</v>
      </c>
      <c r="I38" s="317" t="s">
        <v>671</v>
      </c>
      <c r="J38" s="318"/>
      <c r="K38" s="318"/>
      <c r="L38" s="318"/>
      <c r="M38" s="318"/>
      <c r="N38" s="318"/>
      <c r="O38" s="318"/>
      <c r="P38" s="318"/>
      <c r="Q38" s="318"/>
      <c r="R38" s="318"/>
      <c r="S38" s="318"/>
      <c r="T38" s="318"/>
      <c r="U38" s="318"/>
      <c r="V38" s="318"/>
      <c r="W38" s="318"/>
      <c r="X38" s="318"/>
      <c r="Y38" s="318"/>
      <c r="Z38" s="318"/>
    </row>
    <row r="39" spans="1:26" ht="15.75" customHeight="1">
      <c r="A39" s="313">
        <v>35</v>
      </c>
      <c r="B39" s="319" t="s">
        <v>881</v>
      </c>
      <c r="C39" s="319" t="s">
        <v>882</v>
      </c>
      <c r="D39" s="319" t="s">
        <v>830</v>
      </c>
      <c r="E39" s="325">
        <v>10</v>
      </c>
      <c r="F39" s="321">
        <v>200</v>
      </c>
      <c r="G39" s="1054">
        <v>2000000</v>
      </c>
      <c r="H39" s="319"/>
      <c r="I39" s="317" t="s">
        <v>671</v>
      </c>
      <c r="J39" s="318"/>
      <c r="K39" s="318"/>
      <c r="L39" s="318"/>
      <c r="M39" s="318"/>
      <c r="N39" s="318"/>
      <c r="O39" s="318"/>
      <c r="P39" s="318"/>
      <c r="Q39" s="318"/>
      <c r="R39" s="318"/>
      <c r="S39" s="318"/>
      <c r="T39" s="318"/>
      <c r="U39" s="318"/>
      <c r="V39" s="318"/>
      <c r="W39" s="318"/>
      <c r="X39" s="318"/>
      <c r="Y39" s="318"/>
      <c r="Z39" s="318"/>
    </row>
    <row r="40" spans="1:26" ht="15.75" customHeight="1">
      <c r="A40" s="313">
        <v>36</v>
      </c>
      <c r="B40" s="326" t="s">
        <v>883</v>
      </c>
      <c r="C40" s="326" t="s">
        <v>884</v>
      </c>
      <c r="D40" s="327">
        <v>2</v>
      </c>
      <c r="E40" s="334">
        <v>2</v>
      </c>
      <c r="F40" s="335">
        <v>100</v>
      </c>
      <c r="G40" s="1052">
        <v>100000</v>
      </c>
      <c r="H40" s="326"/>
      <c r="I40" s="326"/>
      <c r="J40" s="318"/>
      <c r="K40" s="318"/>
      <c r="L40" s="318"/>
      <c r="M40" s="318"/>
      <c r="N40" s="318"/>
      <c r="O40" s="318"/>
      <c r="P40" s="318"/>
      <c r="Q40" s="318"/>
      <c r="R40" s="318"/>
      <c r="S40" s="318"/>
      <c r="T40" s="318"/>
      <c r="U40" s="318"/>
      <c r="V40" s="318"/>
      <c r="W40" s="318"/>
      <c r="X40" s="318"/>
      <c r="Y40" s="318"/>
      <c r="Z40" s="318"/>
    </row>
    <row r="41" spans="1:26" ht="15.75" customHeight="1">
      <c r="A41" s="313">
        <v>37</v>
      </c>
      <c r="B41" s="326" t="s">
        <v>883</v>
      </c>
      <c r="C41" s="326" t="s">
        <v>885</v>
      </c>
      <c r="D41" s="327">
        <v>10</v>
      </c>
      <c r="E41" s="334">
        <v>10</v>
      </c>
      <c r="F41" s="335">
        <v>500</v>
      </c>
      <c r="G41" s="1052">
        <v>5000000</v>
      </c>
      <c r="H41" s="326"/>
      <c r="I41" s="326"/>
      <c r="J41" s="318"/>
      <c r="K41" s="318"/>
      <c r="L41" s="318"/>
      <c r="M41" s="318"/>
      <c r="N41" s="318"/>
      <c r="O41" s="318"/>
      <c r="P41" s="318"/>
      <c r="Q41" s="318"/>
      <c r="R41" s="318"/>
      <c r="S41" s="318"/>
      <c r="T41" s="318"/>
      <c r="U41" s="318"/>
      <c r="V41" s="318"/>
      <c r="W41" s="318"/>
      <c r="X41" s="318"/>
      <c r="Y41" s="318"/>
      <c r="Z41" s="318"/>
    </row>
    <row r="42" spans="1:26" ht="15.75" customHeight="1">
      <c r="A42" s="306"/>
      <c r="B42" s="306"/>
      <c r="C42" s="306"/>
      <c r="D42" s="306"/>
      <c r="E42" s="307"/>
      <c r="F42" s="306"/>
      <c r="G42" s="1049"/>
      <c r="H42" s="306"/>
      <c r="I42" s="306"/>
      <c r="J42" s="306"/>
      <c r="K42" s="306"/>
      <c r="L42" s="306"/>
      <c r="M42" s="306"/>
      <c r="N42" s="306"/>
      <c r="O42" s="306"/>
      <c r="P42" s="306"/>
      <c r="Q42" s="306"/>
      <c r="R42" s="306"/>
      <c r="S42" s="306"/>
      <c r="T42" s="306"/>
      <c r="U42" s="306"/>
      <c r="V42" s="306"/>
      <c r="W42" s="306"/>
      <c r="X42" s="306"/>
      <c r="Y42" s="306"/>
      <c r="Z42" s="306"/>
    </row>
    <row r="43" spans="1:26" ht="15.75" customHeight="1">
      <c r="A43" s="306"/>
      <c r="B43" s="306"/>
      <c r="C43" s="306"/>
      <c r="D43" s="306"/>
      <c r="E43" s="307"/>
      <c r="F43" s="306"/>
      <c r="G43" s="1049">
        <f>SUM(G5:G41)</f>
        <v>81253400</v>
      </c>
      <c r="H43" s="306"/>
      <c r="I43" s="306"/>
      <c r="J43" s="306"/>
      <c r="K43" s="306"/>
      <c r="L43" s="306"/>
      <c r="M43" s="306"/>
      <c r="N43" s="306"/>
      <c r="O43" s="306"/>
      <c r="P43" s="306"/>
      <c r="Q43" s="306"/>
      <c r="R43" s="306"/>
      <c r="S43" s="306"/>
      <c r="T43" s="306"/>
      <c r="U43" s="306"/>
      <c r="V43" s="306"/>
      <c r="W43" s="306"/>
      <c r="X43" s="306"/>
      <c r="Y43" s="306"/>
      <c r="Z43" s="306"/>
    </row>
    <row r="44" spans="1:26" ht="15.75" customHeight="1">
      <c r="A44" s="306"/>
      <c r="B44" s="306"/>
      <c r="C44" s="306"/>
      <c r="D44" s="306"/>
      <c r="E44" s="307"/>
      <c r="F44" s="306"/>
      <c r="G44" s="1049"/>
      <c r="H44" s="306"/>
      <c r="I44" s="306"/>
      <c r="J44" s="306"/>
      <c r="K44" s="306"/>
      <c r="L44" s="306"/>
      <c r="M44" s="306"/>
      <c r="N44" s="306"/>
      <c r="O44" s="306"/>
      <c r="P44" s="306"/>
      <c r="Q44" s="306"/>
      <c r="R44" s="306"/>
      <c r="S44" s="306"/>
      <c r="T44" s="306"/>
      <c r="U44" s="306"/>
      <c r="V44" s="306"/>
      <c r="W44" s="306"/>
      <c r="X44" s="306"/>
      <c r="Y44" s="306"/>
      <c r="Z44" s="306"/>
    </row>
    <row r="45" spans="1:26" ht="15.75" customHeight="1">
      <c r="A45" s="306"/>
      <c r="B45" s="306"/>
      <c r="C45" s="306"/>
      <c r="D45" s="306"/>
      <c r="E45" s="307"/>
      <c r="F45" s="306"/>
      <c r="G45" s="1049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</row>
    <row r="46" spans="1:26" ht="15.75" customHeight="1">
      <c r="A46" s="306"/>
      <c r="B46" s="306"/>
      <c r="C46" s="306"/>
      <c r="D46" s="306"/>
      <c r="E46" s="307"/>
      <c r="F46" s="306"/>
      <c r="G46" s="1049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</row>
    <row r="47" spans="1:26" ht="15.75" customHeight="1">
      <c r="A47" s="306"/>
      <c r="B47" s="306"/>
      <c r="C47" s="306"/>
      <c r="D47" s="306"/>
      <c r="E47" s="307"/>
      <c r="F47" s="306"/>
      <c r="G47" s="1049"/>
      <c r="H47" s="306"/>
      <c r="I47" s="306"/>
      <c r="J47" s="306"/>
      <c r="K47" s="306"/>
      <c r="L47" s="306"/>
      <c r="M47" s="306"/>
      <c r="N47" s="306"/>
      <c r="O47" s="306"/>
      <c r="P47" s="306"/>
      <c r="Q47" s="306"/>
      <c r="R47" s="306"/>
      <c r="S47" s="306"/>
      <c r="T47" s="306"/>
      <c r="U47" s="306"/>
      <c r="V47" s="306"/>
      <c r="W47" s="306"/>
      <c r="X47" s="306"/>
      <c r="Y47" s="306"/>
      <c r="Z47" s="306"/>
    </row>
    <row r="48" spans="1:26" ht="15.75" customHeight="1">
      <c r="A48" s="306"/>
      <c r="B48" s="306"/>
      <c r="C48" s="306"/>
      <c r="D48" s="306"/>
      <c r="E48" s="307"/>
      <c r="F48" s="306"/>
      <c r="G48" s="1049"/>
      <c r="H48" s="306"/>
      <c r="I48" s="306"/>
      <c r="J48" s="306"/>
      <c r="K48" s="306"/>
      <c r="L48" s="306"/>
      <c r="M48" s="306"/>
      <c r="N48" s="306"/>
      <c r="O48" s="306"/>
      <c r="P48" s="306"/>
      <c r="Q48" s="306"/>
      <c r="R48" s="306"/>
      <c r="S48" s="306"/>
      <c r="T48" s="306"/>
      <c r="U48" s="306"/>
      <c r="V48" s="306"/>
      <c r="W48" s="306"/>
      <c r="X48" s="306"/>
      <c r="Y48" s="306"/>
      <c r="Z48" s="306"/>
    </row>
    <row r="49" spans="1:26" ht="15.75" customHeight="1">
      <c r="A49" s="306"/>
      <c r="B49" s="306"/>
      <c r="C49" s="306"/>
      <c r="D49" s="306"/>
      <c r="E49" s="307"/>
      <c r="F49" s="306"/>
      <c r="G49" s="1049"/>
      <c r="H49" s="306"/>
      <c r="I49" s="306"/>
      <c r="J49" s="306"/>
      <c r="K49" s="306"/>
      <c r="L49" s="306"/>
      <c r="M49" s="306"/>
      <c r="N49" s="306"/>
      <c r="O49" s="306"/>
      <c r="P49" s="306"/>
      <c r="Q49" s="306"/>
      <c r="R49" s="306"/>
      <c r="S49" s="306"/>
      <c r="T49" s="306"/>
      <c r="U49" s="306"/>
      <c r="V49" s="306"/>
      <c r="W49" s="306"/>
      <c r="X49" s="306"/>
      <c r="Y49" s="306"/>
      <c r="Z49" s="306"/>
    </row>
    <row r="50" spans="1:26" ht="15.75" customHeight="1">
      <c r="A50" s="306"/>
      <c r="B50" s="306"/>
      <c r="C50" s="306"/>
      <c r="D50" s="306"/>
      <c r="E50" s="307"/>
      <c r="F50" s="306"/>
      <c r="G50" s="1049"/>
      <c r="H50" s="306"/>
      <c r="I50" s="306"/>
      <c r="J50" s="306"/>
      <c r="K50" s="306"/>
      <c r="L50" s="306"/>
      <c r="M50" s="306"/>
      <c r="N50" s="306"/>
      <c r="O50" s="306"/>
      <c r="P50" s="306"/>
      <c r="Q50" s="306"/>
      <c r="R50" s="306"/>
      <c r="S50" s="306"/>
      <c r="T50" s="306"/>
      <c r="U50" s="306"/>
      <c r="V50" s="306"/>
      <c r="W50" s="306"/>
      <c r="X50" s="306"/>
      <c r="Y50" s="306"/>
      <c r="Z50" s="306"/>
    </row>
    <row r="51" spans="1:26" ht="15.75" customHeight="1">
      <c r="A51" s="306"/>
      <c r="B51" s="306"/>
      <c r="C51" s="306"/>
      <c r="D51" s="306"/>
      <c r="E51" s="307"/>
      <c r="F51" s="306"/>
      <c r="G51" s="1049"/>
      <c r="H51" s="306"/>
      <c r="I51" s="306"/>
      <c r="J51" s="306"/>
      <c r="K51" s="306"/>
      <c r="L51" s="306"/>
      <c r="M51" s="306"/>
      <c r="N51" s="306"/>
      <c r="O51" s="306"/>
      <c r="P51" s="306"/>
      <c r="Q51" s="306"/>
      <c r="R51" s="306"/>
      <c r="S51" s="306"/>
      <c r="T51" s="306"/>
      <c r="U51" s="306"/>
      <c r="V51" s="306"/>
      <c r="W51" s="306"/>
      <c r="X51" s="306"/>
      <c r="Y51" s="306"/>
      <c r="Z51" s="306"/>
    </row>
    <row r="52" spans="1:26" ht="15.75" customHeight="1">
      <c r="A52" s="306"/>
      <c r="B52" s="306"/>
      <c r="C52" s="306"/>
      <c r="D52" s="306"/>
      <c r="E52" s="307"/>
      <c r="F52" s="306"/>
      <c r="G52" s="1049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</row>
    <row r="53" spans="1:26" ht="15.75" customHeight="1">
      <c r="A53" s="306"/>
      <c r="B53" s="306"/>
      <c r="C53" s="306"/>
      <c r="D53" s="306"/>
      <c r="E53" s="307"/>
      <c r="F53" s="306"/>
      <c r="G53" s="1049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</row>
    <row r="54" spans="1:26" ht="15.75" customHeight="1">
      <c r="A54" s="306"/>
      <c r="B54" s="306"/>
      <c r="C54" s="306"/>
      <c r="D54" s="306"/>
      <c r="E54" s="307"/>
      <c r="F54" s="306"/>
      <c r="G54" s="1049"/>
      <c r="H54" s="306"/>
      <c r="I54" s="306"/>
      <c r="J54" s="306"/>
      <c r="K54" s="306"/>
      <c r="L54" s="306"/>
      <c r="M54" s="306"/>
      <c r="N54" s="306"/>
      <c r="O54" s="306"/>
      <c r="P54" s="306"/>
      <c r="Q54" s="306"/>
      <c r="R54" s="306"/>
      <c r="S54" s="306"/>
      <c r="T54" s="306"/>
      <c r="U54" s="306"/>
      <c r="V54" s="306"/>
      <c r="W54" s="306"/>
      <c r="X54" s="306"/>
      <c r="Y54" s="306"/>
      <c r="Z54" s="306"/>
    </row>
    <row r="55" spans="1:26" ht="15.75" customHeight="1">
      <c r="A55" s="306"/>
      <c r="B55" s="306"/>
      <c r="C55" s="306"/>
      <c r="D55" s="306"/>
      <c r="E55" s="307"/>
      <c r="F55" s="306"/>
      <c r="G55" s="1049"/>
      <c r="H55" s="306"/>
      <c r="I55" s="306"/>
      <c r="J55" s="306"/>
      <c r="K55" s="306"/>
      <c r="L55" s="306"/>
      <c r="M55" s="306"/>
      <c r="N55" s="306"/>
      <c r="O55" s="306"/>
      <c r="P55" s="306"/>
      <c r="Q55" s="306"/>
      <c r="R55" s="306"/>
      <c r="S55" s="306"/>
      <c r="T55" s="306"/>
      <c r="U55" s="306"/>
      <c r="V55" s="306"/>
      <c r="W55" s="306"/>
      <c r="X55" s="306"/>
      <c r="Y55" s="306"/>
      <c r="Z55" s="306"/>
    </row>
    <row r="56" spans="1:26" ht="15.75" customHeight="1">
      <c r="A56" s="306"/>
      <c r="B56" s="306"/>
      <c r="C56" s="306"/>
      <c r="D56" s="306"/>
      <c r="E56" s="307"/>
      <c r="F56" s="306"/>
      <c r="G56" s="1049"/>
      <c r="H56" s="306"/>
      <c r="I56" s="306"/>
      <c r="J56" s="306"/>
      <c r="K56" s="306"/>
      <c r="L56" s="306"/>
      <c r="M56" s="306"/>
      <c r="N56" s="306"/>
      <c r="O56" s="306"/>
      <c r="P56" s="306"/>
      <c r="Q56" s="306"/>
      <c r="R56" s="306"/>
      <c r="S56" s="306"/>
      <c r="T56" s="306"/>
      <c r="U56" s="306"/>
      <c r="V56" s="306"/>
      <c r="W56" s="306"/>
      <c r="X56" s="306"/>
      <c r="Y56" s="306"/>
      <c r="Z56" s="306"/>
    </row>
    <row r="57" spans="1:26" ht="15.75" customHeight="1">
      <c r="A57" s="306"/>
      <c r="B57" s="306"/>
      <c r="C57" s="306"/>
      <c r="D57" s="306"/>
      <c r="E57" s="307"/>
      <c r="F57" s="306"/>
      <c r="G57" s="1049"/>
      <c r="H57" s="306"/>
      <c r="I57" s="306"/>
      <c r="J57" s="306"/>
      <c r="K57" s="306"/>
      <c r="L57" s="306"/>
      <c r="M57" s="306"/>
      <c r="N57" s="306"/>
      <c r="O57" s="306"/>
      <c r="P57" s="306"/>
      <c r="Q57" s="306"/>
      <c r="R57" s="306"/>
      <c r="S57" s="306"/>
      <c r="T57" s="306"/>
      <c r="U57" s="306"/>
      <c r="V57" s="306"/>
      <c r="W57" s="306"/>
      <c r="X57" s="306"/>
      <c r="Y57" s="306"/>
      <c r="Z57" s="306"/>
    </row>
    <row r="58" spans="1:26" ht="15.75" customHeight="1">
      <c r="A58" s="306"/>
      <c r="B58" s="306"/>
      <c r="C58" s="306"/>
      <c r="D58" s="306"/>
      <c r="E58" s="307"/>
      <c r="F58" s="306"/>
      <c r="G58" s="1049"/>
      <c r="H58" s="306"/>
      <c r="I58" s="306"/>
      <c r="J58" s="306"/>
      <c r="K58" s="306"/>
      <c r="L58" s="306"/>
      <c r="M58" s="306"/>
      <c r="N58" s="306"/>
      <c r="O58" s="306"/>
      <c r="P58" s="306"/>
      <c r="Q58" s="306"/>
      <c r="R58" s="306"/>
      <c r="S58" s="306"/>
      <c r="T58" s="306"/>
      <c r="U58" s="306"/>
      <c r="V58" s="306"/>
      <c r="W58" s="306"/>
      <c r="X58" s="306"/>
      <c r="Y58" s="306"/>
      <c r="Z58" s="306"/>
    </row>
    <row r="59" spans="1:26" ht="15.75" customHeight="1">
      <c r="A59" s="306"/>
      <c r="B59" s="306"/>
      <c r="C59" s="306"/>
      <c r="D59" s="306"/>
      <c r="E59" s="307"/>
      <c r="F59" s="306"/>
      <c r="G59" s="1049"/>
      <c r="H59" s="306"/>
      <c r="I59" s="306"/>
      <c r="J59" s="306"/>
      <c r="K59" s="306"/>
      <c r="L59" s="306"/>
      <c r="M59" s="306"/>
      <c r="N59" s="306"/>
      <c r="O59" s="306"/>
      <c r="P59" s="306"/>
      <c r="Q59" s="306"/>
      <c r="R59" s="306"/>
      <c r="S59" s="306"/>
      <c r="T59" s="306"/>
      <c r="U59" s="306"/>
      <c r="V59" s="306"/>
      <c r="W59" s="306"/>
      <c r="X59" s="306"/>
      <c r="Y59" s="306"/>
      <c r="Z59" s="306"/>
    </row>
    <row r="60" spans="1:26" ht="15.75" customHeight="1">
      <c r="A60" s="306"/>
      <c r="B60" s="306"/>
      <c r="C60" s="306"/>
      <c r="D60" s="306"/>
      <c r="E60" s="307"/>
      <c r="F60" s="306"/>
      <c r="G60" s="1049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</row>
    <row r="61" spans="1:26" ht="15.75" customHeight="1">
      <c r="A61" s="306"/>
      <c r="B61" s="306"/>
      <c r="C61" s="306"/>
      <c r="D61" s="306"/>
      <c r="E61" s="307"/>
      <c r="F61" s="306"/>
      <c r="G61" s="1049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</row>
    <row r="62" spans="1:26" ht="15.75" customHeight="1">
      <c r="A62" s="306"/>
      <c r="B62" s="306"/>
      <c r="C62" s="306"/>
      <c r="D62" s="306"/>
      <c r="E62" s="307"/>
      <c r="F62" s="306"/>
      <c r="G62" s="1049"/>
      <c r="H62" s="306"/>
      <c r="I62" s="306"/>
      <c r="J62" s="306"/>
      <c r="K62" s="306"/>
      <c r="L62" s="306"/>
      <c r="M62" s="306"/>
      <c r="N62" s="306"/>
      <c r="O62" s="306"/>
      <c r="P62" s="306"/>
      <c r="Q62" s="306"/>
      <c r="R62" s="306"/>
      <c r="S62" s="306"/>
      <c r="T62" s="306"/>
      <c r="U62" s="306"/>
      <c r="V62" s="306"/>
      <c r="W62" s="306"/>
      <c r="X62" s="306"/>
      <c r="Y62" s="306"/>
      <c r="Z62" s="306"/>
    </row>
    <row r="63" spans="1:26" ht="15.75" customHeight="1">
      <c r="A63" s="306"/>
      <c r="B63" s="306"/>
      <c r="C63" s="306"/>
      <c r="D63" s="306"/>
      <c r="E63" s="307"/>
      <c r="F63" s="306"/>
      <c r="G63" s="1049"/>
      <c r="H63" s="306"/>
      <c r="I63" s="306"/>
      <c r="J63" s="306"/>
      <c r="K63" s="306"/>
      <c r="L63" s="306"/>
      <c r="M63" s="306"/>
      <c r="N63" s="306"/>
      <c r="O63" s="306"/>
      <c r="P63" s="306"/>
      <c r="Q63" s="306"/>
      <c r="R63" s="306"/>
      <c r="S63" s="306"/>
      <c r="T63" s="306"/>
      <c r="U63" s="306"/>
      <c r="V63" s="306"/>
      <c r="W63" s="306"/>
      <c r="X63" s="306"/>
      <c r="Y63" s="306"/>
      <c r="Z63" s="306"/>
    </row>
    <row r="64" spans="1:26" ht="15.75" customHeight="1">
      <c r="A64" s="306"/>
      <c r="B64" s="306"/>
      <c r="C64" s="306"/>
      <c r="D64" s="306"/>
      <c r="E64" s="307"/>
      <c r="F64" s="306"/>
      <c r="G64" s="1049"/>
      <c r="H64" s="306"/>
      <c r="I64" s="306"/>
      <c r="J64" s="306"/>
      <c r="K64" s="306"/>
      <c r="L64" s="306"/>
      <c r="M64" s="306"/>
      <c r="N64" s="306"/>
      <c r="O64" s="306"/>
      <c r="P64" s="306"/>
      <c r="Q64" s="306"/>
      <c r="R64" s="306"/>
      <c r="S64" s="306"/>
      <c r="T64" s="306"/>
      <c r="U64" s="306"/>
      <c r="V64" s="306"/>
      <c r="W64" s="306"/>
      <c r="X64" s="306"/>
      <c r="Y64" s="306"/>
      <c r="Z64" s="306"/>
    </row>
    <row r="65" spans="1:26" ht="15.75" customHeight="1">
      <c r="A65" s="306"/>
      <c r="B65" s="306"/>
      <c r="C65" s="306"/>
      <c r="D65" s="306"/>
      <c r="E65" s="307"/>
      <c r="F65" s="306"/>
      <c r="G65" s="1049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</row>
    <row r="66" spans="1:26" ht="15.75" customHeight="1">
      <c r="A66" s="306"/>
      <c r="B66" s="306"/>
      <c r="C66" s="306"/>
      <c r="D66" s="306"/>
      <c r="E66" s="307"/>
      <c r="F66" s="306"/>
      <c r="G66" s="1049"/>
      <c r="H66" s="306"/>
      <c r="I66" s="306"/>
      <c r="J66" s="306"/>
      <c r="K66" s="306"/>
      <c r="L66" s="306"/>
      <c r="M66" s="306"/>
      <c r="N66" s="306"/>
      <c r="O66" s="306"/>
      <c r="P66" s="306"/>
      <c r="Q66" s="306"/>
      <c r="R66" s="306"/>
      <c r="S66" s="306"/>
      <c r="T66" s="306"/>
      <c r="U66" s="306"/>
      <c r="V66" s="306"/>
      <c r="W66" s="306"/>
      <c r="X66" s="306"/>
      <c r="Y66" s="306"/>
      <c r="Z66" s="306"/>
    </row>
    <row r="67" spans="1:26" ht="15.75" customHeight="1">
      <c r="A67" s="306"/>
      <c r="B67" s="306"/>
      <c r="C67" s="306"/>
      <c r="D67" s="306"/>
      <c r="E67" s="307"/>
      <c r="F67" s="306"/>
      <c r="G67" s="1049"/>
      <c r="H67" s="306"/>
      <c r="I67" s="306"/>
      <c r="J67" s="306"/>
      <c r="K67" s="306"/>
      <c r="L67" s="306"/>
      <c r="M67" s="306"/>
      <c r="N67" s="306"/>
      <c r="O67" s="306"/>
      <c r="P67" s="306"/>
      <c r="Q67" s="306"/>
      <c r="R67" s="306"/>
      <c r="S67" s="306"/>
      <c r="T67" s="306"/>
      <c r="U67" s="306"/>
      <c r="V67" s="306"/>
      <c r="W67" s="306"/>
      <c r="X67" s="306"/>
      <c r="Y67" s="306"/>
      <c r="Z67" s="306"/>
    </row>
    <row r="68" spans="1:26" ht="15.75" customHeight="1">
      <c r="A68" s="306"/>
      <c r="B68" s="306"/>
      <c r="C68" s="306"/>
      <c r="D68" s="306"/>
      <c r="E68" s="307"/>
      <c r="F68" s="306"/>
      <c r="G68" s="1049"/>
      <c r="H68" s="306"/>
      <c r="I68" s="306"/>
      <c r="J68" s="306"/>
      <c r="K68" s="306"/>
      <c r="L68" s="306"/>
      <c r="M68" s="306"/>
      <c r="N68" s="306"/>
      <c r="O68" s="306"/>
      <c r="P68" s="306"/>
      <c r="Q68" s="306"/>
      <c r="R68" s="306"/>
      <c r="S68" s="306"/>
      <c r="T68" s="306"/>
      <c r="U68" s="306"/>
      <c r="V68" s="306"/>
      <c r="W68" s="306"/>
      <c r="X68" s="306"/>
      <c r="Y68" s="306"/>
      <c r="Z68" s="306"/>
    </row>
    <row r="69" spans="1:26" ht="15.75" customHeight="1">
      <c r="A69" s="306"/>
      <c r="B69" s="306"/>
      <c r="C69" s="306"/>
      <c r="D69" s="306"/>
      <c r="E69" s="307"/>
      <c r="F69" s="306"/>
      <c r="G69" s="1049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</row>
    <row r="70" spans="1:26" ht="15.75" customHeight="1">
      <c r="A70" s="306"/>
      <c r="B70" s="306"/>
      <c r="C70" s="306"/>
      <c r="D70" s="306"/>
      <c r="E70" s="307"/>
      <c r="F70" s="306"/>
      <c r="G70" s="1049"/>
      <c r="H70" s="306"/>
      <c r="I70" s="306"/>
      <c r="J70" s="306"/>
      <c r="K70" s="306"/>
      <c r="L70" s="306"/>
      <c r="M70" s="306"/>
      <c r="N70" s="306"/>
      <c r="O70" s="306"/>
      <c r="P70" s="306"/>
      <c r="Q70" s="306"/>
      <c r="R70" s="306"/>
      <c r="S70" s="306"/>
      <c r="T70" s="306"/>
      <c r="U70" s="306"/>
      <c r="V70" s="306"/>
      <c r="W70" s="306"/>
      <c r="X70" s="306"/>
      <c r="Y70" s="306"/>
      <c r="Z70" s="306"/>
    </row>
    <row r="71" spans="1:26" ht="15.75" customHeight="1">
      <c r="A71" s="306"/>
      <c r="B71" s="306"/>
      <c r="C71" s="306"/>
      <c r="D71" s="306"/>
      <c r="E71" s="307"/>
      <c r="F71" s="306"/>
      <c r="G71" s="1049"/>
      <c r="H71" s="306"/>
      <c r="I71" s="306"/>
      <c r="J71" s="306"/>
      <c r="K71" s="306"/>
      <c r="L71" s="306"/>
      <c r="M71" s="306"/>
      <c r="N71" s="306"/>
      <c r="O71" s="306"/>
      <c r="P71" s="306"/>
      <c r="Q71" s="306"/>
      <c r="R71" s="306"/>
      <c r="S71" s="306"/>
      <c r="T71" s="306"/>
      <c r="U71" s="306"/>
      <c r="V71" s="306"/>
      <c r="W71" s="306"/>
      <c r="X71" s="306"/>
      <c r="Y71" s="306"/>
      <c r="Z71" s="306"/>
    </row>
    <row r="72" spans="1:26" ht="15.75" customHeight="1">
      <c r="A72" s="306"/>
      <c r="B72" s="306"/>
      <c r="C72" s="306"/>
      <c r="D72" s="306"/>
      <c r="E72" s="307"/>
      <c r="F72" s="306"/>
      <c r="G72" s="1049"/>
      <c r="H72" s="306"/>
      <c r="I72" s="306"/>
      <c r="J72" s="306"/>
      <c r="K72" s="306"/>
      <c r="L72" s="306"/>
      <c r="M72" s="306"/>
      <c r="N72" s="306"/>
      <c r="O72" s="306"/>
      <c r="P72" s="306"/>
      <c r="Q72" s="306"/>
      <c r="R72" s="306"/>
      <c r="S72" s="306"/>
      <c r="T72" s="306"/>
      <c r="U72" s="306"/>
      <c r="V72" s="306"/>
      <c r="W72" s="306"/>
      <c r="X72" s="306"/>
      <c r="Y72" s="306"/>
      <c r="Z72" s="306"/>
    </row>
    <row r="73" spans="1:26" ht="15.75" customHeight="1">
      <c r="A73" s="306"/>
      <c r="B73" s="306"/>
      <c r="C73" s="306"/>
      <c r="D73" s="306"/>
      <c r="E73" s="307"/>
      <c r="F73" s="306"/>
      <c r="G73" s="1049"/>
      <c r="H73" s="306"/>
      <c r="I73" s="306"/>
      <c r="J73" s="306"/>
      <c r="K73" s="306"/>
      <c r="L73" s="306"/>
      <c r="M73" s="306"/>
      <c r="N73" s="306"/>
      <c r="O73" s="306"/>
      <c r="P73" s="306"/>
      <c r="Q73" s="306"/>
      <c r="R73" s="306"/>
      <c r="S73" s="306"/>
      <c r="T73" s="306"/>
      <c r="U73" s="306"/>
      <c r="V73" s="306"/>
      <c r="W73" s="306"/>
      <c r="X73" s="306"/>
      <c r="Y73" s="306"/>
      <c r="Z73" s="306"/>
    </row>
    <row r="74" spans="1:26" ht="15.75" customHeight="1">
      <c r="A74" s="306"/>
      <c r="B74" s="306"/>
      <c r="C74" s="306"/>
      <c r="D74" s="306"/>
      <c r="E74" s="307"/>
      <c r="F74" s="306"/>
      <c r="G74" s="1049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</row>
    <row r="75" spans="1:26" ht="15.75" customHeight="1">
      <c r="A75" s="306"/>
      <c r="B75" s="306"/>
      <c r="C75" s="306"/>
      <c r="D75" s="306"/>
      <c r="E75" s="307"/>
      <c r="F75" s="306"/>
      <c r="G75" s="1049"/>
      <c r="H75" s="306"/>
      <c r="I75" s="306"/>
      <c r="J75" s="306"/>
      <c r="K75" s="306"/>
      <c r="L75" s="306"/>
      <c r="M75" s="306"/>
      <c r="N75" s="306"/>
      <c r="O75" s="306"/>
      <c r="P75" s="306"/>
      <c r="Q75" s="306"/>
      <c r="R75" s="306"/>
      <c r="S75" s="306"/>
      <c r="T75" s="306"/>
      <c r="U75" s="306"/>
      <c r="V75" s="306"/>
      <c r="W75" s="306"/>
      <c r="X75" s="306"/>
      <c r="Y75" s="306"/>
      <c r="Z75" s="306"/>
    </row>
    <row r="76" spans="1:26" ht="15.75" customHeight="1">
      <c r="A76" s="306"/>
      <c r="B76" s="306"/>
      <c r="C76" s="306"/>
      <c r="D76" s="306"/>
      <c r="E76" s="307"/>
      <c r="F76" s="306"/>
      <c r="G76" s="1049"/>
      <c r="H76" s="306"/>
      <c r="I76" s="306"/>
      <c r="J76" s="306"/>
      <c r="K76" s="306"/>
      <c r="L76" s="306"/>
      <c r="M76" s="306"/>
      <c r="N76" s="306"/>
      <c r="O76" s="306"/>
      <c r="P76" s="306"/>
      <c r="Q76" s="306"/>
      <c r="R76" s="306"/>
      <c r="S76" s="306"/>
      <c r="T76" s="306"/>
      <c r="U76" s="306"/>
      <c r="V76" s="306"/>
      <c r="W76" s="306"/>
      <c r="X76" s="306"/>
      <c r="Y76" s="306"/>
      <c r="Z76" s="306"/>
    </row>
    <row r="77" spans="1:26" ht="15.75" customHeight="1">
      <c r="A77" s="306"/>
      <c r="B77" s="306"/>
      <c r="C77" s="306"/>
      <c r="D77" s="306"/>
      <c r="E77" s="307"/>
      <c r="F77" s="306"/>
      <c r="G77" s="1049"/>
      <c r="H77" s="306"/>
      <c r="I77" s="306"/>
      <c r="J77" s="306"/>
      <c r="K77" s="306"/>
      <c r="L77" s="306"/>
      <c r="M77" s="306"/>
      <c r="N77" s="306"/>
      <c r="O77" s="306"/>
      <c r="P77" s="306"/>
      <c r="Q77" s="306"/>
      <c r="R77" s="306"/>
      <c r="S77" s="306"/>
      <c r="T77" s="306"/>
      <c r="U77" s="306"/>
      <c r="V77" s="306"/>
      <c r="W77" s="306"/>
      <c r="X77" s="306"/>
      <c r="Y77" s="306"/>
      <c r="Z77" s="306"/>
    </row>
    <row r="78" spans="1:26" ht="15.75" customHeight="1">
      <c r="A78" s="306"/>
      <c r="B78" s="306"/>
      <c r="C78" s="306"/>
      <c r="D78" s="306"/>
      <c r="E78" s="307"/>
      <c r="F78" s="306"/>
      <c r="G78" s="1049"/>
      <c r="H78" s="306"/>
      <c r="I78" s="306"/>
      <c r="J78" s="306"/>
      <c r="K78" s="306"/>
      <c r="L78" s="306"/>
      <c r="M78" s="306"/>
      <c r="N78" s="306"/>
      <c r="O78" s="306"/>
      <c r="P78" s="306"/>
      <c r="Q78" s="306"/>
      <c r="R78" s="306"/>
      <c r="S78" s="306"/>
      <c r="T78" s="306"/>
      <c r="U78" s="306"/>
      <c r="V78" s="306"/>
      <c r="W78" s="306"/>
      <c r="X78" s="306"/>
      <c r="Y78" s="306"/>
      <c r="Z78" s="306"/>
    </row>
    <row r="79" spans="1:26" ht="15.75" customHeight="1">
      <c r="A79" s="306"/>
      <c r="B79" s="306"/>
      <c r="C79" s="306"/>
      <c r="D79" s="306"/>
      <c r="E79" s="307"/>
      <c r="F79" s="306"/>
      <c r="G79" s="1049"/>
      <c r="H79" s="306"/>
      <c r="I79" s="306"/>
      <c r="J79" s="306"/>
      <c r="K79" s="306"/>
      <c r="L79" s="306"/>
      <c r="M79" s="306"/>
      <c r="N79" s="306"/>
      <c r="O79" s="306"/>
      <c r="P79" s="306"/>
      <c r="Q79" s="306"/>
      <c r="R79" s="306"/>
      <c r="S79" s="306"/>
      <c r="T79" s="306"/>
      <c r="U79" s="306"/>
      <c r="V79" s="306"/>
      <c r="W79" s="306"/>
      <c r="X79" s="306"/>
      <c r="Y79" s="306"/>
      <c r="Z79" s="306"/>
    </row>
    <row r="80" spans="1:26" ht="15.75" customHeight="1">
      <c r="A80" s="306"/>
      <c r="B80" s="306"/>
      <c r="C80" s="306"/>
      <c r="D80" s="306"/>
      <c r="E80" s="307"/>
      <c r="F80" s="306"/>
      <c r="G80" s="1049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</row>
    <row r="81" spans="1:26" ht="15.75" customHeight="1">
      <c r="A81" s="306"/>
      <c r="B81" s="306"/>
      <c r="C81" s="306"/>
      <c r="D81" s="306"/>
      <c r="E81" s="307"/>
      <c r="F81" s="306"/>
      <c r="G81" s="1049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</row>
    <row r="82" spans="1:26" ht="15.75" customHeight="1">
      <c r="A82" s="306"/>
      <c r="B82" s="306"/>
      <c r="C82" s="306"/>
      <c r="D82" s="306"/>
      <c r="E82" s="307"/>
      <c r="F82" s="306"/>
      <c r="G82" s="1049"/>
      <c r="H82" s="306"/>
      <c r="I82" s="306"/>
      <c r="J82" s="306"/>
      <c r="K82" s="306"/>
      <c r="L82" s="306"/>
      <c r="M82" s="306"/>
      <c r="N82" s="306"/>
      <c r="O82" s="306"/>
      <c r="P82" s="306"/>
      <c r="Q82" s="306"/>
      <c r="R82" s="306"/>
      <c r="S82" s="306"/>
      <c r="T82" s="306"/>
      <c r="U82" s="306"/>
      <c r="V82" s="306"/>
      <c r="W82" s="306"/>
      <c r="X82" s="306"/>
      <c r="Y82" s="306"/>
      <c r="Z82" s="306"/>
    </row>
    <row r="83" spans="1:26" ht="15.75" customHeight="1">
      <c r="A83" s="306"/>
      <c r="B83" s="306"/>
      <c r="C83" s="306"/>
      <c r="D83" s="306"/>
      <c r="E83" s="307"/>
      <c r="F83" s="306"/>
      <c r="G83" s="1049"/>
      <c r="H83" s="306"/>
      <c r="I83" s="306"/>
      <c r="J83" s="306"/>
      <c r="K83" s="306"/>
      <c r="L83" s="306"/>
      <c r="M83" s="306"/>
      <c r="N83" s="306"/>
      <c r="O83" s="306"/>
      <c r="P83" s="306"/>
      <c r="Q83" s="306"/>
      <c r="R83" s="306"/>
      <c r="S83" s="306"/>
      <c r="T83" s="306"/>
      <c r="U83" s="306"/>
      <c r="V83" s="306"/>
      <c r="W83" s="306"/>
      <c r="X83" s="306"/>
      <c r="Y83" s="306"/>
      <c r="Z83" s="306"/>
    </row>
    <row r="84" spans="1:26" ht="15.75" customHeight="1">
      <c r="A84" s="306"/>
      <c r="B84" s="306"/>
      <c r="C84" s="306"/>
      <c r="D84" s="306"/>
      <c r="E84" s="307"/>
      <c r="F84" s="306"/>
      <c r="G84" s="1049"/>
      <c r="H84" s="306"/>
      <c r="I84" s="306"/>
      <c r="J84" s="306"/>
      <c r="K84" s="306"/>
      <c r="L84" s="306"/>
      <c r="M84" s="306"/>
      <c r="N84" s="306"/>
      <c r="O84" s="306"/>
      <c r="P84" s="306"/>
      <c r="Q84" s="306"/>
      <c r="R84" s="306"/>
      <c r="S84" s="306"/>
      <c r="T84" s="306"/>
      <c r="U84" s="306"/>
      <c r="V84" s="306"/>
      <c r="W84" s="306"/>
      <c r="X84" s="306"/>
      <c r="Y84" s="306"/>
      <c r="Z84" s="306"/>
    </row>
    <row r="85" spans="1:26" ht="15.75" customHeight="1">
      <c r="A85" s="306"/>
      <c r="B85" s="306"/>
      <c r="C85" s="306"/>
      <c r="D85" s="306"/>
      <c r="E85" s="307"/>
      <c r="F85" s="306"/>
      <c r="G85" s="1049"/>
      <c r="H85" s="306"/>
      <c r="I85" s="306"/>
      <c r="J85" s="306"/>
      <c r="K85" s="306"/>
      <c r="L85" s="306"/>
      <c r="M85" s="306"/>
      <c r="N85" s="306"/>
      <c r="O85" s="306"/>
      <c r="P85" s="306"/>
      <c r="Q85" s="306"/>
      <c r="R85" s="306"/>
      <c r="S85" s="306"/>
      <c r="T85" s="306"/>
      <c r="U85" s="306"/>
      <c r="V85" s="306"/>
      <c r="W85" s="306"/>
      <c r="X85" s="306"/>
      <c r="Y85" s="306"/>
      <c r="Z85" s="306"/>
    </row>
    <row r="86" spans="1:26" ht="15.75" customHeight="1">
      <c r="A86" s="306"/>
      <c r="B86" s="306"/>
      <c r="C86" s="306"/>
      <c r="D86" s="306"/>
      <c r="E86" s="307"/>
      <c r="F86" s="306"/>
      <c r="G86" s="1049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</row>
    <row r="87" spans="1:26" ht="15.75" customHeight="1">
      <c r="A87" s="306"/>
      <c r="B87" s="306"/>
      <c r="C87" s="306"/>
      <c r="D87" s="306"/>
      <c r="E87" s="307"/>
      <c r="F87" s="306"/>
      <c r="G87" s="1049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</row>
    <row r="88" spans="1:26" ht="15.75" customHeight="1">
      <c r="A88" s="306"/>
      <c r="B88" s="306"/>
      <c r="C88" s="306"/>
      <c r="D88" s="306"/>
      <c r="E88" s="307"/>
      <c r="F88" s="306"/>
      <c r="G88" s="1049"/>
      <c r="H88" s="306"/>
      <c r="I88" s="306"/>
      <c r="J88" s="306"/>
      <c r="K88" s="306"/>
      <c r="L88" s="306"/>
      <c r="M88" s="306"/>
      <c r="N88" s="306"/>
      <c r="O88" s="306"/>
      <c r="P88" s="306"/>
      <c r="Q88" s="306"/>
      <c r="R88" s="306"/>
      <c r="S88" s="306"/>
      <c r="T88" s="306"/>
      <c r="U88" s="306"/>
      <c r="V88" s="306"/>
      <c r="W88" s="306"/>
      <c r="X88" s="306"/>
      <c r="Y88" s="306"/>
      <c r="Z88" s="306"/>
    </row>
    <row r="89" spans="1:26" ht="15.75" customHeight="1">
      <c r="A89" s="306"/>
      <c r="B89" s="306"/>
      <c r="C89" s="306"/>
      <c r="D89" s="306"/>
      <c r="E89" s="307"/>
      <c r="F89" s="306"/>
      <c r="G89" s="1049"/>
      <c r="H89" s="306"/>
      <c r="I89" s="306"/>
      <c r="J89" s="306"/>
      <c r="K89" s="306"/>
      <c r="L89" s="306"/>
      <c r="M89" s="306"/>
      <c r="N89" s="306"/>
      <c r="O89" s="306"/>
      <c r="P89" s="306"/>
      <c r="Q89" s="306"/>
      <c r="R89" s="306"/>
      <c r="S89" s="306"/>
      <c r="T89" s="306"/>
      <c r="U89" s="306"/>
      <c r="V89" s="306"/>
      <c r="W89" s="306"/>
      <c r="X89" s="306"/>
      <c r="Y89" s="306"/>
      <c r="Z89" s="306"/>
    </row>
    <row r="90" spans="1:26" ht="15.75" customHeight="1">
      <c r="A90" s="306"/>
      <c r="B90" s="306"/>
      <c r="C90" s="306"/>
      <c r="D90" s="306"/>
      <c r="E90" s="307"/>
      <c r="F90" s="306"/>
      <c r="G90" s="1049"/>
      <c r="H90" s="306"/>
      <c r="I90" s="306"/>
      <c r="J90" s="306"/>
      <c r="K90" s="306"/>
      <c r="L90" s="306"/>
      <c r="M90" s="306"/>
      <c r="N90" s="306"/>
      <c r="O90" s="306"/>
      <c r="P90" s="306"/>
      <c r="Q90" s="306"/>
      <c r="R90" s="306"/>
      <c r="S90" s="306"/>
      <c r="T90" s="306"/>
      <c r="U90" s="306"/>
      <c r="V90" s="306"/>
      <c r="W90" s="306"/>
      <c r="X90" s="306"/>
      <c r="Y90" s="306"/>
      <c r="Z90" s="306"/>
    </row>
    <row r="91" spans="1:26" ht="15.75" customHeight="1">
      <c r="A91" s="306"/>
      <c r="B91" s="306"/>
      <c r="C91" s="306"/>
      <c r="D91" s="306"/>
      <c r="E91" s="307"/>
      <c r="F91" s="306"/>
      <c r="G91" s="1049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</row>
    <row r="92" spans="1:26" ht="15.75" customHeight="1">
      <c r="A92" s="306"/>
      <c r="B92" s="306"/>
      <c r="C92" s="306"/>
      <c r="D92" s="306"/>
      <c r="E92" s="307"/>
      <c r="F92" s="306"/>
      <c r="G92" s="1049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</row>
    <row r="93" spans="1:26" ht="15.75" customHeight="1">
      <c r="A93" s="306"/>
      <c r="B93" s="306"/>
      <c r="C93" s="306"/>
      <c r="D93" s="306"/>
      <c r="E93" s="307"/>
      <c r="F93" s="306"/>
      <c r="G93" s="1049"/>
      <c r="H93" s="306"/>
      <c r="I93" s="306"/>
      <c r="J93" s="306"/>
      <c r="K93" s="306"/>
      <c r="L93" s="306"/>
      <c r="M93" s="306"/>
      <c r="N93" s="306"/>
      <c r="O93" s="306"/>
      <c r="P93" s="306"/>
      <c r="Q93" s="306"/>
      <c r="R93" s="306"/>
      <c r="S93" s="306"/>
      <c r="T93" s="306"/>
      <c r="U93" s="306"/>
      <c r="V93" s="306"/>
      <c r="W93" s="306"/>
      <c r="X93" s="306"/>
      <c r="Y93" s="306"/>
      <c r="Z93" s="306"/>
    </row>
    <row r="94" spans="1:26" ht="15.75" customHeight="1">
      <c r="A94" s="306"/>
      <c r="B94" s="306"/>
      <c r="C94" s="306"/>
      <c r="D94" s="306"/>
      <c r="E94" s="307"/>
      <c r="F94" s="306"/>
      <c r="G94" s="1049"/>
      <c r="H94" s="306"/>
      <c r="I94" s="306"/>
      <c r="J94" s="306"/>
      <c r="K94" s="306"/>
      <c r="L94" s="306"/>
      <c r="M94" s="306"/>
      <c r="N94" s="306"/>
      <c r="O94" s="306"/>
      <c r="P94" s="306"/>
      <c r="Q94" s="306"/>
      <c r="R94" s="306"/>
      <c r="S94" s="306"/>
      <c r="T94" s="306"/>
      <c r="U94" s="306"/>
      <c r="V94" s="306"/>
      <c r="W94" s="306"/>
      <c r="X94" s="306"/>
      <c r="Y94" s="306"/>
      <c r="Z94" s="306"/>
    </row>
    <row r="95" spans="1:26" ht="15.75" customHeight="1">
      <c r="A95" s="306"/>
      <c r="B95" s="306"/>
      <c r="C95" s="306"/>
      <c r="D95" s="306"/>
      <c r="E95" s="307"/>
      <c r="F95" s="306"/>
      <c r="G95" s="1049"/>
      <c r="H95" s="306"/>
      <c r="I95" s="306"/>
      <c r="J95" s="306"/>
      <c r="K95" s="306"/>
      <c r="L95" s="306"/>
      <c r="M95" s="306"/>
      <c r="N95" s="306"/>
      <c r="O95" s="306"/>
      <c r="P95" s="306"/>
      <c r="Q95" s="306"/>
      <c r="R95" s="306"/>
      <c r="S95" s="306"/>
      <c r="T95" s="306"/>
      <c r="U95" s="306"/>
      <c r="V95" s="306"/>
      <c r="W95" s="306"/>
      <c r="X95" s="306"/>
      <c r="Y95" s="306"/>
      <c r="Z95" s="306"/>
    </row>
    <row r="96" spans="1:26" ht="15.75" customHeight="1">
      <c r="A96" s="306"/>
      <c r="B96" s="306"/>
      <c r="C96" s="306"/>
      <c r="D96" s="306"/>
      <c r="E96" s="307"/>
      <c r="F96" s="306"/>
      <c r="G96" s="1049"/>
      <c r="H96" s="306"/>
      <c r="I96" s="306"/>
      <c r="J96" s="306"/>
      <c r="K96" s="306"/>
      <c r="L96" s="306"/>
      <c r="M96" s="306"/>
      <c r="N96" s="306"/>
      <c r="O96" s="306"/>
      <c r="P96" s="306"/>
      <c r="Q96" s="306"/>
      <c r="R96" s="306"/>
      <c r="S96" s="306"/>
      <c r="T96" s="306"/>
      <c r="U96" s="306"/>
      <c r="V96" s="306"/>
      <c r="W96" s="306"/>
      <c r="X96" s="306"/>
      <c r="Y96" s="306"/>
      <c r="Z96" s="306"/>
    </row>
    <row r="97" spans="1:26" ht="15.75" customHeight="1">
      <c r="A97" s="306"/>
      <c r="B97" s="306"/>
      <c r="C97" s="306"/>
      <c r="D97" s="306"/>
      <c r="E97" s="307"/>
      <c r="F97" s="306"/>
      <c r="G97" s="1049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</row>
    <row r="98" spans="1:26" ht="15.75" customHeight="1">
      <c r="A98" s="306"/>
      <c r="B98" s="306"/>
      <c r="C98" s="306"/>
      <c r="D98" s="306"/>
      <c r="E98" s="307"/>
      <c r="F98" s="306"/>
      <c r="G98" s="1049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</row>
    <row r="99" spans="1:26" ht="15.75" customHeight="1">
      <c r="A99" s="306"/>
      <c r="B99" s="306"/>
      <c r="C99" s="306"/>
      <c r="D99" s="306"/>
      <c r="E99" s="307"/>
      <c r="F99" s="306"/>
      <c r="G99" s="1049"/>
      <c r="H99" s="306"/>
      <c r="I99" s="306"/>
      <c r="J99" s="306"/>
      <c r="K99" s="306"/>
      <c r="L99" s="306"/>
      <c r="M99" s="306"/>
      <c r="N99" s="306"/>
      <c r="O99" s="306"/>
      <c r="P99" s="306"/>
      <c r="Q99" s="306"/>
      <c r="R99" s="306"/>
      <c r="S99" s="306"/>
      <c r="T99" s="306"/>
      <c r="U99" s="306"/>
      <c r="V99" s="306"/>
      <c r="W99" s="306"/>
      <c r="X99" s="306"/>
      <c r="Y99" s="306"/>
      <c r="Z99" s="306"/>
    </row>
    <row r="100" spans="1:26" ht="15.75" customHeight="1">
      <c r="A100" s="306"/>
      <c r="B100" s="306"/>
      <c r="C100" s="306"/>
      <c r="D100" s="306"/>
      <c r="E100" s="307"/>
      <c r="F100" s="306"/>
      <c r="G100" s="1049"/>
      <c r="H100" s="306"/>
      <c r="I100" s="306"/>
      <c r="J100" s="306"/>
      <c r="K100" s="306"/>
      <c r="L100" s="306"/>
      <c r="M100" s="306"/>
      <c r="N100" s="306"/>
      <c r="O100" s="306"/>
      <c r="P100" s="306"/>
      <c r="Q100" s="306"/>
      <c r="R100" s="306"/>
      <c r="S100" s="306"/>
      <c r="T100" s="306"/>
      <c r="U100" s="306"/>
      <c r="V100" s="306"/>
      <c r="W100" s="306"/>
      <c r="X100" s="306"/>
      <c r="Y100" s="306"/>
      <c r="Z100" s="306"/>
    </row>
    <row r="101" spans="1:26" ht="15.75" customHeight="1">
      <c r="A101" s="306"/>
      <c r="B101" s="306"/>
      <c r="C101" s="306"/>
      <c r="D101" s="306"/>
      <c r="E101" s="307"/>
      <c r="F101" s="306"/>
      <c r="G101" s="1049"/>
      <c r="H101" s="306"/>
      <c r="I101" s="306"/>
      <c r="J101" s="306"/>
      <c r="K101" s="306"/>
      <c r="L101" s="306"/>
      <c r="M101" s="306"/>
      <c r="N101" s="306"/>
      <c r="O101" s="306"/>
      <c r="P101" s="306"/>
      <c r="Q101" s="306"/>
      <c r="R101" s="306"/>
      <c r="S101" s="306"/>
      <c r="T101" s="306"/>
      <c r="U101" s="306"/>
      <c r="V101" s="306"/>
      <c r="W101" s="306"/>
      <c r="X101" s="306"/>
      <c r="Y101" s="306"/>
      <c r="Z101" s="306"/>
    </row>
    <row r="102" spans="1:26" ht="15.75" customHeight="1">
      <c r="A102" s="306"/>
      <c r="B102" s="306"/>
      <c r="C102" s="306"/>
      <c r="D102" s="306"/>
      <c r="E102" s="307"/>
      <c r="F102" s="306"/>
      <c r="G102" s="1049"/>
      <c r="H102" s="306"/>
      <c r="I102" s="306"/>
      <c r="J102" s="306"/>
      <c r="K102" s="306"/>
      <c r="L102" s="306"/>
      <c r="M102" s="306"/>
      <c r="N102" s="306"/>
      <c r="O102" s="306"/>
      <c r="P102" s="306"/>
      <c r="Q102" s="306"/>
      <c r="R102" s="306"/>
      <c r="S102" s="306"/>
      <c r="T102" s="306"/>
      <c r="U102" s="306"/>
      <c r="V102" s="306"/>
      <c r="W102" s="306"/>
      <c r="X102" s="306"/>
      <c r="Y102" s="306"/>
      <c r="Z102" s="306"/>
    </row>
    <row r="103" spans="1:26" ht="15.75" customHeight="1">
      <c r="A103" s="306"/>
      <c r="B103" s="306"/>
      <c r="C103" s="306"/>
      <c r="D103" s="306"/>
      <c r="E103" s="307"/>
      <c r="F103" s="306"/>
      <c r="G103" s="1049"/>
      <c r="H103" s="306"/>
      <c r="I103" s="306"/>
      <c r="J103" s="306"/>
      <c r="K103" s="306"/>
      <c r="L103" s="306"/>
      <c r="M103" s="306"/>
      <c r="N103" s="306"/>
      <c r="O103" s="306"/>
      <c r="P103" s="306"/>
      <c r="Q103" s="306"/>
      <c r="R103" s="306"/>
      <c r="S103" s="306"/>
      <c r="T103" s="306"/>
      <c r="U103" s="306"/>
      <c r="V103" s="306"/>
      <c r="W103" s="306"/>
      <c r="X103" s="306"/>
      <c r="Y103" s="306"/>
      <c r="Z103" s="306"/>
    </row>
    <row r="104" spans="1:26" ht="15.75" customHeight="1">
      <c r="A104" s="306"/>
      <c r="B104" s="306"/>
      <c r="C104" s="306"/>
      <c r="D104" s="306"/>
      <c r="E104" s="307"/>
      <c r="F104" s="306"/>
      <c r="G104" s="1049"/>
      <c r="H104" s="306"/>
      <c r="I104" s="306"/>
      <c r="J104" s="306"/>
      <c r="K104" s="306"/>
      <c r="L104" s="306"/>
      <c r="M104" s="306"/>
      <c r="N104" s="306"/>
      <c r="O104" s="306"/>
      <c r="P104" s="306"/>
      <c r="Q104" s="306"/>
      <c r="R104" s="306"/>
      <c r="S104" s="306"/>
      <c r="T104" s="306"/>
      <c r="U104" s="306"/>
      <c r="V104" s="306"/>
      <c r="W104" s="306"/>
      <c r="X104" s="306"/>
      <c r="Y104" s="306"/>
      <c r="Z104" s="306"/>
    </row>
    <row r="105" spans="1:26" ht="15.75" customHeight="1">
      <c r="A105" s="306"/>
      <c r="B105" s="306"/>
      <c r="C105" s="306"/>
      <c r="D105" s="306"/>
      <c r="E105" s="307"/>
      <c r="F105" s="306"/>
      <c r="G105" s="1049"/>
      <c r="H105" s="306"/>
      <c r="I105" s="306"/>
      <c r="J105" s="306"/>
      <c r="K105" s="306"/>
      <c r="L105" s="306"/>
      <c r="M105" s="306"/>
      <c r="N105" s="306"/>
      <c r="O105" s="306"/>
      <c r="P105" s="306"/>
      <c r="Q105" s="306"/>
      <c r="R105" s="306"/>
      <c r="S105" s="306"/>
      <c r="T105" s="306"/>
      <c r="U105" s="306"/>
      <c r="V105" s="306"/>
      <c r="W105" s="306"/>
      <c r="X105" s="306"/>
      <c r="Y105" s="306"/>
      <c r="Z105" s="306"/>
    </row>
    <row r="106" spans="1:26" ht="15.75" customHeight="1">
      <c r="A106" s="306"/>
      <c r="B106" s="306"/>
      <c r="C106" s="306"/>
      <c r="D106" s="306"/>
      <c r="E106" s="307"/>
      <c r="F106" s="306"/>
      <c r="G106" s="1049"/>
      <c r="H106" s="306"/>
      <c r="I106" s="306"/>
      <c r="J106" s="306"/>
      <c r="K106" s="306"/>
      <c r="L106" s="306"/>
      <c r="M106" s="306"/>
      <c r="N106" s="306"/>
      <c r="O106" s="306"/>
      <c r="P106" s="306"/>
      <c r="Q106" s="306"/>
      <c r="R106" s="306"/>
      <c r="S106" s="306"/>
      <c r="T106" s="306"/>
      <c r="U106" s="306"/>
      <c r="V106" s="306"/>
      <c r="W106" s="306"/>
      <c r="X106" s="306"/>
      <c r="Y106" s="306"/>
      <c r="Z106" s="306"/>
    </row>
    <row r="107" spans="1:26" ht="15.75" customHeight="1">
      <c r="A107" s="306"/>
      <c r="B107" s="306"/>
      <c r="C107" s="306"/>
      <c r="D107" s="306"/>
      <c r="E107" s="307"/>
      <c r="F107" s="306"/>
      <c r="G107" s="1049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</row>
    <row r="108" spans="1:26" ht="15.75" customHeight="1">
      <c r="A108" s="306"/>
      <c r="B108" s="306"/>
      <c r="C108" s="306"/>
      <c r="D108" s="306"/>
      <c r="E108" s="307"/>
      <c r="F108" s="306"/>
      <c r="G108" s="1049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</row>
    <row r="109" spans="1:26" ht="15.75" customHeight="1">
      <c r="A109" s="306"/>
      <c r="B109" s="306"/>
      <c r="C109" s="306"/>
      <c r="D109" s="306"/>
      <c r="E109" s="307"/>
      <c r="F109" s="306"/>
      <c r="G109" s="1049"/>
      <c r="H109" s="306"/>
      <c r="I109" s="306"/>
      <c r="J109" s="306"/>
      <c r="K109" s="306"/>
      <c r="L109" s="306"/>
      <c r="M109" s="306"/>
      <c r="N109" s="306"/>
      <c r="O109" s="306"/>
      <c r="P109" s="306"/>
      <c r="Q109" s="306"/>
      <c r="R109" s="306"/>
      <c r="S109" s="306"/>
      <c r="T109" s="306"/>
      <c r="U109" s="306"/>
      <c r="V109" s="306"/>
      <c r="W109" s="306"/>
      <c r="X109" s="306"/>
      <c r="Y109" s="306"/>
      <c r="Z109" s="306"/>
    </row>
    <row r="110" spans="1:26" ht="15.75" customHeight="1">
      <c r="A110" s="306"/>
      <c r="B110" s="306"/>
      <c r="C110" s="306"/>
      <c r="D110" s="306"/>
      <c r="E110" s="307"/>
      <c r="F110" s="306"/>
      <c r="G110" s="1049"/>
      <c r="H110" s="306"/>
      <c r="I110" s="306"/>
      <c r="J110" s="306"/>
      <c r="K110" s="306"/>
      <c r="L110" s="306"/>
      <c r="M110" s="306"/>
      <c r="N110" s="306"/>
      <c r="O110" s="306"/>
      <c r="P110" s="306"/>
      <c r="Q110" s="306"/>
      <c r="R110" s="306"/>
      <c r="S110" s="306"/>
      <c r="T110" s="306"/>
      <c r="U110" s="306"/>
      <c r="V110" s="306"/>
      <c r="W110" s="306"/>
      <c r="X110" s="306"/>
      <c r="Y110" s="306"/>
      <c r="Z110" s="306"/>
    </row>
    <row r="111" spans="1:26" ht="15.75" customHeight="1">
      <c r="A111" s="306"/>
      <c r="B111" s="306"/>
      <c r="C111" s="306"/>
      <c r="D111" s="306"/>
      <c r="E111" s="307"/>
      <c r="F111" s="306"/>
      <c r="G111" s="1049"/>
      <c r="H111" s="306"/>
      <c r="I111" s="306"/>
      <c r="J111" s="306"/>
      <c r="K111" s="306"/>
      <c r="L111" s="306"/>
      <c r="M111" s="306"/>
      <c r="N111" s="306"/>
      <c r="O111" s="306"/>
      <c r="P111" s="306"/>
      <c r="Q111" s="306"/>
      <c r="R111" s="306"/>
      <c r="S111" s="306"/>
      <c r="T111" s="306"/>
      <c r="U111" s="306"/>
      <c r="V111" s="306"/>
      <c r="W111" s="306"/>
      <c r="X111" s="306"/>
      <c r="Y111" s="306"/>
      <c r="Z111" s="306"/>
    </row>
    <row r="112" spans="1:26" ht="15.75" customHeight="1">
      <c r="A112" s="306"/>
      <c r="B112" s="306"/>
      <c r="C112" s="306"/>
      <c r="D112" s="306"/>
      <c r="E112" s="307"/>
      <c r="F112" s="306"/>
      <c r="G112" s="1049"/>
      <c r="H112" s="306"/>
      <c r="I112" s="306"/>
      <c r="J112" s="306"/>
      <c r="K112" s="306"/>
      <c r="L112" s="306"/>
      <c r="M112" s="306"/>
      <c r="N112" s="306"/>
      <c r="O112" s="306"/>
      <c r="P112" s="306"/>
      <c r="Q112" s="306"/>
      <c r="R112" s="306"/>
      <c r="S112" s="306"/>
      <c r="T112" s="306"/>
      <c r="U112" s="306"/>
      <c r="V112" s="306"/>
      <c r="W112" s="306"/>
      <c r="X112" s="306"/>
      <c r="Y112" s="306"/>
      <c r="Z112" s="306"/>
    </row>
    <row r="113" spans="1:26" ht="15.75" customHeight="1">
      <c r="A113" s="306"/>
      <c r="B113" s="306"/>
      <c r="C113" s="306"/>
      <c r="D113" s="306"/>
      <c r="E113" s="307"/>
      <c r="F113" s="306"/>
      <c r="G113" s="1049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</row>
    <row r="114" spans="1:26" ht="15.75" customHeight="1">
      <c r="A114" s="306"/>
      <c r="B114" s="306"/>
      <c r="C114" s="306"/>
      <c r="D114" s="306"/>
      <c r="E114" s="307"/>
      <c r="F114" s="306"/>
      <c r="G114" s="1049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</row>
    <row r="115" spans="1:26" ht="15.75" customHeight="1">
      <c r="A115" s="306"/>
      <c r="B115" s="306"/>
      <c r="C115" s="306"/>
      <c r="D115" s="306"/>
      <c r="E115" s="307"/>
      <c r="F115" s="306"/>
      <c r="G115" s="1049"/>
      <c r="H115" s="306"/>
      <c r="I115" s="306"/>
      <c r="J115" s="306"/>
      <c r="K115" s="306"/>
      <c r="L115" s="306"/>
      <c r="M115" s="306"/>
      <c r="N115" s="306"/>
      <c r="O115" s="306"/>
      <c r="P115" s="306"/>
      <c r="Q115" s="306"/>
      <c r="R115" s="306"/>
      <c r="S115" s="306"/>
      <c r="T115" s="306"/>
      <c r="U115" s="306"/>
      <c r="V115" s="306"/>
      <c r="W115" s="306"/>
      <c r="X115" s="306"/>
      <c r="Y115" s="306"/>
      <c r="Z115" s="306"/>
    </row>
    <row r="116" spans="1:26" ht="15.75" customHeight="1">
      <c r="A116" s="306"/>
      <c r="B116" s="306"/>
      <c r="C116" s="306"/>
      <c r="D116" s="306"/>
      <c r="E116" s="307"/>
      <c r="F116" s="306"/>
      <c r="G116" s="1049"/>
      <c r="H116" s="306"/>
      <c r="I116" s="306"/>
      <c r="J116" s="306"/>
      <c r="K116" s="306"/>
      <c r="L116" s="306"/>
      <c r="M116" s="306"/>
      <c r="N116" s="306"/>
      <c r="O116" s="306"/>
      <c r="P116" s="306"/>
      <c r="Q116" s="306"/>
      <c r="R116" s="306"/>
      <c r="S116" s="306"/>
      <c r="T116" s="306"/>
      <c r="U116" s="306"/>
      <c r="V116" s="306"/>
      <c r="W116" s="306"/>
      <c r="X116" s="306"/>
      <c r="Y116" s="306"/>
      <c r="Z116" s="306"/>
    </row>
    <row r="117" spans="1:26" ht="15.75" customHeight="1">
      <c r="A117" s="306"/>
      <c r="B117" s="306"/>
      <c r="C117" s="306"/>
      <c r="D117" s="306"/>
      <c r="E117" s="307"/>
      <c r="F117" s="306"/>
      <c r="G117" s="1049"/>
      <c r="H117" s="306"/>
      <c r="I117" s="306"/>
      <c r="J117" s="306"/>
      <c r="K117" s="306"/>
      <c r="L117" s="306"/>
      <c r="M117" s="306"/>
      <c r="N117" s="306"/>
      <c r="O117" s="306"/>
      <c r="P117" s="306"/>
      <c r="Q117" s="306"/>
      <c r="R117" s="306"/>
      <c r="S117" s="306"/>
      <c r="T117" s="306"/>
      <c r="U117" s="306"/>
      <c r="V117" s="306"/>
      <c r="W117" s="306"/>
      <c r="X117" s="306"/>
      <c r="Y117" s="306"/>
      <c r="Z117" s="306"/>
    </row>
    <row r="118" spans="1:26" ht="15.75" customHeight="1">
      <c r="A118" s="306"/>
      <c r="B118" s="306"/>
      <c r="C118" s="306"/>
      <c r="D118" s="306"/>
      <c r="E118" s="307"/>
      <c r="F118" s="306"/>
      <c r="G118" s="1049"/>
      <c r="H118" s="306"/>
      <c r="I118" s="306"/>
      <c r="J118" s="306"/>
      <c r="K118" s="306"/>
      <c r="L118" s="306"/>
      <c r="M118" s="306"/>
      <c r="N118" s="306"/>
      <c r="O118" s="306"/>
      <c r="P118" s="306"/>
      <c r="Q118" s="306"/>
      <c r="R118" s="306"/>
      <c r="S118" s="306"/>
      <c r="T118" s="306"/>
      <c r="U118" s="306"/>
      <c r="V118" s="306"/>
      <c r="W118" s="306"/>
      <c r="X118" s="306"/>
      <c r="Y118" s="306"/>
      <c r="Z118" s="306"/>
    </row>
    <row r="119" spans="1:26" ht="15.75" customHeight="1">
      <c r="A119" s="306"/>
      <c r="B119" s="306"/>
      <c r="C119" s="306"/>
      <c r="D119" s="306"/>
      <c r="E119" s="307"/>
      <c r="F119" s="306"/>
      <c r="G119" s="1049"/>
      <c r="H119" s="306"/>
      <c r="I119" s="306"/>
      <c r="J119" s="306"/>
      <c r="K119" s="306"/>
      <c r="L119" s="306"/>
      <c r="M119" s="306"/>
      <c r="N119" s="306"/>
      <c r="O119" s="306"/>
      <c r="P119" s="306"/>
      <c r="Q119" s="306"/>
      <c r="R119" s="306"/>
      <c r="S119" s="306"/>
      <c r="T119" s="306"/>
      <c r="U119" s="306"/>
      <c r="V119" s="306"/>
      <c r="W119" s="306"/>
      <c r="X119" s="306"/>
      <c r="Y119" s="306"/>
      <c r="Z119" s="306"/>
    </row>
    <row r="120" spans="1:26" ht="15.75" customHeight="1">
      <c r="A120" s="306"/>
      <c r="B120" s="306"/>
      <c r="C120" s="306"/>
      <c r="D120" s="306"/>
      <c r="E120" s="307"/>
      <c r="F120" s="306"/>
      <c r="G120" s="1049"/>
      <c r="H120" s="306"/>
      <c r="I120" s="306"/>
      <c r="J120" s="306"/>
      <c r="K120" s="306"/>
      <c r="L120" s="306"/>
      <c r="M120" s="306"/>
      <c r="N120" s="306"/>
      <c r="O120" s="306"/>
      <c r="P120" s="306"/>
      <c r="Q120" s="306"/>
      <c r="R120" s="306"/>
      <c r="S120" s="306"/>
      <c r="T120" s="306"/>
      <c r="U120" s="306"/>
      <c r="V120" s="306"/>
      <c r="W120" s="306"/>
      <c r="X120" s="306"/>
      <c r="Y120" s="306"/>
      <c r="Z120" s="306"/>
    </row>
    <row r="121" spans="1:26" ht="15.75" customHeight="1">
      <c r="A121" s="306"/>
      <c r="B121" s="306"/>
      <c r="C121" s="306"/>
      <c r="D121" s="306"/>
      <c r="E121" s="307"/>
      <c r="F121" s="306"/>
      <c r="G121" s="1049"/>
      <c r="H121" s="306"/>
      <c r="I121" s="306"/>
      <c r="J121" s="306"/>
      <c r="K121" s="306"/>
      <c r="L121" s="306"/>
      <c r="M121" s="306"/>
      <c r="N121" s="306"/>
      <c r="O121" s="306"/>
      <c r="P121" s="306"/>
      <c r="Q121" s="306"/>
      <c r="R121" s="306"/>
      <c r="S121" s="306"/>
      <c r="T121" s="306"/>
      <c r="U121" s="306"/>
      <c r="V121" s="306"/>
      <c r="W121" s="306"/>
      <c r="X121" s="306"/>
      <c r="Y121" s="306"/>
      <c r="Z121" s="306"/>
    </row>
    <row r="122" spans="1:26" ht="15.75" customHeight="1">
      <c r="A122" s="306"/>
      <c r="B122" s="306"/>
      <c r="C122" s="306"/>
      <c r="D122" s="306"/>
      <c r="E122" s="307"/>
      <c r="F122" s="306"/>
      <c r="G122" s="1049"/>
      <c r="H122" s="306"/>
      <c r="I122" s="306"/>
      <c r="J122" s="306"/>
      <c r="K122" s="306"/>
      <c r="L122" s="306"/>
      <c r="M122" s="306"/>
      <c r="N122" s="306"/>
      <c r="O122" s="306"/>
      <c r="P122" s="306"/>
      <c r="Q122" s="306"/>
      <c r="R122" s="306"/>
      <c r="S122" s="306"/>
      <c r="T122" s="306"/>
      <c r="U122" s="306"/>
      <c r="V122" s="306"/>
      <c r="W122" s="306"/>
      <c r="X122" s="306"/>
      <c r="Y122" s="306"/>
      <c r="Z122" s="306"/>
    </row>
    <row r="123" spans="1:26" ht="15.75" customHeight="1">
      <c r="A123" s="306"/>
      <c r="B123" s="306"/>
      <c r="C123" s="306"/>
      <c r="D123" s="306"/>
      <c r="E123" s="307"/>
      <c r="F123" s="306"/>
      <c r="G123" s="1049"/>
      <c r="H123" s="306"/>
      <c r="I123" s="306"/>
      <c r="J123" s="306"/>
      <c r="K123" s="306"/>
      <c r="L123" s="306"/>
      <c r="M123" s="306"/>
      <c r="N123" s="306"/>
      <c r="O123" s="306"/>
      <c r="P123" s="306"/>
      <c r="Q123" s="306"/>
      <c r="R123" s="306"/>
      <c r="S123" s="306"/>
      <c r="T123" s="306"/>
      <c r="U123" s="306"/>
      <c r="V123" s="306"/>
      <c r="W123" s="306"/>
      <c r="X123" s="306"/>
      <c r="Y123" s="306"/>
      <c r="Z123" s="306"/>
    </row>
    <row r="124" spans="1:26" ht="15.75" customHeight="1">
      <c r="A124" s="306"/>
      <c r="B124" s="306"/>
      <c r="C124" s="306"/>
      <c r="D124" s="306"/>
      <c r="E124" s="307"/>
      <c r="F124" s="306"/>
      <c r="G124" s="1049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</row>
    <row r="125" spans="1:26" ht="15.75" customHeight="1">
      <c r="A125" s="306"/>
      <c r="B125" s="306"/>
      <c r="C125" s="306"/>
      <c r="D125" s="306"/>
      <c r="E125" s="307"/>
      <c r="F125" s="306"/>
      <c r="G125" s="1049"/>
      <c r="H125" s="306"/>
      <c r="I125" s="306"/>
      <c r="J125" s="306"/>
      <c r="K125" s="306"/>
      <c r="L125" s="306"/>
      <c r="M125" s="306"/>
      <c r="N125" s="306"/>
      <c r="O125" s="306"/>
      <c r="P125" s="306"/>
      <c r="Q125" s="306"/>
      <c r="R125" s="306"/>
      <c r="S125" s="306"/>
      <c r="T125" s="306"/>
      <c r="U125" s="306"/>
      <c r="V125" s="306"/>
      <c r="W125" s="306"/>
      <c r="X125" s="306"/>
      <c r="Y125" s="306"/>
      <c r="Z125" s="306"/>
    </row>
    <row r="126" spans="1:26" ht="15.75" customHeight="1">
      <c r="A126" s="306"/>
      <c r="B126" s="306"/>
      <c r="C126" s="306"/>
      <c r="D126" s="306"/>
      <c r="E126" s="307"/>
      <c r="F126" s="306"/>
      <c r="G126" s="1049"/>
      <c r="H126" s="306"/>
      <c r="I126" s="306"/>
      <c r="J126" s="306"/>
      <c r="K126" s="306"/>
      <c r="L126" s="306"/>
      <c r="M126" s="306"/>
      <c r="N126" s="306"/>
      <c r="O126" s="306"/>
      <c r="P126" s="306"/>
      <c r="Q126" s="306"/>
      <c r="R126" s="306"/>
      <c r="S126" s="306"/>
      <c r="T126" s="306"/>
      <c r="U126" s="306"/>
      <c r="V126" s="306"/>
      <c r="W126" s="306"/>
      <c r="X126" s="306"/>
      <c r="Y126" s="306"/>
      <c r="Z126" s="306"/>
    </row>
    <row r="127" spans="1:26" ht="15.75" customHeight="1">
      <c r="A127" s="306"/>
      <c r="B127" s="306"/>
      <c r="C127" s="306"/>
      <c r="D127" s="306"/>
      <c r="E127" s="307"/>
      <c r="F127" s="306"/>
      <c r="G127" s="1049"/>
      <c r="H127" s="306"/>
      <c r="I127" s="306"/>
      <c r="J127" s="306"/>
      <c r="K127" s="306"/>
      <c r="L127" s="306"/>
      <c r="M127" s="306"/>
      <c r="N127" s="306"/>
      <c r="O127" s="306"/>
      <c r="P127" s="306"/>
      <c r="Q127" s="306"/>
      <c r="R127" s="306"/>
      <c r="S127" s="306"/>
      <c r="T127" s="306"/>
      <c r="U127" s="306"/>
      <c r="V127" s="306"/>
      <c r="W127" s="306"/>
      <c r="X127" s="306"/>
      <c r="Y127" s="306"/>
      <c r="Z127" s="306"/>
    </row>
    <row r="128" spans="1:26" ht="15.75" customHeight="1">
      <c r="A128" s="306"/>
      <c r="B128" s="306"/>
      <c r="C128" s="306"/>
      <c r="D128" s="306"/>
      <c r="E128" s="307"/>
      <c r="F128" s="306"/>
      <c r="G128" s="1049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</row>
    <row r="129" spans="1:26" ht="15.75" customHeight="1">
      <c r="A129" s="306"/>
      <c r="B129" s="306"/>
      <c r="C129" s="306"/>
      <c r="D129" s="306"/>
      <c r="E129" s="307"/>
      <c r="F129" s="306"/>
      <c r="G129" s="1049"/>
      <c r="H129" s="306"/>
      <c r="I129" s="306"/>
      <c r="J129" s="306"/>
      <c r="K129" s="306"/>
      <c r="L129" s="306"/>
      <c r="M129" s="306"/>
      <c r="N129" s="306"/>
      <c r="O129" s="306"/>
      <c r="P129" s="306"/>
      <c r="Q129" s="306"/>
      <c r="R129" s="306"/>
      <c r="S129" s="306"/>
      <c r="T129" s="306"/>
      <c r="U129" s="306"/>
      <c r="V129" s="306"/>
      <c r="W129" s="306"/>
      <c r="X129" s="306"/>
      <c r="Y129" s="306"/>
      <c r="Z129" s="306"/>
    </row>
    <row r="130" spans="1:26" ht="15.75" customHeight="1">
      <c r="A130" s="306"/>
      <c r="B130" s="306"/>
      <c r="C130" s="306"/>
      <c r="D130" s="306"/>
      <c r="E130" s="307"/>
      <c r="F130" s="306"/>
      <c r="G130" s="1049"/>
      <c r="H130" s="306"/>
      <c r="I130" s="306"/>
      <c r="J130" s="306"/>
      <c r="K130" s="306"/>
      <c r="L130" s="306"/>
      <c r="M130" s="306"/>
      <c r="N130" s="306"/>
      <c r="O130" s="306"/>
      <c r="P130" s="306"/>
      <c r="Q130" s="306"/>
      <c r="R130" s="306"/>
      <c r="S130" s="306"/>
      <c r="T130" s="306"/>
      <c r="U130" s="306"/>
      <c r="V130" s="306"/>
      <c r="W130" s="306"/>
      <c r="X130" s="306"/>
      <c r="Y130" s="306"/>
      <c r="Z130" s="306"/>
    </row>
    <row r="131" spans="1:26" ht="15.75" customHeight="1">
      <c r="A131" s="306"/>
      <c r="B131" s="306"/>
      <c r="C131" s="306"/>
      <c r="D131" s="306"/>
      <c r="E131" s="307"/>
      <c r="F131" s="306"/>
      <c r="G131" s="1049"/>
      <c r="H131" s="306"/>
      <c r="I131" s="306"/>
      <c r="J131" s="306"/>
      <c r="K131" s="306"/>
      <c r="L131" s="306"/>
      <c r="M131" s="306"/>
      <c r="N131" s="306"/>
      <c r="O131" s="306"/>
      <c r="P131" s="306"/>
      <c r="Q131" s="306"/>
      <c r="R131" s="306"/>
      <c r="S131" s="306"/>
      <c r="T131" s="306"/>
      <c r="U131" s="306"/>
      <c r="V131" s="306"/>
      <c r="W131" s="306"/>
      <c r="X131" s="306"/>
      <c r="Y131" s="306"/>
      <c r="Z131" s="306"/>
    </row>
    <row r="132" spans="1:26" ht="15.75" customHeight="1">
      <c r="A132" s="306"/>
      <c r="B132" s="306"/>
      <c r="C132" s="306"/>
      <c r="D132" s="306"/>
      <c r="E132" s="307"/>
      <c r="F132" s="306"/>
      <c r="G132" s="1049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</row>
    <row r="133" spans="1:26" ht="15.75" customHeight="1">
      <c r="A133" s="306"/>
      <c r="B133" s="306"/>
      <c r="C133" s="306"/>
      <c r="D133" s="306"/>
      <c r="E133" s="307"/>
      <c r="F133" s="306"/>
      <c r="G133" s="1049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</row>
    <row r="134" spans="1:26" ht="15.75" customHeight="1">
      <c r="A134" s="306"/>
      <c r="B134" s="306"/>
      <c r="C134" s="306"/>
      <c r="D134" s="306"/>
      <c r="E134" s="307"/>
      <c r="F134" s="306"/>
      <c r="G134" s="1049"/>
      <c r="H134" s="306"/>
      <c r="I134" s="306"/>
      <c r="J134" s="306"/>
      <c r="K134" s="306"/>
      <c r="L134" s="306"/>
      <c r="M134" s="306"/>
      <c r="N134" s="306"/>
      <c r="O134" s="306"/>
      <c r="P134" s="306"/>
      <c r="Q134" s="306"/>
      <c r="R134" s="306"/>
      <c r="S134" s="306"/>
      <c r="T134" s="306"/>
      <c r="U134" s="306"/>
      <c r="V134" s="306"/>
      <c r="W134" s="306"/>
      <c r="X134" s="306"/>
      <c r="Y134" s="306"/>
      <c r="Z134" s="306"/>
    </row>
    <row r="135" spans="1:26" ht="15.75" customHeight="1">
      <c r="A135" s="306"/>
      <c r="B135" s="306"/>
      <c r="C135" s="306"/>
      <c r="D135" s="306"/>
      <c r="E135" s="307"/>
      <c r="F135" s="306"/>
      <c r="G135" s="1049"/>
      <c r="H135" s="306"/>
      <c r="I135" s="306"/>
      <c r="J135" s="306"/>
      <c r="K135" s="306"/>
      <c r="L135" s="306"/>
      <c r="M135" s="306"/>
      <c r="N135" s="306"/>
      <c r="O135" s="306"/>
      <c r="P135" s="306"/>
      <c r="Q135" s="306"/>
      <c r="R135" s="306"/>
      <c r="S135" s="306"/>
      <c r="T135" s="306"/>
      <c r="U135" s="306"/>
      <c r="V135" s="306"/>
      <c r="W135" s="306"/>
      <c r="X135" s="306"/>
      <c r="Y135" s="306"/>
      <c r="Z135" s="306"/>
    </row>
    <row r="136" spans="1:26" ht="15.75" customHeight="1">
      <c r="A136" s="306"/>
      <c r="B136" s="306"/>
      <c r="C136" s="306"/>
      <c r="D136" s="306"/>
      <c r="E136" s="307"/>
      <c r="F136" s="306"/>
      <c r="G136" s="1049"/>
      <c r="H136" s="306"/>
      <c r="I136" s="306"/>
      <c r="J136" s="306"/>
      <c r="K136" s="306"/>
      <c r="L136" s="306"/>
      <c r="M136" s="306"/>
      <c r="N136" s="306"/>
      <c r="O136" s="306"/>
      <c r="P136" s="306"/>
      <c r="Q136" s="306"/>
      <c r="R136" s="306"/>
      <c r="S136" s="306"/>
      <c r="T136" s="306"/>
      <c r="U136" s="306"/>
      <c r="V136" s="306"/>
      <c r="W136" s="306"/>
      <c r="X136" s="306"/>
      <c r="Y136" s="306"/>
      <c r="Z136" s="306"/>
    </row>
    <row r="137" spans="1:26" ht="15.75" customHeight="1">
      <c r="A137" s="306"/>
      <c r="B137" s="306"/>
      <c r="C137" s="306"/>
      <c r="D137" s="306"/>
      <c r="E137" s="307"/>
      <c r="F137" s="306"/>
      <c r="G137" s="1049"/>
      <c r="H137" s="306"/>
      <c r="I137" s="306"/>
      <c r="J137" s="306"/>
      <c r="K137" s="306"/>
      <c r="L137" s="306"/>
      <c r="M137" s="306"/>
      <c r="N137" s="306"/>
      <c r="O137" s="306"/>
      <c r="P137" s="306"/>
      <c r="Q137" s="306"/>
      <c r="R137" s="306"/>
      <c r="S137" s="306"/>
      <c r="T137" s="306"/>
      <c r="U137" s="306"/>
      <c r="V137" s="306"/>
      <c r="W137" s="306"/>
      <c r="X137" s="306"/>
      <c r="Y137" s="306"/>
      <c r="Z137" s="306"/>
    </row>
    <row r="138" spans="1:26" ht="15.75" customHeight="1">
      <c r="A138" s="306"/>
      <c r="B138" s="306"/>
      <c r="C138" s="306"/>
      <c r="D138" s="306"/>
      <c r="E138" s="307"/>
      <c r="F138" s="306"/>
      <c r="G138" s="1049"/>
      <c r="H138" s="306"/>
      <c r="I138" s="306"/>
      <c r="J138" s="306"/>
      <c r="K138" s="306"/>
      <c r="L138" s="306"/>
      <c r="M138" s="306"/>
      <c r="N138" s="306"/>
      <c r="O138" s="306"/>
      <c r="P138" s="306"/>
      <c r="Q138" s="306"/>
      <c r="R138" s="306"/>
      <c r="S138" s="306"/>
      <c r="T138" s="306"/>
      <c r="U138" s="306"/>
      <c r="V138" s="306"/>
      <c r="W138" s="306"/>
      <c r="X138" s="306"/>
      <c r="Y138" s="306"/>
      <c r="Z138" s="306"/>
    </row>
    <row r="139" spans="1:26" ht="15.75" customHeight="1">
      <c r="A139" s="306"/>
      <c r="B139" s="306"/>
      <c r="C139" s="306"/>
      <c r="D139" s="306"/>
      <c r="E139" s="307"/>
      <c r="F139" s="306"/>
      <c r="G139" s="1049"/>
      <c r="H139" s="306"/>
      <c r="I139" s="306"/>
      <c r="J139" s="306"/>
      <c r="K139" s="306"/>
      <c r="L139" s="306"/>
      <c r="M139" s="306"/>
      <c r="N139" s="306"/>
      <c r="O139" s="306"/>
      <c r="P139" s="306"/>
      <c r="Q139" s="306"/>
      <c r="R139" s="306"/>
      <c r="S139" s="306"/>
      <c r="T139" s="306"/>
      <c r="U139" s="306"/>
      <c r="V139" s="306"/>
      <c r="W139" s="306"/>
      <c r="X139" s="306"/>
      <c r="Y139" s="306"/>
      <c r="Z139" s="306"/>
    </row>
    <row r="140" spans="1:26" ht="15.75" customHeight="1">
      <c r="A140" s="306"/>
      <c r="B140" s="306"/>
      <c r="C140" s="306"/>
      <c r="D140" s="306"/>
      <c r="E140" s="307"/>
      <c r="F140" s="306"/>
      <c r="G140" s="1049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</row>
    <row r="141" spans="1:26" ht="15.75" customHeight="1">
      <c r="A141" s="306"/>
      <c r="B141" s="306"/>
      <c r="C141" s="306"/>
      <c r="D141" s="306"/>
      <c r="E141" s="307"/>
      <c r="F141" s="306"/>
      <c r="G141" s="1049"/>
      <c r="H141" s="306"/>
      <c r="I141" s="306"/>
      <c r="J141" s="306"/>
      <c r="K141" s="306"/>
      <c r="L141" s="306"/>
      <c r="M141" s="306"/>
      <c r="N141" s="306"/>
      <c r="O141" s="306"/>
      <c r="P141" s="306"/>
      <c r="Q141" s="306"/>
      <c r="R141" s="306"/>
      <c r="S141" s="306"/>
      <c r="T141" s="306"/>
      <c r="U141" s="306"/>
      <c r="V141" s="306"/>
      <c r="W141" s="306"/>
      <c r="X141" s="306"/>
      <c r="Y141" s="306"/>
      <c r="Z141" s="306"/>
    </row>
    <row r="142" spans="1:26" ht="15.75" customHeight="1">
      <c r="A142" s="306"/>
      <c r="B142" s="306"/>
      <c r="C142" s="306"/>
      <c r="D142" s="306"/>
      <c r="E142" s="307"/>
      <c r="F142" s="306"/>
      <c r="G142" s="1049"/>
      <c r="H142" s="306"/>
      <c r="I142" s="306"/>
      <c r="J142" s="306"/>
      <c r="K142" s="306"/>
      <c r="L142" s="306"/>
      <c r="M142" s="306"/>
      <c r="N142" s="306"/>
      <c r="O142" s="306"/>
      <c r="P142" s="306"/>
      <c r="Q142" s="306"/>
      <c r="R142" s="306"/>
      <c r="S142" s="306"/>
      <c r="T142" s="306"/>
      <c r="U142" s="306"/>
      <c r="V142" s="306"/>
      <c r="W142" s="306"/>
      <c r="X142" s="306"/>
      <c r="Y142" s="306"/>
      <c r="Z142" s="306"/>
    </row>
    <row r="143" spans="1:26" ht="15.75" customHeight="1">
      <c r="A143" s="306"/>
      <c r="B143" s="306"/>
      <c r="C143" s="306"/>
      <c r="D143" s="306"/>
      <c r="E143" s="307"/>
      <c r="F143" s="306"/>
      <c r="G143" s="1049"/>
      <c r="H143" s="306"/>
      <c r="I143" s="306"/>
      <c r="J143" s="306"/>
      <c r="K143" s="306"/>
      <c r="L143" s="306"/>
      <c r="M143" s="306"/>
      <c r="N143" s="306"/>
      <c r="O143" s="306"/>
      <c r="P143" s="306"/>
      <c r="Q143" s="306"/>
      <c r="R143" s="306"/>
      <c r="S143" s="306"/>
      <c r="T143" s="306"/>
      <c r="U143" s="306"/>
      <c r="V143" s="306"/>
      <c r="W143" s="306"/>
      <c r="X143" s="306"/>
      <c r="Y143" s="306"/>
      <c r="Z143" s="306"/>
    </row>
    <row r="144" spans="1:26" ht="15.75" customHeight="1">
      <c r="A144" s="306"/>
      <c r="B144" s="306"/>
      <c r="C144" s="306"/>
      <c r="D144" s="306"/>
      <c r="E144" s="307"/>
      <c r="F144" s="306"/>
      <c r="G144" s="1049"/>
      <c r="H144" s="306"/>
      <c r="I144" s="306"/>
      <c r="J144" s="306"/>
      <c r="K144" s="306"/>
      <c r="L144" s="306"/>
      <c r="M144" s="306"/>
      <c r="N144" s="306"/>
      <c r="O144" s="306"/>
      <c r="P144" s="306"/>
      <c r="Q144" s="306"/>
      <c r="R144" s="306"/>
      <c r="S144" s="306"/>
      <c r="T144" s="306"/>
      <c r="U144" s="306"/>
      <c r="V144" s="306"/>
      <c r="W144" s="306"/>
      <c r="X144" s="306"/>
      <c r="Y144" s="306"/>
      <c r="Z144" s="306"/>
    </row>
    <row r="145" spans="1:26" ht="15.75" customHeight="1">
      <c r="A145" s="306"/>
      <c r="B145" s="306"/>
      <c r="C145" s="306"/>
      <c r="D145" s="306"/>
      <c r="E145" s="307"/>
      <c r="F145" s="306"/>
      <c r="G145" s="1049"/>
      <c r="H145" s="306"/>
      <c r="I145" s="306"/>
      <c r="J145" s="306"/>
      <c r="K145" s="306"/>
      <c r="L145" s="306"/>
      <c r="M145" s="306"/>
      <c r="N145" s="306"/>
      <c r="O145" s="306"/>
      <c r="P145" s="306"/>
      <c r="Q145" s="306"/>
      <c r="R145" s="306"/>
      <c r="S145" s="306"/>
      <c r="T145" s="306"/>
      <c r="U145" s="306"/>
      <c r="V145" s="306"/>
      <c r="W145" s="306"/>
      <c r="X145" s="306"/>
      <c r="Y145" s="306"/>
      <c r="Z145" s="306"/>
    </row>
    <row r="146" spans="1:26" ht="15.75" customHeight="1">
      <c r="A146" s="306"/>
      <c r="B146" s="306"/>
      <c r="C146" s="306"/>
      <c r="D146" s="306"/>
      <c r="E146" s="307"/>
      <c r="F146" s="306"/>
      <c r="G146" s="1049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</row>
    <row r="147" spans="1:26" ht="15.75" customHeight="1">
      <c r="A147" s="306"/>
      <c r="B147" s="306"/>
      <c r="C147" s="306"/>
      <c r="D147" s="306"/>
      <c r="E147" s="307"/>
      <c r="F147" s="306"/>
      <c r="G147" s="1049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</row>
    <row r="148" spans="1:26" ht="15.75" customHeight="1">
      <c r="A148" s="306"/>
      <c r="B148" s="306"/>
      <c r="C148" s="306"/>
      <c r="D148" s="306"/>
      <c r="E148" s="307"/>
      <c r="F148" s="306"/>
      <c r="G148" s="1049"/>
      <c r="H148" s="306"/>
      <c r="I148" s="306"/>
      <c r="J148" s="306"/>
      <c r="K148" s="306"/>
      <c r="L148" s="306"/>
      <c r="M148" s="306"/>
      <c r="N148" s="306"/>
      <c r="O148" s="306"/>
      <c r="P148" s="306"/>
      <c r="Q148" s="306"/>
      <c r="R148" s="306"/>
      <c r="S148" s="306"/>
      <c r="T148" s="306"/>
      <c r="U148" s="306"/>
      <c r="V148" s="306"/>
      <c r="W148" s="306"/>
      <c r="X148" s="306"/>
      <c r="Y148" s="306"/>
      <c r="Z148" s="306"/>
    </row>
    <row r="149" spans="1:26" ht="15.75" customHeight="1">
      <c r="A149" s="306"/>
      <c r="B149" s="306"/>
      <c r="C149" s="306"/>
      <c r="D149" s="306"/>
      <c r="E149" s="307"/>
      <c r="F149" s="306"/>
      <c r="G149" s="1049"/>
      <c r="H149" s="306"/>
      <c r="I149" s="306"/>
      <c r="J149" s="306"/>
      <c r="K149" s="306"/>
      <c r="L149" s="306"/>
      <c r="M149" s="306"/>
      <c r="N149" s="306"/>
      <c r="O149" s="306"/>
      <c r="P149" s="306"/>
      <c r="Q149" s="306"/>
      <c r="R149" s="306"/>
      <c r="S149" s="306"/>
      <c r="T149" s="306"/>
      <c r="U149" s="306"/>
      <c r="V149" s="306"/>
      <c r="W149" s="306"/>
      <c r="X149" s="306"/>
      <c r="Y149" s="306"/>
      <c r="Z149" s="306"/>
    </row>
    <row r="150" spans="1:26" ht="15.75" customHeight="1">
      <c r="A150" s="306"/>
      <c r="B150" s="306"/>
      <c r="C150" s="306"/>
      <c r="D150" s="306"/>
      <c r="E150" s="307"/>
      <c r="F150" s="306"/>
      <c r="G150" s="1049"/>
      <c r="H150" s="306"/>
      <c r="I150" s="306"/>
      <c r="J150" s="306"/>
      <c r="K150" s="306"/>
      <c r="L150" s="306"/>
      <c r="M150" s="306"/>
      <c r="N150" s="306"/>
      <c r="O150" s="306"/>
      <c r="P150" s="306"/>
      <c r="Q150" s="306"/>
      <c r="R150" s="306"/>
      <c r="S150" s="306"/>
      <c r="T150" s="306"/>
      <c r="U150" s="306"/>
      <c r="V150" s="306"/>
      <c r="W150" s="306"/>
      <c r="X150" s="306"/>
      <c r="Y150" s="306"/>
      <c r="Z150" s="306"/>
    </row>
    <row r="151" spans="1:26" ht="15.75" customHeight="1">
      <c r="A151" s="306"/>
      <c r="B151" s="306"/>
      <c r="C151" s="306"/>
      <c r="D151" s="306"/>
      <c r="E151" s="307"/>
      <c r="F151" s="306"/>
      <c r="G151" s="1049"/>
      <c r="H151" s="306"/>
      <c r="I151" s="306"/>
      <c r="J151" s="306"/>
      <c r="K151" s="306"/>
      <c r="L151" s="306"/>
      <c r="M151" s="306"/>
      <c r="N151" s="306"/>
      <c r="O151" s="306"/>
      <c r="P151" s="306"/>
      <c r="Q151" s="306"/>
      <c r="R151" s="306"/>
      <c r="S151" s="306"/>
      <c r="T151" s="306"/>
      <c r="U151" s="306"/>
      <c r="V151" s="306"/>
      <c r="W151" s="306"/>
      <c r="X151" s="306"/>
      <c r="Y151" s="306"/>
      <c r="Z151" s="306"/>
    </row>
    <row r="152" spans="1:26" ht="15.75" customHeight="1">
      <c r="A152" s="306"/>
      <c r="B152" s="306"/>
      <c r="C152" s="306"/>
      <c r="D152" s="306"/>
      <c r="E152" s="307"/>
      <c r="F152" s="306"/>
      <c r="G152" s="1049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</row>
    <row r="153" spans="1:26" ht="15.75" customHeight="1">
      <c r="A153" s="306"/>
      <c r="B153" s="306"/>
      <c r="C153" s="306"/>
      <c r="D153" s="306"/>
      <c r="E153" s="307"/>
      <c r="F153" s="306"/>
      <c r="G153" s="1049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</row>
    <row r="154" spans="1:26" ht="15.75" customHeight="1">
      <c r="A154" s="306"/>
      <c r="B154" s="306"/>
      <c r="C154" s="306"/>
      <c r="D154" s="306"/>
      <c r="E154" s="307"/>
      <c r="F154" s="306"/>
      <c r="G154" s="1049"/>
      <c r="H154" s="306"/>
      <c r="I154" s="306"/>
      <c r="J154" s="306"/>
      <c r="K154" s="306"/>
      <c r="L154" s="306"/>
      <c r="M154" s="306"/>
      <c r="N154" s="306"/>
      <c r="O154" s="306"/>
      <c r="P154" s="306"/>
      <c r="Q154" s="306"/>
      <c r="R154" s="306"/>
      <c r="S154" s="306"/>
      <c r="T154" s="306"/>
      <c r="U154" s="306"/>
      <c r="V154" s="306"/>
      <c r="W154" s="306"/>
      <c r="X154" s="306"/>
      <c r="Y154" s="306"/>
      <c r="Z154" s="306"/>
    </row>
    <row r="155" spans="1:26" ht="15.75" customHeight="1">
      <c r="A155" s="306"/>
      <c r="B155" s="306"/>
      <c r="C155" s="306"/>
      <c r="D155" s="306"/>
      <c r="E155" s="307"/>
      <c r="F155" s="306"/>
      <c r="G155" s="1049"/>
      <c r="H155" s="306"/>
      <c r="I155" s="306"/>
      <c r="J155" s="306"/>
      <c r="K155" s="306"/>
      <c r="L155" s="306"/>
      <c r="M155" s="306"/>
      <c r="N155" s="306"/>
      <c r="O155" s="306"/>
      <c r="P155" s="306"/>
      <c r="Q155" s="306"/>
      <c r="R155" s="306"/>
      <c r="S155" s="306"/>
      <c r="T155" s="306"/>
      <c r="U155" s="306"/>
      <c r="V155" s="306"/>
      <c r="W155" s="306"/>
      <c r="X155" s="306"/>
      <c r="Y155" s="306"/>
      <c r="Z155" s="306"/>
    </row>
    <row r="156" spans="1:26" ht="15.75" customHeight="1">
      <c r="A156" s="306"/>
      <c r="B156" s="306"/>
      <c r="C156" s="306"/>
      <c r="D156" s="306"/>
      <c r="E156" s="307"/>
      <c r="F156" s="306"/>
      <c r="G156" s="1049"/>
      <c r="H156" s="306"/>
      <c r="I156" s="306"/>
      <c r="J156" s="306"/>
      <c r="K156" s="306"/>
      <c r="L156" s="306"/>
      <c r="M156" s="306"/>
      <c r="N156" s="306"/>
      <c r="O156" s="306"/>
      <c r="P156" s="306"/>
      <c r="Q156" s="306"/>
      <c r="R156" s="306"/>
      <c r="S156" s="306"/>
      <c r="T156" s="306"/>
      <c r="U156" s="306"/>
      <c r="V156" s="306"/>
      <c r="W156" s="306"/>
      <c r="X156" s="306"/>
      <c r="Y156" s="306"/>
      <c r="Z156" s="306"/>
    </row>
    <row r="157" spans="1:26" ht="15.75" customHeight="1">
      <c r="A157" s="306"/>
      <c r="B157" s="306"/>
      <c r="C157" s="306"/>
      <c r="D157" s="306"/>
      <c r="E157" s="307"/>
      <c r="F157" s="306"/>
      <c r="G157" s="1049"/>
      <c r="H157" s="306"/>
      <c r="I157" s="306"/>
      <c r="J157" s="306"/>
      <c r="K157" s="306"/>
      <c r="L157" s="306"/>
      <c r="M157" s="306"/>
      <c r="N157" s="306"/>
      <c r="O157" s="306"/>
      <c r="P157" s="306"/>
      <c r="Q157" s="306"/>
      <c r="R157" s="306"/>
      <c r="S157" s="306"/>
      <c r="T157" s="306"/>
      <c r="U157" s="306"/>
      <c r="V157" s="306"/>
      <c r="W157" s="306"/>
      <c r="X157" s="306"/>
      <c r="Y157" s="306"/>
      <c r="Z157" s="306"/>
    </row>
    <row r="158" spans="1:26" ht="15.75" customHeight="1">
      <c r="A158" s="306"/>
      <c r="B158" s="306"/>
      <c r="C158" s="306"/>
      <c r="D158" s="306"/>
      <c r="E158" s="307"/>
      <c r="F158" s="306"/>
      <c r="G158" s="1049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</row>
    <row r="159" spans="1:26" ht="15.75" customHeight="1">
      <c r="A159" s="306"/>
      <c r="B159" s="306"/>
      <c r="C159" s="306"/>
      <c r="D159" s="306"/>
      <c r="E159" s="307"/>
      <c r="F159" s="306"/>
      <c r="G159" s="1049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</row>
    <row r="160" spans="1:26" ht="15.75" customHeight="1">
      <c r="A160" s="306"/>
      <c r="B160" s="306"/>
      <c r="C160" s="306"/>
      <c r="D160" s="306"/>
      <c r="E160" s="307"/>
      <c r="F160" s="306"/>
      <c r="G160" s="1049"/>
      <c r="H160" s="306"/>
      <c r="I160" s="306"/>
      <c r="J160" s="306"/>
      <c r="K160" s="306"/>
      <c r="L160" s="306"/>
      <c r="M160" s="306"/>
      <c r="N160" s="306"/>
      <c r="O160" s="306"/>
      <c r="P160" s="306"/>
      <c r="Q160" s="306"/>
      <c r="R160" s="306"/>
      <c r="S160" s="306"/>
      <c r="T160" s="306"/>
      <c r="U160" s="306"/>
      <c r="V160" s="306"/>
      <c r="W160" s="306"/>
      <c r="X160" s="306"/>
      <c r="Y160" s="306"/>
      <c r="Z160" s="306"/>
    </row>
    <row r="161" spans="1:26" ht="15.75" customHeight="1">
      <c r="A161" s="306"/>
      <c r="B161" s="306"/>
      <c r="C161" s="306"/>
      <c r="D161" s="306"/>
      <c r="E161" s="307"/>
      <c r="F161" s="306"/>
      <c r="G161" s="1049"/>
      <c r="H161" s="306"/>
      <c r="I161" s="306"/>
      <c r="J161" s="306"/>
      <c r="K161" s="306"/>
      <c r="L161" s="306"/>
      <c r="M161" s="306"/>
      <c r="N161" s="306"/>
      <c r="O161" s="306"/>
      <c r="P161" s="306"/>
      <c r="Q161" s="306"/>
      <c r="R161" s="306"/>
      <c r="S161" s="306"/>
      <c r="T161" s="306"/>
      <c r="U161" s="306"/>
      <c r="V161" s="306"/>
      <c r="W161" s="306"/>
      <c r="X161" s="306"/>
      <c r="Y161" s="306"/>
      <c r="Z161" s="306"/>
    </row>
    <row r="162" spans="1:26" ht="15.75" customHeight="1">
      <c r="A162" s="306"/>
      <c r="B162" s="306"/>
      <c r="C162" s="306"/>
      <c r="D162" s="306"/>
      <c r="E162" s="307"/>
      <c r="F162" s="306"/>
      <c r="G162" s="1049"/>
      <c r="H162" s="306"/>
      <c r="I162" s="306"/>
      <c r="J162" s="306"/>
      <c r="K162" s="306"/>
      <c r="L162" s="306"/>
      <c r="M162" s="306"/>
      <c r="N162" s="306"/>
      <c r="O162" s="306"/>
      <c r="P162" s="306"/>
      <c r="Q162" s="306"/>
      <c r="R162" s="306"/>
      <c r="S162" s="306"/>
      <c r="T162" s="306"/>
      <c r="U162" s="306"/>
      <c r="V162" s="306"/>
      <c r="W162" s="306"/>
      <c r="X162" s="306"/>
      <c r="Y162" s="306"/>
      <c r="Z162" s="306"/>
    </row>
    <row r="163" spans="1:26" ht="15.75" customHeight="1">
      <c r="A163" s="306"/>
      <c r="B163" s="306"/>
      <c r="C163" s="306"/>
      <c r="D163" s="306"/>
      <c r="E163" s="307"/>
      <c r="F163" s="306"/>
      <c r="G163" s="1049"/>
      <c r="H163" s="306"/>
      <c r="I163" s="306"/>
      <c r="J163" s="306"/>
      <c r="K163" s="306"/>
      <c r="L163" s="306"/>
      <c r="M163" s="306"/>
      <c r="N163" s="306"/>
      <c r="O163" s="306"/>
      <c r="P163" s="306"/>
      <c r="Q163" s="306"/>
      <c r="R163" s="306"/>
      <c r="S163" s="306"/>
      <c r="T163" s="306"/>
      <c r="U163" s="306"/>
      <c r="V163" s="306"/>
      <c r="W163" s="306"/>
      <c r="X163" s="306"/>
      <c r="Y163" s="306"/>
      <c r="Z163" s="306"/>
    </row>
    <row r="164" spans="1:26" ht="15.75" customHeight="1">
      <c r="A164" s="306"/>
      <c r="B164" s="306"/>
      <c r="C164" s="306"/>
      <c r="D164" s="306"/>
      <c r="E164" s="307"/>
      <c r="F164" s="306"/>
      <c r="G164" s="1049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</row>
    <row r="165" spans="1:26" ht="15.75" customHeight="1">
      <c r="A165" s="306"/>
      <c r="B165" s="306"/>
      <c r="C165" s="306"/>
      <c r="D165" s="306"/>
      <c r="E165" s="307"/>
      <c r="F165" s="306"/>
      <c r="G165" s="1049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</row>
    <row r="166" spans="1:26" ht="15.75" customHeight="1">
      <c r="A166" s="306"/>
      <c r="B166" s="306"/>
      <c r="C166" s="306"/>
      <c r="D166" s="306"/>
      <c r="E166" s="307"/>
      <c r="F166" s="306"/>
      <c r="G166" s="1049"/>
      <c r="H166" s="306"/>
      <c r="I166" s="306"/>
      <c r="J166" s="306"/>
      <c r="K166" s="306"/>
      <c r="L166" s="306"/>
      <c r="M166" s="306"/>
      <c r="N166" s="306"/>
      <c r="O166" s="306"/>
      <c r="P166" s="306"/>
      <c r="Q166" s="306"/>
      <c r="R166" s="306"/>
      <c r="S166" s="306"/>
      <c r="T166" s="306"/>
      <c r="U166" s="306"/>
      <c r="V166" s="306"/>
      <c r="W166" s="306"/>
      <c r="X166" s="306"/>
      <c r="Y166" s="306"/>
      <c r="Z166" s="306"/>
    </row>
    <row r="167" spans="1:26" ht="15.75" customHeight="1">
      <c r="A167" s="306"/>
      <c r="B167" s="306"/>
      <c r="C167" s="306"/>
      <c r="D167" s="306"/>
      <c r="E167" s="307"/>
      <c r="F167" s="306"/>
      <c r="G167" s="1049"/>
      <c r="H167" s="306"/>
      <c r="I167" s="306"/>
      <c r="J167" s="306"/>
      <c r="K167" s="306"/>
      <c r="L167" s="306"/>
      <c r="M167" s="306"/>
      <c r="N167" s="306"/>
      <c r="O167" s="306"/>
      <c r="P167" s="306"/>
      <c r="Q167" s="306"/>
      <c r="R167" s="306"/>
      <c r="S167" s="306"/>
      <c r="T167" s="306"/>
      <c r="U167" s="306"/>
      <c r="V167" s="306"/>
      <c r="W167" s="306"/>
      <c r="X167" s="306"/>
      <c r="Y167" s="306"/>
      <c r="Z167" s="306"/>
    </row>
    <row r="168" spans="1:26" ht="15.75" customHeight="1">
      <c r="A168" s="306"/>
      <c r="B168" s="306"/>
      <c r="C168" s="306"/>
      <c r="D168" s="306"/>
      <c r="E168" s="307"/>
      <c r="F168" s="306"/>
      <c r="G168" s="1049"/>
      <c r="H168" s="306"/>
      <c r="I168" s="306"/>
      <c r="J168" s="306"/>
      <c r="K168" s="306"/>
      <c r="L168" s="306"/>
      <c r="M168" s="306"/>
      <c r="N168" s="306"/>
      <c r="O168" s="306"/>
      <c r="P168" s="306"/>
      <c r="Q168" s="306"/>
      <c r="R168" s="306"/>
      <c r="S168" s="306"/>
      <c r="T168" s="306"/>
      <c r="U168" s="306"/>
      <c r="V168" s="306"/>
      <c r="W168" s="306"/>
      <c r="X168" s="306"/>
      <c r="Y168" s="306"/>
      <c r="Z168" s="306"/>
    </row>
    <row r="169" spans="1:26" ht="15.75" customHeight="1">
      <c r="A169" s="306"/>
      <c r="B169" s="306"/>
      <c r="C169" s="306"/>
      <c r="D169" s="306"/>
      <c r="E169" s="307"/>
      <c r="F169" s="306"/>
      <c r="G169" s="1049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</row>
    <row r="170" spans="1:26" ht="15.75" customHeight="1">
      <c r="A170" s="306"/>
      <c r="B170" s="306"/>
      <c r="C170" s="306"/>
      <c r="D170" s="306"/>
      <c r="E170" s="307"/>
      <c r="F170" s="306"/>
      <c r="G170" s="1049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</row>
    <row r="171" spans="1:26" ht="15.75" customHeight="1">
      <c r="A171" s="306"/>
      <c r="B171" s="306"/>
      <c r="C171" s="306"/>
      <c r="D171" s="306"/>
      <c r="E171" s="307"/>
      <c r="F171" s="306"/>
      <c r="G171" s="1049"/>
      <c r="H171" s="306"/>
      <c r="I171" s="306"/>
      <c r="J171" s="306"/>
      <c r="K171" s="306"/>
      <c r="L171" s="306"/>
      <c r="M171" s="306"/>
      <c r="N171" s="306"/>
      <c r="O171" s="306"/>
      <c r="P171" s="306"/>
      <c r="Q171" s="306"/>
      <c r="R171" s="306"/>
      <c r="S171" s="306"/>
      <c r="T171" s="306"/>
      <c r="U171" s="306"/>
      <c r="V171" s="306"/>
      <c r="W171" s="306"/>
      <c r="X171" s="306"/>
      <c r="Y171" s="306"/>
      <c r="Z171" s="306"/>
    </row>
    <row r="172" spans="1:26" ht="15.75" customHeight="1">
      <c r="A172" s="306"/>
      <c r="B172" s="306"/>
      <c r="C172" s="306"/>
      <c r="D172" s="306"/>
      <c r="E172" s="307"/>
      <c r="F172" s="306"/>
      <c r="G172" s="1049"/>
      <c r="H172" s="306"/>
      <c r="I172" s="306"/>
      <c r="J172" s="306"/>
      <c r="K172" s="306"/>
      <c r="L172" s="306"/>
      <c r="M172" s="306"/>
      <c r="N172" s="306"/>
      <c r="O172" s="306"/>
      <c r="P172" s="306"/>
      <c r="Q172" s="306"/>
      <c r="R172" s="306"/>
      <c r="S172" s="306"/>
      <c r="T172" s="306"/>
      <c r="U172" s="306"/>
      <c r="V172" s="306"/>
      <c r="W172" s="306"/>
      <c r="X172" s="306"/>
      <c r="Y172" s="306"/>
      <c r="Z172" s="306"/>
    </row>
    <row r="173" spans="1:26" ht="15.75" customHeight="1">
      <c r="A173" s="306"/>
      <c r="B173" s="306"/>
      <c r="C173" s="306"/>
      <c r="D173" s="306"/>
      <c r="E173" s="307"/>
      <c r="F173" s="306"/>
      <c r="G173" s="1049"/>
      <c r="H173" s="306"/>
      <c r="I173" s="306"/>
      <c r="J173" s="306"/>
      <c r="K173" s="306"/>
      <c r="L173" s="306"/>
      <c r="M173" s="306"/>
      <c r="N173" s="306"/>
      <c r="O173" s="306"/>
      <c r="P173" s="306"/>
      <c r="Q173" s="306"/>
      <c r="R173" s="306"/>
      <c r="S173" s="306"/>
      <c r="T173" s="306"/>
      <c r="U173" s="306"/>
      <c r="V173" s="306"/>
      <c r="W173" s="306"/>
      <c r="X173" s="306"/>
      <c r="Y173" s="306"/>
      <c r="Z173" s="306"/>
    </row>
    <row r="174" spans="1:26" ht="15.75" customHeight="1">
      <c r="A174" s="306"/>
      <c r="B174" s="306"/>
      <c r="C174" s="306"/>
      <c r="D174" s="306"/>
      <c r="E174" s="307"/>
      <c r="F174" s="306"/>
      <c r="G174" s="1049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</row>
    <row r="175" spans="1:26" ht="15.75" customHeight="1">
      <c r="A175" s="306"/>
      <c r="B175" s="306"/>
      <c r="C175" s="306"/>
      <c r="D175" s="306"/>
      <c r="E175" s="307"/>
      <c r="F175" s="306"/>
      <c r="G175" s="1049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</row>
    <row r="176" spans="1:26" ht="15.75" customHeight="1">
      <c r="A176" s="306"/>
      <c r="B176" s="306"/>
      <c r="C176" s="306"/>
      <c r="D176" s="306"/>
      <c r="E176" s="307"/>
      <c r="F176" s="306"/>
      <c r="G176" s="1049"/>
      <c r="H176" s="306"/>
      <c r="I176" s="306"/>
      <c r="J176" s="306"/>
      <c r="K176" s="306"/>
      <c r="L176" s="306"/>
      <c r="M176" s="306"/>
      <c r="N176" s="306"/>
      <c r="O176" s="306"/>
      <c r="P176" s="306"/>
      <c r="Q176" s="306"/>
      <c r="R176" s="306"/>
      <c r="S176" s="306"/>
      <c r="T176" s="306"/>
      <c r="U176" s="306"/>
      <c r="V176" s="306"/>
      <c r="W176" s="306"/>
      <c r="X176" s="306"/>
      <c r="Y176" s="306"/>
      <c r="Z176" s="306"/>
    </row>
    <row r="177" spans="1:26" ht="15.75" customHeight="1">
      <c r="A177" s="306"/>
      <c r="B177" s="306"/>
      <c r="C177" s="306"/>
      <c r="D177" s="306"/>
      <c r="E177" s="307"/>
      <c r="F177" s="306"/>
      <c r="G177" s="1049"/>
      <c r="H177" s="306"/>
      <c r="I177" s="306"/>
      <c r="J177" s="306"/>
      <c r="K177" s="306"/>
      <c r="L177" s="306"/>
      <c r="M177" s="306"/>
      <c r="N177" s="306"/>
      <c r="O177" s="306"/>
      <c r="P177" s="306"/>
      <c r="Q177" s="306"/>
      <c r="R177" s="306"/>
      <c r="S177" s="306"/>
      <c r="T177" s="306"/>
      <c r="U177" s="306"/>
      <c r="V177" s="306"/>
      <c r="W177" s="306"/>
      <c r="X177" s="306"/>
      <c r="Y177" s="306"/>
      <c r="Z177" s="306"/>
    </row>
    <row r="178" spans="1:26" ht="15.75" customHeight="1">
      <c r="A178" s="306"/>
      <c r="B178" s="306"/>
      <c r="C178" s="306"/>
      <c r="D178" s="306"/>
      <c r="E178" s="307"/>
      <c r="F178" s="306"/>
      <c r="G178" s="1049"/>
      <c r="H178" s="306"/>
      <c r="I178" s="306"/>
      <c r="J178" s="306"/>
      <c r="K178" s="306"/>
      <c r="L178" s="306"/>
      <c r="M178" s="306"/>
      <c r="N178" s="306"/>
      <c r="O178" s="306"/>
      <c r="P178" s="306"/>
      <c r="Q178" s="306"/>
      <c r="R178" s="306"/>
      <c r="S178" s="306"/>
      <c r="T178" s="306"/>
      <c r="U178" s="306"/>
      <c r="V178" s="306"/>
      <c r="W178" s="306"/>
      <c r="X178" s="306"/>
      <c r="Y178" s="306"/>
      <c r="Z178" s="306"/>
    </row>
    <row r="179" spans="1:26" ht="15.75" customHeight="1">
      <c r="A179" s="306"/>
      <c r="B179" s="306"/>
      <c r="C179" s="306"/>
      <c r="D179" s="306"/>
      <c r="E179" s="307"/>
      <c r="F179" s="306"/>
      <c r="G179" s="1049"/>
      <c r="H179" s="306"/>
      <c r="I179" s="306"/>
      <c r="J179" s="306"/>
      <c r="K179" s="306"/>
      <c r="L179" s="306"/>
      <c r="M179" s="306"/>
      <c r="N179" s="306"/>
      <c r="O179" s="306"/>
      <c r="P179" s="306"/>
      <c r="Q179" s="306"/>
      <c r="R179" s="306"/>
      <c r="S179" s="306"/>
      <c r="T179" s="306"/>
      <c r="U179" s="306"/>
      <c r="V179" s="306"/>
      <c r="W179" s="306"/>
      <c r="X179" s="306"/>
      <c r="Y179" s="306"/>
      <c r="Z179" s="306"/>
    </row>
    <row r="180" spans="1:26" ht="15.75" customHeight="1">
      <c r="A180" s="306"/>
      <c r="B180" s="306"/>
      <c r="C180" s="306"/>
      <c r="D180" s="306"/>
      <c r="E180" s="307"/>
      <c r="F180" s="306"/>
      <c r="G180" s="1049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</row>
    <row r="181" spans="1:26" ht="15.75" customHeight="1">
      <c r="A181" s="306"/>
      <c r="B181" s="306"/>
      <c r="C181" s="306"/>
      <c r="D181" s="306"/>
      <c r="E181" s="307"/>
      <c r="F181" s="306"/>
      <c r="G181" s="1049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</row>
    <row r="182" spans="1:26" ht="15.75" customHeight="1">
      <c r="A182" s="306"/>
      <c r="B182" s="306"/>
      <c r="C182" s="306"/>
      <c r="D182" s="306"/>
      <c r="E182" s="307"/>
      <c r="F182" s="306"/>
      <c r="G182" s="1049"/>
      <c r="H182" s="306"/>
      <c r="I182" s="306"/>
      <c r="J182" s="306"/>
      <c r="K182" s="306"/>
      <c r="L182" s="306"/>
      <c r="M182" s="306"/>
      <c r="N182" s="306"/>
      <c r="O182" s="306"/>
      <c r="P182" s="306"/>
      <c r="Q182" s="306"/>
      <c r="R182" s="306"/>
      <c r="S182" s="306"/>
      <c r="T182" s="306"/>
      <c r="U182" s="306"/>
      <c r="V182" s="306"/>
      <c r="W182" s="306"/>
      <c r="X182" s="306"/>
      <c r="Y182" s="306"/>
      <c r="Z182" s="306"/>
    </row>
    <row r="183" spans="1:26" ht="15.75" customHeight="1">
      <c r="A183" s="306"/>
      <c r="B183" s="306"/>
      <c r="C183" s="306"/>
      <c r="D183" s="306"/>
      <c r="E183" s="307"/>
      <c r="F183" s="306"/>
      <c r="G183" s="1049"/>
      <c r="H183" s="306"/>
      <c r="I183" s="306"/>
      <c r="J183" s="306"/>
      <c r="K183" s="306"/>
      <c r="L183" s="306"/>
      <c r="M183" s="306"/>
      <c r="N183" s="306"/>
      <c r="O183" s="306"/>
      <c r="P183" s="306"/>
      <c r="Q183" s="306"/>
      <c r="R183" s="306"/>
      <c r="S183" s="306"/>
      <c r="T183" s="306"/>
      <c r="U183" s="306"/>
      <c r="V183" s="306"/>
      <c r="W183" s="306"/>
      <c r="X183" s="306"/>
      <c r="Y183" s="306"/>
      <c r="Z183" s="306"/>
    </row>
    <row r="184" spans="1:26" ht="15.75" customHeight="1">
      <c r="A184" s="306"/>
      <c r="B184" s="306"/>
      <c r="C184" s="306"/>
      <c r="D184" s="306"/>
      <c r="E184" s="307"/>
      <c r="F184" s="306"/>
      <c r="G184" s="1049"/>
      <c r="H184" s="306"/>
      <c r="I184" s="306"/>
      <c r="J184" s="306"/>
      <c r="K184" s="306"/>
      <c r="L184" s="306"/>
      <c r="M184" s="306"/>
      <c r="N184" s="306"/>
      <c r="O184" s="306"/>
      <c r="P184" s="306"/>
      <c r="Q184" s="306"/>
      <c r="R184" s="306"/>
      <c r="S184" s="306"/>
      <c r="T184" s="306"/>
      <c r="U184" s="306"/>
      <c r="V184" s="306"/>
      <c r="W184" s="306"/>
      <c r="X184" s="306"/>
      <c r="Y184" s="306"/>
      <c r="Z184" s="306"/>
    </row>
    <row r="185" spans="1:26" ht="15.75" customHeight="1">
      <c r="A185" s="306"/>
      <c r="B185" s="306"/>
      <c r="C185" s="306"/>
      <c r="D185" s="306"/>
      <c r="E185" s="307"/>
      <c r="F185" s="306"/>
      <c r="G185" s="1049"/>
      <c r="H185" s="306"/>
      <c r="I185" s="306"/>
      <c r="J185" s="306"/>
      <c r="K185" s="306"/>
      <c r="L185" s="306"/>
      <c r="M185" s="306"/>
      <c r="N185" s="306"/>
      <c r="O185" s="306"/>
      <c r="P185" s="306"/>
      <c r="Q185" s="306"/>
      <c r="R185" s="306"/>
      <c r="S185" s="306"/>
      <c r="T185" s="306"/>
      <c r="U185" s="306"/>
      <c r="V185" s="306"/>
      <c r="W185" s="306"/>
      <c r="X185" s="306"/>
      <c r="Y185" s="306"/>
      <c r="Z185" s="306"/>
    </row>
    <row r="186" spans="1:26" ht="15.75" customHeight="1">
      <c r="A186" s="306"/>
      <c r="B186" s="306"/>
      <c r="C186" s="306"/>
      <c r="D186" s="306"/>
      <c r="E186" s="307"/>
      <c r="F186" s="306"/>
      <c r="G186" s="1049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</row>
    <row r="187" spans="1:26" ht="15.75" customHeight="1">
      <c r="A187" s="306"/>
      <c r="B187" s="306"/>
      <c r="C187" s="306"/>
      <c r="D187" s="306"/>
      <c r="E187" s="307"/>
      <c r="F187" s="306"/>
      <c r="G187" s="1049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</row>
    <row r="188" spans="1:26" ht="15.75" customHeight="1">
      <c r="A188" s="306"/>
      <c r="B188" s="306"/>
      <c r="C188" s="306"/>
      <c r="D188" s="306"/>
      <c r="E188" s="307"/>
      <c r="F188" s="306"/>
      <c r="G188" s="1049"/>
      <c r="H188" s="306"/>
      <c r="I188" s="306"/>
      <c r="J188" s="306"/>
      <c r="K188" s="306"/>
      <c r="L188" s="306"/>
      <c r="M188" s="306"/>
      <c r="N188" s="306"/>
      <c r="O188" s="306"/>
      <c r="P188" s="306"/>
      <c r="Q188" s="306"/>
      <c r="R188" s="306"/>
      <c r="S188" s="306"/>
      <c r="T188" s="306"/>
      <c r="U188" s="306"/>
      <c r="V188" s="306"/>
      <c r="W188" s="306"/>
      <c r="X188" s="306"/>
      <c r="Y188" s="306"/>
      <c r="Z188" s="306"/>
    </row>
    <row r="189" spans="1:26" ht="15.75" customHeight="1">
      <c r="A189" s="306"/>
      <c r="B189" s="306"/>
      <c r="C189" s="306"/>
      <c r="D189" s="306"/>
      <c r="E189" s="307"/>
      <c r="F189" s="306"/>
      <c r="G189" s="1049"/>
      <c r="H189" s="306"/>
      <c r="I189" s="306"/>
      <c r="J189" s="306"/>
      <c r="K189" s="306"/>
      <c r="L189" s="306"/>
      <c r="M189" s="306"/>
      <c r="N189" s="306"/>
      <c r="O189" s="306"/>
      <c r="P189" s="306"/>
      <c r="Q189" s="306"/>
      <c r="R189" s="306"/>
      <c r="S189" s="306"/>
      <c r="T189" s="306"/>
      <c r="U189" s="306"/>
      <c r="V189" s="306"/>
      <c r="W189" s="306"/>
      <c r="X189" s="306"/>
      <c r="Y189" s="306"/>
      <c r="Z189" s="306"/>
    </row>
    <row r="190" spans="1:26" ht="15.75" customHeight="1">
      <c r="A190" s="306"/>
      <c r="B190" s="306"/>
      <c r="C190" s="306"/>
      <c r="D190" s="306"/>
      <c r="E190" s="307"/>
      <c r="F190" s="306"/>
      <c r="G190" s="1049"/>
      <c r="H190" s="306"/>
      <c r="I190" s="306"/>
      <c r="J190" s="306"/>
      <c r="K190" s="306"/>
      <c r="L190" s="306"/>
      <c r="M190" s="306"/>
      <c r="N190" s="306"/>
      <c r="O190" s="306"/>
      <c r="P190" s="306"/>
      <c r="Q190" s="306"/>
      <c r="R190" s="306"/>
      <c r="S190" s="306"/>
      <c r="T190" s="306"/>
      <c r="U190" s="306"/>
      <c r="V190" s="306"/>
      <c r="W190" s="306"/>
      <c r="X190" s="306"/>
      <c r="Y190" s="306"/>
      <c r="Z190" s="306"/>
    </row>
    <row r="191" spans="1:26" ht="15.75" customHeight="1">
      <c r="A191" s="306"/>
      <c r="B191" s="306"/>
      <c r="C191" s="306"/>
      <c r="D191" s="306"/>
      <c r="E191" s="307"/>
      <c r="F191" s="306"/>
      <c r="G191" s="1049"/>
      <c r="H191" s="306"/>
      <c r="I191" s="306"/>
      <c r="J191" s="306"/>
      <c r="K191" s="306"/>
      <c r="L191" s="306"/>
      <c r="M191" s="306"/>
      <c r="N191" s="306"/>
      <c r="O191" s="306"/>
      <c r="P191" s="306"/>
      <c r="Q191" s="306"/>
      <c r="R191" s="306"/>
      <c r="S191" s="306"/>
      <c r="T191" s="306"/>
      <c r="U191" s="306"/>
      <c r="V191" s="306"/>
      <c r="W191" s="306"/>
      <c r="X191" s="306"/>
      <c r="Y191" s="306"/>
      <c r="Z191" s="306"/>
    </row>
    <row r="192" spans="1:26" ht="15.75" customHeight="1">
      <c r="A192" s="306"/>
      <c r="B192" s="306"/>
      <c r="C192" s="306"/>
      <c r="D192" s="306"/>
      <c r="E192" s="307"/>
      <c r="F192" s="306"/>
      <c r="G192" s="1049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</row>
    <row r="193" spans="1:26" ht="15.75" customHeight="1">
      <c r="A193" s="306"/>
      <c r="B193" s="306"/>
      <c r="C193" s="306"/>
      <c r="D193" s="306"/>
      <c r="E193" s="307"/>
      <c r="F193" s="306"/>
      <c r="G193" s="1049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</row>
    <row r="194" spans="1:26" ht="15.75" customHeight="1">
      <c r="A194" s="306"/>
      <c r="B194" s="306"/>
      <c r="C194" s="306"/>
      <c r="D194" s="306"/>
      <c r="E194" s="307"/>
      <c r="F194" s="306"/>
      <c r="G194" s="1049"/>
      <c r="H194" s="306"/>
      <c r="I194" s="306"/>
      <c r="J194" s="306"/>
      <c r="K194" s="306"/>
      <c r="L194" s="306"/>
      <c r="M194" s="306"/>
      <c r="N194" s="306"/>
      <c r="O194" s="306"/>
      <c r="P194" s="306"/>
      <c r="Q194" s="306"/>
      <c r="R194" s="306"/>
      <c r="S194" s="306"/>
      <c r="T194" s="306"/>
      <c r="U194" s="306"/>
      <c r="V194" s="306"/>
      <c r="W194" s="306"/>
      <c r="X194" s="306"/>
      <c r="Y194" s="306"/>
      <c r="Z194" s="306"/>
    </row>
    <row r="195" spans="1:26" ht="15.75" customHeight="1">
      <c r="A195" s="306"/>
      <c r="B195" s="306"/>
      <c r="C195" s="306"/>
      <c r="D195" s="306"/>
      <c r="E195" s="307"/>
      <c r="F195" s="306"/>
      <c r="G195" s="1049"/>
      <c r="H195" s="306"/>
      <c r="I195" s="306"/>
      <c r="J195" s="306"/>
      <c r="K195" s="306"/>
      <c r="L195" s="306"/>
      <c r="M195" s="306"/>
      <c r="N195" s="306"/>
      <c r="O195" s="306"/>
      <c r="P195" s="306"/>
      <c r="Q195" s="306"/>
      <c r="R195" s="306"/>
      <c r="S195" s="306"/>
      <c r="T195" s="306"/>
      <c r="U195" s="306"/>
      <c r="V195" s="306"/>
      <c r="W195" s="306"/>
      <c r="X195" s="306"/>
      <c r="Y195" s="306"/>
      <c r="Z195" s="306"/>
    </row>
    <row r="196" spans="1:26" ht="15.75" customHeight="1">
      <c r="A196" s="306"/>
      <c r="B196" s="306"/>
      <c r="C196" s="306"/>
      <c r="D196" s="306"/>
      <c r="E196" s="307"/>
      <c r="F196" s="306"/>
      <c r="G196" s="1049"/>
      <c r="H196" s="306"/>
      <c r="I196" s="306"/>
      <c r="J196" s="306"/>
      <c r="K196" s="306"/>
      <c r="L196" s="306"/>
      <c r="M196" s="306"/>
      <c r="N196" s="306"/>
      <c r="O196" s="306"/>
      <c r="P196" s="306"/>
      <c r="Q196" s="306"/>
      <c r="R196" s="306"/>
      <c r="S196" s="306"/>
      <c r="T196" s="306"/>
      <c r="U196" s="306"/>
      <c r="V196" s="306"/>
      <c r="W196" s="306"/>
      <c r="X196" s="306"/>
      <c r="Y196" s="306"/>
      <c r="Z196" s="306"/>
    </row>
    <row r="197" spans="1:26" ht="15.75" customHeight="1">
      <c r="A197" s="306"/>
      <c r="B197" s="306"/>
      <c r="C197" s="306"/>
      <c r="D197" s="306"/>
      <c r="E197" s="307"/>
      <c r="F197" s="306"/>
      <c r="G197" s="1049"/>
      <c r="H197" s="306"/>
      <c r="I197" s="306"/>
      <c r="J197" s="306"/>
      <c r="K197" s="306"/>
      <c r="L197" s="306"/>
      <c r="M197" s="306"/>
      <c r="N197" s="306"/>
      <c r="O197" s="306"/>
      <c r="P197" s="306"/>
      <c r="Q197" s="306"/>
      <c r="R197" s="306"/>
      <c r="S197" s="306"/>
      <c r="T197" s="306"/>
      <c r="U197" s="306"/>
      <c r="V197" s="306"/>
      <c r="W197" s="306"/>
      <c r="X197" s="306"/>
      <c r="Y197" s="306"/>
      <c r="Z197" s="306"/>
    </row>
    <row r="198" spans="1:26" ht="15.75" customHeight="1">
      <c r="A198" s="306"/>
      <c r="B198" s="306"/>
      <c r="C198" s="306"/>
      <c r="D198" s="306"/>
      <c r="E198" s="307"/>
      <c r="F198" s="306"/>
      <c r="G198" s="1049"/>
      <c r="H198" s="306"/>
      <c r="I198" s="306"/>
      <c r="J198" s="306"/>
      <c r="K198" s="306"/>
      <c r="L198" s="306"/>
      <c r="M198" s="306"/>
      <c r="N198" s="306"/>
      <c r="O198" s="306"/>
      <c r="P198" s="306"/>
      <c r="Q198" s="306"/>
      <c r="R198" s="306"/>
      <c r="S198" s="306"/>
      <c r="T198" s="306"/>
      <c r="U198" s="306"/>
      <c r="V198" s="306"/>
      <c r="W198" s="306"/>
      <c r="X198" s="306"/>
      <c r="Y198" s="306"/>
      <c r="Z198" s="306"/>
    </row>
    <row r="199" spans="1:26" ht="15.75" customHeight="1">
      <c r="A199" s="306"/>
      <c r="B199" s="306"/>
      <c r="C199" s="306"/>
      <c r="D199" s="306"/>
      <c r="E199" s="307"/>
      <c r="F199" s="306"/>
      <c r="G199" s="1049"/>
      <c r="H199" s="306"/>
      <c r="I199" s="306"/>
      <c r="J199" s="306"/>
      <c r="K199" s="306"/>
      <c r="L199" s="306"/>
      <c r="M199" s="306"/>
      <c r="N199" s="306"/>
      <c r="O199" s="306"/>
      <c r="P199" s="306"/>
      <c r="Q199" s="306"/>
      <c r="R199" s="306"/>
      <c r="S199" s="306"/>
      <c r="T199" s="306"/>
      <c r="U199" s="306"/>
      <c r="V199" s="306"/>
      <c r="W199" s="306"/>
      <c r="X199" s="306"/>
      <c r="Y199" s="306"/>
      <c r="Z199" s="306"/>
    </row>
    <row r="200" spans="1:26" ht="15.75" customHeight="1">
      <c r="A200" s="306"/>
      <c r="B200" s="306"/>
      <c r="C200" s="306"/>
      <c r="D200" s="306"/>
      <c r="E200" s="307"/>
      <c r="F200" s="306"/>
      <c r="G200" s="1049"/>
      <c r="H200" s="306"/>
      <c r="I200" s="306"/>
      <c r="J200" s="306"/>
      <c r="K200" s="306"/>
      <c r="L200" s="306"/>
      <c r="M200" s="306"/>
      <c r="N200" s="306"/>
      <c r="O200" s="306"/>
      <c r="P200" s="306"/>
      <c r="Q200" s="306"/>
      <c r="R200" s="306"/>
      <c r="S200" s="306"/>
      <c r="T200" s="306"/>
      <c r="U200" s="306"/>
      <c r="V200" s="306"/>
      <c r="W200" s="306"/>
      <c r="X200" s="306"/>
      <c r="Y200" s="306"/>
      <c r="Z200" s="306"/>
    </row>
    <row r="201" spans="1:26" ht="15.75" customHeight="1">
      <c r="A201" s="306"/>
      <c r="B201" s="306"/>
      <c r="C201" s="306"/>
      <c r="D201" s="306"/>
      <c r="E201" s="307"/>
      <c r="F201" s="306"/>
      <c r="G201" s="1049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</row>
    <row r="202" spans="1:26" ht="15.75" customHeight="1">
      <c r="A202" s="306"/>
      <c r="B202" s="306"/>
      <c r="C202" s="306"/>
      <c r="D202" s="306"/>
      <c r="E202" s="307"/>
      <c r="F202" s="306"/>
      <c r="G202" s="1049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</row>
    <row r="203" spans="1:26" ht="15.75" customHeight="1">
      <c r="A203" s="306"/>
      <c r="B203" s="306"/>
      <c r="C203" s="306"/>
      <c r="D203" s="306"/>
      <c r="E203" s="307"/>
      <c r="F203" s="306"/>
      <c r="G203" s="1049"/>
      <c r="H203" s="306"/>
      <c r="I203" s="306"/>
      <c r="J203" s="306"/>
      <c r="K203" s="306"/>
      <c r="L203" s="306"/>
      <c r="M203" s="306"/>
      <c r="N203" s="306"/>
      <c r="O203" s="306"/>
      <c r="P203" s="306"/>
      <c r="Q203" s="306"/>
      <c r="R203" s="306"/>
      <c r="S203" s="306"/>
      <c r="T203" s="306"/>
      <c r="U203" s="306"/>
      <c r="V203" s="306"/>
      <c r="W203" s="306"/>
      <c r="X203" s="306"/>
      <c r="Y203" s="306"/>
      <c r="Z203" s="306"/>
    </row>
    <row r="204" spans="1:26" ht="15.75" customHeight="1">
      <c r="A204" s="306"/>
      <c r="B204" s="306"/>
      <c r="C204" s="306"/>
      <c r="D204" s="306"/>
      <c r="E204" s="307"/>
      <c r="F204" s="306"/>
      <c r="G204" s="1049"/>
      <c r="H204" s="306"/>
      <c r="I204" s="306"/>
      <c r="J204" s="306"/>
      <c r="K204" s="306"/>
      <c r="L204" s="306"/>
      <c r="M204" s="306"/>
      <c r="N204" s="306"/>
      <c r="O204" s="306"/>
      <c r="P204" s="306"/>
      <c r="Q204" s="306"/>
      <c r="R204" s="306"/>
      <c r="S204" s="306"/>
      <c r="T204" s="306"/>
      <c r="U204" s="306"/>
      <c r="V204" s="306"/>
      <c r="W204" s="306"/>
      <c r="X204" s="306"/>
      <c r="Y204" s="306"/>
      <c r="Z204" s="306"/>
    </row>
    <row r="205" spans="1:26" ht="15.75" customHeight="1">
      <c r="A205" s="306"/>
      <c r="B205" s="306"/>
      <c r="C205" s="306"/>
      <c r="D205" s="306"/>
      <c r="E205" s="307"/>
      <c r="F205" s="306"/>
      <c r="G205" s="1049"/>
      <c r="H205" s="306"/>
      <c r="I205" s="306"/>
      <c r="J205" s="306"/>
      <c r="K205" s="306"/>
      <c r="L205" s="306"/>
      <c r="M205" s="306"/>
      <c r="N205" s="306"/>
      <c r="O205" s="306"/>
      <c r="P205" s="306"/>
      <c r="Q205" s="306"/>
      <c r="R205" s="306"/>
      <c r="S205" s="306"/>
      <c r="T205" s="306"/>
      <c r="U205" s="306"/>
      <c r="V205" s="306"/>
      <c r="W205" s="306"/>
      <c r="X205" s="306"/>
      <c r="Y205" s="306"/>
      <c r="Z205" s="306"/>
    </row>
    <row r="206" spans="1:26" ht="15.75" customHeight="1">
      <c r="A206" s="306"/>
      <c r="B206" s="306"/>
      <c r="C206" s="306"/>
      <c r="D206" s="306"/>
      <c r="E206" s="307"/>
      <c r="F206" s="306"/>
      <c r="G206" s="1049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</row>
    <row r="207" spans="1:26" ht="15.75" customHeight="1">
      <c r="A207" s="306"/>
      <c r="B207" s="306"/>
      <c r="C207" s="306"/>
      <c r="D207" s="306"/>
      <c r="E207" s="307"/>
      <c r="F207" s="306"/>
      <c r="G207" s="1049"/>
      <c r="H207" s="306"/>
      <c r="I207" s="306"/>
      <c r="J207" s="306"/>
      <c r="K207" s="306"/>
      <c r="L207" s="306"/>
      <c r="M207" s="306"/>
      <c r="N207" s="306"/>
      <c r="O207" s="306"/>
      <c r="P207" s="306"/>
      <c r="Q207" s="306"/>
      <c r="R207" s="306"/>
      <c r="S207" s="306"/>
      <c r="T207" s="306"/>
      <c r="U207" s="306"/>
      <c r="V207" s="306"/>
      <c r="W207" s="306"/>
      <c r="X207" s="306"/>
      <c r="Y207" s="306"/>
      <c r="Z207" s="306"/>
    </row>
    <row r="208" spans="1:26" ht="15.75" customHeight="1">
      <c r="A208" s="306"/>
      <c r="B208" s="306"/>
      <c r="C208" s="306"/>
      <c r="D208" s="306"/>
      <c r="E208" s="307"/>
      <c r="F208" s="306"/>
      <c r="G208" s="1049"/>
      <c r="H208" s="306"/>
      <c r="I208" s="306"/>
      <c r="J208" s="306"/>
      <c r="K208" s="306"/>
      <c r="L208" s="306"/>
      <c r="M208" s="306"/>
      <c r="N208" s="306"/>
      <c r="O208" s="306"/>
      <c r="P208" s="306"/>
      <c r="Q208" s="306"/>
      <c r="R208" s="306"/>
      <c r="S208" s="306"/>
      <c r="T208" s="306"/>
      <c r="U208" s="306"/>
      <c r="V208" s="306"/>
      <c r="W208" s="306"/>
      <c r="X208" s="306"/>
      <c r="Y208" s="306"/>
      <c r="Z208" s="306"/>
    </row>
    <row r="209" spans="1:26" ht="15.75" customHeight="1">
      <c r="A209" s="306"/>
      <c r="B209" s="306"/>
      <c r="C209" s="306"/>
      <c r="D209" s="306"/>
      <c r="E209" s="307"/>
      <c r="F209" s="306"/>
      <c r="G209" s="1049"/>
      <c r="H209" s="306"/>
      <c r="I209" s="306"/>
      <c r="J209" s="306"/>
      <c r="K209" s="306"/>
      <c r="L209" s="306"/>
      <c r="M209" s="306"/>
      <c r="N209" s="306"/>
      <c r="O209" s="306"/>
      <c r="P209" s="306"/>
      <c r="Q209" s="306"/>
      <c r="R209" s="306"/>
      <c r="S209" s="306"/>
      <c r="T209" s="306"/>
      <c r="U209" s="306"/>
      <c r="V209" s="306"/>
      <c r="W209" s="306"/>
      <c r="X209" s="306"/>
      <c r="Y209" s="306"/>
      <c r="Z209" s="306"/>
    </row>
    <row r="210" spans="1:26" ht="15.75" customHeight="1">
      <c r="A210" s="306"/>
      <c r="B210" s="306"/>
      <c r="C210" s="306"/>
      <c r="D210" s="306"/>
      <c r="E210" s="307"/>
      <c r="F210" s="306"/>
      <c r="G210" s="1049"/>
      <c r="H210" s="306"/>
      <c r="I210" s="306"/>
      <c r="J210" s="306"/>
      <c r="K210" s="306"/>
      <c r="L210" s="306"/>
      <c r="M210" s="306"/>
      <c r="N210" s="306"/>
      <c r="O210" s="306"/>
      <c r="P210" s="306"/>
      <c r="Q210" s="306"/>
      <c r="R210" s="306"/>
      <c r="S210" s="306"/>
      <c r="T210" s="306"/>
      <c r="U210" s="306"/>
      <c r="V210" s="306"/>
      <c r="W210" s="306"/>
      <c r="X210" s="306"/>
      <c r="Y210" s="306"/>
      <c r="Z210" s="306"/>
    </row>
    <row r="211" spans="1:26" ht="15.75" customHeight="1">
      <c r="A211" s="306"/>
      <c r="B211" s="306"/>
      <c r="C211" s="306"/>
      <c r="D211" s="306"/>
      <c r="E211" s="307"/>
      <c r="F211" s="306"/>
      <c r="G211" s="1049"/>
      <c r="H211" s="306"/>
      <c r="I211" s="306"/>
      <c r="J211" s="306"/>
      <c r="K211" s="306"/>
      <c r="L211" s="306"/>
      <c r="M211" s="306"/>
      <c r="N211" s="306"/>
      <c r="O211" s="306"/>
      <c r="P211" s="306"/>
      <c r="Q211" s="306"/>
      <c r="R211" s="306"/>
      <c r="S211" s="306"/>
      <c r="T211" s="306"/>
      <c r="U211" s="306"/>
      <c r="V211" s="306"/>
      <c r="W211" s="306"/>
      <c r="X211" s="306"/>
      <c r="Y211" s="306"/>
      <c r="Z211" s="306"/>
    </row>
    <row r="212" spans="1:26" ht="15.75" customHeight="1">
      <c r="A212" s="306"/>
      <c r="B212" s="306"/>
      <c r="C212" s="306"/>
      <c r="D212" s="306"/>
      <c r="E212" s="307"/>
      <c r="F212" s="306"/>
      <c r="G212" s="1049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</row>
    <row r="213" spans="1:26" ht="15.75" customHeight="1">
      <c r="A213" s="306"/>
      <c r="B213" s="306"/>
      <c r="C213" s="306"/>
      <c r="D213" s="306"/>
      <c r="E213" s="307"/>
      <c r="F213" s="306"/>
      <c r="G213" s="1049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</row>
    <row r="214" spans="1:26" ht="15.75" customHeight="1">
      <c r="A214" s="306"/>
      <c r="B214" s="306"/>
      <c r="C214" s="306"/>
      <c r="D214" s="306"/>
      <c r="E214" s="307"/>
      <c r="F214" s="306"/>
      <c r="G214" s="1049"/>
      <c r="H214" s="306"/>
      <c r="I214" s="306"/>
      <c r="J214" s="306"/>
      <c r="K214" s="306"/>
      <c r="L214" s="306"/>
      <c r="M214" s="306"/>
      <c r="N214" s="306"/>
      <c r="O214" s="306"/>
      <c r="P214" s="306"/>
      <c r="Q214" s="306"/>
      <c r="R214" s="306"/>
      <c r="S214" s="306"/>
      <c r="T214" s="306"/>
      <c r="U214" s="306"/>
      <c r="V214" s="306"/>
      <c r="W214" s="306"/>
      <c r="X214" s="306"/>
      <c r="Y214" s="306"/>
      <c r="Z214" s="306"/>
    </row>
    <row r="215" spans="1:26" ht="15.75" customHeight="1">
      <c r="A215" s="306"/>
      <c r="B215" s="306"/>
      <c r="C215" s="306"/>
      <c r="D215" s="306"/>
      <c r="E215" s="307"/>
      <c r="F215" s="306"/>
      <c r="G215" s="1049"/>
      <c r="H215" s="306"/>
      <c r="I215" s="306"/>
      <c r="J215" s="306"/>
      <c r="K215" s="306"/>
      <c r="L215" s="306"/>
      <c r="M215" s="306"/>
      <c r="N215" s="306"/>
      <c r="O215" s="306"/>
      <c r="P215" s="306"/>
      <c r="Q215" s="306"/>
      <c r="R215" s="306"/>
      <c r="S215" s="306"/>
      <c r="T215" s="306"/>
      <c r="U215" s="306"/>
      <c r="V215" s="306"/>
      <c r="W215" s="306"/>
      <c r="X215" s="306"/>
      <c r="Y215" s="306"/>
      <c r="Z215" s="306"/>
    </row>
    <row r="216" spans="1:26" ht="15.75" customHeight="1">
      <c r="A216" s="306"/>
      <c r="B216" s="306"/>
      <c r="C216" s="306"/>
      <c r="D216" s="306"/>
      <c r="E216" s="307"/>
      <c r="F216" s="306"/>
      <c r="G216" s="1049"/>
      <c r="H216" s="306"/>
      <c r="I216" s="306"/>
      <c r="J216" s="306"/>
      <c r="K216" s="306"/>
      <c r="L216" s="306"/>
      <c r="M216" s="306"/>
      <c r="N216" s="306"/>
      <c r="O216" s="306"/>
      <c r="P216" s="306"/>
      <c r="Q216" s="306"/>
      <c r="R216" s="306"/>
      <c r="S216" s="306"/>
      <c r="T216" s="306"/>
      <c r="U216" s="306"/>
      <c r="V216" s="306"/>
      <c r="W216" s="306"/>
      <c r="X216" s="306"/>
      <c r="Y216" s="306"/>
      <c r="Z216" s="306"/>
    </row>
    <row r="217" spans="1:26" ht="15.75" customHeight="1">
      <c r="A217" s="306"/>
      <c r="B217" s="306"/>
      <c r="C217" s="306"/>
      <c r="D217" s="306"/>
      <c r="E217" s="307"/>
      <c r="F217" s="306"/>
      <c r="G217" s="1049"/>
      <c r="H217" s="306"/>
      <c r="I217" s="306"/>
      <c r="J217" s="306"/>
      <c r="K217" s="306"/>
      <c r="L217" s="306"/>
      <c r="M217" s="306"/>
      <c r="N217" s="306"/>
      <c r="O217" s="306"/>
      <c r="P217" s="306"/>
      <c r="Q217" s="306"/>
      <c r="R217" s="306"/>
      <c r="S217" s="306"/>
      <c r="T217" s="306"/>
      <c r="U217" s="306"/>
      <c r="V217" s="306"/>
      <c r="W217" s="306"/>
      <c r="X217" s="306"/>
      <c r="Y217" s="306"/>
      <c r="Z217" s="306"/>
    </row>
    <row r="218" spans="1:26" ht="15.75" customHeight="1">
      <c r="A218" s="306"/>
      <c r="B218" s="306"/>
      <c r="C218" s="306"/>
      <c r="D218" s="306"/>
      <c r="E218" s="307"/>
      <c r="F218" s="306"/>
      <c r="G218" s="1049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</row>
    <row r="219" spans="1:26" ht="15.75" customHeight="1">
      <c r="A219" s="306"/>
      <c r="B219" s="306"/>
      <c r="C219" s="306"/>
      <c r="D219" s="306"/>
      <c r="E219" s="307"/>
      <c r="F219" s="306"/>
      <c r="G219" s="1049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</row>
    <row r="220" spans="1:26" ht="15.75" customHeight="1">
      <c r="A220" s="306"/>
      <c r="B220" s="306"/>
      <c r="C220" s="306"/>
      <c r="D220" s="306"/>
      <c r="E220" s="307"/>
      <c r="F220" s="306"/>
      <c r="G220" s="1049"/>
      <c r="H220" s="306"/>
      <c r="I220" s="306"/>
      <c r="J220" s="306"/>
      <c r="K220" s="306"/>
      <c r="L220" s="306"/>
      <c r="M220" s="306"/>
      <c r="N220" s="306"/>
      <c r="O220" s="306"/>
      <c r="P220" s="306"/>
      <c r="Q220" s="306"/>
      <c r="R220" s="306"/>
      <c r="S220" s="306"/>
      <c r="T220" s="306"/>
      <c r="U220" s="306"/>
      <c r="V220" s="306"/>
      <c r="W220" s="306"/>
      <c r="X220" s="306"/>
      <c r="Y220" s="306"/>
      <c r="Z220" s="306"/>
    </row>
    <row r="221" spans="1:26" ht="15.75" customHeight="1">
      <c r="A221" s="306"/>
      <c r="B221" s="306"/>
      <c r="C221" s="306"/>
      <c r="D221" s="306"/>
      <c r="E221" s="307"/>
      <c r="F221" s="306"/>
      <c r="G221" s="1049"/>
      <c r="H221" s="306"/>
      <c r="I221" s="306"/>
      <c r="J221" s="306"/>
      <c r="K221" s="306"/>
      <c r="L221" s="306"/>
      <c r="M221" s="306"/>
      <c r="N221" s="306"/>
      <c r="O221" s="306"/>
      <c r="P221" s="306"/>
      <c r="Q221" s="306"/>
      <c r="R221" s="306"/>
      <c r="S221" s="306"/>
      <c r="T221" s="306"/>
      <c r="U221" s="306"/>
      <c r="V221" s="306"/>
      <c r="W221" s="306"/>
      <c r="X221" s="306"/>
      <c r="Y221" s="306"/>
      <c r="Z221" s="306"/>
    </row>
    <row r="222" spans="1:26" ht="15.75" customHeight="1">
      <c r="A222" s="306"/>
      <c r="B222" s="306"/>
      <c r="C222" s="306"/>
      <c r="D222" s="306"/>
      <c r="E222" s="307"/>
      <c r="F222" s="306"/>
      <c r="G222" s="1049"/>
      <c r="H222" s="306"/>
      <c r="I222" s="306"/>
      <c r="J222" s="306"/>
      <c r="K222" s="306"/>
      <c r="L222" s="306"/>
      <c r="M222" s="306"/>
      <c r="N222" s="306"/>
      <c r="O222" s="306"/>
      <c r="P222" s="306"/>
      <c r="Q222" s="306"/>
      <c r="R222" s="306"/>
      <c r="S222" s="306"/>
      <c r="T222" s="306"/>
      <c r="U222" s="306"/>
      <c r="V222" s="306"/>
      <c r="W222" s="306"/>
      <c r="X222" s="306"/>
      <c r="Y222" s="306"/>
      <c r="Z222" s="306"/>
    </row>
    <row r="223" spans="1:26" ht="15.75" customHeight="1">
      <c r="A223" s="306"/>
      <c r="B223" s="306"/>
      <c r="C223" s="306"/>
      <c r="D223" s="306"/>
      <c r="E223" s="307"/>
      <c r="F223" s="306"/>
      <c r="G223" s="1049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</row>
    <row r="224" spans="1:26" ht="15.75" customHeight="1">
      <c r="A224" s="306"/>
      <c r="B224" s="306"/>
      <c r="C224" s="306"/>
      <c r="D224" s="306"/>
      <c r="E224" s="307"/>
      <c r="F224" s="306"/>
      <c r="G224" s="1049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</row>
    <row r="225" spans="1:26" ht="15.75" customHeight="1">
      <c r="A225" s="306"/>
      <c r="B225" s="306"/>
      <c r="C225" s="306"/>
      <c r="D225" s="306"/>
      <c r="E225" s="307"/>
      <c r="F225" s="306"/>
      <c r="G225" s="1049"/>
      <c r="H225" s="306"/>
      <c r="I225" s="306"/>
      <c r="J225" s="306"/>
      <c r="K225" s="306"/>
      <c r="L225" s="306"/>
      <c r="M225" s="306"/>
      <c r="N225" s="306"/>
      <c r="O225" s="306"/>
      <c r="P225" s="306"/>
      <c r="Q225" s="306"/>
      <c r="R225" s="306"/>
      <c r="S225" s="306"/>
      <c r="T225" s="306"/>
      <c r="U225" s="306"/>
      <c r="V225" s="306"/>
      <c r="W225" s="306"/>
      <c r="X225" s="306"/>
      <c r="Y225" s="306"/>
      <c r="Z225" s="306"/>
    </row>
    <row r="226" spans="1:26" ht="15.75" customHeight="1">
      <c r="A226" s="306"/>
      <c r="B226" s="306"/>
      <c r="C226" s="306"/>
      <c r="D226" s="306"/>
      <c r="E226" s="307"/>
      <c r="F226" s="306"/>
      <c r="G226" s="1049"/>
      <c r="H226" s="306"/>
      <c r="I226" s="306"/>
      <c r="J226" s="306"/>
      <c r="K226" s="306"/>
      <c r="L226" s="306"/>
      <c r="M226" s="306"/>
      <c r="N226" s="306"/>
      <c r="O226" s="306"/>
      <c r="P226" s="306"/>
      <c r="Q226" s="306"/>
      <c r="R226" s="306"/>
      <c r="S226" s="306"/>
      <c r="T226" s="306"/>
      <c r="U226" s="306"/>
      <c r="V226" s="306"/>
      <c r="W226" s="306"/>
      <c r="X226" s="306"/>
      <c r="Y226" s="306"/>
      <c r="Z226" s="306"/>
    </row>
    <row r="227" spans="1:26" ht="15.75" customHeight="1">
      <c r="A227" s="306"/>
      <c r="B227" s="306"/>
      <c r="C227" s="306"/>
      <c r="D227" s="306"/>
      <c r="E227" s="307"/>
      <c r="F227" s="306"/>
      <c r="G227" s="1049"/>
      <c r="H227" s="306"/>
      <c r="I227" s="306"/>
      <c r="J227" s="306"/>
      <c r="K227" s="306"/>
      <c r="L227" s="306"/>
      <c r="M227" s="306"/>
      <c r="N227" s="306"/>
      <c r="O227" s="306"/>
      <c r="P227" s="306"/>
      <c r="Q227" s="306"/>
      <c r="R227" s="306"/>
      <c r="S227" s="306"/>
      <c r="T227" s="306"/>
      <c r="U227" s="306"/>
      <c r="V227" s="306"/>
      <c r="W227" s="306"/>
      <c r="X227" s="306"/>
      <c r="Y227" s="306"/>
      <c r="Z227" s="306"/>
    </row>
    <row r="228" spans="1:26" ht="15.75" customHeight="1">
      <c r="A228" s="306"/>
      <c r="B228" s="306"/>
      <c r="C228" s="306"/>
      <c r="D228" s="306"/>
      <c r="E228" s="307"/>
      <c r="F228" s="306"/>
      <c r="G228" s="1049"/>
      <c r="H228" s="306"/>
      <c r="I228" s="306"/>
      <c r="J228" s="306"/>
      <c r="K228" s="306"/>
      <c r="L228" s="306"/>
      <c r="M228" s="306"/>
      <c r="N228" s="306"/>
      <c r="O228" s="306"/>
      <c r="P228" s="306"/>
      <c r="Q228" s="306"/>
      <c r="R228" s="306"/>
      <c r="S228" s="306"/>
      <c r="T228" s="306"/>
      <c r="U228" s="306"/>
      <c r="V228" s="306"/>
      <c r="W228" s="306"/>
      <c r="X228" s="306"/>
      <c r="Y228" s="306"/>
      <c r="Z228" s="306"/>
    </row>
    <row r="229" spans="1:26" ht="15.75" customHeight="1">
      <c r="A229" s="306"/>
      <c r="B229" s="306"/>
      <c r="C229" s="306"/>
      <c r="D229" s="306"/>
      <c r="E229" s="307"/>
      <c r="F229" s="306"/>
      <c r="G229" s="1049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</row>
    <row r="230" spans="1:26" ht="15.75" customHeight="1">
      <c r="A230" s="306"/>
      <c r="B230" s="306"/>
      <c r="C230" s="306"/>
      <c r="D230" s="306"/>
      <c r="E230" s="307"/>
      <c r="F230" s="306"/>
      <c r="G230" s="1049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</row>
    <row r="231" spans="1:26" ht="15.75" customHeight="1">
      <c r="A231" s="306"/>
      <c r="B231" s="306"/>
      <c r="C231" s="306"/>
      <c r="D231" s="306"/>
      <c r="E231" s="307"/>
      <c r="F231" s="306"/>
      <c r="G231" s="1049"/>
      <c r="H231" s="306"/>
      <c r="I231" s="306"/>
      <c r="J231" s="306"/>
      <c r="K231" s="306"/>
      <c r="L231" s="306"/>
      <c r="M231" s="306"/>
      <c r="N231" s="306"/>
      <c r="O231" s="306"/>
      <c r="P231" s="306"/>
      <c r="Q231" s="306"/>
      <c r="R231" s="306"/>
      <c r="S231" s="306"/>
      <c r="T231" s="306"/>
      <c r="U231" s="306"/>
      <c r="V231" s="306"/>
      <c r="W231" s="306"/>
      <c r="X231" s="306"/>
      <c r="Y231" s="306"/>
      <c r="Z231" s="306"/>
    </row>
    <row r="232" spans="1:26" ht="15.75" customHeight="1">
      <c r="A232" s="306"/>
      <c r="B232" s="306"/>
      <c r="C232" s="306"/>
      <c r="D232" s="306"/>
      <c r="E232" s="307"/>
      <c r="F232" s="306"/>
      <c r="G232" s="1049"/>
      <c r="H232" s="306"/>
      <c r="I232" s="306"/>
      <c r="J232" s="306"/>
      <c r="K232" s="306"/>
      <c r="L232" s="306"/>
      <c r="M232" s="306"/>
      <c r="N232" s="306"/>
      <c r="O232" s="306"/>
      <c r="P232" s="306"/>
      <c r="Q232" s="306"/>
      <c r="R232" s="306"/>
      <c r="S232" s="306"/>
      <c r="T232" s="306"/>
      <c r="U232" s="306"/>
      <c r="V232" s="306"/>
      <c r="W232" s="306"/>
      <c r="X232" s="306"/>
      <c r="Y232" s="306"/>
      <c r="Z232" s="306"/>
    </row>
    <row r="233" spans="1:26" ht="15.75" customHeight="1">
      <c r="A233" s="306"/>
      <c r="B233" s="306"/>
      <c r="C233" s="306"/>
      <c r="D233" s="306"/>
      <c r="E233" s="307"/>
      <c r="F233" s="306"/>
      <c r="G233" s="1049"/>
      <c r="H233" s="306"/>
      <c r="I233" s="306"/>
      <c r="J233" s="306"/>
      <c r="K233" s="306"/>
      <c r="L233" s="306"/>
      <c r="M233" s="306"/>
      <c r="N233" s="306"/>
      <c r="O233" s="306"/>
      <c r="P233" s="306"/>
      <c r="Q233" s="306"/>
      <c r="R233" s="306"/>
      <c r="S233" s="306"/>
      <c r="T233" s="306"/>
      <c r="U233" s="306"/>
      <c r="V233" s="306"/>
      <c r="W233" s="306"/>
      <c r="X233" s="306"/>
      <c r="Y233" s="306"/>
      <c r="Z233" s="306"/>
    </row>
    <row r="234" spans="1:26" ht="15.75" customHeight="1">
      <c r="A234" s="306"/>
      <c r="B234" s="306"/>
      <c r="C234" s="306"/>
      <c r="D234" s="306"/>
      <c r="E234" s="307"/>
      <c r="F234" s="306"/>
      <c r="G234" s="1049"/>
      <c r="H234" s="306"/>
      <c r="I234" s="306"/>
      <c r="J234" s="306"/>
      <c r="K234" s="306"/>
      <c r="L234" s="306"/>
      <c r="M234" s="306"/>
      <c r="N234" s="306"/>
      <c r="O234" s="306"/>
      <c r="P234" s="306"/>
      <c r="Q234" s="306"/>
      <c r="R234" s="306"/>
      <c r="S234" s="306"/>
      <c r="T234" s="306"/>
      <c r="U234" s="306"/>
      <c r="V234" s="306"/>
      <c r="W234" s="306"/>
      <c r="X234" s="306"/>
      <c r="Y234" s="306"/>
      <c r="Z234" s="306"/>
    </row>
    <row r="235" spans="1:26" ht="15.75" customHeight="1">
      <c r="A235" s="306"/>
      <c r="B235" s="306"/>
      <c r="C235" s="306"/>
      <c r="D235" s="306"/>
      <c r="E235" s="307"/>
      <c r="F235" s="306"/>
      <c r="G235" s="1049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</row>
    <row r="236" spans="1:26" ht="15.75" customHeight="1">
      <c r="A236" s="306"/>
      <c r="B236" s="306"/>
      <c r="C236" s="306"/>
      <c r="D236" s="306"/>
      <c r="E236" s="307"/>
      <c r="F236" s="306"/>
      <c r="G236" s="1049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</row>
    <row r="237" spans="1:26" ht="15.75" customHeight="1">
      <c r="A237" s="306"/>
      <c r="B237" s="306"/>
      <c r="C237" s="306"/>
      <c r="D237" s="306"/>
      <c r="E237" s="307"/>
      <c r="F237" s="306"/>
      <c r="G237" s="1049"/>
      <c r="H237" s="306"/>
      <c r="I237" s="306"/>
      <c r="J237" s="306"/>
      <c r="K237" s="306"/>
      <c r="L237" s="306"/>
      <c r="M237" s="306"/>
      <c r="N237" s="306"/>
      <c r="O237" s="306"/>
      <c r="P237" s="306"/>
      <c r="Q237" s="306"/>
      <c r="R237" s="306"/>
      <c r="S237" s="306"/>
      <c r="T237" s="306"/>
      <c r="U237" s="306"/>
      <c r="V237" s="306"/>
      <c r="W237" s="306"/>
      <c r="X237" s="306"/>
      <c r="Y237" s="306"/>
      <c r="Z237" s="306"/>
    </row>
    <row r="238" spans="1:26" ht="15.75" customHeight="1">
      <c r="A238" s="306"/>
      <c r="B238" s="306"/>
      <c r="C238" s="306"/>
      <c r="D238" s="306"/>
      <c r="E238" s="307"/>
      <c r="F238" s="306"/>
      <c r="G238" s="1049"/>
      <c r="H238" s="306"/>
      <c r="I238" s="306"/>
      <c r="J238" s="306"/>
      <c r="K238" s="306"/>
      <c r="L238" s="306"/>
      <c r="M238" s="306"/>
      <c r="N238" s="306"/>
      <c r="O238" s="306"/>
      <c r="P238" s="306"/>
      <c r="Q238" s="306"/>
      <c r="R238" s="306"/>
      <c r="S238" s="306"/>
      <c r="T238" s="306"/>
      <c r="U238" s="306"/>
      <c r="V238" s="306"/>
      <c r="W238" s="306"/>
      <c r="X238" s="306"/>
      <c r="Y238" s="306"/>
      <c r="Z238" s="306"/>
    </row>
    <row r="239" spans="1:26" ht="15.75" customHeight="1">
      <c r="A239" s="306"/>
      <c r="B239" s="306"/>
      <c r="C239" s="306"/>
      <c r="D239" s="306"/>
      <c r="E239" s="307"/>
      <c r="F239" s="306"/>
      <c r="G239" s="1049"/>
      <c r="H239" s="306"/>
      <c r="I239" s="306"/>
      <c r="J239" s="306"/>
      <c r="K239" s="306"/>
      <c r="L239" s="306"/>
      <c r="M239" s="306"/>
      <c r="N239" s="306"/>
      <c r="O239" s="306"/>
      <c r="P239" s="306"/>
      <c r="Q239" s="306"/>
      <c r="R239" s="306"/>
      <c r="S239" s="306"/>
      <c r="T239" s="306"/>
      <c r="U239" s="306"/>
      <c r="V239" s="306"/>
      <c r="W239" s="306"/>
      <c r="X239" s="306"/>
      <c r="Y239" s="306"/>
      <c r="Z239" s="306"/>
    </row>
    <row r="240" spans="1:26" ht="15.75" customHeight="1">
      <c r="A240" s="306"/>
      <c r="B240" s="306"/>
      <c r="C240" s="306"/>
      <c r="D240" s="306"/>
      <c r="E240" s="307"/>
      <c r="F240" s="306"/>
      <c r="G240" s="1049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</row>
    <row r="241" spans="1:26" ht="15.75" customHeight="1">
      <c r="A241" s="306"/>
      <c r="B241" s="306"/>
      <c r="C241" s="306"/>
      <c r="D241" s="306"/>
      <c r="E241" s="307"/>
      <c r="F241" s="306"/>
      <c r="G241" s="1049"/>
      <c r="H241" s="306"/>
      <c r="I241" s="306"/>
      <c r="J241" s="306"/>
      <c r="K241" s="306"/>
      <c r="L241" s="306"/>
      <c r="M241" s="306"/>
      <c r="N241" s="306"/>
      <c r="O241" s="306"/>
      <c r="P241" s="306"/>
      <c r="Q241" s="306"/>
      <c r="R241" s="306"/>
      <c r="S241" s="306"/>
      <c r="T241" s="306"/>
      <c r="U241" s="306"/>
      <c r="V241" s="306"/>
      <c r="W241" s="306"/>
      <c r="X241" s="306"/>
      <c r="Y241" s="306"/>
      <c r="Z241" s="306"/>
    </row>
    <row r="242" spans="1:26" ht="15.75" customHeight="1">
      <c r="A242" s="306"/>
      <c r="B242" s="306"/>
      <c r="C242" s="306"/>
      <c r="D242" s="306"/>
      <c r="E242" s="307"/>
      <c r="F242" s="306"/>
      <c r="G242" s="1049"/>
      <c r="H242" s="306"/>
      <c r="I242" s="306"/>
      <c r="J242" s="306"/>
      <c r="K242" s="306"/>
      <c r="L242" s="306"/>
      <c r="M242" s="306"/>
      <c r="N242" s="306"/>
      <c r="O242" s="306"/>
      <c r="P242" s="306"/>
      <c r="Q242" s="306"/>
      <c r="R242" s="306"/>
      <c r="S242" s="306"/>
      <c r="T242" s="306"/>
      <c r="U242" s="306"/>
      <c r="V242" s="306"/>
      <c r="W242" s="306"/>
      <c r="X242" s="306"/>
      <c r="Y242" s="306"/>
      <c r="Z242" s="306"/>
    </row>
    <row r="243" spans="1:26" ht="15.75" customHeight="1">
      <c r="A243" s="306"/>
      <c r="B243" s="306"/>
      <c r="C243" s="306"/>
      <c r="D243" s="306"/>
      <c r="E243" s="307"/>
      <c r="F243" s="306"/>
      <c r="G243" s="1049"/>
      <c r="H243" s="306"/>
      <c r="I243" s="306"/>
      <c r="J243" s="306"/>
      <c r="K243" s="306"/>
      <c r="L243" s="306"/>
      <c r="M243" s="306"/>
      <c r="N243" s="306"/>
      <c r="O243" s="306"/>
      <c r="P243" s="306"/>
      <c r="Q243" s="306"/>
      <c r="R243" s="306"/>
      <c r="S243" s="306"/>
      <c r="T243" s="306"/>
      <c r="U243" s="306"/>
      <c r="V243" s="306"/>
      <c r="W243" s="306"/>
      <c r="X243" s="306"/>
      <c r="Y243" s="306"/>
      <c r="Z243" s="306"/>
    </row>
    <row r="244" spans="1:26" ht="15.75" customHeight="1">
      <c r="A244" s="306"/>
      <c r="B244" s="306"/>
      <c r="C244" s="306"/>
      <c r="D244" s="306"/>
      <c r="E244" s="307"/>
      <c r="F244" s="306"/>
      <c r="G244" s="1049"/>
      <c r="H244" s="306"/>
      <c r="I244" s="306"/>
      <c r="J244" s="306"/>
      <c r="K244" s="306"/>
      <c r="L244" s="306"/>
      <c r="M244" s="306"/>
      <c r="N244" s="306"/>
      <c r="O244" s="306"/>
      <c r="P244" s="306"/>
      <c r="Q244" s="306"/>
      <c r="R244" s="306"/>
      <c r="S244" s="306"/>
      <c r="T244" s="306"/>
      <c r="U244" s="306"/>
      <c r="V244" s="306"/>
      <c r="W244" s="306"/>
      <c r="X244" s="306"/>
      <c r="Y244" s="306"/>
      <c r="Z244" s="306"/>
    </row>
    <row r="245" spans="1:26" ht="15.75" customHeight="1">
      <c r="A245" s="306"/>
      <c r="B245" s="306"/>
      <c r="C245" s="306"/>
      <c r="D245" s="306"/>
      <c r="E245" s="307"/>
      <c r="F245" s="306"/>
      <c r="G245" s="1049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</row>
    <row r="246" spans="1:26" ht="15.75" customHeight="1"/>
    <row r="247" spans="1:26" ht="15.75" customHeight="1"/>
    <row r="248" spans="1:26" ht="15.75" customHeight="1"/>
    <row r="249" spans="1:26" ht="15.75" customHeight="1"/>
    <row r="250" spans="1:26" ht="15.75" customHeight="1"/>
    <row r="251" spans="1:26" ht="15.75" customHeight="1"/>
    <row r="252" spans="1:26" ht="15.75" customHeight="1"/>
    <row r="253" spans="1:26" ht="15.75" customHeight="1"/>
    <row r="254" spans="1:26" ht="15.75" customHeight="1"/>
    <row r="255" spans="1:26" ht="15.75" customHeight="1"/>
    <row r="256" spans="1:2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>
      <selection activeCell="C17" sqref="C17"/>
    </sheetView>
  </sheetViews>
  <sheetFormatPr defaultColWidth="14.42578125" defaultRowHeight="15" customHeight="1"/>
  <cols>
    <col min="1" max="1" width="6.7109375" style="1155" customWidth="1"/>
    <col min="2" max="2" width="18.28515625" customWidth="1"/>
    <col min="3" max="3" width="34" customWidth="1"/>
    <col min="4" max="4" width="23.28515625" customWidth="1"/>
    <col min="5" max="5" width="17.7109375" customWidth="1"/>
    <col min="6" max="6" width="19" customWidth="1"/>
    <col min="7" max="7" width="19.28515625" style="1055" customWidth="1"/>
    <col min="8" max="8" width="22.28515625" customWidth="1"/>
    <col min="9" max="9" width="15.7109375" customWidth="1"/>
  </cols>
  <sheetData>
    <row r="1" spans="1:26" ht="20.25">
      <c r="A1" s="952" t="s">
        <v>886</v>
      </c>
      <c r="B1" s="890"/>
      <c r="C1" s="890"/>
      <c r="D1" s="890"/>
      <c r="E1" s="890"/>
    </row>
    <row r="2" spans="1:26">
      <c r="B2" s="208"/>
    </row>
    <row r="3" spans="1:26">
      <c r="B3" s="208"/>
    </row>
    <row r="4" spans="1:26" ht="15.75">
      <c r="A4" s="1154" t="s">
        <v>820</v>
      </c>
      <c r="B4" s="309" t="s">
        <v>821</v>
      </c>
      <c r="C4" s="309" t="s">
        <v>822</v>
      </c>
      <c r="D4" s="309" t="s">
        <v>823</v>
      </c>
      <c r="E4" s="309" t="s">
        <v>824</v>
      </c>
      <c r="F4" s="336" t="s">
        <v>825</v>
      </c>
      <c r="G4" s="1089" t="s">
        <v>826</v>
      </c>
      <c r="H4" s="309" t="s">
        <v>827</v>
      </c>
      <c r="I4" s="337" t="s">
        <v>664</v>
      </c>
    </row>
    <row r="5" spans="1:26" ht="15.75">
      <c r="A5" s="1152">
        <v>1</v>
      </c>
      <c r="B5" s="338" t="s">
        <v>832</v>
      </c>
      <c r="C5" s="223" t="s">
        <v>887</v>
      </c>
      <c r="D5" s="223" t="s">
        <v>830</v>
      </c>
      <c r="E5" s="223">
        <v>100</v>
      </c>
      <c r="F5" s="252">
        <v>200000</v>
      </c>
      <c r="G5" s="1078">
        <f>F5*E5</f>
        <v>20000000</v>
      </c>
      <c r="H5" s="223"/>
      <c r="I5" s="339" t="s">
        <v>671</v>
      </c>
      <c r="J5" s="220"/>
      <c r="K5" s="220"/>
      <c r="L5" s="220"/>
      <c r="M5" s="220"/>
      <c r="N5" s="220"/>
      <c r="O5" s="220"/>
      <c r="P5" s="220"/>
      <c r="Q5" s="220"/>
      <c r="R5" s="220"/>
      <c r="S5" s="220"/>
      <c r="T5" s="220"/>
      <c r="U5" s="220"/>
      <c r="V5" s="220"/>
      <c r="W5" s="220"/>
      <c r="X5" s="220"/>
      <c r="Y5" s="220"/>
      <c r="Z5" s="220"/>
    </row>
    <row r="6" spans="1:26" ht="15.75">
      <c r="A6" s="1152">
        <v>2</v>
      </c>
      <c r="B6" s="262" t="s">
        <v>788</v>
      </c>
      <c r="C6" s="223" t="s">
        <v>888</v>
      </c>
      <c r="D6" s="229" t="s">
        <v>830</v>
      </c>
      <c r="E6" s="229">
        <v>15</v>
      </c>
      <c r="F6" s="225">
        <v>976800</v>
      </c>
      <c r="G6" s="1075">
        <v>14652000</v>
      </c>
      <c r="H6" s="229" t="s">
        <v>889</v>
      </c>
      <c r="I6" s="340" t="s">
        <v>671</v>
      </c>
      <c r="J6" s="220"/>
      <c r="K6" s="220"/>
      <c r="L6" s="220"/>
      <c r="M6" s="220"/>
      <c r="N6" s="220"/>
      <c r="O6" s="220"/>
      <c r="P6" s="220"/>
      <c r="Q6" s="220"/>
      <c r="R6" s="220"/>
      <c r="S6" s="220"/>
      <c r="T6" s="220"/>
      <c r="U6" s="220"/>
      <c r="V6" s="220"/>
      <c r="W6" s="220"/>
      <c r="X6" s="220"/>
      <c r="Y6" s="220"/>
      <c r="Z6" s="220"/>
    </row>
    <row r="7" spans="1:26" ht="15.75">
      <c r="A7" s="1152">
        <v>3</v>
      </c>
      <c r="B7" s="262" t="s">
        <v>788</v>
      </c>
      <c r="C7" s="223" t="s">
        <v>890</v>
      </c>
      <c r="D7" s="229" t="s">
        <v>830</v>
      </c>
      <c r="E7" s="229">
        <v>9</v>
      </c>
      <c r="F7" s="225">
        <v>895770</v>
      </c>
      <c r="G7" s="1075">
        <v>8061930</v>
      </c>
      <c r="H7" s="229" t="s">
        <v>889</v>
      </c>
      <c r="I7" s="340" t="s">
        <v>671</v>
      </c>
      <c r="J7" s="220"/>
      <c r="K7" s="220"/>
      <c r="L7" s="220"/>
      <c r="M7" s="220"/>
      <c r="N7" s="220"/>
      <c r="O7" s="220"/>
      <c r="P7" s="220"/>
      <c r="Q7" s="220"/>
      <c r="R7" s="220"/>
      <c r="S7" s="220"/>
      <c r="T7" s="220"/>
      <c r="U7" s="220"/>
      <c r="V7" s="220"/>
      <c r="W7" s="220"/>
      <c r="X7" s="220"/>
      <c r="Y7" s="220"/>
      <c r="Z7" s="220"/>
    </row>
    <row r="8" spans="1:26" ht="15.75">
      <c r="A8" s="1152">
        <v>4</v>
      </c>
      <c r="B8" s="262" t="s">
        <v>788</v>
      </c>
      <c r="C8" s="223" t="s">
        <v>891</v>
      </c>
      <c r="D8" s="229" t="s">
        <v>830</v>
      </c>
      <c r="E8" s="229">
        <v>4</v>
      </c>
      <c r="F8" s="225">
        <v>843600</v>
      </c>
      <c r="G8" s="1075">
        <v>3374400</v>
      </c>
      <c r="H8" s="229" t="s">
        <v>889</v>
      </c>
      <c r="I8" s="262" t="s">
        <v>671</v>
      </c>
      <c r="J8" s="220"/>
      <c r="K8" s="220"/>
      <c r="L8" s="220"/>
      <c r="M8" s="220"/>
      <c r="N8" s="220"/>
      <c r="O8" s="220"/>
      <c r="P8" s="220"/>
      <c r="Q8" s="220"/>
      <c r="R8" s="220"/>
      <c r="S8" s="220"/>
      <c r="T8" s="220"/>
      <c r="U8" s="220"/>
      <c r="V8" s="220"/>
      <c r="W8" s="220"/>
      <c r="X8" s="220"/>
      <c r="Y8" s="220"/>
      <c r="Z8" s="220"/>
    </row>
    <row r="9" spans="1:26" ht="15.75">
      <c r="A9" s="1152">
        <v>5</v>
      </c>
      <c r="B9" s="262" t="s">
        <v>788</v>
      </c>
      <c r="C9" s="223" t="s">
        <v>892</v>
      </c>
      <c r="D9" s="229" t="s">
        <v>830</v>
      </c>
      <c r="E9" s="229">
        <v>6</v>
      </c>
      <c r="F9" s="225">
        <v>500610</v>
      </c>
      <c r="G9" s="1075">
        <v>3003660</v>
      </c>
      <c r="H9" s="229" t="s">
        <v>889</v>
      </c>
      <c r="I9" s="262" t="s">
        <v>671</v>
      </c>
      <c r="J9" s="220"/>
      <c r="K9" s="220"/>
      <c r="L9" s="220"/>
      <c r="M9" s="220"/>
      <c r="N9" s="220"/>
      <c r="O9" s="220"/>
      <c r="P9" s="220"/>
      <c r="Q9" s="220"/>
      <c r="R9" s="220"/>
      <c r="S9" s="220"/>
      <c r="T9" s="220"/>
      <c r="U9" s="220"/>
      <c r="V9" s="220"/>
      <c r="W9" s="220"/>
      <c r="X9" s="220"/>
      <c r="Y9" s="220"/>
      <c r="Z9" s="220"/>
    </row>
    <row r="10" spans="1:26" ht="15.75">
      <c r="A10" s="1152">
        <v>6</v>
      </c>
      <c r="B10" s="229" t="s">
        <v>856</v>
      </c>
      <c r="C10" s="223" t="s">
        <v>893</v>
      </c>
      <c r="D10" s="341" t="s">
        <v>830</v>
      </c>
      <c r="E10" s="223">
        <v>30</v>
      </c>
      <c r="F10" s="252">
        <v>100000</v>
      </c>
      <c r="G10" s="1078">
        <f>F10*E10</f>
        <v>3000000</v>
      </c>
      <c r="H10" s="223" t="s">
        <v>894</v>
      </c>
      <c r="I10" s="261" t="s">
        <v>671</v>
      </c>
      <c r="J10" s="220"/>
      <c r="K10" s="220"/>
      <c r="L10" s="220"/>
      <c r="M10" s="220"/>
      <c r="N10" s="220"/>
      <c r="O10" s="220"/>
      <c r="P10" s="220"/>
      <c r="Q10" s="220"/>
      <c r="R10" s="220"/>
      <c r="S10" s="220"/>
      <c r="T10" s="220"/>
      <c r="U10" s="220"/>
      <c r="V10" s="220"/>
      <c r="W10" s="220"/>
      <c r="X10" s="220"/>
      <c r="Y10" s="220"/>
      <c r="Z10" s="220"/>
    </row>
    <row r="11" spans="1:26" ht="15.75">
      <c r="A11" s="1152">
        <v>7</v>
      </c>
      <c r="B11" s="262" t="s">
        <v>788</v>
      </c>
      <c r="C11" s="223" t="s">
        <v>895</v>
      </c>
      <c r="D11" s="229" t="s">
        <v>830</v>
      </c>
      <c r="E11" s="229">
        <v>6</v>
      </c>
      <c r="F11" s="225">
        <v>486180</v>
      </c>
      <c r="G11" s="1075">
        <v>2917080</v>
      </c>
      <c r="H11" s="229" t="s">
        <v>889</v>
      </c>
      <c r="I11" s="262" t="s">
        <v>671</v>
      </c>
      <c r="J11" s="220"/>
      <c r="K11" s="220"/>
      <c r="L11" s="220"/>
      <c r="M11" s="220"/>
      <c r="N11" s="220"/>
      <c r="O11" s="220"/>
      <c r="P11" s="220"/>
      <c r="Q11" s="220"/>
      <c r="R11" s="220"/>
      <c r="S11" s="220"/>
      <c r="T11" s="220"/>
      <c r="U11" s="220"/>
      <c r="V11" s="220"/>
      <c r="W11" s="220"/>
      <c r="X11" s="220"/>
      <c r="Y11" s="220"/>
      <c r="Z11" s="220"/>
    </row>
    <row r="12" spans="1:26" ht="15.75">
      <c r="A12" s="1152">
        <v>8</v>
      </c>
      <c r="B12" s="262" t="s">
        <v>788</v>
      </c>
      <c r="C12" s="223" t="s">
        <v>896</v>
      </c>
      <c r="D12" s="229" t="s">
        <v>849</v>
      </c>
      <c r="E12" s="229">
        <v>4</v>
      </c>
      <c r="F12" s="225">
        <v>576090</v>
      </c>
      <c r="G12" s="1075">
        <v>2304360</v>
      </c>
      <c r="H12" s="229" t="s">
        <v>889</v>
      </c>
      <c r="I12" s="262" t="s">
        <v>671</v>
      </c>
      <c r="J12" s="220"/>
      <c r="K12" s="220"/>
      <c r="L12" s="220"/>
      <c r="M12" s="220"/>
      <c r="N12" s="220"/>
      <c r="O12" s="220"/>
      <c r="P12" s="220"/>
      <c r="Q12" s="220"/>
      <c r="R12" s="220"/>
      <c r="S12" s="220"/>
      <c r="T12" s="220"/>
      <c r="U12" s="220"/>
      <c r="V12" s="220"/>
      <c r="W12" s="220"/>
      <c r="X12" s="220"/>
      <c r="Y12" s="220"/>
      <c r="Z12" s="220"/>
    </row>
    <row r="13" spans="1:26" ht="15.75">
      <c r="A13" s="1152">
        <v>9</v>
      </c>
      <c r="B13" s="262" t="s">
        <v>788</v>
      </c>
      <c r="C13" s="223" t="s">
        <v>897</v>
      </c>
      <c r="D13" s="229" t="s">
        <v>830</v>
      </c>
      <c r="E13" s="229">
        <v>3</v>
      </c>
      <c r="F13" s="225">
        <v>757020</v>
      </c>
      <c r="G13" s="1075">
        <v>2271060</v>
      </c>
      <c r="H13" s="229" t="s">
        <v>889</v>
      </c>
      <c r="I13" s="262" t="s">
        <v>671</v>
      </c>
      <c r="J13" s="220"/>
      <c r="K13" s="220"/>
      <c r="L13" s="220"/>
      <c r="M13" s="220"/>
      <c r="N13" s="220"/>
      <c r="O13" s="220"/>
      <c r="P13" s="220"/>
      <c r="Q13" s="220"/>
      <c r="R13" s="220"/>
      <c r="S13" s="220"/>
      <c r="T13" s="220"/>
      <c r="U13" s="220"/>
      <c r="V13" s="220"/>
      <c r="W13" s="220"/>
      <c r="X13" s="220"/>
      <c r="Y13" s="220"/>
      <c r="Z13" s="220"/>
    </row>
    <row r="14" spans="1:26" ht="15.75">
      <c r="A14" s="1152">
        <v>10</v>
      </c>
      <c r="B14" s="262" t="s">
        <v>788</v>
      </c>
      <c r="C14" s="223" t="s">
        <v>898</v>
      </c>
      <c r="D14" s="229" t="s">
        <v>849</v>
      </c>
      <c r="E14" s="229">
        <v>4</v>
      </c>
      <c r="F14" s="225">
        <v>562770</v>
      </c>
      <c r="G14" s="1075">
        <v>2251080</v>
      </c>
      <c r="H14" s="229" t="s">
        <v>889</v>
      </c>
      <c r="I14" s="262" t="s">
        <v>671</v>
      </c>
      <c r="J14" s="220"/>
      <c r="K14" s="220"/>
      <c r="L14" s="220"/>
      <c r="M14" s="220"/>
      <c r="N14" s="220"/>
      <c r="O14" s="220"/>
      <c r="P14" s="220"/>
      <c r="Q14" s="220"/>
      <c r="R14" s="220"/>
      <c r="S14" s="220"/>
      <c r="T14" s="220"/>
      <c r="U14" s="220"/>
      <c r="V14" s="220"/>
      <c r="W14" s="220"/>
      <c r="X14" s="220"/>
      <c r="Y14" s="220"/>
      <c r="Z14" s="220"/>
    </row>
    <row r="15" spans="1:26" ht="15.75">
      <c r="A15" s="1152">
        <v>11</v>
      </c>
      <c r="B15" s="262" t="s">
        <v>788</v>
      </c>
      <c r="C15" s="223" t="s">
        <v>892</v>
      </c>
      <c r="D15" s="229" t="s">
        <v>830</v>
      </c>
      <c r="E15" s="229">
        <v>4</v>
      </c>
      <c r="F15" s="225">
        <v>500610</v>
      </c>
      <c r="G15" s="1075">
        <v>2002440</v>
      </c>
      <c r="H15" s="229" t="s">
        <v>889</v>
      </c>
      <c r="I15" s="262" t="s">
        <v>671</v>
      </c>
      <c r="J15" s="220"/>
      <c r="K15" s="220"/>
      <c r="L15" s="220"/>
      <c r="M15" s="220"/>
      <c r="N15" s="220"/>
      <c r="O15" s="220"/>
      <c r="P15" s="220"/>
      <c r="Q15" s="220"/>
      <c r="R15" s="220"/>
      <c r="S15" s="220"/>
      <c r="T15" s="220"/>
      <c r="U15" s="220"/>
      <c r="V15" s="220"/>
      <c r="W15" s="220"/>
      <c r="X15" s="220"/>
      <c r="Y15" s="220"/>
      <c r="Z15" s="220"/>
    </row>
    <row r="16" spans="1:26" ht="15.75">
      <c r="A16" s="1152">
        <v>12</v>
      </c>
      <c r="B16" s="229" t="s">
        <v>832</v>
      </c>
      <c r="C16" s="223" t="s">
        <v>899</v>
      </c>
      <c r="D16" s="223" t="s">
        <v>830</v>
      </c>
      <c r="E16" s="223">
        <v>200</v>
      </c>
      <c r="F16" s="252">
        <v>10000</v>
      </c>
      <c r="G16" s="1078">
        <v>2000000</v>
      </c>
      <c r="H16" s="223"/>
      <c r="I16" s="230" t="s">
        <v>671</v>
      </c>
      <c r="J16" s="220"/>
      <c r="K16" s="220"/>
      <c r="L16" s="220"/>
      <c r="M16" s="220"/>
      <c r="N16" s="220"/>
      <c r="O16" s="220"/>
      <c r="P16" s="220"/>
      <c r="Q16" s="220"/>
      <c r="R16" s="220"/>
      <c r="S16" s="220"/>
      <c r="T16" s="220"/>
      <c r="U16" s="220"/>
      <c r="V16" s="220"/>
      <c r="W16" s="220"/>
      <c r="X16" s="220"/>
      <c r="Y16" s="220"/>
      <c r="Z16" s="220"/>
    </row>
    <row r="17" spans="1:26" ht="15.75">
      <c r="A17" s="1152">
        <v>13</v>
      </c>
      <c r="B17" s="229" t="s">
        <v>832</v>
      </c>
      <c r="C17" s="223" t="s">
        <v>900</v>
      </c>
      <c r="D17" s="223" t="s">
        <v>901</v>
      </c>
      <c r="E17" s="223">
        <v>20</v>
      </c>
      <c r="F17" s="252">
        <v>100000</v>
      </c>
      <c r="G17" s="1078">
        <v>2000000</v>
      </c>
      <c r="H17" s="223"/>
      <c r="I17" s="223" t="s">
        <v>671</v>
      </c>
      <c r="J17" s="220"/>
      <c r="K17" s="220"/>
      <c r="L17" s="220"/>
      <c r="M17" s="220"/>
      <c r="N17" s="220"/>
      <c r="O17" s="220"/>
      <c r="P17" s="220"/>
      <c r="Q17" s="220"/>
      <c r="R17" s="220"/>
      <c r="S17" s="220"/>
      <c r="T17" s="220"/>
      <c r="U17" s="220"/>
      <c r="V17" s="220"/>
      <c r="W17" s="220"/>
      <c r="X17" s="220"/>
      <c r="Y17" s="220"/>
      <c r="Z17" s="220"/>
    </row>
    <row r="18" spans="1:26" ht="15.75">
      <c r="A18" s="1152">
        <v>14</v>
      </c>
      <c r="B18" s="262" t="s">
        <v>788</v>
      </c>
      <c r="C18" s="223" t="s">
        <v>895</v>
      </c>
      <c r="D18" s="229" t="s">
        <v>830</v>
      </c>
      <c r="E18" s="229">
        <v>4</v>
      </c>
      <c r="F18" s="225">
        <v>486180</v>
      </c>
      <c r="G18" s="1075">
        <v>1944720</v>
      </c>
      <c r="H18" s="229" t="s">
        <v>889</v>
      </c>
      <c r="I18" s="262" t="s">
        <v>671</v>
      </c>
      <c r="J18" s="220"/>
      <c r="K18" s="220"/>
      <c r="L18" s="220"/>
      <c r="M18" s="220"/>
      <c r="N18" s="220"/>
      <c r="O18" s="220"/>
      <c r="P18" s="220"/>
      <c r="Q18" s="220"/>
      <c r="R18" s="220"/>
      <c r="S18" s="220"/>
      <c r="T18" s="220"/>
      <c r="U18" s="220"/>
      <c r="V18" s="220"/>
      <c r="W18" s="220"/>
      <c r="X18" s="220"/>
      <c r="Y18" s="220"/>
      <c r="Z18" s="220"/>
    </row>
    <row r="19" spans="1:26" ht="15.75">
      <c r="A19" s="1152">
        <v>15</v>
      </c>
      <c r="B19" s="229" t="s">
        <v>856</v>
      </c>
      <c r="C19" s="223" t="s">
        <v>902</v>
      </c>
      <c r="D19" s="341" t="s">
        <v>830</v>
      </c>
      <c r="E19" s="223">
        <v>17</v>
      </c>
      <c r="F19" s="252">
        <v>100000</v>
      </c>
      <c r="G19" s="1078">
        <f t="shared" ref="G19:G22" si="0">F19*E19</f>
        <v>1700000</v>
      </c>
      <c r="H19" s="223" t="s">
        <v>894</v>
      </c>
      <c r="I19" s="261" t="s">
        <v>671</v>
      </c>
      <c r="J19" s="220"/>
      <c r="K19" s="220"/>
      <c r="L19" s="220"/>
      <c r="M19" s="220"/>
      <c r="N19" s="220"/>
      <c r="O19" s="220"/>
      <c r="P19" s="220"/>
      <c r="Q19" s="220"/>
      <c r="R19" s="220"/>
      <c r="S19" s="220"/>
      <c r="T19" s="220"/>
      <c r="U19" s="220"/>
      <c r="V19" s="220"/>
      <c r="W19" s="220"/>
      <c r="X19" s="220"/>
      <c r="Y19" s="220"/>
      <c r="Z19" s="220"/>
    </row>
    <row r="20" spans="1:26" ht="15.75">
      <c r="A20" s="1152">
        <v>16</v>
      </c>
      <c r="B20" s="229" t="s">
        <v>856</v>
      </c>
      <c r="C20" s="223" t="s">
        <v>903</v>
      </c>
      <c r="D20" s="341" t="s">
        <v>830</v>
      </c>
      <c r="E20" s="223">
        <v>16</v>
      </c>
      <c r="F20" s="252">
        <v>100000</v>
      </c>
      <c r="G20" s="1078">
        <f t="shared" si="0"/>
        <v>1600000</v>
      </c>
      <c r="H20" s="223" t="s">
        <v>894</v>
      </c>
      <c r="I20" s="261" t="s">
        <v>671</v>
      </c>
      <c r="J20" s="220"/>
      <c r="K20" s="220"/>
      <c r="L20" s="220"/>
      <c r="M20" s="220"/>
      <c r="N20" s="220"/>
      <c r="O20" s="220"/>
      <c r="P20" s="220"/>
      <c r="Q20" s="220"/>
      <c r="R20" s="220"/>
      <c r="S20" s="220"/>
      <c r="T20" s="220"/>
      <c r="U20" s="220"/>
      <c r="V20" s="220"/>
      <c r="W20" s="220"/>
      <c r="X20" s="220"/>
      <c r="Y20" s="220"/>
      <c r="Z20" s="220"/>
    </row>
    <row r="21" spans="1:26" ht="15.75" customHeight="1">
      <c r="A21" s="1152">
        <v>17</v>
      </c>
      <c r="B21" s="229" t="s">
        <v>856</v>
      </c>
      <c r="C21" s="223" t="s">
        <v>904</v>
      </c>
      <c r="D21" s="341" t="s">
        <v>830</v>
      </c>
      <c r="E21" s="223">
        <v>16</v>
      </c>
      <c r="F21" s="252">
        <v>100000</v>
      </c>
      <c r="G21" s="1078">
        <f t="shared" si="0"/>
        <v>1600000</v>
      </c>
      <c r="H21" s="223" t="s">
        <v>894</v>
      </c>
      <c r="I21" s="261" t="s">
        <v>671</v>
      </c>
      <c r="J21" s="220"/>
      <c r="K21" s="220"/>
      <c r="L21" s="220"/>
      <c r="M21" s="220"/>
      <c r="N21" s="220"/>
      <c r="O21" s="220"/>
      <c r="P21" s="220"/>
      <c r="Q21" s="220"/>
      <c r="R21" s="220"/>
      <c r="S21" s="220"/>
      <c r="T21" s="220"/>
      <c r="U21" s="220"/>
      <c r="V21" s="220"/>
      <c r="W21" s="220"/>
      <c r="X21" s="220"/>
      <c r="Y21" s="220"/>
      <c r="Z21" s="220"/>
    </row>
    <row r="22" spans="1:26" ht="15.75" customHeight="1">
      <c r="A22" s="1152">
        <v>18</v>
      </c>
      <c r="B22" s="229" t="s">
        <v>856</v>
      </c>
      <c r="C22" s="223" t="s">
        <v>905</v>
      </c>
      <c r="D22" s="341" t="s">
        <v>830</v>
      </c>
      <c r="E22" s="223">
        <v>16</v>
      </c>
      <c r="F22" s="252">
        <v>100000</v>
      </c>
      <c r="G22" s="1078">
        <f t="shared" si="0"/>
        <v>1600000</v>
      </c>
      <c r="H22" s="223" t="s">
        <v>894</v>
      </c>
      <c r="I22" s="261" t="s">
        <v>671</v>
      </c>
      <c r="J22" s="220"/>
      <c r="K22" s="220"/>
      <c r="L22" s="220"/>
      <c r="M22" s="220"/>
      <c r="N22" s="220"/>
      <c r="O22" s="220"/>
      <c r="P22" s="220"/>
      <c r="Q22" s="220"/>
      <c r="R22" s="220"/>
      <c r="S22" s="220"/>
      <c r="T22" s="220"/>
      <c r="U22" s="220"/>
      <c r="V22" s="220"/>
      <c r="W22" s="220"/>
      <c r="X22" s="220"/>
      <c r="Y22" s="220"/>
      <c r="Z22" s="220"/>
    </row>
    <row r="23" spans="1:26" ht="15.75" customHeight="1">
      <c r="A23" s="1152">
        <v>19</v>
      </c>
      <c r="B23" s="262" t="s">
        <v>788</v>
      </c>
      <c r="C23" s="226" t="s">
        <v>906</v>
      </c>
      <c r="D23" s="229" t="s">
        <v>830</v>
      </c>
      <c r="E23" s="229">
        <v>2</v>
      </c>
      <c r="F23" s="225">
        <v>757020</v>
      </c>
      <c r="G23" s="1075">
        <v>1514040</v>
      </c>
      <c r="H23" s="229" t="s">
        <v>889</v>
      </c>
      <c r="I23" s="340" t="s">
        <v>671</v>
      </c>
      <c r="J23" s="220"/>
      <c r="K23" s="220"/>
      <c r="L23" s="220"/>
      <c r="M23" s="220"/>
      <c r="N23" s="220"/>
      <c r="O23" s="220"/>
      <c r="P23" s="220"/>
      <c r="Q23" s="220"/>
      <c r="R23" s="220"/>
      <c r="S23" s="220"/>
      <c r="T23" s="220"/>
      <c r="U23" s="220"/>
      <c r="V23" s="220"/>
      <c r="W23" s="220"/>
      <c r="X23" s="220"/>
      <c r="Y23" s="220"/>
      <c r="Z23" s="220"/>
    </row>
    <row r="24" spans="1:26" ht="15.75" customHeight="1">
      <c r="A24" s="1152">
        <v>20</v>
      </c>
      <c r="B24" s="229" t="s">
        <v>832</v>
      </c>
      <c r="C24" s="223" t="s">
        <v>907</v>
      </c>
      <c r="D24" s="223" t="s">
        <v>830</v>
      </c>
      <c r="E24" s="223">
        <v>50</v>
      </c>
      <c r="F24" s="252">
        <v>30000</v>
      </c>
      <c r="G24" s="1078">
        <v>1500000</v>
      </c>
      <c r="H24" s="223"/>
      <c r="I24" s="230" t="s">
        <v>671</v>
      </c>
      <c r="J24" s="220"/>
      <c r="K24" s="220"/>
      <c r="L24" s="220"/>
      <c r="M24" s="220"/>
      <c r="N24" s="220"/>
      <c r="O24" s="220"/>
      <c r="P24" s="220"/>
      <c r="Q24" s="220"/>
      <c r="R24" s="220"/>
      <c r="S24" s="220"/>
      <c r="T24" s="220"/>
      <c r="U24" s="220"/>
      <c r="V24" s="220"/>
      <c r="W24" s="220"/>
      <c r="X24" s="220"/>
      <c r="Y24" s="220"/>
      <c r="Z24" s="220"/>
    </row>
    <row r="25" spans="1:26" ht="15.75" customHeight="1">
      <c r="A25" s="1152">
        <v>21</v>
      </c>
      <c r="B25" s="229" t="s">
        <v>856</v>
      </c>
      <c r="C25" s="223" t="s">
        <v>908</v>
      </c>
      <c r="D25" s="341" t="s">
        <v>830</v>
      </c>
      <c r="E25" s="223">
        <v>15</v>
      </c>
      <c r="F25" s="252">
        <v>100000</v>
      </c>
      <c r="G25" s="1078">
        <f t="shared" ref="G25:G28" si="1">F25*E25</f>
        <v>1500000</v>
      </c>
      <c r="H25" s="223" t="s">
        <v>894</v>
      </c>
      <c r="I25" s="333" t="s">
        <v>671</v>
      </c>
      <c r="J25" s="220"/>
      <c r="K25" s="220"/>
      <c r="L25" s="220"/>
      <c r="M25" s="220"/>
      <c r="N25" s="220"/>
      <c r="O25" s="220"/>
      <c r="P25" s="220"/>
      <c r="Q25" s="220"/>
      <c r="R25" s="220"/>
      <c r="S25" s="220"/>
      <c r="T25" s="220"/>
      <c r="U25" s="220"/>
      <c r="V25" s="220"/>
      <c r="W25" s="220"/>
      <c r="X25" s="220"/>
      <c r="Y25" s="220"/>
      <c r="Z25" s="220"/>
    </row>
    <row r="26" spans="1:26" ht="15.75" customHeight="1">
      <c r="A26" s="1152">
        <v>22</v>
      </c>
      <c r="B26" s="229" t="s">
        <v>856</v>
      </c>
      <c r="C26" s="223" t="s">
        <v>909</v>
      </c>
      <c r="D26" s="341" t="s">
        <v>830</v>
      </c>
      <c r="E26" s="223">
        <v>15</v>
      </c>
      <c r="F26" s="252">
        <v>100000</v>
      </c>
      <c r="G26" s="1078">
        <f t="shared" si="1"/>
        <v>1500000</v>
      </c>
      <c r="H26" s="223" t="s">
        <v>894</v>
      </c>
      <c r="I26" s="333" t="s">
        <v>671</v>
      </c>
      <c r="J26" s="220"/>
      <c r="K26" s="220"/>
      <c r="L26" s="220"/>
      <c r="M26" s="220"/>
      <c r="N26" s="220"/>
      <c r="O26" s="220"/>
      <c r="P26" s="220"/>
      <c r="Q26" s="220"/>
      <c r="R26" s="220"/>
      <c r="S26" s="220"/>
      <c r="T26" s="220"/>
      <c r="U26" s="220"/>
      <c r="V26" s="220"/>
      <c r="W26" s="220"/>
      <c r="X26" s="220"/>
      <c r="Y26" s="220"/>
      <c r="Z26" s="220"/>
    </row>
    <row r="27" spans="1:26" ht="15.75" customHeight="1">
      <c r="A27" s="1152">
        <v>23</v>
      </c>
      <c r="B27" s="229" t="s">
        <v>856</v>
      </c>
      <c r="C27" s="223" t="s">
        <v>910</v>
      </c>
      <c r="D27" s="341" t="s">
        <v>830</v>
      </c>
      <c r="E27" s="223">
        <v>15</v>
      </c>
      <c r="F27" s="252">
        <v>100000</v>
      </c>
      <c r="G27" s="1078">
        <f t="shared" si="1"/>
        <v>1500000</v>
      </c>
      <c r="H27" s="223" t="s">
        <v>894</v>
      </c>
      <c r="I27" s="333" t="s">
        <v>671</v>
      </c>
      <c r="J27" s="220"/>
      <c r="K27" s="220"/>
      <c r="L27" s="220"/>
      <c r="M27" s="220"/>
      <c r="N27" s="220"/>
      <c r="O27" s="220"/>
      <c r="P27" s="220"/>
      <c r="Q27" s="220"/>
      <c r="R27" s="220"/>
      <c r="S27" s="220"/>
      <c r="T27" s="220"/>
      <c r="U27" s="220"/>
      <c r="V27" s="220"/>
      <c r="W27" s="220"/>
      <c r="X27" s="220"/>
      <c r="Y27" s="220"/>
      <c r="Z27" s="220"/>
    </row>
    <row r="28" spans="1:26" ht="15.75" customHeight="1">
      <c r="A28" s="1152">
        <v>24</v>
      </c>
      <c r="B28" s="229" t="s">
        <v>856</v>
      </c>
      <c r="C28" s="223" t="s">
        <v>911</v>
      </c>
      <c r="D28" s="341" t="s">
        <v>830</v>
      </c>
      <c r="E28" s="223">
        <v>15</v>
      </c>
      <c r="F28" s="252">
        <v>100000</v>
      </c>
      <c r="G28" s="1078">
        <f t="shared" si="1"/>
        <v>1500000</v>
      </c>
      <c r="H28" s="223" t="s">
        <v>894</v>
      </c>
      <c r="I28" s="333" t="s">
        <v>671</v>
      </c>
      <c r="J28" s="220"/>
      <c r="K28" s="220"/>
      <c r="L28" s="220"/>
      <c r="M28" s="220"/>
      <c r="N28" s="220"/>
      <c r="O28" s="220"/>
      <c r="P28" s="220"/>
      <c r="Q28" s="220"/>
      <c r="R28" s="220"/>
      <c r="S28" s="220"/>
      <c r="T28" s="220"/>
      <c r="U28" s="220"/>
      <c r="V28" s="220"/>
      <c r="W28" s="220"/>
      <c r="X28" s="220"/>
      <c r="Y28" s="220"/>
      <c r="Z28" s="220"/>
    </row>
    <row r="29" spans="1:26" ht="15.75" customHeight="1">
      <c r="A29" s="1152">
        <v>25</v>
      </c>
      <c r="B29" s="262" t="s">
        <v>788</v>
      </c>
      <c r="C29" s="223" t="s">
        <v>912</v>
      </c>
      <c r="D29" s="229" t="s">
        <v>830</v>
      </c>
      <c r="E29" s="229">
        <v>2</v>
      </c>
      <c r="F29" s="225">
        <v>704850</v>
      </c>
      <c r="G29" s="1075">
        <v>1409700</v>
      </c>
      <c r="H29" s="229" t="s">
        <v>889</v>
      </c>
      <c r="I29" s="340" t="s">
        <v>671</v>
      </c>
      <c r="J29" s="220"/>
      <c r="K29" s="220"/>
      <c r="L29" s="220"/>
      <c r="M29" s="220"/>
      <c r="N29" s="220"/>
      <c r="O29" s="220"/>
      <c r="P29" s="220"/>
      <c r="Q29" s="220"/>
      <c r="R29" s="220"/>
      <c r="S29" s="220"/>
      <c r="T29" s="220"/>
      <c r="U29" s="220"/>
      <c r="V29" s="220"/>
      <c r="W29" s="220"/>
      <c r="X29" s="220"/>
      <c r="Y29" s="220"/>
      <c r="Z29" s="220"/>
    </row>
    <row r="30" spans="1:26" ht="15.75" customHeight="1">
      <c r="A30" s="1152">
        <v>26</v>
      </c>
      <c r="B30" s="266" t="s">
        <v>913</v>
      </c>
      <c r="C30" s="265" t="s">
        <v>914</v>
      </c>
      <c r="D30" s="265" t="s">
        <v>915</v>
      </c>
      <c r="E30" s="265">
        <v>4</v>
      </c>
      <c r="F30" s="342">
        <v>350000</v>
      </c>
      <c r="G30" s="1090">
        <f>F30*E30</f>
        <v>1400000</v>
      </c>
      <c r="H30" s="278" t="s">
        <v>916</v>
      </c>
      <c r="I30" s="343" t="s">
        <v>704</v>
      </c>
      <c r="J30" s="269"/>
      <c r="K30" s="269"/>
      <c r="L30" s="269"/>
      <c r="M30" s="269"/>
      <c r="N30" s="269"/>
      <c r="O30" s="269"/>
      <c r="P30" s="269"/>
      <c r="Q30" s="269"/>
      <c r="R30" s="269"/>
      <c r="S30" s="269"/>
      <c r="T30" s="269"/>
      <c r="U30" s="269"/>
      <c r="V30" s="269"/>
      <c r="W30" s="269"/>
      <c r="X30" s="269"/>
      <c r="Y30" s="269"/>
      <c r="Z30" s="269"/>
    </row>
    <row r="31" spans="1:26" ht="15.75" customHeight="1">
      <c r="A31" s="1152">
        <v>27</v>
      </c>
      <c r="B31" s="262" t="s">
        <v>788</v>
      </c>
      <c r="C31" s="223" t="s">
        <v>917</v>
      </c>
      <c r="D31" s="229" t="s">
        <v>849</v>
      </c>
      <c r="E31" s="229">
        <v>2</v>
      </c>
      <c r="F31" s="225">
        <v>509490</v>
      </c>
      <c r="G31" s="1075">
        <v>1018980</v>
      </c>
      <c r="H31" s="229" t="s">
        <v>889</v>
      </c>
      <c r="I31" s="340" t="s">
        <v>671</v>
      </c>
      <c r="J31" s="220"/>
      <c r="K31" s="220"/>
      <c r="L31" s="220"/>
      <c r="M31" s="220"/>
      <c r="N31" s="220"/>
      <c r="O31" s="220"/>
      <c r="P31" s="220"/>
      <c r="Q31" s="220"/>
      <c r="R31" s="220"/>
      <c r="S31" s="220"/>
      <c r="T31" s="220"/>
      <c r="U31" s="220"/>
      <c r="V31" s="220"/>
      <c r="W31" s="220"/>
      <c r="X31" s="220"/>
      <c r="Y31" s="220"/>
      <c r="Z31" s="220"/>
    </row>
    <row r="32" spans="1:26" ht="15.75" customHeight="1">
      <c r="A32" s="1152">
        <v>28</v>
      </c>
      <c r="B32" s="229" t="s">
        <v>856</v>
      </c>
      <c r="C32" s="223" t="s">
        <v>918</v>
      </c>
      <c r="D32" s="341" t="s">
        <v>830</v>
      </c>
      <c r="E32" s="223">
        <v>10</v>
      </c>
      <c r="F32" s="252">
        <v>100000</v>
      </c>
      <c r="G32" s="1078">
        <f>F32*E32</f>
        <v>1000000</v>
      </c>
      <c r="H32" s="223" t="s">
        <v>894</v>
      </c>
      <c r="I32" s="333" t="s">
        <v>671</v>
      </c>
      <c r="J32" s="220"/>
      <c r="K32" s="220"/>
      <c r="L32" s="220"/>
      <c r="M32" s="220"/>
      <c r="N32" s="220"/>
      <c r="O32" s="220"/>
      <c r="P32" s="220"/>
      <c r="Q32" s="220"/>
      <c r="R32" s="220"/>
      <c r="S32" s="220"/>
      <c r="T32" s="220"/>
      <c r="U32" s="220"/>
      <c r="V32" s="220"/>
      <c r="W32" s="220"/>
      <c r="X32" s="220"/>
      <c r="Y32" s="220"/>
      <c r="Z32" s="220"/>
    </row>
    <row r="33" spans="1:26" ht="15.75" customHeight="1">
      <c r="A33" s="1152">
        <v>29</v>
      </c>
      <c r="B33" s="229" t="s">
        <v>919</v>
      </c>
      <c r="C33" s="223" t="s">
        <v>920</v>
      </c>
      <c r="D33" s="229" t="s">
        <v>915</v>
      </c>
      <c r="E33" s="229">
        <v>2</v>
      </c>
      <c r="F33" s="252">
        <v>700000</v>
      </c>
      <c r="G33" s="1078">
        <v>700000</v>
      </c>
      <c r="H33" s="223"/>
      <c r="I33" s="333" t="s">
        <v>671</v>
      </c>
      <c r="J33" s="220"/>
      <c r="K33" s="220"/>
      <c r="L33" s="220"/>
      <c r="M33" s="220"/>
      <c r="N33" s="220"/>
      <c r="O33" s="220"/>
      <c r="P33" s="220"/>
      <c r="Q33" s="220"/>
      <c r="R33" s="220"/>
      <c r="S33" s="220"/>
      <c r="T33" s="220"/>
      <c r="U33" s="220"/>
      <c r="V33" s="220"/>
      <c r="W33" s="220"/>
      <c r="X33" s="220"/>
      <c r="Y33" s="220"/>
      <c r="Z33" s="220"/>
    </row>
    <row r="34" spans="1:26" ht="15.75" customHeight="1">
      <c r="A34" s="1152">
        <v>30</v>
      </c>
      <c r="B34" s="229" t="s">
        <v>919</v>
      </c>
      <c r="C34" s="223" t="s">
        <v>921</v>
      </c>
      <c r="D34" s="229" t="s">
        <v>915</v>
      </c>
      <c r="E34" s="229">
        <v>2</v>
      </c>
      <c r="F34" s="252">
        <v>700000</v>
      </c>
      <c r="G34" s="1078">
        <v>700000</v>
      </c>
      <c r="H34" s="223"/>
      <c r="I34" s="333" t="s">
        <v>671</v>
      </c>
      <c r="J34" s="220"/>
      <c r="K34" s="220"/>
      <c r="L34" s="220"/>
      <c r="M34" s="220"/>
      <c r="N34" s="220"/>
      <c r="O34" s="220"/>
      <c r="P34" s="220"/>
      <c r="Q34" s="220"/>
      <c r="R34" s="220"/>
      <c r="S34" s="220"/>
      <c r="T34" s="220"/>
      <c r="U34" s="220"/>
      <c r="V34" s="220"/>
      <c r="W34" s="220"/>
      <c r="X34" s="220"/>
      <c r="Y34" s="220"/>
      <c r="Z34" s="220"/>
    </row>
    <row r="35" spans="1:26" ht="15.75" customHeight="1">
      <c r="A35" s="1152">
        <v>31</v>
      </c>
      <c r="B35" s="262" t="s">
        <v>788</v>
      </c>
      <c r="C35" s="223" t="s">
        <v>922</v>
      </c>
      <c r="D35" s="229" t="s">
        <v>849</v>
      </c>
      <c r="E35" s="229">
        <v>1</v>
      </c>
      <c r="F35" s="225">
        <v>671550</v>
      </c>
      <c r="G35" s="1075">
        <v>671550</v>
      </c>
      <c r="H35" s="229" t="s">
        <v>889</v>
      </c>
      <c r="I35" s="340" t="s">
        <v>671</v>
      </c>
      <c r="J35" s="220"/>
      <c r="K35" s="220"/>
      <c r="L35" s="220"/>
      <c r="M35" s="220"/>
      <c r="N35" s="220"/>
      <c r="O35" s="220"/>
      <c r="P35" s="220"/>
      <c r="Q35" s="220"/>
      <c r="R35" s="220"/>
      <c r="S35" s="220"/>
      <c r="T35" s="220"/>
      <c r="U35" s="220"/>
      <c r="V35" s="220"/>
      <c r="W35" s="220"/>
      <c r="X35" s="220"/>
      <c r="Y35" s="220"/>
      <c r="Z35" s="220"/>
    </row>
    <row r="36" spans="1:26" ht="15.75" customHeight="1">
      <c r="A36" s="1152">
        <v>32</v>
      </c>
      <c r="B36" s="229" t="s">
        <v>856</v>
      </c>
      <c r="C36" s="223" t="s">
        <v>923</v>
      </c>
      <c r="D36" s="250" t="s">
        <v>830</v>
      </c>
      <c r="E36" s="223">
        <v>2</v>
      </c>
      <c r="F36" s="252">
        <v>316250</v>
      </c>
      <c r="G36" s="1078">
        <f>F36*E36</f>
        <v>632500</v>
      </c>
      <c r="H36" s="223" t="s">
        <v>924</v>
      </c>
      <c r="I36" s="333" t="s">
        <v>671</v>
      </c>
      <c r="J36" s="220"/>
      <c r="K36" s="220"/>
      <c r="L36" s="220"/>
      <c r="M36" s="220"/>
      <c r="N36" s="220"/>
      <c r="O36" s="220"/>
      <c r="P36" s="220"/>
      <c r="Q36" s="220"/>
      <c r="R36" s="220"/>
      <c r="S36" s="220"/>
      <c r="T36" s="220"/>
      <c r="U36" s="220"/>
      <c r="V36" s="220"/>
      <c r="W36" s="220"/>
      <c r="X36" s="220"/>
      <c r="Y36" s="220"/>
      <c r="Z36" s="220"/>
    </row>
    <row r="37" spans="1:26" ht="15.75" customHeight="1">
      <c r="A37" s="1152">
        <v>33</v>
      </c>
      <c r="B37" s="229" t="s">
        <v>701</v>
      </c>
      <c r="C37" s="223" t="s">
        <v>925</v>
      </c>
      <c r="D37" s="223">
        <v>1</v>
      </c>
      <c r="E37" s="223">
        <v>1</v>
      </c>
      <c r="F37" s="252" t="s">
        <v>926</v>
      </c>
      <c r="G37" s="1078">
        <v>500000</v>
      </c>
      <c r="H37" s="223" t="s">
        <v>927</v>
      </c>
      <c r="I37" s="333" t="s">
        <v>704</v>
      </c>
      <c r="J37" s="220"/>
      <c r="K37" s="220"/>
      <c r="L37" s="220"/>
      <c r="M37" s="220"/>
      <c r="N37" s="220"/>
      <c r="O37" s="220"/>
      <c r="P37" s="220"/>
      <c r="Q37" s="220"/>
      <c r="R37" s="220"/>
      <c r="S37" s="220"/>
      <c r="T37" s="220"/>
      <c r="U37" s="220"/>
      <c r="V37" s="220"/>
      <c r="W37" s="220"/>
      <c r="X37" s="220"/>
      <c r="Y37" s="220"/>
      <c r="Z37" s="220"/>
    </row>
    <row r="38" spans="1:26" ht="15.75" customHeight="1">
      <c r="A38" s="1152">
        <v>34</v>
      </c>
      <c r="B38" s="229" t="s">
        <v>919</v>
      </c>
      <c r="C38" s="223" t="s">
        <v>928</v>
      </c>
      <c r="D38" s="229" t="s">
        <v>915</v>
      </c>
      <c r="E38" s="229">
        <v>2</v>
      </c>
      <c r="F38" s="252">
        <v>400000</v>
      </c>
      <c r="G38" s="1078">
        <v>400000</v>
      </c>
      <c r="H38" s="223"/>
      <c r="I38" s="333" t="s">
        <v>671</v>
      </c>
      <c r="J38" s="220"/>
      <c r="K38" s="220"/>
      <c r="L38" s="220"/>
      <c r="M38" s="220"/>
      <c r="N38" s="220"/>
      <c r="O38" s="220"/>
      <c r="P38" s="220"/>
      <c r="Q38" s="220"/>
      <c r="R38" s="220"/>
      <c r="S38" s="220"/>
      <c r="T38" s="220"/>
      <c r="U38" s="220"/>
      <c r="V38" s="220"/>
      <c r="W38" s="220"/>
      <c r="X38" s="220"/>
      <c r="Y38" s="220"/>
      <c r="Z38" s="220"/>
    </row>
    <row r="39" spans="1:26" ht="15.75" customHeight="1">
      <c r="A39" s="1152">
        <v>35</v>
      </c>
      <c r="B39" s="222" t="s">
        <v>929</v>
      </c>
      <c r="C39" s="223" t="s">
        <v>930</v>
      </c>
      <c r="D39" s="344"/>
      <c r="E39" s="223">
        <v>1</v>
      </c>
      <c r="F39" s="252">
        <v>316250</v>
      </c>
      <c r="G39" s="1078">
        <f t="shared" ref="G39:G40" si="2">F39*E39</f>
        <v>316250</v>
      </c>
      <c r="H39" s="223" t="s">
        <v>768</v>
      </c>
      <c r="I39" s="333" t="s">
        <v>704</v>
      </c>
      <c r="J39" s="220"/>
      <c r="K39" s="220"/>
      <c r="L39" s="220"/>
      <c r="M39" s="220"/>
      <c r="N39" s="220"/>
      <c r="O39" s="220"/>
      <c r="P39" s="220"/>
      <c r="Q39" s="220"/>
      <c r="R39" s="220"/>
      <c r="S39" s="220"/>
      <c r="T39" s="220"/>
      <c r="U39" s="220"/>
      <c r="V39" s="220"/>
      <c r="W39" s="220"/>
      <c r="X39" s="220"/>
      <c r="Y39" s="220"/>
      <c r="Z39" s="220"/>
    </row>
    <row r="40" spans="1:26" ht="15.75" customHeight="1">
      <c r="A40" s="1152">
        <v>36</v>
      </c>
      <c r="B40" s="229" t="s">
        <v>856</v>
      </c>
      <c r="C40" s="223" t="s">
        <v>931</v>
      </c>
      <c r="D40" s="341" t="s">
        <v>830</v>
      </c>
      <c r="E40" s="223">
        <v>3</v>
      </c>
      <c r="F40" s="252">
        <v>100000</v>
      </c>
      <c r="G40" s="1078">
        <f t="shared" si="2"/>
        <v>300000</v>
      </c>
      <c r="H40" s="223" t="s">
        <v>894</v>
      </c>
      <c r="I40" s="333" t="s">
        <v>671</v>
      </c>
      <c r="J40" s="220"/>
      <c r="K40" s="220"/>
      <c r="L40" s="220"/>
      <c r="M40" s="220"/>
      <c r="N40" s="220"/>
      <c r="O40" s="220"/>
      <c r="P40" s="220"/>
      <c r="Q40" s="220"/>
      <c r="R40" s="220"/>
      <c r="S40" s="220"/>
      <c r="T40" s="220"/>
      <c r="U40" s="220"/>
      <c r="V40" s="220"/>
      <c r="W40" s="220"/>
      <c r="X40" s="220"/>
      <c r="Y40" s="220"/>
      <c r="Z40" s="220"/>
    </row>
    <row r="41" spans="1:26" ht="15.75" customHeight="1">
      <c r="A41" s="1152">
        <v>37</v>
      </c>
      <c r="B41" s="229" t="s">
        <v>856</v>
      </c>
      <c r="C41" s="223" t="s">
        <v>932</v>
      </c>
      <c r="D41" s="341" t="s">
        <v>830</v>
      </c>
      <c r="E41" s="223">
        <v>3</v>
      </c>
      <c r="F41" s="252">
        <v>100000</v>
      </c>
      <c r="G41" s="1078">
        <v>300000</v>
      </c>
      <c r="H41" s="223" t="s">
        <v>894</v>
      </c>
      <c r="I41" s="333" t="s">
        <v>671</v>
      </c>
      <c r="J41" s="220"/>
      <c r="K41" s="220"/>
      <c r="L41" s="220"/>
      <c r="M41" s="220"/>
      <c r="N41" s="220"/>
      <c r="O41" s="220"/>
      <c r="P41" s="220"/>
      <c r="Q41" s="220"/>
      <c r="R41" s="220"/>
      <c r="S41" s="220"/>
      <c r="T41" s="220"/>
      <c r="U41" s="220"/>
      <c r="V41" s="220"/>
      <c r="W41" s="220"/>
      <c r="X41" s="220"/>
      <c r="Y41" s="220"/>
      <c r="Z41" s="220"/>
    </row>
    <row r="42" spans="1:26" ht="15.75" customHeight="1">
      <c r="A42" s="1152">
        <v>38</v>
      </c>
      <c r="B42" s="229" t="s">
        <v>856</v>
      </c>
      <c r="C42" s="223" t="s">
        <v>933</v>
      </c>
      <c r="D42" s="341" t="s">
        <v>830</v>
      </c>
      <c r="E42" s="223">
        <v>2</v>
      </c>
      <c r="F42" s="252">
        <v>100000</v>
      </c>
      <c r="G42" s="1078">
        <f>F42*E42</f>
        <v>200000</v>
      </c>
      <c r="H42" s="223" t="s">
        <v>894</v>
      </c>
      <c r="I42" s="333" t="s">
        <v>671</v>
      </c>
      <c r="J42" s="220"/>
      <c r="K42" s="220"/>
      <c r="L42" s="220"/>
      <c r="M42" s="220"/>
      <c r="N42" s="220"/>
      <c r="O42" s="220"/>
      <c r="P42" s="220"/>
      <c r="Q42" s="220"/>
      <c r="R42" s="220"/>
      <c r="S42" s="220"/>
      <c r="T42" s="220"/>
      <c r="U42" s="220"/>
      <c r="V42" s="220"/>
      <c r="W42" s="220"/>
      <c r="X42" s="220"/>
      <c r="Y42" s="220"/>
      <c r="Z42" s="220"/>
    </row>
    <row r="43" spans="1:26" ht="15.75" customHeight="1">
      <c r="A43" s="1152">
        <v>39</v>
      </c>
      <c r="B43" s="229" t="s">
        <v>919</v>
      </c>
      <c r="C43" s="223" t="s">
        <v>934</v>
      </c>
      <c r="D43" s="262" t="s">
        <v>830</v>
      </c>
      <c r="E43" s="229">
        <v>2</v>
      </c>
      <c r="F43" s="252">
        <v>200000</v>
      </c>
      <c r="G43" s="1078">
        <v>200000</v>
      </c>
      <c r="H43" s="223"/>
      <c r="I43" s="333" t="s">
        <v>671</v>
      </c>
      <c r="J43" s="220"/>
      <c r="K43" s="220"/>
      <c r="L43" s="220"/>
      <c r="M43" s="220"/>
      <c r="N43" s="220"/>
      <c r="O43" s="220"/>
      <c r="P43" s="220"/>
      <c r="Q43" s="220"/>
      <c r="R43" s="220"/>
      <c r="S43" s="220"/>
      <c r="T43" s="220"/>
      <c r="U43" s="220"/>
      <c r="V43" s="220"/>
      <c r="W43" s="220"/>
      <c r="X43" s="220"/>
      <c r="Y43" s="220"/>
      <c r="Z43" s="220"/>
    </row>
    <row r="44" spans="1:26" ht="15.75" customHeight="1">
      <c r="A44" s="1152">
        <v>40</v>
      </c>
      <c r="B44" s="222" t="s">
        <v>929</v>
      </c>
      <c r="C44" s="223" t="s">
        <v>935</v>
      </c>
      <c r="D44" s="252"/>
      <c r="E44" s="223">
        <v>1</v>
      </c>
      <c r="F44" s="252">
        <v>100000</v>
      </c>
      <c r="G44" s="1078">
        <f t="shared" ref="G44:G47" si="3">F44*E44</f>
        <v>100000</v>
      </c>
      <c r="H44" s="223" t="s">
        <v>768</v>
      </c>
      <c r="I44" s="345" t="s">
        <v>753</v>
      </c>
      <c r="J44" s="220"/>
      <c r="K44" s="220"/>
      <c r="L44" s="220"/>
      <c r="M44" s="220"/>
      <c r="N44" s="220"/>
      <c r="O44" s="220"/>
      <c r="P44" s="220"/>
      <c r="Q44" s="220"/>
      <c r="R44" s="220"/>
      <c r="S44" s="220"/>
      <c r="T44" s="220"/>
      <c r="U44" s="220"/>
      <c r="V44" s="220"/>
      <c r="W44" s="220"/>
      <c r="X44" s="220"/>
      <c r="Y44" s="220"/>
      <c r="Z44" s="220"/>
    </row>
    <row r="45" spans="1:26" ht="15.75" customHeight="1">
      <c r="A45" s="1152">
        <v>41</v>
      </c>
      <c r="B45" s="229" t="s">
        <v>856</v>
      </c>
      <c r="C45" s="223" t="s">
        <v>936</v>
      </c>
      <c r="D45" s="341" t="s">
        <v>830</v>
      </c>
      <c r="E45" s="223">
        <v>1</v>
      </c>
      <c r="F45" s="252">
        <v>100000</v>
      </c>
      <c r="G45" s="1078">
        <f t="shared" si="3"/>
        <v>100000</v>
      </c>
      <c r="H45" s="223" t="s">
        <v>894</v>
      </c>
      <c r="I45" s="333" t="s">
        <v>671</v>
      </c>
      <c r="J45" s="220"/>
      <c r="K45" s="220"/>
      <c r="L45" s="220"/>
      <c r="M45" s="220"/>
      <c r="N45" s="220"/>
      <c r="O45" s="220"/>
      <c r="P45" s="220"/>
      <c r="Q45" s="220"/>
      <c r="R45" s="220"/>
      <c r="S45" s="220"/>
      <c r="T45" s="220"/>
      <c r="U45" s="220"/>
      <c r="V45" s="220"/>
      <c r="W45" s="220"/>
      <c r="X45" s="220"/>
      <c r="Y45" s="220"/>
      <c r="Z45" s="220"/>
    </row>
    <row r="46" spans="1:26" ht="15.75" customHeight="1">
      <c r="A46" s="1152">
        <v>42</v>
      </c>
      <c r="B46" s="229" t="s">
        <v>856</v>
      </c>
      <c r="C46" s="223" t="s">
        <v>937</v>
      </c>
      <c r="D46" s="341" t="s">
        <v>830</v>
      </c>
      <c r="E46" s="223">
        <v>1</v>
      </c>
      <c r="F46" s="252">
        <v>100000</v>
      </c>
      <c r="G46" s="1078">
        <f t="shared" si="3"/>
        <v>100000</v>
      </c>
      <c r="H46" s="223" t="s">
        <v>894</v>
      </c>
      <c r="I46" s="333" t="s">
        <v>671</v>
      </c>
      <c r="J46" s="220"/>
      <c r="K46" s="220"/>
      <c r="L46" s="220"/>
      <c r="M46" s="220"/>
      <c r="N46" s="220"/>
      <c r="O46" s="220"/>
      <c r="P46" s="220"/>
      <c r="Q46" s="220"/>
      <c r="R46" s="220"/>
      <c r="S46" s="220"/>
      <c r="T46" s="220"/>
      <c r="U46" s="220"/>
      <c r="V46" s="220"/>
      <c r="W46" s="220"/>
      <c r="X46" s="220"/>
      <c r="Y46" s="220"/>
      <c r="Z46" s="220"/>
    </row>
    <row r="47" spans="1:26" ht="15.75" customHeight="1">
      <c r="A47" s="1152">
        <v>43</v>
      </c>
      <c r="B47" s="229" t="s">
        <v>856</v>
      </c>
      <c r="C47" s="223" t="s">
        <v>938</v>
      </c>
      <c r="D47" s="341" t="s">
        <v>830</v>
      </c>
      <c r="E47" s="223">
        <v>1</v>
      </c>
      <c r="F47" s="252">
        <v>100000</v>
      </c>
      <c r="G47" s="1078">
        <f t="shared" si="3"/>
        <v>100000</v>
      </c>
      <c r="H47" s="223" t="s">
        <v>894</v>
      </c>
      <c r="I47" s="333" t="s">
        <v>671</v>
      </c>
      <c r="J47" s="220"/>
      <c r="K47" s="220"/>
      <c r="L47" s="220"/>
      <c r="M47" s="220"/>
      <c r="N47" s="220"/>
      <c r="O47" s="220"/>
      <c r="P47" s="220"/>
      <c r="Q47" s="220"/>
      <c r="R47" s="220"/>
      <c r="S47" s="220"/>
      <c r="T47" s="220"/>
      <c r="U47" s="220"/>
      <c r="V47" s="220"/>
      <c r="W47" s="220"/>
      <c r="X47" s="220"/>
      <c r="Y47" s="220"/>
      <c r="Z47" s="220"/>
    </row>
    <row r="48" spans="1:26" ht="15.75" customHeight="1">
      <c r="B48" s="208"/>
    </row>
    <row r="49" spans="2:7" ht="15.75" customHeight="1">
      <c r="B49" s="208"/>
      <c r="C49" s="3" t="s">
        <v>7</v>
      </c>
      <c r="F49" s="220"/>
      <c r="G49" s="1091">
        <f>SUM(G5:G47)</f>
        <v>95445750</v>
      </c>
    </row>
    <row r="50" spans="2:7" ht="15.75" customHeight="1">
      <c r="B50" s="208"/>
    </row>
    <row r="51" spans="2:7" ht="15.75" customHeight="1">
      <c r="B51" s="208"/>
      <c r="G51" s="1092"/>
    </row>
    <row r="52" spans="2:7" ht="15.75" customHeight="1">
      <c r="B52" s="208"/>
    </row>
    <row r="53" spans="2:7" ht="15.75" customHeight="1">
      <c r="B53" s="208"/>
    </row>
    <row r="54" spans="2:7" ht="15.75" customHeight="1">
      <c r="B54" s="208"/>
    </row>
    <row r="55" spans="2:7" ht="15.75" customHeight="1">
      <c r="B55" s="208"/>
    </row>
    <row r="56" spans="2:7" ht="15.75" customHeight="1">
      <c r="B56" s="208"/>
    </row>
    <row r="57" spans="2:7" ht="15.75" customHeight="1">
      <c r="B57" s="208"/>
    </row>
    <row r="58" spans="2:7" ht="15.75" customHeight="1">
      <c r="B58" s="208"/>
    </row>
    <row r="59" spans="2:7" ht="15.75" customHeight="1">
      <c r="B59" s="208"/>
    </row>
    <row r="60" spans="2:7" ht="15.75" customHeight="1">
      <c r="B60" s="208"/>
    </row>
    <row r="61" spans="2:7" ht="15.75" customHeight="1">
      <c r="B61" s="208"/>
    </row>
    <row r="62" spans="2:7" ht="15.75" customHeight="1">
      <c r="B62" s="208"/>
    </row>
    <row r="63" spans="2:7" ht="15.75" customHeight="1">
      <c r="B63" s="208"/>
    </row>
    <row r="64" spans="2:7" ht="15.75" customHeight="1">
      <c r="B64" s="208"/>
    </row>
    <row r="65" spans="2:2" ht="15.75" customHeight="1">
      <c r="B65" s="208"/>
    </row>
    <row r="66" spans="2:2" ht="15.75" customHeight="1">
      <c r="B66" s="208"/>
    </row>
    <row r="67" spans="2:2" ht="15.75" customHeight="1">
      <c r="B67" s="208"/>
    </row>
    <row r="68" spans="2:2" ht="15.75" customHeight="1">
      <c r="B68" s="208"/>
    </row>
    <row r="69" spans="2:2" ht="15.75" customHeight="1">
      <c r="B69" s="208"/>
    </row>
    <row r="70" spans="2:2" ht="15.75" customHeight="1">
      <c r="B70" s="208"/>
    </row>
    <row r="71" spans="2:2" ht="15.75" customHeight="1">
      <c r="B71" s="208"/>
    </row>
    <row r="72" spans="2:2" ht="15.75" customHeight="1">
      <c r="B72" s="208"/>
    </row>
    <row r="73" spans="2:2" ht="15.75" customHeight="1">
      <c r="B73" s="208"/>
    </row>
    <row r="74" spans="2:2" ht="15.75" customHeight="1">
      <c r="B74" s="208"/>
    </row>
    <row r="75" spans="2:2" ht="15.75" customHeight="1">
      <c r="B75" s="208"/>
    </row>
    <row r="76" spans="2:2" ht="15.75" customHeight="1">
      <c r="B76" s="208"/>
    </row>
    <row r="77" spans="2:2" ht="15.75" customHeight="1">
      <c r="B77" s="208"/>
    </row>
    <row r="78" spans="2:2" ht="15.75" customHeight="1">
      <c r="B78" s="208"/>
    </row>
    <row r="79" spans="2:2" ht="15.75" customHeight="1">
      <c r="B79" s="208"/>
    </row>
    <row r="80" spans="2:2" ht="15.75" customHeight="1">
      <c r="B80" s="208"/>
    </row>
    <row r="81" spans="2:2" ht="15.75" customHeight="1">
      <c r="B81" s="208"/>
    </row>
    <row r="82" spans="2:2" ht="15.75" customHeight="1">
      <c r="B82" s="208"/>
    </row>
    <row r="83" spans="2:2" ht="15.75" customHeight="1">
      <c r="B83" s="208"/>
    </row>
    <row r="84" spans="2:2" ht="15.75" customHeight="1">
      <c r="B84" s="208"/>
    </row>
    <row r="85" spans="2:2" ht="15.75" customHeight="1">
      <c r="B85" s="208"/>
    </row>
    <row r="86" spans="2:2" ht="15.75" customHeight="1">
      <c r="B86" s="208"/>
    </row>
    <row r="87" spans="2:2" ht="15.75" customHeight="1">
      <c r="B87" s="208"/>
    </row>
    <row r="88" spans="2:2" ht="15.75" customHeight="1">
      <c r="B88" s="208"/>
    </row>
    <row r="89" spans="2:2" ht="15.75" customHeight="1">
      <c r="B89" s="208"/>
    </row>
    <row r="90" spans="2:2" ht="15.75" customHeight="1">
      <c r="B90" s="208"/>
    </row>
    <row r="91" spans="2:2" ht="15.75" customHeight="1">
      <c r="B91" s="208"/>
    </row>
    <row r="92" spans="2:2" ht="15.75" customHeight="1">
      <c r="B92" s="208"/>
    </row>
    <row r="93" spans="2:2" ht="15.75" customHeight="1">
      <c r="B93" s="208"/>
    </row>
    <row r="94" spans="2:2" ht="15.75" customHeight="1">
      <c r="B94" s="208"/>
    </row>
    <row r="95" spans="2:2" ht="15.75" customHeight="1">
      <c r="B95" s="208"/>
    </row>
    <row r="96" spans="2:2" ht="15.75" customHeight="1">
      <c r="B96" s="208"/>
    </row>
    <row r="97" spans="2:2" ht="15.75" customHeight="1">
      <c r="B97" s="208"/>
    </row>
    <row r="98" spans="2:2" ht="15.75" customHeight="1">
      <c r="B98" s="208"/>
    </row>
    <row r="99" spans="2:2" ht="15.75" customHeight="1">
      <c r="B99" s="208"/>
    </row>
    <row r="100" spans="2:2" ht="15.75" customHeight="1">
      <c r="B100" s="208"/>
    </row>
    <row r="101" spans="2:2" ht="15.75" customHeight="1">
      <c r="B101" s="208"/>
    </row>
    <row r="102" spans="2:2" ht="15.75" customHeight="1">
      <c r="B102" s="208"/>
    </row>
    <row r="103" spans="2:2" ht="15.75" customHeight="1">
      <c r="B103" s="208"/>
    </row>
    <row r="104" spans="2:2" ht="15.75" customHeight="1">
      <c r="B104" s="208"/>
    </row>
    <row r="105" spans="2:2" ht="15.75" customHeight="1">
      <c r="B105" s="208"/>
    </row>
    <row r="106" spans="2:2" ht="15.75" customHeight="1">
      <c r="B106" s="208"/>
    </row>
    <row r="107" spans="2:2" ht="15.75" customHeight="1">
      <c r="B107" s="208"/>
    </row>
    <row r="108" spans="2:2" ht="15.75" customHeight="1">
      <c r="B108" s="208"/>
    </row>
    <row r="109" spans="2:2" ht="15.75" customHeight="1">
      <c r="B109" s="208"/>
    </row>
    <row r="110" spans="2:2" ht="15.75" customHeight="1">
      <c r="B110" s="208"/>
    </row>
    <row r="111" spans="2:2" ht="15.75" customHeight="1">
      <c r="B111" s="208"/>
    </row>
    <row r="112" spans="2:2" ht="15.75" customHeight="1">
      <c r="B112" s="208"/>
    </row>
    <row r="113" spans="2:2" ht="15.75" customHeight="1">
      <c r="B113" s="208"/>
    </row>
    <row r="114" spans="2:2" ht="15.75" customHeight="1">
      <c r="B114" s="208"/>
    </row>
    <row r="115" spans="2:2" ht="15.75" customHeight="1">
      <c r="B115" s="208"/>
    </row>
    <row r="116" spans="2:2" ht="15.75" customHeight="1">
      <c r="B116" s="208"/>
    </row>
    <row r="117" spans="2:2" ht="15.75" customHeight="1">
      <c r="B117" s="208"/>
    </row>
    <row r="118" spans="2:2" ht="15.75" customHeight="1">
      <c r="B118" s="208"/>
    </row>
    <row r="119" spans="2:2" ht="15.75" customHeight="1">
      <c r="B119" s="208"/>
    </row>
    <row r="120" spans="2:2" ht="15.75" customHeight="1">
      <c r="B120" s="208"/>
    </row>
    <row r="121" spans="2:2" ht="15.75" customHeight="1">
      <c r="B121" s="208"/>
    </row>
    <row r="122" spans="2:2" ht="15.75" customHeight="1">
      <c r="B122" s="208"/>
    </row>
    <row r="123" spans="2:2" ht="15.75" customHeight="1">
      <c r="B123" s="208"/>
    </row>
    <row r="124" spans="2:2" ht="15.75" customHeight="1">
      <c r="B124" s="208"/>
    </row>
    <row r="125" spans="2:2" ht="15.75" customHeight="1">
      <c r="B125" s="208"/>
    </row>
    <row r="126" spans="2:2" ht="15.75" customHeight="1">
      <c r="B126" s="208"/>
    </row>
    <row r="127" spans="2:2" ht="15.75" customHeight="1">
      <c r="B127" s="208"/>
    </row>
    <row r="128" spans="2:2" ht="15.75" customHeight="1">
      <c r="B128" s="208"/>
    </row>
    <row r="129" spans="2:2" ht="15.75" customHeight="1">
      <c r="B129" s="208"/>
    </row>
    <row r="130" spans="2:2" ht="15.75" customHeight="1">
      <c r="B130" s="208"/>
    </row>
    <row r="131" spans="2:2" ht="15.75" customHeight="1">
      <c r="B131" s="208"/>
    </row>
    <row r="132" spans="2:2" ht="15.75" customHeight="1">
      <c r="B132" s="208"/>
    </row>
    <row r="133" spans="2:2" ht="15.75" customHeight="1">
      <c r="B133" s="208"/>
    </row>
    <row r="134" spans="2:2" ht="15.75" customHeight="1">
      <c r="B134" s="208"/>
    </row>
    <row r="135" spans="2:2" ht="15.75" customHeight="1">
      <c r="B135" s="208"/>
    </row>
    <row r="136" spans="2:2" ht="15.75" customHeight="1">
      <c r="B136" s="208"/>
    </row>
    <row r="137" spans="2:2" ht="15.75" customHeight="1">
      <c r="B137" s="208"/>
    </row>
    <row r="138" spans="2:2" ht="15.75" customHeight="1">
      <c r="B138" s="208"/>
    </row>
    <row r="139" spans="2:2" ht="15.75" customHeight="1">
      <c r="B139" s="208"/>
    </row>
    <row r="140" spans="2:2" ht="15.75" customHeight="1">
      <c r="B140" s="208"/>
    </row>
    <row r="141" spans="2:2" ht="15.75" customHeight="1">
      <c r="B141" s="208"/>
    </row>
    <row r="142" spans="2:2" ht="15.75" customHeight="1">
      <c r="B142" s="208"/>
    </row>
    <row r="143" spans="2:2" ht="15.75" customHeight="1">
      <c r="B143" s="208"/>
    </row>
    <row r="144" spans="2:2" ht="15.75" customHeight="1">
      <c r="B144" s="208"/>
    </row>
    <row r="145" spans="2:2" ht="15.75" customHeight="1">
      <c r="B145" s="208"/>
    </row>
    <row r="146" spans="2:2" ht="15.75" customHeight="1">
      <c r="B146" s="208"/>
    </row>
    <row r="147" spans="2:2" ht="15.75" customHeight="1">
      <c r="B147" s="208"/>
    </row>
    <row r="148" spans="2:2" ht="15.75" customHeight="1">
      <c r="B148" s="208"/>
    </row>
    <row r="149" spans="2:2" ht="15.75" customHeight="1">
      <c r="B149" s="208"/>
    </row>
    <row r="150" spans="2:2" ht="15.75" customHeight="1">
      <c r="B150" s="208"/>
    </row>
    <row r="151" spans="2:2" ht="15.75" customHeight="1">
      <c r="B151" s="208"/>
    </row>
    <row r="152" spans="2:2" ht="15.75" customHeight="1">
      <c r="B152" s="208"/>
    </row>
    <row r="153" spans="2:2" ht="15.75" customHeight="1">
      <c r="B153" s="208"/>
    </row>
    <row r="154" spans="2:2" ht="15.75" customHeight="1">
      <c r="B154" s="208"/>
    </row>
    <row r="155" spans="2:2" ht="15.75" customHeight="1">
      <c r="B155" s="208"/>
    </row>
    <row r="156" spans="2:2" ht="15.75" customHeight="1">
      <c r="B156" s="208"/>
    </row>
    <row r="157" spans="2:2" ht="15.75" customHeight="1">
      <c r="B157" s="208"/>
    </row>
    <row r="158" spans="2:2" ht="15.75" customHeight="1">
      <c r="B158" s="208"/>
    </row>
    <row r="159" spans="2:2" ht="15.75" customHeight="1">
      <c r="B159" s="208"/>
    </row>
    <row r="160" spans="2:2" ht="15.75" customHeight="1">
      <c r="B160" s="208"/>
    </row>
    <row r="161" spans="2:2" ht="15.75" customHeight="1">
      <c r="B161" s="208"/>
    </row>
    <row r="162" spans="2:2" ht="15.75" customHeight="1">
      <c r="B162" s="208"/>
    </row>
    <row r="163" spans="2:2" ht="15.75" customHeight="1">
      <c r="B163" s="208"/>
    </row>
    <row r="164" spans="2:2" ht="15.75" customHeight="1">
      <c r="B164" s="208"/>
    </row>
    <row r="165" spans="2:2" ht="15.75" customHeight="1">
      <c r="B165" s="208"/>
    </row>
    <row r="166" spans="2:2" ht="15.75" customHeight="1">
      <c r="B166" s="208"/>
    </row>
    <row r="167" spans="2:2" ht="15.75" customHeight="1">
      <c r="B167" s="208"/>
    </row>
    <row r="168" spans="2:2" ht="15.75" customHeight="1">
      <c r="B168" s="208"/>
    </row>
    <row r="169" spans="2:2" ht="15.75" customHeight="1">
      <c r="B169" s="208"/>
    </row>
    <row r="170" spans="2:2" ht="15.75" customHeight="1">
      <c r="B170" s="208"/>
    </row>
    <row r="171" spans="2:2" ht="15.75" customHeight="1">
      <c r="B171" s="208"/>
    </row>
    <row r="172" spans="2:2" ht="15.75" customHeight="1">
      <c r="B172" s="208"/>
    </row>
    <row r="173" spans="2:2" ht="15.75" customHeight="1">
      <c r="B173" s="208"/>
    </row>
    <row r="174" spans="2:2" ht="15.75" customHeight="1">
      <c r="B174" s="208"/>
    </row>
    <row r="175" spans="2:2" ht="15.75" customHeight="1">
      <c r="B175" s="208"/>
    </row>
    <row r="176" spans="2:2" ht="15.75" customHeight="1">
      <c r="B176" s="208"/>
    </row>
    <row r="177" spans="2:2" ht="15.75" customHeight="1">
      <c r="B177" s="208"/>
    </row>
    <row r="178" spans="2:2" ht="15.75" customHeight="1">
      <c r="B178" s="208"/>
    </row>
    <row r="179" spans="2:2" ht="15.75" customHeight="1">
      <c r="B179" s="208"/>
    </row>
    <row r="180" spans="2:2" ht="15.75" customHeight="1">
      <c r="B180" s="208"/>
    </row>
    <row r="181" spans="2:2" ht="15.75" customHeight="1">
      <c r="B181" s="208"/>
    </row>
    <row r="182" spans="2:2" ht="15.75" customHeight="1">
      <c r="B182" s="208"/>
    </row>
    <row r="183" spans="2:2" ht="15.75" customHeight="1">
      <c r="B183" s="208"/>
    </row>
    <row r="184" spans="2:2" ht="15.75" customHeight="1">
      <c r="B184" s="208"/>
    </row>
    <row r="185" spans="2:2" ht="15.75" customHeight="1">
      <c r="B185" s="208"/>
    </row>
    <row r="186" spans="2:2" ht="15.75" customHeight="1">
      <c r="B186" s="208"/>
    </row>
    <row r="187" spans="2:2" ht="15.75" customHeight="1">
      <c r="B187" s="208"/>
    </row>
    <row r="188" spans="2:2" ht="15.75" customHeight="1">
      <c r="B188" s="208"/>
    </row>
    <row r="189" spans="2:2" ht="15.75" customHeight="1">
      <c r="B189" s="208"/>
    </row>
    <row r="190" spans="2:2" ht="15.75" customHeight="1">
      <c r="B190" s="208"/>
    </row>
    <row r="191" spans="2:2" ht="15.75" customHeight="1">
      <c r="B191" s="208"/>
    </row>
    <row r="192" spans="2:2" ht="15.75" customHeight="1">
      <c r="B192" s="208"/>
    </row>
    <row r="193" spans="2:2" ht="15.75" customHeight="1">
      <c r="B193" s="208"/>
    </row>
    <row r="194" spans="2:2" ht="15.75" customHeight="1">
      <c r="B194" s="208"/>
    </row>
    <row r="195" spans="2:2" ht="15.75" customHeight="1">
      <c r="B195" s="208"/>
    </row>
    <row r="196" spans="2:2" ht="15.75" customHeight="1">
      <c r="B196" s="208"/>
    </row>
    <row r="197" spans="2:2" ht="15.75" customHeight="1">
      <c r="B197" s="208"/>
    </row>
    <row r="198" spans="2:2" ht="15.75" customHeight="1">
      <c r="B198" s="208"/>
    </row>
    <row r="199" spans="2:2" ht="15.75" customHeight="1">
      <c r="B199" s="208"/>
    </row>
    <row r="200" spans="2:2" ht="15.75" customHeight="1">
      <c r="B200" s="208"/>
    </row>
    <row r="201" spans="2:2" ht="15.75" customHeight="1">
      <c r="B201" s="208"/>
    </row>
    <row r="202" spans="2:2" ht="15.75" customHeight="1">
      <c r="B202" s="208"/>
    </row>
    <row r="203" spans="2:2" ht="15.75" customHeight="1">
      <c r="B203" s="208"/>
    </row>
    <row r="204" spans="2:2" ht="15.75" customHeight="1">
      <c r="B204" s="208"/>
    </row>
    <row r="205" spans="2:2" ht="15.75" customHeight="1">
      <c r="B205" s="208"/>
    </row>
    <row r="206" spans="2:2" ht="15.75" customHeight="1">
      <c r="B206" s="208"/>
    </row>
    <row r="207" spans="2:2" ht="15.75" customHeight="1">
      <c r="B207" s="208"/>
    </row>
    <row r="208" spans="2:2" ht="15.75" customHeight="1">
      <c r="B208" s="208"/>
    </row>
    <row r="209" spans="2:2" ht="15.75" customHeight="1">
      <c r="B209" s="208"/>
    </row>
    <row r="210" spans="2:2" ht="15.75" customHeight="1">
      <c r="B210" s="208"/>
    </row>
    <row r="211" spans="2:2" ht="15.75" customHeight="1">
      <c r="B211" s="208"/>
    </row>
    <row r="212" spans="2:2" ht="15.75" customHeight="1">
      <c r="B212" s="208"/>
    </row>
    <row r="213" spans="2:2" ht="15.75" customHeight="1">
      <c r="B213" s="208"/>
    </row>
    <row r="214" spans="2:2" ht="15.75" customHeight="1">
      <c r="B214" s="208"/>
    </row>
    <row r="215" spans="2:2" ht="15.75" customHeight="1">
      <c r="B215" s="208"/>
    </row>
    <row r="216" spans="2:2" ht="15.75" customHeight="1">
      <c r="B216" s="208"/>
    </row>
    <row r="217" spans="2:2" ht="15.75" customHeight="1">
      <c r="B217" s="208"/>
    </row>
    <row r="218" spans="2:2" ht="15.75" customHeight="1">
      <c r="B218" s="208"/>
    </row>
    <row r="219" spans="2:2" ht="15.75" customHeight="1">
      <c r="B219" s="208"/>
    </row>
    <row r="220" spans="2:2" ht="15.75" customHeight="1">
      <c r="B220" s="208"/>
    </row>
    <row r="221" spans="2:2" ht="15.75" customHeight="1">
      <c r="B221" s="208"/>
    </row>
    <row r="222" spans="2:2" ht="15.75" customHeight="1">
      <c r="B222" s="208"/>
    </row>
    <row r="223" spans="2:2" ht="15.75" customHeight="1">
      <c r="B223" s="208"/>
    </row>
    <row r="224" spans="2:2" ht="15.75" customHeight="1">
      <c r="B224" s="208"/>
    </row>
    <row r="225" spans="2:2" ht="15.75" customHeight="1">
      <c r="B225" s="208"/>
    </row>
    <row r="226" spans="2:2" ht="15.75" customHeight="1">
      <c r="B226" s="208"/>
    </row>
    <row r="227" spans="2:2" ht="15.75" customHeight="1">
      <c r="B227" s="208"/>
    </row>
    <row r="228" spans="2:2" ht="15.75" customHeight="1">
      <c r="B228" s="208"/>
    </row>
    <row r="229" spans="2:2" ht="15.75" customHeight="1">
      <c r="B229" s="208"/>
    </row>
    <row r="230" spans="2:2" ht="15.75" customHeight="1">
      <c r="B230" s="208"/>
    </row>
    <row r="231" spans="2:2" ht="15.75" customHeight="1">
      <c r="B231" s="208"/>
    </row>
    <row r="232" spans="2:2" ht="15.75" customHeight="1">
      <c r="B232" s="208"/>
    </row>
    <row r="233" spans="2:2" ht="15.75" customHeight="1">
      <c r="B233" s="208"/>
    </row>
    <row r="234" spans="2:2" ht="15.75" customHeight="1">
      <c r="B234" s="208"/>
    </row>
    <row r="235" spans="2:2" ht="15.75" customHeight="1">
      <c r="B235" s="208"/>
    </row>
    <row r="236" spans="2:2" ht="15.75" customHeight="1">
      <c r="B236" s="208"/>
    </row>
    <row r="237" spans="2:2" ht="15.75" customHeight="1">
      <c r="B237" s="208"/>
    </row>
    <row r="238" spans="2:2" ht="15.75" customHeight="1">
      <c r="B238" s="208"/>
    </row>
    <row r="239" spans="2:2" ht="15.75" customHeight="1">
      <c r="B239" s="208"/>
    </row>
    <row r="240" spans="2:2" ht="15.75" customHeight="1">
      <c r="B240" s="208"/>
    </row>
    <row r="241" spans="2:2" ht="15.75" customHeight="1">
      <c r="B241" s="208"/>
    </row>
    <row r="242" spans="2:2" ht="15.75" customHeight="1">
      <c r="B242" s="208"/>
    </row>
    <row r="243" spans="2:2" ht="15.75" customHeight="1">
      <c r="B243" s="208"/>
    </row>
    <row r="244" spans="2:2" ht="15.75" customHeight="1">
      <c r="B244" s="208"/>
    </row>
    <row r="245" spans="2:2" ht="15.75" customHeight="1">
      <c r="B245" s="208"/>
    </row>
    <row r="246" spans="2:2" ht="15.75" customHeight="1">
      <c r="B246" s="208"/>
    </row>
    <row r="247" spans="2:2" ht="15.75" customHeight="1">
      <c r="B247" s="208"/>
    </row>
    <row r="248" spans="2:2" ht="15.75" customHeight="1">
      <c r="B248" s="208"/>
    </row>
    <row r="249" spans="2:2" ht="15.75" customHeight="1">
      <c r="B249" s="208"/>
    </row>
    <row r="250" spans="2:2" ht="15.75" customHeight="1">
      <c r="B250" s="208"/>
    </row>
    <row r="251" spans="2:2" ht="15.75" customHeight="1">
      <c r="B251" s="208"/>
    </row>
    <row r="252" spans="2:2" ht="15.75" customHeight="1"/>
    <row r="253" spans="2:2" ht="15.75" customHeight="1"/>
    <row r="254" spans="2:2" ht="15.75" customHeight="1"/>
    <row r="255" spans="2:2" ht="15.75" customHeight="1"/>
    <row r="256" spans="2:2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E1"/>
  </mergeCells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topLeftCell="A211" workbookViewId="0">
      <selection activeCell="D140" sqref="D140"/>
    </sheetView>
  </sheetViews>
  <sheetFormatPr defaultColWidth="14.42578125" defaultRowHeight="15" customHeight="1"/>
  <cols>
    <col min="1" max="1" width="7.5703125" customWidth="1"/>
    <col min="2" max="2" width="22.28515625" customWidth="1"/>
    <col min="3" max="3" width="33.7109375" customWidth="1"/>
    <col min="4" max="4" width="9.28515625" customWidth="1"/>
    <col min="5" max="5" width="13.7109375" customWidth="1"/>
    <col min="6" max="6" width="16.5703125" customWidth="1"/>
    <col min="7" max="7" width="20.7109375" style="1055" customWidth="1"/>
    <col min="8" max="8" width="19.5703125" style="1055" customWidth="1"/>
    <col min="9" max="9" width="50.7109375" customWidth="1"/>
    <col min="10" max="10" width="20.28515625" customWidth="1"/>
    <col min="11" max="26" width="10" customWidth="1"/>
  </cols>
  <sheetData>
    <row r="1" spans="1:26" ht="15.75" customHeight="1">
      <c r="A1" s="953" t="s">
        <v>939</v>
      </c>
      <c r="B1" s="890"/>
      <c r="C1" s="890"/>
      <c r="D1" s="890"/>
      <c r="E1" s="890"/>
      <c r="F1" s="890"/>
      <c r="G1" s="890"/>
      <c r="H1" s="890"/>
      <c r="I1" s="890"/>
      <c r="J1" s="306"/>
      <c r="K1" s="306"/>
      <c r="L1" s="306"/>
      <c r="M1" s="306"/>
      <c r="N1" s="306"/>
      <c r="O1" s="306"/>
      <c r="P1" s="306"/>
      <c r="Q1" s="306"/>
      <c r="R1" s="306"/>
      <c r="S1" s="306"/>
      <c r="T1" s="306"/>
      <c r="U1" s="306"/>
      <c r="V1" s="306"/>
      <c r="W1" s="306"/>
      <c r="X1" s="306"/>
      <c r="Y1" s="306"/>
      <c r="Z1" s="306"/>
    </row>
    <row r="2" spans="1:26" ht="15.75" customHeight="1">
      <c r="A2" s="953" t="s">
        <v>16</v>
      </c>
      <c r="B2" s="890"/>
      <c r="C2" s="890"/>
      <c r="D2" s="890"/>
      <c r="E2" s="890"/>
      <c r="F2" s="890"/>
      <c r="G2" s="890"/>
      <c r="H2" s="890"/>
      <c r="I2" s="890"/>
      <c r="J2" s="306"/>
      <c r="K2" s="306"/>
      <c r="L2" s="306"/>
      <c r="M2" s="306"/>
      <c r="N2" s="306"/>
      <c r="O2" s="306"/>
      <c r="P2" s="306"/>
      <c r="Q2" s="306"/>
      <c r="R2" s="306"/>
      <c r="S2" s="306"/>
      <c r="T2" s="306"/>
      <c r="U2" s="306"/>
      <c r="V2" s="306"/>
      <c r="W2" s="306"/>
      <c r="X2" s="306"/>
      <c r="Y2" s="306"/>
      <c r="Z2" s="306"/>
    </row>
    <row r="3" spans="1:26" ht="15.75" customHeight="1">
      <c r="A3" s="307"/>
      <c r="B3" s="307"/>
      <c r="C3" s="306"/>
      <c r="D3" s="307"/>
      <c r="E3" s="307"/>
      <c r="F3" s="307"/>
      <c r="G3" s="1049"/>
      <c r="H3" s="1049"/>
      <c r="I3" s="306"/>
      <c r="J3" s="306"/>
      <c r="K3" s="306"/>
      <c r="L3" s="306"/>
      <c r="M3" s="306"/>
      <c r="N3" s="306"/>
      <c r="O3" s="306"/>
      <c r="P3" s="306"/>
      <c r="Q3" s="306"/>
      <c r="R3" s="306"/>
      <c r="S3" s="306"/>
      <c r="T3" s="306"/>
      <c r="U3" s="306"/>
      <c r="V3" s="306"/>
      <c r="W3" s="306"/>
      <c r="X3" s="306"/>
      <c r="Y3" s="306"/>
      <c r="Z3" s="306"/>
    </row>
    <row r="4" spans="1:26" ht="15.75" customHeight="1">
      <c r="A4" s="307"/>
      <c r="B4" s="307"/>
      <c r="C4" s="306"/>
      <c r="D4" s="307"/>
      <c r="E4" s="307"/>
      <c r="F4" s="307"/>
      <c r="G4" s="1049"/>
      <c r="H4" s="1049"/>
      <c r="I4" s="306"/>
      <c r="J4" s="306"/>
      <c r="K4" s="306"/>
      <c r="L4" s="306"/>
      <c r="M4" s="306"/>
      <c r="N4" s="306"/>
      <c r="O4" s="306"/>
      <c r="P4" s="306"/>
      <c r="Q4" s="306"/>
      <c r="R4" s="306"/>
      <c r="S4" s="306"/>
      <c r="T4" s="306"/>
      <c r="U4" s="306"/>
      <c r="V4" s="306"/>
      <c r="W4" s="306"/>
      <c r="X4" s="306"/>
      <c r="Y4" s="306"/>
      <c r="Z4" s="306"/>
    </row>
    <row r="5" spans="1:26" ht="15.75" customHeight="1">
      <c r="A5" s="211" t="s">
        <v>657</v>
      </c>
      <c r="B5" s="348" t="s">
        <v>940</v>
      </c>
      <c r="C5" s="211" t="s">
        <v>659</v>
      </c>
      <c r="D5" s="950" t="s">
        <v>660</v>
      </c>
      <c r="E5" s="888"/>
      <c r="F5" s="889"/>
      <c r="G5" s="1100" t="s">
        <v>661</v>
      </c>
      <c r="H5" s="1100" t="s">
        <v>662</v>
      </c>
      <c r="I5" s="211" t="s">
        <v>663</v>
      </c>
      <c r="J5" s="211" t="s">
        <v>664</v>
      </c>
      <c r="K5" s="306"/>
      <c r="L5" s="306"/>
      <c r="M5" s="306"/>
      <c r="N5" s="306"/>
      <c r="O5" s="306"/>
      <c r="P5" s="306"/>
      <c r="Q5" s="306"/>
      <c r="R5" s="306"/>
      <c r="S5" s="306"/>
      <c r="T5" s="306"/>
      <c r="U5" s="306"/>
      <c r="V5" s="306"/>
      <c r="W5" s="306"/>
      <c r="X5" s="306"/>
      <c r="Y5" s="306"/>
      <c r="Z5" s="306"/>
    </row>
    <row r="6" spans="1:26" ht="15.75" customHeight="1">
      <c r="A6" s="213"/>
      <c r="B6" s="348"/>
      <c r="C6" s="213"/>
      <c r="D6" s="213" t="s">
        <v>665</v>
      </c>
      <c r="E6" s="213" t="s">
        <v>666</v>
      </c>
      <c r="F6" s="213" t="s">
        <v>667</v>
      </c>
      <c r="G6" s="1101"/>
      <c r="H6" s="1101"/>
      <c r="I6" s="213"/>
      <c r="J6" s="213"/>
      <c r="K6" s="306"/>
      <c r="L6" s="306"/>
      <c r="M6" s="306"/>
      <c r="N6" s="306"/>
      <c r="O6" s="306"/>
      <c r="P6" s="306"/>
      <c r="Q6" s="306"/>
      <c r="R6" s="306"/>
      <c r="S6" s="306"/>
      <c r="T6" s="306"/>
      <c r="U6" s="306"/>
      <c r="V6" s="306"/>
      <c r="W6" s="306"/>
      <c r="X6" s="306"/>
      <c r="Y6" s="306"/>
      <c r="Z6" s="306"/>
    </row>
    <row r="7" spans="1:26" ht="18.75" customHeight="1">
      <c r="A7" s="1152">
        <v>1</v>
      </c>
      <c r="B7" s="215" t="s">
        <v>668</v>
      </c>
      <c r="C7" s="216" t="s">
        <v>941</v>
      </c>
      <c r="D7" s="221">
        <v>28</v>
      </c>
      <c r="E7" s="221">
        <v>28</v>
      </c>
      <c r="F7" s="221">
        <v>28</v>
      </c>
      <c r="G7" s="1074">
        <v>29000</v>
      </c>
      <c r="H7" s="1074">
        <f t="shared" ref="H7:H13" si="0">F7*G7</f>
        <v>812000</v>
      </c>
      <c r="I7" s="218" t="s">
        <v>942</v>
      </c>
      <c r="J7" s="216" t="s">
        <v>671</v>
      </c>
      <c r="K7" s="318"/>
      <c r="L7" s="318"/>
      <c r="M7" s="318"/>
      <c r="N7" s="318"/>
      <c r="O7" s="318"/>
      <c r="P7" s="318"/>
      <c r="Q7" s="318"/>
      <c r="R7" s="318"/>
      <c r="S7" s="318"/>
      <c r="T7" s="318"/>
      <c r="U7" s="318"/>
      <c r="V7" s="318"/>
      <c r="W7" s="318"/>
      <c r="X7" s="318"/>
      <c r="Y7" s="318"/>
      <c r="Z7" s="318"/>
    </row>
    <row r="8" spans="1:26" ht="18.75" customHeight="1">
      <c r="A8" s="1152">
        <v>2</v>
      </c>
      <c r="B8" s="215" t="s">
        <v>668</v>
      </c>
      <c r="C8" s="216" t="s">
        <v>943</v>
      </c>
      <c r="D8" s="221"/>
      <c r="E8" s="221">
        <v>1</v>
      </c>
      <c r="F8" s="221">
        <v>1</v>
      </c>
      <c r="G8" s="1074">
        <v>300000</v>
      </c>
      <c r="H8" s="1074">
        <f t="shared" si="0"/>
        <v>300000</v>
      </c>
      <c r="I8" s="216" t="s">
        <v>944</v>
      </c>
      <c r="J8" s="216" t="s">
        <v>671</v>
      </c>
      <c r="K8" s="318"/>
      <c r="L8" s="318"/>
      <c r="M8" s="318"/>
      <c r="N8" s="318"/>
      <c r="O8" s="318"/>
      <c r="P8" s="318"/>
      <c r="Q8" s="318"/>
      <c r="R8" s="318"/>
      <c r="S8" s="318"/>
      <c r="T8" s="318"/>
      <c r="U8" s="318"/>
      <c r="V8" s="318"/>
      <c r="W8" s="318"/>
      <c r="X8" s="318"/>
      <c r="Y8" s="318"/>
      <c r="Z8" s="318"/>
    </row>
    <row r="9" spans="1:26" ht="15.75" customHeight="1">
      <c r="A9" s="1152">
        <v>3</v>
      </c>
      <c r="B9" s="215" t="s">
        <v>668</v>
      </c>
      <c r="C9" s="216" t="s">
        <v>945</v>
      </c>
      <c r="D9" s="221">
        <v>4</v>
      </c>
      <c r="E9" s="221">
        <v>4</v>
      </c>
      <c r="F9" s="221">
        <v>4</v>
      </c>
      <c r="G9" s="1074">
        <v>69000</v>
      </c>
      <c r="H9" s="1074">
        <f t="shared" si="0"/>
        <v>276000</v>
      </c>
      <c r="I9" s="216" t="s">
        <v>946</v>
      </c>
      <c r="J9" s="216" t="s">
        <v>671</v>
      </c>
      <c r="K9" s="318"/>
      <c r="L9" s="318"/>
      <c r="M9" s="318"/>
      <c r="N9" s="318"/>
      <c r="O9" s="318"/>
      <c r="P9" s="318"/>
      <c r="Q9" s="318"/>
      <c r="R9" s="318"/>
      <c r="S9" s="318"/>
      <c r="T9" s="318"/>
      <c r="U9" s="318"/>
      <c r="V9" s="318"/>
      <c r="W9" s="318"/>
      <c r="X9" s="318"/>
      <c r="Y9" s="318"/>
      <c r="Z9" s="318"/>
    </row>
    <row r="10" spans="1:26" ht="15.75" customHeight="1">
      <c r="A10" s="1152">
        <v>4</v>
      </c>
      <c r="B10" s="215" t="s">
        <v>668</v>
      </c>
      <c r="C10" s="216" t="s">
        <v>947</v>
      </c>
      <c r="D10" s="221">
        <v>7</v>
      </c>
      <c r="E10" s="221">
        <v>8</v>
      </c>
      <c r="F10" s="221">
        <v>8</v>
      </c>
      <c r="G10" s="1074">
        <v>34000</v>
      </c>
      <c r="H10" s="1074">
        <f t="shared" si="0"/>
        <v>272000</v>
      </c>
      <c r="I10" s="216" t="s">
        <v>948</v>
      </c>
      <c r="J10" s="216" t="s">
        <v>671</v>
      </c>
      <c r="K10" s="318"/>
      <c r="L10" s="318"/>
      <c r="M10" s="318"/>
      <c r="N10" s="318"/>
      <c r="O10" s="318"/>
      <c r="P10" s="318"/>
      <c r="Q10" s="318"/>
      <c r="R10" s="318"/>
      <c r="S10" s="318"/>
      <c r="T10" s="318"/>
      <c r="U10" s="318"/>
      <c r="V10" s="318"/>
      <c r="W10" s="318"/>
      <c r="X10" s="318"/>
      <c r="Y10" s="318"/>
      <c r="Z10" s="318"/>
    </row>
    <row r="11" spans="1:26" ht="15.75" customHeight="1">
      <c r="A11" s="1152">
        <v>5</v>
      </c>
      <c r="B11" s="215" t="s">
        <v>668</v>
      </c>
      <c r="C11" s="216" t="s">
        <v>949</v>
      </c>
      <c r="D11" s="221"/>
      <c r="E11" s="221">
        <v>3</v>
      </c>
      <c r="F11" s="221">
        <v>3</v>
      </c>
      <c r="G11" s="1074">
        <v>11500</v>
      </c>
      <c r="H11" s="1074">
        <f t="shared" si="0"/>
        <v>34500</v>
      </c>
      <c r="I11" s="216" t="s">
        <v>950</v>
      </c>
      <c r="J11" s="216" t="s">
        <v>671</v>
      </c>
      <c r="K11" s="318"/>
      <c r="L11" s="318"/>
      <c r="M11" s="318"/>
      <c r="N11" s="318"/>
      <c r="O11" s="318"/>
      <c r="P11" s="318"/>
      <c r="Q11" s="318"/>
      <c r="R11" s="318"/>
      <c r="S11" s="318"/>
      <c r="T11" s="318"/>
      <c r="U11" s="318"/>
      <c r="V11" s="318"/>
      <c r="W11" s="318"/>
      <c r="X11" s="318"/>
      <c r="Y11" s="318"/>
      <c r="Z11" s="318"/>
    </row>
    <row r="12" spans="1:26" ht="15.75" customHeight="1">
      <c r="A12" s="1152">
        <v>6</v>
      </c>
      <c r="B12" s="229" t="s">
        <v>951</v>
      </c>
      <c r="C12" s="223" t="s">
        <v>69</v>
      </c>
      <c r="D12" s="229">
        <v>1</v>
      </c>
      <c r="E12" s="229">
        <v>2</v>
      </c>
      <c r="F12" s="229">
        <v>1</v>
      </c>
      <c r="G12" s="1075">
        <v>862500</v>
      </c>
      <c r="H12" s="1075">
        <f t="shared" si="0"/>
        <v>862500</v>
      </c>
      <c r="I12" s="350" t="s">
        <v>952</v>
      </c>
      <c r="J12" s="229" t="s">
        <v>704</v>
      </c>
      <c r="K12" s="318"/>
      <c r="L12" s="318"/>
      <c r="M12" s="318"/>
      <c r="N12" s="318"/>
      <c r="O12" s="318"/>
      <c r="P12" s="318"/>
      <c r="Q12" s="318"/>
      <c r="R12" s="318"/>
      <c r="S12" s="318"/>
      <c r="T12" s="318"/>
      <c r="U12" s="318"/>
      <c r="V12" s="318"/>
      <c r="W12" s="318"/>
      <c r="X12" s="318"/>
      <c r="Y12" s="318"/>
      <c r="Z12" s="318"/>
    </row>
    <row r="13" spans="1:26" ht="15.75" customHeight="1">
      <c r="A13" s="1152">
        <v>7</v>
      </c>
      <c r="B13" s="229" t="s">
        <v>951</v>
      </c>
      <c r="C13" s="223" t="s">
        <v>953</v>
      </c>
      <c r="D13" s="229">
        <v>4</v>
      </c>
      <c r="E13" s="229">
        <v>6</v>
      </c>
      <c r="F13" s="229">
        <v>2</v>
      </c>
      <c r="G13" s="1075">
        <v>402500</v>
      </c>
      <c r="H13" s="1075">
        <f t="shared" si="0"/>
        <v>805000</v>
      </c>
      <c r="I13" s="350" t="s">
        <v>954</v>
      </c>
      <c r="J13" s="229" t="s">
        <v>704</v>
      </c>
      <c r="K13" s="318"/>
      <c r="L13" s="318"/>
      <c r="M13" s="318"/>
      <c r="N13" s="318"/>
      <c r="O13" s="318"/>
      <c r="P13" s="318"/>
      <c r="Q13" s="318"/>
      <c r="R13" s="318"/>
      <c r="S13" s="318"/>
      <c r="T13" s="318"/>
      <c r="U13" s="318"/>
      <c r="V13" s="318"/>
      <c r="W13" s="318"/>
      <c r="X13" s="318"/>
      <c r="Y13" s="318"/>
      <c r="Z13" s="318"/>
    </row>
    <row r="14" spans="1:26" ht="15.75" customHeight="1">
      <c r="A14" s="1152">
        <v>8</v>
      </c>
      <c r="B14" s="229" t="s">
        <v>951</v>
      </c>
      <c r="C14" s="223" t="s">
        <v>955</v>
      </c>
      <c r="D14" s="223">
        <v>25</v>
      </c>
      <c r="E14" s="223">
        <v>10</v>
      </c>
      <c r="F14" s="223">
        <v>10</v>
      </c>
      <c r="G14" s="1078">
        <v>74750</v>
      </c>
      <c r="H14" s="1078">
        <f t="shared" ref="H14:H15" si="1">SUM(F14*G14)</f>
        <v>747500</v>
      </c>
      <c r="I14" s="223" t="s">
        <v>956</v>
      </c>
      <c r="J14" s="223" t="s">
        <v>704</v>
      </c>
      <c r="K14" s="318"/>
      <c r="L14" s="318"/>
      <c r="M14" s="318"/>
      <c r="N14" s="318"/>
      <c r="O14" s="318"/>
      <c r="P14" s="318"/>
      <c r="Q14" s="318"/>
      <c r="R14" s="318"/>
      <c r="S14" s="318"/>
      <c r="T14" s="318"/>
      <c r="U14" s="318"/>
      <c r="V14" s="318"/>
      <c r="W14" s="318"/>
      <c r="X14" s="318"/>
      <c r="Y14" s="318"/>
      <c r="Z14" s="318"/>
    </row>
    <row r="15" spans="1:26" ht="15.75" customHeight="1">
      <c r="A15" s="1152">
        <v>9</v>
      </c>
      <c r="B15" s="229" t="s">
        <v>951</v>
      </c>
      <c r="C15" s="223" t="s">
        <v>957</v>
      </c>
      <c r="D15" s="223">
        <v>45</v>
      </c>
      <c r="E15" s="223">
        <v>5</v>
      </c>
      <c r="F15" s="223">
        <v>5</v>
      </c>
      <c r="G15" s="1078">
        <v>69000</v>
      </c>
      <c r="H15" s="1078">
        <f t="shared" si="1"/>
        <v>345000</v>
      </c>
      <c r="I15" s="226" t="s">
        <v>958</v>
      </c>
      <c r="J15" s="223" t="s">
        <v>704</v>
      </c>
      <c r="K15" s="318"/>
      <c r="L15" s="318"/>
      <c r="M15" s="318"/>
      <c r="N15" s="318"/>
      <c r="O15" s="318"/>
      <c r="P15" s="318"/>
      <c r="Q15" s="318"/>
      <c r="R15" s="318"/>
      <c r="S15" s="318"/>
      <c r="T15" s="318"/>
      <c r="U15" s="318"/>
      <c r="V15" s="318"/>
      <c r="W15" s="318"/>
      <c r="X15" s="318"/>
      <c r="Y15" s="318"/>
      <c r="Z15" s="318"/>
    </row>
    <row r="16" spans="1:26" ht="15.75" customHeight="1">
      <c r="A16" s="1152">
        <v>10</v>
      </c>
      <c r="B16" s="229" t="s">
        <v>951</v>
      </c>
      <c r="C16" s="223" t="s">
        <v>959</v>
      </c>
      <c r="D16" s="229">
        <v>3</v>
      </c>
      <c r="E16" s="229">
        <v>6</v>
      </c>
      <c r="F16" s="229">
        <v>3</v>
      </c>
      <c r="G16" s="1075">
        <v>57500</v>
      </c>
      <c r="H16" s="1075">
        <f>F16*G16</f>
        <v>172500</v>
      </c>
      <c r="I16" s="350" t="s">
        <v>960</v>
      </c>
      <c r="J16" s="229" t="s">
        <v>704</v>
      </c>
      <c r="K16" s="318"/>
      <c r="L16" s="318"/>
      <c r="M16" s="318"/>
      <c r="N16" s="318"/>
      <c r="O16" s="318"/>
      <c r="P16" s="318"/>
      <c r="Q16" s="318"/>
      <c r="R16" s="318"/>
      <c r="S16" s="318"/>
      <c r="T16" s="318"/>
      <c r="U16" s="318"/>
      <c r="V16" s="318"/>
      <c r="W16" s="318"/>
      <c r="X16" s="318"/>
      <c r="Y16" s="318"/>
      <c r="Z16" s="318"/>
    </row>
    <row r="17" spans="1:26" ht="15.75" customHeight="1">
      <c r="A17" s="1152">
        <v>11</v>
      </c>
      <c r="B17" s="229" t="s">
        <v>951</v>
      </c>
      <c r="C17" s="223" t="s">
        <v>961</v>
      </c>
      <c r="D17" s="223">
        <v>1</v>
      </c>
      <c r="E17" s="223">
        <v>1</v>
      </c>
      <c r="F17" s="223">
        <v>1</v>
      </c>
      <c r="G17" s="1078">
        <v>100000</v>
      </c>
      <c r="H17" s="1078">
        <v>100000</v>
      </c>
      <c r="I17" s="223" t="s">
        <v>962</v>
      </c>
      <c r="J17" s="223" t="s">
        <v>704</v>
      </c>
      <c r="K17" s="318"/>
      <c r="L17" s="318"/>
      <c r="M17" s="318"/>
      <c r="N17" s="318"/>
      <c r="O17" s="318"/>
      <c r="P17" s="318"/>
      <c r="Q17" s="318"/>
      <c r="R17" s="318"/>
      <c r="S17" s="318"/>
      <c r="T17" s="318"/>
      <c r="U17" s="318"/>
      <c r="V17" s="318"/>
      <c r="W17" s="318"/>
      <c r="X17" s="318"/>
      <c r="Y17" s="318"/>
      <c r="Z17" s="318"/>
    </row>
    <row r="18" spans="1:26" ht="15.75" customHeight="1">
      <c r="A18" s="1152">
        <v>12</v>
      </c>
      <c r="B18" s="229" t="s">
        <v>951</v>
      </c>
      <c r="C18" s="223" t="s">
        <v>963</v>
      </c>
      <c r="D18" s="223">
        <v>1</v>
      </c>
      <c r="E18" s="223">
        <v>1</v>
      </c>
      <c r="F18" s="223">
        <v>1</v>
      </c>
      <c r="G18" s="1078">
        <v>85000</v>
      </c>
      <c r="H18" s="1078">
        <v>85000</v>
      </c>
      <c r="I18" s="223" t="s">
        <v>964</v>
      </c>
      <c r="J18" s="223" t="s">
        <v>704</v>
      </c>
      <c r="K18" s="318"/>
      <c r="L18" s="318"/>
      <c r="M18" s="318"/>
      <c r="N18" s="318"/>
      <c r="O18" s="318"/>
      <c r="P18" s="318"/>
      <c r="Q18" s="318"/>
      <c r="R18" s="318"/>
      <c r="S18" s="318"/>
      <c r="T18" s="318"/>
      <c r="U18" s="318"/>
      <c r="V18" s="318"/>
      <c r="W18" s="318"/>
      <c r="X18" s="318"/>
      <c r="Y18" s="318"/>
      <c r="Z18" s="318"/>
    </row>
    <row r="19" spans="1:26" ht="15.75" customHeight="1">
      <c r="A19" s="1152">
        <v>13</v>
      </c>
      <c r="B19" s="229" t="s">
        <v>951</v>
      </c>
      <c r="C19" s="223" t="s">
        <v>965</v>
      </c>
      <c r="D19" s="229">
        <v>2</v>
      </c>
      <c r="E19" s="229">
        <v>4</v>
      </c>
      <c r="F19" s="229">
        <v>2</v>
      </c>
      <c r="G19" s="1075">
        <v>11500</v>
      </c>
      <c r="H19" s="1075">
        <f>SUM(F19*G19)</f>
        <v>23000</v>
      </c>
      <c r="I19" s="229" t="s">
        <v>966</v>
      </c>
      <c r="J19" s="229" t="s">
        <v>704</v>
      </c>
      <c r="K19" s="318"/>
      <c r="L19" s="318"/>
      <c r="M19" s="318"/>
      <c r="N19" s="318"/>
      <c r="O19" s="318"/>
      <c r="P19" s="318"/>
      <c r="Q19" s="318"/>
      <c r="R19" s="318"/>
      <c r="S19" s="318"/>
      <c r="T19" s="318"/>
      <c r="U19" s="318"/>
      <c r="V19" s="318"/>
      <c r="W19" s="318"/>
      <c r="X19" s="318"/>
      <c r="Y19" s="318"/>
      <c r="Z19" s="318"/>
    </row>
    <row r="20" spans="1:26" ht="15.75" customHeight="1">
      <c r="A20" s="1152">
        <v>14</v>
      </c>
      <c r="B20" s="351" t="s">
        <v>967</v>
      </c>
      <c r="C20" s="352" t="s">
        <v>968</v>
      </c>
      <c r="D20" s="351">
        <v>0</v>
      </c>
      <c r="E20" s="351">
        <v>3</v>
      </c>
      <c r="F20" s="351">
        <v>3</v>
      </c>
      <c r="G20" s="1102" t="s">
        <v>969</v>
      </c>
      <c r="H20" s="1102">
        <v>300000</v>
      </c>
      <c r="I20" s="353" t="s">
        <v>970</v>
      </c>
      <c r="J20" s="352" t="s">
        <v>704</v>
      </c>
      <c r="K20" s="354"/>
      <c r="L20" s="354"/>
      <c r="M20" s="354"/>
      <c r="N20" s="354"/>
      <c r="O20" s="354"/>
      <c r="P20" s="354"/>
      <c r="Q20" s="354"/>
      <c r="R20" s="354"/>
      <c r="S20" s="354"/>
      <c r="T20" s="354"/>
      <c r="U20" s="354"/>
      <c r="V20" s="354"/>
      <c r="W20" s="354"/>
      <c r="X20" s="354"/>
      <c r="Y20" s="354"/>
      <c r="Z20" s="354"/>
    </row>
    <row r="21" spans="1:26" ht="15.75" customHeight="1">
      <c r="A21" s="1152">
        <v>15</v>
      </c>
      <c r="B21" s="355" t="s">
        <v>971</v>
      </c>
      <c r="C21" s="1094" t="s">
        <v>972</v>
      </c>
      <c r="D21" s="1095"/>
      <c r="E21" s="1095"/>
      <c r="F21" s="1095">
        <v>10</v>
      </c>
      <c r="G21" s="1156">
        <v>500000</v>
      </c>
      <c r="H21" s="1103">
        <v>4500000</v>
      </c>
      <c r="I21" s="356"/>
      <c r="J21" s="357"/>
      <c r="K21" s="358"/>
      <c r="L21" s="358"/>
      <c r="M21" s="358"/>
      <c r="N21" s="358"/>
      <c r="O21" s="358"/>
      <c r="P21" s="358"/>
      <c r="Q21" s="358"/>
      <c r="R21" s="358"/>
      <c r="S21" s="358"/>
      <c r="T21" s="358"/>
      <c r="U21" s="358"/>
      <c r="V21" s="358"/>
      <c r="W21" s="358"/>
      <c r="X21" s="358"/>
      <c r="Y21" s="358"/>
      <c r="Z21" s="358"/>
    </row>
    <row r="22" spans="1:26" ht="15.75" customHeight="1">
      <c r="A22" s="1152">
        <v>16</v>
      </c>
      <c r="B22" s="1093" t="s">
        <v>971</v>
      </c>
      <c r="C22" s="1098" t="s">
        <v>973</v>
      </c>
      <c r="D22" s="1099"/>
      <c r="E22" s="1099"/>
      <c r="F22" s="1099">
        <v>150</v>
      </c>
      <c r="G22" s="1157">
        <v>34500</v>
      </c>
      <c r="H22" s="1104">
        <f>G22*F22</f>
        <v>5175000</v>
      </c>
      <c r="I22" s="356"/>
      <c r="J22" s="357"/>
      <c r="K22" s="358"/>
      <c r="L22" s="358"/>
      <c r="M22" s="358"/>
      <c r="N22" s="358"/>
      <c r="O22" s="358"/>
      <c r="P22" s="358"/>
      <c r="Q22" s="358"/>
      <c r="R22" s="358"/>
      <c r="S22" s="358"/>
      <c r="T22" s="358"/>
      <c r="U22" s="358"/>
      <c r="V22" s="358"/>
      <c r="W22" s="358"/>
      <c r="X22" s="358"/>
      <c r="Y22" s="358"/>
      <c r="Z22" s="358"/>
    </row>
    <row r="23" spans="1:26" ht="15.75" customHeight="1">
      <c r="A23" s="1152">
        <v>17</v>
      </c>
      <c r="B23" s="355" t="s">
        <v>971</v>
      </c>
      <c r="C23" s="1096" t="s">
        <v>974</v>
      </c>
      <c r="D23" s="1097"/>
      <c r="E23" s="1097"/>
      <c r="F23" s="1097">
        <v>10</v>
      </c>
      <c r="G23" s="1158">
        <v>500000</v>
      </c>
      <c r="H23" s="1103">
        <v>4500000</v>
      </c>
      <c r="I23" s="356"/>
      <c r="J23" s="357"/>
      <c r="K23" s="358"/>
      <c r="L23" s="358"/>
      <c r="M23" s="358"/>
      <c r="N23" s="358"/>
      <c r="O23" s="358"/>
      <c r="P23" s="358"/>
      <c r="Q23" s="358"/>
      <c r="R23" s="358"/>
      <c r="S23" s="358"/>
      <c r="T23" s="358"/>
      <c r="U23" s="358"/>
      <c r="V23" s="358"/>
      <c r="W23" s="358"/>
      <c r="X23" s="358"/>
      <c r="Y23" s="358"/>
      <c r="Z23" s="358"/>
    </row>
    <row r="24" spans="1:26" ht="15.75" customHeight="1">
      <c r="A24" s="1152">
        <v>18</v>
      </c>
      <c r="B24" s="355" t="s">
        <v>971</v>
      </c>
      <c r="C24" s="356" t="s">
        <v>975</v>
      </c>
      <c r="D24" s="356"/>
      <c r="E24" s="356"/>
      <c r="F24" s="355">
        <v>23</v>
      </c>
      <c r="G24" s="1113">
        <v>150000</v>
      </c>
      <c r="H24" s="1103">
        <v>3450000</v>
      </c>
      <c r="I24" s="356"/>
      <c r="J24" s="357"/>
      <c r="K24" s="358"/>
      <c r="L24" s="358"/>
      <c r="M24" s="358"/>
      <c r="N24" s="358"/>
      <c r="O24" s="358"/>
      <c r="P24" s="358"/>
      <c r="Q24" s="358"/>
      <c r="R24" s="358"/>
      <c r="S24" s="358"/>
      <c r="T24" s="358"/>
      <c r="U24" s="358"/>
      <c r="V24" s="358"/>
      <c r="W24" s="358"/>
      <c r="X24" s="358"/>
      <c r="Y24" s="358"/>
      <c r="Z24" s="358"/>
    </row>
    <row r="25" spans="1:26" ht="15.75" customHeight="1">
      <c r="A25" s="1152">
        <v>19</v>
      </c>
      <c r="B25" s="355" t="s">
        <v>971</v>
      </c>
      <c r="C25" s="356" t="s">
        <v>976</v>
      </c>
      <c r="D25" s="356"/>
      <c r="E25" s="356"/>
      <c r="F25" s="355">
        <v>20</v>
      </c>
      <c r="G25" s="1113">
        <v>150000</v>
      </c>
      <c r="H25" s="1103">
        <v>3000000</v>
      </c>
      <c r="I25" s="356"/>
      <c r="J25" s="357"/>
      <c r="K25" s="358"/>
      <c r="L25" s="358"/>
      <c r="M25" s="358"/>
      <c r="N25" s="358"/>
      <c r="O25" s="358"/>
      <c r="P25" s="358"/>
      <c r="Q25" s="358"/>
      <c r="R25" s="358"/>
      <c r="S25" s="358"/>
      <c r="T25" s="358"/>
      <c r="U25" s="358"/>
      <c r="V25" s="358"/>
      <c r="W25" s="358"/>
      <c r="X25" s="358"/>
      <c r="Y25" s="358"/>
      <c r="Z25" s="358"/>
    </row>
    <row r="26" spans="1:26" ht="15.75" customHeight="1">
      <c r="A26" s="1152">
        <v>20</v>
      </c>
      <c r="B26" s="355" t="s">
        <v>971</v>
      </c>
      <c r="C26" s="356" t="s">
        <v>977</v>
      </c>
      <c r="D26" s="355"/>
      <c r="E26" s="355"/>
      <c r="F26" s="355">
        <v>12</v>
      </c>
      <c r="G26" s="1113">
        <v>207000</v>
      </c>
      <c r="H26" s="1103">
        <v>2484000</v>
      </c>
      <c r="I26" s="356"/>
      <c r="J26" s="357"/>
      <c r="K26" s="358"/>
      <c r="L26" s="358"/>
      <c r="M26" s="358"/>
      <c r="N26" s="358"/>
      <c r="O26" s="358"/>
      <c r="P26" s="358"/>
      <c r="Q26" s="358"/>
      <c r="R26" s="358"/>
      <c r="S26" s="358"/>
      <c r="T26" s="358"/>
      <c r="U26" s="358"/>
      <c r="V26" s="358"/>
      <c r="W26" s="358"/>
      <c r="X26" s="358"/>
      <c r="Y26" s="358"/>
      <c r="Z26" s="358"/>
    </row>
    <row r="27" spans="1:26" ht="15.75" customHeight="1">
      <c r="A27" s="1152">
        <v>21</v>
      </c>
      <c r="B27" s="355" t="s">
        <v>971</v>
      </c>
      <c r="C27" s="356" t="s">
        <v>978</v>
      </c>
      <c r="D27" s="355"/>
      <c r="E27" s="355"/>
      <c r="F27" s="355">
        <v>12</v>
      </c>
      <c r="G27" s="1113">
        <v>207000</v>
      </c>
      <c r="H27" s="1103">
        <v>2484000</v>
      </c>
      <c r="I27" s="356"/>
      <c r="J27" s="357"/>
      <c r="K27" s="358"/>
      <c r="L27" s="358"/>
      <c r="M27" s="358"/>
      <c r="N27" s="358"/>
      <c r="O27" s="358"/>
      <c r="P27" s="358"/>
      <c r="Q27" s="358"/>
      <c r="R27" s="358"/>
      <c r="S27" s="358"/>
      <c r="T27" s="358"/>
      <c r="U27" s="358"/>
      <c r="V27" s="358"/>
      <c r="W27" s="358"/>
      <c r="X27" s="358"/>
      <c r="Y27" s="358"/>
      <c r="Z27" s="358"/>
    </row>
    <row r="28" spans="1:26" ht="15.75" customHeight="1">
      <c r="A28" s="1152">
        <v>22</v>
      </c>
      <c r="B28" s="355" t="s">
        <v>971</v>
      </c>
      <c r="C28" s="356" t="s">
        <v>979</v>
      </c>
      <c r="D28" s="355"/>
      <c r="E28" s="355"/>
      <c r="F28" s="355">
        <v>25</v>
      </c>
      <c r="G28" s="1159">
        <v>71000</v>
      </c>
      <c r="H28" s="1103">
        <v>1775000</v>
      </c>
      <c r="I28" s="356"/>
      <c r="J28" s="357"/>
      <c r="K28" s="358"/>
      <c r="L28" s="358"/>
      <c r="M28" s="358"/>
      <c r="N28" s="358"/>
      <c r="O28" s="358"/>
      <c r="P28" s="358"/>
      <c r="Q28" s="358"/>
      <c r="R28" s="358"/>
      <c r="S28" s="358"/>
      <c r="T28" s="358"/>
      <c r="U28" s="358"/>
      <c r="V28" s="358"/>
      <c r="W28" s="358"/>
      <c r="X28" s="358"/>
      <c r="Y28" s="358"/>
      <c r="Z28" s="358"/>
    </row>
    <row r="29" spans="1:26" ht="15.75" customHeight="1">
      <c r="A29" s="1152">
        <v>23</v>
      </c>
      <c r="B29" s="355" t="s">
        <v>971</v>
      </c>
      <c r="C29" s="356" t="s">
        <v>980</v>
      </c>
      <c r="D29" s="355"/>
      <c r="E29" s="355"/>
      <c r="F29" s="355">
        <v>60</v>
      </c>
      <c r="G29" s="1113">
        <v>23000</v>
      </c>
      <c r="H29" s="1103">
        <v>1380000</v>
      </c>
      <c r="I29" s="356"/>
      <c r="J29" s="357"/>
      <c r="K29" s="358"/>
      <c r="L29" s="358"/>
      <c r="M29" s="358"/>
      <c r="N29" s="358"/>
      <c r="O29" s="358"/>
      <c r="P29" s="358"/>
      <c r="Q29" s="358"/>
      <c r="R29" s="358"/>
      <c r="S29" s="358"/>
      <c r="T29" s="358"/>
      <c r="U29" s="358"/>
      <c r="V29" s="358"/>
      <c r="W29" s="358"/>
      <c r="X29" s="358"/>
      <c r="Y29" s="358"/>
      <c r="Z29" s="358"/>
    </row>
    <row r="30" spans="1:26" ht="15.75" customHeight="1">
      <c r="A30" s="1152">
        <v>24</v>
      </c>
      <c r="B30" s="355" t="s">
        <v>971</v>
      </c>
      <c r="C30" s="356" t="s">
        <v>981</v>
      </c>
      <c r="D30" s="355"/>
      <c r="E30" s="355"/>
      <c r="F30" s="355">
        <v>60</v>
      </c>
      <c r="G30" s="1113">
        <v>23000</v>
      </c>
      <c r="H30" s="1103">
        <v>1380000</v>
      </c>
      <c r="I30" s="356"/>
      <c r="J30" s="357"/>
      <c r="K30" s="358"/>
      <c r="L30" s="358"/>
      <c r="M30" s="358"/>
      <c r="N30" s="358"/>
      <c r="O30" s="358"/>
      <c r="P30" s="358"/>
      <c r="Q30" s="358"/>
      <c r="R30" s="358"/>
      <c r="S30" s="358"/>
      <c r="T30" s="358"/>
      <c r="U30" s="358"/>
      <c r="V30" s="358"/>
      <c r="W30" s="358"/>
      <c r="X30" s="358"/>
      <c r="Y30" s="358"/>
      <c r="Z30" s="358"/>
    </row>
    <row r="31" spans="1:26" ht="15.75" customHeight="1">
      <c r="A31" s="1152">
        <v>25</v>
      </c>
      <c r="B31" s="355" t="s">
        <v>971</v>
      </c>
      <c r="C31" s="356" t="s">
        <v>982</v>
      </c>
      <c r="D31" s="356"/>
      <c r="E31" s="355"/>
      <c r="F31" s="355">
        <v>30</v>
      </c>
      <c r="G31" s="1160">
        <v>40250</v>
      </c>
      <c r="H31" s="1103">
        <v>1207500</v>
      </c>
      <c r="I31" s="359"/>
      <c r="J31" s="357"/>
      <c r="K31" s="358"/>
      <c r="L31" s="358"/>
      <c r="M31" s="358"/>
      <c r="N31" s="358"/>
      <c r="O31" s="358"/>
      <c r="P31" s="358"/>
      <c r="Q31" s="358"/>
      <c r="R31" s="358"/>
      <c r="S31" s="358"/>
      <c r="T31" s="358"/>
      <c r="U31" s="358"/>
      <c r="V31" s="358"/>
      <c r="W31" s="358"/>
      <c r="X31" s="358"/>
      <c r="Y31" s="358"/>
      <c r="Z31" s="358"/>
    </row>
    <row r="32" spans="1:26" ht="15.75" customHeight="1">
      <c r="A32" s="1152">
        <v>26</v>
      </c>
      <c r="B32" s="355" t="s">
        <v>971</v>
      </c>
      <c r="C32" s="356" t="s">
        <v>983</v>
      </c>
      <c r="D32" s="356"/>
      <c r="E32" s="355"/>
      <c r="F32" s="355">
        <v>3</v>
      </c>
      <c r="G32" s="1113">
        <v>402500</v>
      </c>
      <c r="H32" s="1103">
        <v>1207500</v>
      </c>
      <c r="I32" s="356"/>
      <c r="J32" s="357"/>
      <c r="K32" s="358"/>
      <c r="L32" s="358"/>
      <c r="M32" s="358"/>
      <c r="N32" s="358"/>
      <c r="O32" s="358"/>
      <c r="P32" s="358"/>
      <c r="Q32" s="358"/>
      <c r="R32" s="358"/>
      <c r="S32" s="358"/>
      <c r="T32" s="358"/>
      <c r="U32" s="358"/>
      <c r="V32" s="358"/>
      <c r="W32" s="358"/>
      <c r="X32" s="358"/>
      <c r="Y32" s="358"/>
      <c r="Z32" s="358"/>
    </row>
    <row r="33" spans="1:26" ht="15.75" customHeight="1">
      <c r="A33" s="1152">
        <v>27</v>
      </c>
      <c r="B33" s="355" t="s">
        <v>971</v>
      </c>
      <c r="C33" s="356" t="s">
        <v>984</v>
      </c>
      <c r="D33" s="356"/>
      <c r="E33" s="355"/>
      <c r="F33" s="355">
        <v>25</v>
      </c>
      <c r="G33" s="1160">
        <v>43700</v>
      </c>
      <c r="H33" s="1103">
        <v>1092500</v>
      </c>
      <c r="I33" s="359"/>
      <c r="J33" s="357"/>
      <c r="K33" s="358"/>
      <c r="L33" s="358"/>
      <c r="M33" s="358"/>
      <c r="N33" s="358"/>
      <c r="O33" s="358"/>
      <c r="P33" s="358"/>
      <c r="Q33" s="358"/>
      <c r="R33" s="358"/>
      <c r="S33" s="358"/>
      <c r="T33" s="358"/>
      <c r="U33" s="358"/>
      <c r="V33" s="358"/>
      <c r="W33" s="358"/>
      <c r="X33" s="358"/>
      <c r="Y33" s="358"/>
      <c r="Z33" s="358"/>
    </row>
    <row r="34" spans="1:26" ht="15.75" customHeight="1">
      <c r="A34" s="1152">
        <v>28</v>
      </c>
      <c r="B34" s="355" t="s">
        <v>971</v>
      </c>
      <c r="C34" s="356" t="s">
        <v>985</v>
      </c>
      <c r="D34" s="355"/>
      <c r="E34" s="355"/>
      <c r="F34" s="355">
        <v>20</v>
      </c>
      <c r="G34" s="1113">
        <v>51750</v>
      </c>
      <c r="H34" s="1103">
        <v>1035000</v>
      </c>
      <c r="I34" s="356"/>
      <c r="J34" s="357"/>
      <c r="K34" s="358"/>
      <c r="L34" s="358"/>
      <c r="M34" s="358"/>
      <c r="N34" s="358"/>
      <c r="O34" s="358"/>
      <c r="P34" s="358"/>
      <c r="Q34" s="358"/>
      <c r="R34" s="358"/>
      <c r="S34" s="358"/>
      <c r="T34" s="358"/>
      <c r="U34" s="358"/>
      <c r="V34" s="358"/>
      <c r="W34" s="358"/>
      <c r="X34" s="358"/>
      <c r="Y34" s="358"/>
      <c r="Z34" s="358"/>
    </row>
    <row r="35" spans="1:26" ht="15.75" customHeight="1">
      <c r="A35" s="1152">
        <v>29</v>
      </c>
      <c r="B35" s="235" t="s">
        <v>971</v>
      </c>
      <c r="C35" s="294" t="s">
        <v>986</v>
      </c>
      <c r="D35" s="235"/>
      <c r="E35" s="280"/>
      <c r="F35" s="280">
        <v>25</v>
      </c>
      <c r="G35" s="1107">
        <v>35000</v>
      </c>
      <c r="H35" s="1105">
        <f t="shared" ref="H35:H65" si="2">G35*F35</f>
        <v>875000</v>
      </c>
      <c r="I35" s="294"/>
      <c r="J35" s="294" t="s">
        <v>671</v>
      </c>
      <c r="K35" s="358"/>
      <c r="L35" s="358"/>
      <c r="M35" s="358"/>
      <c r="N35" s="358"/>
      <c r="O35" s="358"/>
      <c r="P35" s="358"/>
      <c r="Q35" s="358"/>
      <c r="R35" s="358"/>
      <c r="S35" s="358"/>
      <c r="T35" s="358"/>
      <c r="U35" s="358"/>
      <c r="V35" s="358"/>
      <c r="W35" s="358"/>
      <c r="X35" s="358"/>
      <c r="Y35" s="358"/>
      <c r="Z35" s="358"/>
    </row>
    <row r="36" spans="1:26" ht="15.75" customHeight="1">
      <c r="A36" s="1152">
        <v>30</v>
      </c>
      <c r="B36" s="235" t="s">
        <v>971</v>
      </c>
      <c r="C36" s="294" t="s">
        <v>965</v>
      </c>
      <c r="D36" s="294"/>
      <c r="E36" s="280"/>
      <c r="F36" s="280">
        <v>72</v>
      </c>
      <c r="G36" s="1107">
        <v>11500</v>
      </c>
      <c r="H36" s="1105">
        <f t="shared" si="2"/>
        <v>828000</v>
      </c>
      <c r="I36" s="294"/>
      <c r="J36" s="294" t="s">
        <v>671</v>
      </c>
      <c r="K36" s="358"/>
      <c r="L36" s="358"/>
      <c r="M36" s="358"/>
      <c r="N36" s="358"/>
      <c r="O36" s="358"/>
      <c r="P36" s="358"/>
      <c r="Q36" s="358"/>
      <c r="R36" s="358"/>
      <c r="S36" s="358"/>
      <c r="T36" s="358"/>
      <c r="U36" s="358"/>
      <c r="V36" s="358"/>
      <c r="W36" s="358"/>
      <c r="X36" s="358"/>
      <c r="Y36" s="358"/>
      <c r="Z36" s="358"/>
    </row>
    <row r="37" spans="1:26" ht="15.75" customHeight="1">
      <c r="A37" s="1152">
        <v>31</v>
      </c>
      <c r="B37" s="235" t="s">
        <v>971</v>
      </c>
      <c r="C37" s="294" t="s">
        <v>987</v>
      </c>
      <c r="D37" s="294"/>
      <c r="E37" s="280"/>
      <c r="F37" s="280">
        <v>12</v>
      </c>
      <c r="G37" s="1105">
        <v>65000</v>
      </c>
      <c r="H37" s="1105">
        <f t="shared" si="2"/>
        <v>780000</v>
      </c>
      <c r="I37" s="239"/>
      <c r="J37" s="294" t="s">
        <v>671</v>
      </c>
      <c r="K37" s="358"/>
      <c r="L37" s="358"/>
      <c r="M37" s="358"/>
      <c r="N37" s="358"/>
      <c r="O37" s="358"/>
      <c r="P37" s="358"/>
      <c r="Q37" s="358"/>
      <c r="R37" s="358"/>
      <c r="S37" s="358"/>
      <c r="T37" s="358"/>
      <c r="U37" s="358"/>
      <c r="V37" s="358"/>
      <c r="W37" s="358"/>
      <c r="X37" s="358"/>
      <c r="Y37" s="358"/>
      <c r="Z37" s="358"/>
    </row>
    <row r="38" spans="1:26" ht="15.75" customHeight="1">
      <c r="A38" s="1152">
        <v>32</v>
      </c>
      <c r="B38" s="235" t="s">
        <v>971</v>
      </c>
      <c r="C38" s="294" t="s">
        <v>988</v>
      </c>
      <c r="D38" s="294"/>
      <c r="E38" s="280"/>
      <c r="F38" s="280">
        <v>15</v>
      </c>
      <c r="G38" s="1107">
        <v>51750</v>
      </c>
      <c r="H38" s="1105">
        <f t="shared" si="2"/>
        <v>776250</v>
      </c>
      <c r="I38" s="294"/>
      <c r="J38" s="360" t="s">
        <v>671</v>
      </c>
      <c r="K38" s="360"/>
      <c r="L38" s="360"/>
      <c r="M38" s="360"/>
      <c r="N38" s="360"/>
      <c r="O38" s="360"/>
      <c r="P38" s="360"/>
      <c r="Q38" s="360"/>
      <c r="R38" s="360"/>
      <c r="S38" s="360"/>
      <c r="T38" s="360"/>
      <c r="U38" s="360"/>
      <c r="V38" s="360"/>
      <c r="W38" s="360"/>
      <c r="X38" s="360"/>
      <c r="Y38" s="360"/>
      <c r="Z38" s="360"/>
    </row>
    <row r="39" spans="1:26" ht="15.75" customHeight="1">
      <c r="A39" s="1152">
        <v>33</v>
      </c>
      <c r="B39" s="235" t="s">
        <v>971</v>
      </c>
      <c r="C39" s="294" t="s">
        <v>989</v>
      </c>
      <c r="D39" s="294"/>
      <c r="E39" s="280"/>
      <c r="F39" s="280">
        <v>20</v>
      </c>
      <c r="G39" s="1107">
        <v>37500</v>
      </c>
      <c r="H39" s="1105">
        <f t="shared" si="2"/>
        <v>750000</v>
      </c>
      <c r="I39" s="294"/>
      <c r="J39" s="294" t="s">
        <v>671</v>
      </c>
      <c r="K39" s="358"/>
      <c r="L39" s="358"/>
      <c r="M39" s="358"/>
      <c r="N39" s="358"/>
      <c r="O39" s="358"/>
      <c r="P39" s="358"/>
      <c r="Q39" s="358"/>
      <c r="R39" s="358"/>
      <c r="S39" s="358"/>
      <c r="T39" s="358"/>
      <c r="U39" s="358"/>
      <c r="V39" s="358"/>
      <c r="W39" s="358"/>
      <c r="X39" s="358"/>
      <c r="Y39" s="358"/>
      <c r="Z39" s="358"/>
    </row>
    <row r="40" spans="1:26" ht="15.75" customHeight="1">
      <c r="A40" s="1152">
        <v>34</v>
      </c>
      <c r="B40" s="235" t="s">
        <v>971</v>
      </c>
      <c r="C40" s="294" t="s">
        <v>990</v>
      </c>
      <c r="D40" s="235"/>
      <c r="E40" s="280"/>
      <c r="F40" s="280">
        <v>60</v>
      </c>
      <c r="G40" s="1107">
        <v>11500</v>
      </c>
      <c r="H40" s="1105">
        <f t="shared" si="2"/>
        <v>690000</v>
      </c>
      <c r="I40" s="294"/>
      <c r="J40" s="294" t="s">
        <v>671</v>
      </c>
      <c r="K40" s="358"/>
      <c r="L40" s="358"/>
      <c r="M40" s="358"/>
      <c r="N40" s="358"/>
      <c r="O40" s="358"/>
      <c r="P40" s="358"/>
      <c r="Q40" s="358"/>
      <c r="R40" s="358"/>
      <c r="S40" s="358"/>
      <c r="T40" s="358"/>
      <c r="U40" s="358"/>
      <c r="V40" s="358"/>
      <c r="W40" s="358"/>
      <c r="X40" s="358"/>
      <c r="Y40" s="358"/>
      <c r="Z40" s="358"/>
    </row>
    <row r="41" spans="1:26" ht="15.75" customHeight="1">
      <c r="A41" s="1152">
        <v>35</v>
      </c>
      <c r="B41" s="235" t="s">
        <v>971</v>
      </c>
      <c r="C41" s="294" t="s">
        <v>991</v>
      </c>
      <c r="D41" s="235"/>
      <c r="E41" s="280"/>
      <c r="F41" s="280">
        <v>60</v>
      </c>
      <c r="G41" s="1107">
        <v>11500</v>
      </c>
      <c r="H41" s="1105">
        <f t="shared" si="2"/>
        <v>690000</v>
      </c>
      <c r="I41" s="294"/>
      <c r="J41" s="294" t="s">
        <v>671</v>
      </c>
      <c r="K41" s="358"/>
      <c r="L41" s="358"/>
      <c r="M41" s="358"/>
      <c r="N41" s="358"/>
      <c r="O41" s="358"/>
      <c r="P41" s="358"/>
      <c r="Q41" s="358"/>
      <c r="R41" s="358"/>
      <c r="S41" s="358"/>
      <c r="T41" s="358"/>
      <c r="U41" s="358"/>
      <c r="V41" s="358"/>
      <c r="W41" s="358"/>
      <c r="X41" s="358"/>
      <c r="Y41" s="358"/>
      <c r="Z41" s="358"/>
    </row>
    <row r="42" spans="1:26" ht="15.75" customHeight="1">
      <c r="A42" s="1152">
        <v>36</v>
      </c>
      <c r="B42" s="235" t="s">
        <v>971</v>
      </c>
      <c r="C42" s="294" t="s">
        <v>992</v>
      </c>
      <c r="D42" s="235"/>
      <c r="E42" s="280"/>
      <c r="F42" s="280">
        <v>60</v>
      </c>
      <c r="G42" s="1107">
        <v>11500</v>
      </c>
      <c r="H42" s="1105">
        <f t="shared" si="2"/>
        <v>690000</v>
      </c>
      <c r="I42" s="294"/>
      <c r="J42" s="294" t="s">
        <v>671</v>
      </c>
      <c r="K42" s="358"/>
      <c r="L42" s="358"/>
      <c r="M42" s="358"/>
      <c r="N42" s="358"/>
      <c r="O42" s="358"/>
      <c r="P42" s="358"/>
      <c r="Q42" s="358"/>
      <c r="R42" s="358"/>
      <c r="S42" s="358"/>
      <c r="T42" s="358"/>
      <c r="U42" s="358"/>
      <c r="V42" s="358"/>
      <c r="W42" s="358"/>
      <c r="X42" s="358"/>
      <c r="Y42" s="358"/>
      <c r="Z42" s="358"/>
    </row>
    <row r="43" spans="1:26" ht="15.75" customHeight="1">
      <c r="A43" s="1152">
        <v>37</v>
      </c>
      <c r="B43" s="235" t="s">
        <v>971</v>
      </c>
      <c r="C43" s="294" t="s">
        <v>993</v>
      </c>
      <c r="D43" s="294"/>
      <c r="E43" s="280"/>
      <c r="F43" s="280">
        <v>14</v>
      </c>
      <c r="G43" s="1107">
        <v>35000</v>
      </c>
      <c r="H43" s="1105">
        <f t="shared" si="2"/>
        <v>490000</v>
      </c>
      <c r="I43" s="294"/>
      <c r="J43" s="294" t="s">
        <v>671</v>
      </c>
      <c r="K43" s="358"/>
      <c r="L43" s="358"/>
      <c r="M43" s="358"/>
      <c r="N43" s="358"/>
      <c r="O43" s="358"/>
      <c r="P43" s="358"/>
      <c r="Q43" s="358"/>
      <c r="R43" s="358"/>
      <c r="S43" s="358"/>
      <c r="T43" s="358"/>
      <c r="U43" s="358"/>
      <c r="V43" s="358"/>
      <c r="W43" s="358"/>
      <c r="X43" s="358"/>
      <c r="Y43" s="358"/>
      <c r="Z43" s="358"/>
    </row>
    <row r="44" spans="1:26" ht="15.75" customHeight="1">
      <c r="A44" s="1152">
        <v>38</v>
      </c>
      <c r="B44" s="235" t="s">
        <v>971</v>
      </c>
      <c r="C44" s="294" t="s">
        <v>994</v>
      </c>
      <c r="D44" s="235"/>
      <c r="E44" s="235"/>
      <c r="F44" s="235">
        <v>1</v>
      </c>
      <c r="G44" s="1107">
        <v>402500</v>
      </c>
      <c r="H44" s="1105">
        <f t="shared" si="2"/>
        <v>402500</v>
      </c>
      <c r="I44" s="239"/>
      <c r="J44" s="294" t="s">
        <v>671</v>
      </c>
      <c r="K44" s="358"/>
      <c r="L44" s="358"/>
      <c r="M44" s="358"/>
      <c r="N44" s="358"/>
      <c r="O44" s="358"/>
      <c r="P44" s="358"/>
      <c r="Q44" s="358"/>
      <c r="R44" s="358"/>
      <c r="S44" s="358"/>
      <c r="T44" s="358"/>
      <c r="U44" s="358"/>
      <c r="V44" s="358"/>
      <c r="W44" s="358"/>
      <c r="X44" s="358"/>
      <c r="Y44" s="358"/>
      <c r="Z44" s="358"/>
    </row>
    <row r="45" spans="1:26" ht="15.75" customHeight="1">
      <c r="A45" s="1152">
        <v>39</v>
      </c>
      <c r="B45" s="235" t="s">
        <v>971</v>
      </c>
      <c r="C45" s="294" t="s">
        <v>995</v>
      </c>
      <c r="D45" s="294"/>
      <c r="E45" s="294"/>
      <c r="F45" s="294">
        <v>20</v>
      </c>
      <c r="G45" s="1107">
        <v>20000</v>
      </c>
      <c r="H45" s="1105">
        <f t="shared" si="2"/>
        <v>400000</v>
      </c>
      <c r="I45" s="294"/>
      <c r="J45" s="294" t="s">
        <v>671</v>
      </c>
      <c r="K45" s="358"/>
      <c r="L45" s="358"/>
      <c r="M45" s="358"/>
      <c r="N45" s="358"/>
      <c r="O45" s="358"/>
      <c r="P45" s="358"/>
      <c r="Q45" s="358"/>
      <c r="R45" s="358"/>
      <c r="S45" s="358"/>
      <c r="T45" s="358"/>
      <c r="U45" s="358"/>
      <c r="V45" s="358"/>
      <c r="W45" s="358"/>
      <c r="X45" s="358"/>
      <c r="Y45" s="358"/>
      <c r="Z45" s="358"/>
    </row>
    <row r="46" spans="1:26" ht="15.75" customHeight="1">
      <c r="A46" s="1152">
        <v>40</v>
      </c>
      <c r="B46" s="235" t="s">
        <v>971</v>
      </c>
      <c r="C46" s="294" t="s">
        <v>996</v>
      </c>
      <c r="D46" s="294"/>
      <c r="E46" s="280"/>
      <c r="F46" s="280">
        <v>6</v>
      </c>
      <c r="G46" s="1107">
        <v>63250</v>
      </c>
      <c r="H46" s="1105">
        <f t="shared" si="2"/>
        <v>379500</v>
      </c>
      <c r="I46" s="294"/>
      <c r="J46" s="294" t="s">
        <v>671</v>
      </c>
      <c r="K46" s="358"/>
      <c r="L46" s="358"/>
      <c r="M46" s="358"/>
      <c r="N46" s="358"/>
      <c r="O46" s="358"/>
      <c r="P46" s="358"/>
      <c r="Q46" s="358"/>
      <c r="R46" s="358"/>
      <c r="S46" s="358"/>
      <c r="T46" s="358"/>
      <c r="U46" s="358"/>
      <c r="V46" s="358"/>
      <c r="W46" s="358"/>
      <c r="X46" s="358"/>
      <c r="Y46" s="358"/>
      <c r="Z46" s="358"/>
    </row>
    <row r="47" spans="1:26" ht="15.75" customHeight="1">
      <c r="A47" s="1152">
        <v>41</v>
      </c>
      <c r="B47" s="235" t="s">
        <v>971</v>
      </c>
      <c r="C47" s="294" t="s">
        <v>997</v>
      </c>
      <c r="D47" s="235"/>
      <c r="E47" s="235"/>
      <c r="F47" s="235">
        <v>1</v>
      </c>
      <c r="G47" s="1105">
        <v>350000</v>
      </c>
      <c r="H47" s="1105">
        <f t="shared" si="2"/>
        <v>350000</v>
      </c>
      <c r="I47" s="239"/>
      <c r="J47" s="294" t="s">
        <v>671</v>
      </c>
      <c r="K47" s="358"/>
      <c r="L47" s="358"/>
      <c r="M47" s="358"/>
      <c r="N47" s="358"/>
      <c r="O47" s="358"/>
      <c r="P47" s="358"/>
      <c r="Q47" s="358"/>
      <c r="R47" s="358"/>
      <c r="S47" s="358"/>
      <c r="T47" s="358"/>
      <c r="U47" s="358"/>
      <c r="V47" s="358"/>
      <c r="W47" s="358"/>
      <c r="X47" s="358"/>
      <c r="Y47" s="358"/>
      <c r="Z47" s="358"/>
    </row>
    <row r="48" spans="1:26" ht="15.75" customHeight="1">
      <c r="A48" s="1152">
        <v>42</v>
      </c>
      <c r="B48" s="235" t="s">
        <v>971</v>
      </c>
      <c r="C48" s="294" t="s">
        <v>998</v>
      </c>
      <c r="D48" s="294"/>
      <c r="E48" s="280"/>
      <c r="F48" s="280">
        <v>12</v>
      </c>
      <c r="G48" s="1107">
        <v>28750</v>
      </c>
      <c r="H48" s="1105">
        <f t="shared" si="2"/>
        <v>345000</v>
      </c>
      <c r="I48" s="239"/>
      <c r="J48" s="294" t="s">
        <v>671</v>
      </c>
      <c r="K48" s="358"/>
      <c r="L48" s="358"/>
      <c r="M48" s="358"/>
      <c r="N48" s="358"/>
      <c r="O48" s="358"/>
      <c r="P48" s="358"/>
      <c r="Q48" s="358"/>
      <c r="R48" s="358"/>
      <c r="S48" s="358"/>
      <c r="T48" s="358"/>
      <c r="U48" s="358"/>
      <c r="V48" s="358"/>
      <c r="W48" s="358"/>
      <c r="X48" s="358"/>
      <c r="Y48" s="358"/>
      <c r="Z48" s="358"/>
    </row>
    <row r="49" spans="1:26" ht="15.75" customHeight="1">
      <c r="A49" s="1152">
        <v>43</v>
      </c>
      <c r="B49" s="235" t="s">
        <v>971</v>
      </c>
      <c r="C49" s="294" t="s">
        <v>999</v>
      </c>
      <c r="D49" s="294"/>
      <c r="E49" s="280"/>
      <c r="F49" s="280">
        <v>20</v>
      </c>
      <c r="G49" s="1107">
        <v>17000</v>
      </c>
      <c r="H49" s="1105">
        <f t="shared" si="2"/>
        <v>340000</v>
      </c>
      <c r="I49" s="294"/>
      <c r="J49" s="294" t="s">
        <v>671</v>
      </c>
      <c r="K49" s="358"/>
      <c r="L49" s="358"/>
      <c r="M49" s="358"/>
      <c r="N49" s="358"/>
      <c r="O49" s="358"/>
      <c r="P49" s="358"/>
      <c r="Q49" s="358"/>
      <c r="R49" s="358"/>
      <c r="S49" s="358"/>
      <c r="T49" s="358"/>
      <c r="U49" s="358"/>
      <c r="V49" s="358"/>
      <c r="W49" s="358"/>
      <c r="X49" s="358"/>
      <c r="Y49" s="358"/>
      <c r="Z49" s="358"/>
    </row>
    <row r="50" spans="1:26" ht="15.75" customHeight="1">
      <c r="A50" s="1152">
        <v>44</v>
      </c>
      <c r="B50" s="235" t="s">
        <v>971</v>
      </c>
      <c r="C50" s="294" t="s">
        <v>1000</v>
      </c>
      <c r="D50" s="294"/>
      <c r="E50" s="280"/>
      <c r="F50" s="280">
        <v>12</v>
      </c>
      <c r="G50" s="1107">
        <v>25000</v>
      </c>
      <c r="H50" s="1105">
        <f t="shared" si="2"/>
        <v>300000</v>
      </c>
      <c r="I50" s="294"/>
      <c r="J50" s="294" t="s">
        <v>671</v>
      </c>
      <c r="K50" s="358"/>
      <c r="L50" s="358"/>
      <c r="M50" s="358"/>
      <c r="N50" s="358"/>
      <c r="O50" s="358"/>
      <c r="P50" s="358"/>
      <c r="Q50" s="358"/>
      <c r="R50" s="358"/>
      <c r="S50" s="358"/>
      <c r="T50" s="358"/>
      <c r="U50" s="358"/>
      <c r="V50" s="358"/>
      <c r="W50" s="358"/>
      <c r="X50" s="358"/>
      <c r="Y50" s="358"/>
      <c r="Z50" s="358"/>
    </row>
    <row r="51" spans="1:26" ht="15.75" customHeight="1">
      <c r="A51" s="1152">
        <v>45</v>
      </c>
      <c r="B51" s="235" t="s">
        <v>971</v>
      </c>
      <c r="C51" s="294" t="s">
        <v>1001</v>
      </c>
      <c r="D51" s="235"/>
      <c r="E51" s="280"/>
      <c r="F51" s="280">
        <v>24</v>
      </c>
      <c r="G51" s="1107">
        <v>11500</v>
      </c>
      <c r="H51" s="1105">
        <f t="shared" si="2"/>
        <v>276000</v>
      </c>
      <c r="I51" s="294"/>
      <c r="J51" s="294" t="s">
        <v>671</v>
      </c>
      <c r="K51" s="358"/>
      <c r="L51" s="358"/>
      <c r="M51" s="358"/>
      <c r="N51" s="358"/>
      <c r="O51" s="358"/>
      <c r="P51" s="358"/>
      <c r="Q51" s="358"/>
      <c r="R51" s="358"/>
      <c r="S51" s="358"/>
      <c r="T51" s="358"/>
      <c r="U51" s="358"/>
      <c r="V51" s="358"/>
      <c r="W51" s="358"/>
      <c r="X51" s="358"/>
      <c r="Y51" s="358"/>
      <c r="Z51" s="358"/>
    </row>
    <row r="52" spans="1:26" ht="15.75" customHeight="1">
      <c r="A52" s="1152">
        <v>46</v>
      </c>
      <c r="B52" s="235" t="s">
        <v>971</v>
      </c>
      <c r="C52" s="294" t="s">
        <v>1002</v>
      </c>
      <c r="D52" s="294"/>
      <c r="E52" s="280"/>
      <c r="F52" s="280">
        <v>6</v>
      </c>
      <c r="G52" s="1107">
        <v>37500</v>
      </c>
      <c r="H52" s="1105">
        <f t="shared" si="2"/>
        <v>225000</v>
      </c>
      <c r="I52" s="294"/>
      <c r="J52" s="294" t="s">
        <v>671</v>
      </c>
      <c r="K52" s="358"/>
      <c r="L52" s="358"/>
      <c r="M52" s="358"/>
      <c r="N52" s="358"/>
      <c r="O52" s="358"/>
      <c r="P52" s="358"/>
      <c r="Q52" s="358"/>
      <c r="R52" s="358"/>
      <c r="S52" s="358"/>
      <c r="T52" s="358"/>
      <c r="U52" s="358"/>
      <c r="V52" s="358"/>
      <c r="W52" s="358"/>
      <c r="X52" s="358"/>
      <c r="Y52" s="358"/>
      <c r="Z52" s="358"/>
    </row>
    <row r="53" spans="1:26" ht="15.75" customHeight="1">
      <c r="A53" s="1152">
        <v>47</v>
      </c>
      <c r="B53" s="235" t="s">
        <v>971</v>
      </c>
      <c r="C53" s="294" t="s">
        <v>1003</v>
      </c>
      <c r="D53" s="235"/>
      <c r="E53" s="280"/>
      <c r="F53" s="280">
        <v>20</v>
      </c>
      <c r="G53" s="1107">
        <v>10000</v>
      </c>
      <c r="H53" s="1105">
        <f t="shared" si="2"/>
        <v>200000</v>
      </c>
      <c r="I53" s="294"/>
      <c r="J53" s="294" t="s">
        <v>671</v>
      </c>
      <c r="K53" s="358"/>
      <c r="L53" s="358"/>
      <c r="M53" s="358"/>
      <c r="N53" s="358"/>
      <c r="O53" s="358"/>
      <c r="P53" s="358"/>
      <c r="Q53" s="358"/>
      <c r="R53" s="358"/>
      <c r="S53" s="358"/>
      <c r="T53" s="358"/>
      <c r="U53" s="358"/>
      <c r="V53" s="358"/>
      <c r="W53" s="358"/>
      <c r="X53" s="358"/>
      <c r="Y53" s="358"/>
      <c r="Z53" s="358"/>
    </row>
    <row r="54" spans="1:26" ht="15.75" customHeight="1">
      <c r="A54" s="1152">
        <v>48</v>
      </c>
      <c r="B54" s="235" t="s">
        <v>971</v>
      </c>
      <c r="C54" s="294" t="s">
        <v>1004</v>
      </c>
      <c r="D54" s="294"/>
      <c r="E54" s="280"/>
      <c r="F54" s="280">
        <v>12</v>
      </c>
      <c r="G54" s="1107">
        <v>15000</v>
      </c>
      <c r="H54" s="1105">
        <f t="shared" si="2"/>
        <v>180000</v>
      </c>
      <c r="I54" s="294"/>
      <c r="J54" s="294" t="s">
        <v>671</v>
      </c>
      <c r="K54" s="358"/>
      <c r="L54" s="358"/>
      <c r="M54" s="358"/>
      <c r="N54" s="358"/>
      <c r="O54" s="358"/>
      <c r="P54" s="358"/>
      <c r="Q54" s="358"/>
      <c r="R54" s="358"/>
      <c r="S54" s="358"/>
      <c r="T54" s="358"/>
      <c r="U54" s="358"/>
      <c r="V54" s="358"/>
      <c r="W54" s="358"/>
      <c r="X54" s="358"/>
      <c r="Y54" s="358"/>
      <c r="Z54" s="358"/>
    </row>
    <row r="55" spans="1:26" ht="15.75" customHeight="1">
      <c r="A55" s="1152">
        <v>49</v>
      </c>
      <c r="B55" s="235" t="s">
        <v>971</v>
      </c>
      <c r="C55" s="294" t="s">
        <v>1005</v>
      </c>
      <c r="D55" s="294"/>
      <c r="E55" s="280"/>
      <c r="F55" s="280">
        <v>1</v>
      </c>
      <c r="G55" s="1107">
        <v>150000</v>
      </c>
      <c r="H55" s="1105">
        <f t="shared" si="2"/>
        <v>150000</v>
      </c>
      <c r="I55" s="294"/>
      <c r="J55" s="294" t="s">
        <v>671</v>
      </c>
      <c r="K55" s="358"/>
      <c r="L55" s="358"/>
      <c r="M55" s="358"/>
      <c r="N55" s="358"/>
      <c r="O55" s="358"/>
      <c r="P55" s="358"/>
      <c r="Q55" s="358"/>
      <c r="R55" s="358"/>
      <c r="S55" s="358"/>
      <c r="T55" s="358"/>
      <c r="U55" s="358"/>
      <c r="V55" s="358"/>
      <c r="W55" s="358"/>
      <c r="X55" s="358"/>
      <c r="Y55" s="358"/>
      <c r="Z55" s="358"/>
    </row>
    <row r="56" spans="1:26" ht="15.75" customHeight="1">
      <c r="A56" s="1152">
        <v>50</v>
      </c>
      <c r="B56" s="235" t="s">
        <v>971</v>
      </c>
      <c r="C56" s="294" t="s">
        <v>1006</v>
      </c>
      <c r="D56" s="294"/>
      <c r="E56" s="280"/>
      <c r="F56" s="280">
        <v>30</v>
      </c>
      <c r="G56" s="1107">
        <v>5000</v>
      </c>
      <c r="H56" s="1105">
        <f t="shared" si="2"/>
        <v>150000</v>
      </c>
      <c r="I56" s="294"/>
      <c r="J56" s="294" t="s">
        <v>671</v>
      </c>
      <c r="K56" s="358"/>
      <c r="L56" s="358"/>
      <c r="M56" s="358"/>
      <c r="N56" s="358"/>
      <c r="O56" s="358"/>
      <c r="P56" s="358"/>
      <c r="Q56" s="358"/>
      <c r="R56" s="358"/>
      <c r="S56" s="358"/>
      <c r="T56" s="358"/>
      <c r="U56" s="358"/>
      <c r="V56" s="358"/>
      <c r="W56" s="358"/>
      <c r="X56" s="358"/>
      <c r="Y56" s="358"/>
      <c r="Z56" s="358"/>
    </row>
    <row r="57" spans="1:26" ht="15.75" customHeight="1">
      <c r="A57" s="1152">
        <v>51</v>
      </c>
      <c r="B57" s="235" t="s">
        <v>971</v>
      </c>
      <c r="C57" s="294" t="s">
        <v>1007</v>
      </c>
      <c r="D57" s="294"/>
      <c r="E57" s="280"/>
      <c r="F57" s="280">
        <v>12</v>
      </c>
      <c r="G57" s="1107">
        <v>10000</v>
      </c>
      <c r="H57" s="1105">
        <f t="shared" si="2"/>
        <v>120000</v>
      </c>
      <c r="I57" s="294"/>
      <c r="J57" s="294" t="s">
        <v>671</v>
      </c>
      <c r="K57" s="358"/>
      <c r="L57" s="358"/>
      <c r="M57" s="358"/>
      <c r="N57" s="358"/>
      <c r="O57" s="358"/>
      <c r="P57" s="358"/>
      <c r="Q57" s="358"/>
      <c r="R57" s="358"/>
      <c r="S57" s="358"/>
      <c r="T57" s="358"/>
      <c r="U57" s="358"/>
      <c r="V57" s="358"/>
      <c r="W57" s="358"/>
      <c r="X57" s="358"/>
      <c r="Y57" s="358"/>
      <c r="Z57" s="358"/>
    </row>
    <row r="58" spans="1:26" ht="15.75" customHeight="1">
      <c r="A58" s="1152">
        <v>52</v>
      </c>
      <c r="B58" s="235" t="s">
        <v>971</v>
      </c>
      <c r="C58" s="294" t="s">
        <v>1008</v>
      </c>
      <c r="D58" s="294"/>
      <c r="E58" s="280"/>
      <c r="F58" s="280">
        <v>2</v>
      </c>
      <c r="G58" s="1107">
        <v>50000</v>
      </c>
      <c r="H58" s="1105">
        <f t="shared" si="2"/>
        <v>100000</v>
      </c>
      <c r="I58" s="294"/>
      <c r="J58" s="294" t="s">
        <v>671</v>
      </c>
      <c r="K58" s="358"/>
      <c r="L58" s="358"/>
      <c r="M58" s="358"/>
      <c r="N58" s="358"/>
      <c r="O58" s="358"/>
      <c r="P58" s="358"/>
      <c r="Q58" s="358"/>
      <c r="R58" s="358"/>
      <c r="S58" s="358"/>
      <c r="T58" s="358"/>
      <c r="U58" s="358"/>
      <c r="V58" s="358"/>
      <c r="W58" s="358"/>
      <c r="X58" s="358"/>
      <c r="Y58" s="358"/>
      <c r="Z58" s="358"/>
    </row>
    <row r="59" spans="1:26" ht="15.75" customHeight="1">
      <c r="A59" s="1152">
        <v>53</v>
      </c>
      <c r="B59" s="235" t="s">
        <v>971</v>
      </c>
      <c r="C59" s="294" t="s">
        <v>1009</v>
      </c>
      <c r="D59" s="294"/>
      <c r="E59" s="280"/>
      <c r="F59" s="280">
        <v>2</v>
      </c>
      <c r="G59" s="1107">
        <v>50000</v>
      </c>
      <c r="H59" s="1105">
        <f t="shared" si="2"/>
        <v>100000</v>
      </c>
      <c r="I59" s="294"/>
      <c r="J59" s="294" t="s">
        <v>671</v>
      </c>
      <c r="K59" s="358"/>
      <c r="L59" s="358"/>
      <c r="M59" s="358"/>
      <c r="N59" s="358"/>
      <c r="O59" s="358"/>
      <c r="P59" s="358"/>
      <c r="Q59" s="358"/>
      <c r="R59" s="358"/>
      <c r="S59" s="358"/>
      <c r="T59" s="358"/>
      <c r="U59" s="358"/>
      <c r="V59" s="358"/>
      <c r="W59" s="358"/>
      <c r="X59" s="358"/>
      <c r="Y59" s="358"/>
      <c r="Z59" s="358"/>
    </row>
    <row r="60" spans="1:26" ht="15.75" customHeight="1">
      <c r="A60" s="1152">
        <v>54</v>
      </c>
      <c r="B60" s="235" t="s">
        <v>971</v>
      </c>
      <c r="C60" s="294" t="s">
        <v>1010</v>
      </c>
      <c r="D60" s="294"/>
      <c r="E60" s="280"/>
      <c r="F60" s="280">
        <v>6</v>
      </c>
      <c r="G60" s="1107">
        <v>15000</v>
      </c>
      <c r="H60" s="1105">
        <f t="shared" si="2"/>
        <v>90000</v>
      </c>
      <c r="I60" s="294"/>
      <c r="J60" s="294" t="s">
        <v>671</v>
      </c>
      <c r="K60" s="358"/>
      <c r="L60" s="358"/>
      <c r="M60" s="358"/>
      <c r="N60" s="358"/>
      <c r="O60" s="358"/>
      <c r="P60" s="358"/>
      <c r="Q60" s="358"/>
      <c r="R60" s="358"/>
      <c r="S60" s="358"/>
      <c r="T60" s="358"/>
      <c r="U60" s="358"/>
      <c r="V60" s="358"/>
      <c r="W60" s="358"/>
      <c r="X60" s="358"/>
      <c r="Y60" s="358"/>
      <c r="Z60" s="358"/>
    </row>
    <row r="61" spans="1:26" ht="15.75" customHeight="1">
      <c r="A61" s="1152">
        <v>55</v>
      </c>
      <c r="B61" s="235" t="s">
        <v>971</v>
      </c>
      <c r="C61" s="294" t="s">
        <v>1011</v>
      </c>
      <c r="D61" s="294"/>
      <c r="E61" s="280"/>
      <c r="F61" s="280">
        <v>2</v>
      </c>
      <c r="G61" s="1107">
        <v>30000</v>
      </c>
      <c r="H61" s="1105">
        <f t="shared" si="2"/>
        <v>60000</v>
      </c>
      <c r="I61" s="294"/>
      <c r="J61" s="361" t="s">
        <v>671</v>
      </c>
      <c r="K61" s="358"/>
      <c r="L61" s="358"/>
      <c r="M61" s="358"/>
      <c r="N61" s="358"/>
      <c r="O61" s="358"/>
      <c r="P61" s="358"/>
      <c r="Q61" s="358"/>
      <c r="R61" s="358"/>
      <c r="S61" s="358"/>
      <c r="T61" s="358"/>
      <c r="U61" s="358"/>
      <c r="V61" s="358"/>
      <c r="W61" s="358"/>
      <c r="X61" s="358"/>
      <c r="Y61" s="358"/>
      <c r="Z61" s="358"/>
    </row>
    <row r="62" spans="1:26" ht="15.75" customHeight="1">
      <c r="A62" s="1152">
        <v>56</v>
      </c>
      <c r="B62" s="235" t="s">
        <v>971</v>
      </c>
      <c r="C62" s="294" t="s">
        <v>1012</v>
      </c>
      <c r="D62" s="294"/>
      <c r="E62" s="280"/>
      <c r="F62" s="280">
        <v>2</v>
      </c>
      <c r="G62" s="1107">
        <v>30000</v>
      </c>
      <c r="H62" s="1105">
        <f t="shared" si="2"/>
        <v>60000</v>
      </c>
      <c r="I62" s="294"/>
      <c r="J62" s="361" t="s">
        <v>671</v>
      </c>
      <c r="K62" s="358"/>
      <c r="L62" s="358"/>
      <c r="M62" s="358"/>
      <c r="N62" s="358"/>
      <c r="O62" s="358"/>
      <c r="P62" s="358"/>
      <c r="Q62" s="358"/>
      <c r="R62" s="358"/>
      <c r="S62" s="358"/>
      <c r="T62" s="358"/>
      <c r="U62" s="358"/>
      <c r="V62" s="358"/>
      <c r="W62" s="358"/>
      <c r="X62" s="358"/>
      <c r="Y62" s="358"/>
      <c r="Z62" s="358"/>
    </row>
    <row r="63" spans="1:26" ht="15.75" customHeight="1">
      <c r="A63" s="1152">
        <v>57</v>
      </c>
      <c r="B63" s="235" t="s">
        <v>971</v>
      </c>
      <c r="C63" s="294" t="s">
        <v>1013</v>
      </c>
      <c r="D63" s="294"/>
      <c r="E63" s="280"/>
      <c r="F63" s="280">
        <v>5</v>
      </c>
      <c r="G63" s="1105">
        <v>10000</v>
      </c>
      <c r="H63" s="1105">
        <f t="shared" si="2"/>
        <v>50000</v>
      </c>
      <c r="I63" s="239"/>
      <c r="J63" s="361" t="s">
        <v>671</v>
      </c>
      <c r="K63" s="358"/>
      <c r="L63" s="358"/>
      <c r="M63" s="358"/>
      <c r="N63" s="358"/>
      <c r="O63" s="358"/>
      <c r="P63" s="358"/>
      <c r="Q63" s="358"/>
      <c r="R63" s="358"/>
      <c r="S63" s="358"/>
      <c r="T63" s="358"/>
      <c r="U63" s="358"/>
      <c r="V63" s="358"/>
      <c r="W63" s="358"/>
      <c r="X63" s="358"/>
      <c r="Y63" s="358"/>
      <c r="Z63" s="358"/>
    </row>
    <row r="64" spans="1:26" ht="15.75" customHeight="1">
      <c r="A64" s="1152">
        <v>58</v>
      </c>
      <c r="B64" s="229" t="s">
        <v>856</v>
      </c>
      <c r="C64" s="223" t="s">
        <v>1014</v>
      </c>
      <c r="D64" s="229"/>
      <c r="E64" s="229">
        <v>10</v>
      </c>
      <c r="F64" s="229">
        <v>10</v>
      </c>
      <c r="G64" s="1075">
        <v>75000</v>
      </c>
      <c r="H64" s="1075">
        <f t="shared" si="2"/>
        <v>750000</v>
      </c>
      <c r="I64" s="230" t="s">
        <v>1015</v>
      </c>
      <c r="J64" s="345" t="s">
        <v>671</v>
      </c>
      <c r="K64" s="318"/>
      <c r="L64" s="318"/>
      <c r="M64" s="318"/>
      <c r="N64" s="318"/>
      <c r="O64" s="318"/>
      <c r="P64" s="318"/>
      <c r="Q64" s="318"/>
      <c r="R64" s="318"/>
      <c r="S64" s="318"/>
      <c r="T64" s="318"/>
      <c r="U64" s="318"/>
      <c r="V64" s="318"/>
      <c r="W64" s="318"/>
      <c r="X64" s="318"/>
      <c r="Y64" s="318"/>
      <c r="Z64" s="318"/>
    </row>
    <row r="65" spans="1:26" ht="15.75" customHeight="1">
      <c r="A65" s="1152">
        <v>59</v>
      </c>
      <c r="B65" s="229" t="s">
        <v>856</v>
      </c>
      <c r="C65" s="223" t="s">
        <v>1016</v>
      </c>
      <c r="D65" s="229">
        <v>1</v>
      </c>
      <c r="E65" s="229">
        <v>3</v>
      </c>
      <c r="F65" s="229">
        <v>2</v>
      </c>
      <c r="G65" s="1075">
        <v>210000</v>
      </c>
      <c r="H65" s="1075">
        <f t="shared" si="2"/>
        <v>420000</v>
      </c>
      <c r="I65" s="230" t="s">
        <v>1017</v>
      </c>
      <c r="J65" s="223" t="s">
        <v>671</v>
      </c>
      <c r="K65" s="318"/>
      <c r="L65" s="318"/>
      <c r="M65" s="318"/>
      <c r="N65" s="318"/>
      <c r="O65" s="318"/>
      <c r="P65" s="318"/>
      <c r="Q65" s="318"/>
      <c r="R65" s="318"/>
      <c r="S65" s="318"/>
      <c r="T65" s="318"/>
      <c r="U65" s="318"/>
      <c r="V65" s="318"/>
      <c r="W65" s="318"/>
      <c r="X65" s="318"/>
      <c r="Y65" s="318"/>
      <c r="Z65" s="318"/>
    </row>
    <row r="66" spans="1:26" ht="15.75" customHeight="1">
      <c r="A66" s="1152">
        <v>60</v>
      </c>
      <c r="B66" s="229" t="s">
        <v>1018</v>
      </c>
      <c r="C66" s="223" t="s">
        <v>1019</v>
      </c>
      <c r="D66" s="229"/>
      <c r="E66" s="262">
        <v>1</v>
      </c>
      <c r="F66" s="262">
        <v>1</v>
      </c>
      <c r="G66" s="1075">
        <v>500000</v>
      </c>
      <c r="H66" s="1078">
        <f>G66*E66</f>
        <v>500000</v>
      </c>
      <c r="I66" s="230" t="s">
        <v>674</v>
      </c>
      <c r="J66" s="261"/>
      <c r="K66" s="318"/>
      <c r="L66" s="318"/>
      <c r="M66" s="318"/>
      <c r="N66" s="318"/>
      <c r="O66" s="318"/>
      <c r="P66" s="318"/>
      <c r="Q66" s="318"/>
      <c r="R66" s="318"/>
      <c r="S66" s="318"/>
      <c r="T66" s="318"/>
      <c r="U66" s="318"/>
      <c r="V66" s="318"/>
      <c r="W66" s="318"/>
      <c r="X66" s="318"/>
      <c r="Y66" s="318"/>
      <c r="Z66" s="318"/>
    </row>
    <row r="67" spans="1:26" ht="15.75" customHeight="1">
      <c r="A67" s="1152">
        <v>61</v>
      </c>
      <c r="B67" s="229" t="s">
        <v>1018</v>
      </c>
      <c r="C67" s="261" t="s">
        <v>1020</v>
      </c>
      <c r="D67" s="262"/>
      <c r="E67" s="262"/>
      <c r="F67" s="262"/>
      <c r="G67" s="1077"/>
      <c r="H67" s="1106">
        <v>430000</v>
      </c>
      <c r="I67" s="230" t="s">
        <v>1021</v>
      </c>
      <c r="J67" s="261"/>
      <c r="K67" s="318"/>
      <c r="L67" s="318"/>
      <c r="M67" s="318"/>
      <c r="N67" s="318"/>
      <c r="O67" s="318"/>
      <c r="P67" s="318"/>
      <c r="Q67" s="318"/>
      <c r="R67" s="318"/>
      <c r="S67" s="318"/>
      <c r="T67" s="318"/>
      <c r="U67" s="318"/>
      <c r="V67" s="318"/>
      <c r="W67" s="318"/>
      <c r="X67" s="318"/>
      <c r="Y67" s="318"/>
      <c r="Z67" s="318"/>
    </row>
    <row r="68" spans="1:26" ht="15.75" customHeight="1">
      <c r="A68" s="1152">
        <v>62</v>
      </c>
      <c r="B68" s="229" t="s">
        <v>1018</v>
      </c>
      <c r="C68" s="223" t="s">
        <v>1022</v>
      </c>
      <c r="D68" s="229">
        <v>0</v>
      </c>
      <c r="E68" s="262">
        <v>1</v>
      </c>
      <c r="F68" s="262">
        <v>1</v>
      </c>
      <c r="G68" s="1075">
        <v>100000</v>
      </c>
      <c r="H68" s="1078">
        <f>G68*F68</f>
        <v>100000</v>
      </c>
      <c r="I68" s="230" t="s">
        <v>674</v>
      </c>
      <c r="J68" s="261"/>
      <c r="K68" s="318"/>
      <c r="L68" s="318"/>
      <c r="M68" s="318"/>
      <c r="N68" s="318"/>
      <c r="O68" s="318"/>
      <c r="P68" s="318"/>
      <c r="Q68" s="318"/>
      <c r="R68" s="318"/>
      <c r="S68" s="318"/>
      <c r="T68" s="318"/>
      <c r="U68" s="318"/>
      <c r="V68" s="318"/>
      <c r="W68" s="318"/>
      <c r="X68" s="318"/>
      <c r="Y68" s="318"/>
      <c r="Z68" s="318"/>
    </row>
    <row r="69" spans="1:26" ht="15.75" customHeight="1">
      <c r="A69" s="1152">
        <v>63</v>
      </c>
      <c r="B69" s="229" t="s">
        <v>1018</v>
      </c>
      <c r="C69" s="223" t="s">
        <v>1023</v>
      </c>
      <c r="D69" s="229">
        <v>0</v>
      </c>
      <c r="E69" s="262">
        <v>2</v>
      </c>
      <c r="F69" s="262">
        <v>2</v>
      </c>
      <c r="G69" s="1075">
        <v>30000</v>
      </c>
      <c r="H69" s="1078">
        <f>G69*E69</f>
        <v>60000</v>
      </c>
      <c r="I69" s="230" t="s">
        <v>1024</v>
      </c>
      <c r="J69" s="261"/>
      <c r="K69" s="318"/>
      <c r="L69" s="318"/>
      <c r="M69" s="318"/>
      <c r="N69" s="318"/>
      <c r="O69" s="318"/>
      <c r="P69" s="318"/>
      <c r="Q69" s="318"/>
      <c r="R69" s="318"/>
      <c r="S69" s="318"/>
      <c r="T69" s="318"/>
      <c r="U69" s="318"/>
      <c r="V69" s="318"/>
      <c r="W69" s="318"/>
      <c r="X69" s="318"/>
      <c r="Y69" s="318"/>
      <c r="Z69" s="318"/>
    </row>
    <row r="70" spans="1:26" ht="15.75" customHeight="1">
      <c r="A70" s="1152">
        <v>64</v>
      </c>
      <c r="B70" s="355" t="s">
        <v>1025</v>
      </c>
      <c r="C70" s="356" t="s">
        <v>1026</v>
      </c>
      <c r="D70" s="356"/>
      <c r="E70" s="355">
        <v>4</v>
      </c>
      <c r="F70" s="355">
        <v>4</v>
      </c>
      <c r="G70" s="1103">
        <v>700000</v>
      </c>
      <c r="H70" s="1103">
        <v>2800000</v>
      </c>
      <c r="I70" s="359"/>
      <c r="J70" s="357"/>
      <c r="K70" s="358"/>
      <c r="L70" s="358"/>
      <c r="M70" s="358"/>
      <c r="N70" s="358"/>
      <c r="O70" s="358"/>
      <c r="P70" s="358"/>
      <c r="Q70" s="358"/>
      <c r="R70" s="358"/>
      <c r="S70" s="358"/>
      <c r="T70" s="358"/>
      <c r="U70" s="358"/>
      <c r="V70" s="358"/>
      <c r="W70" s="358"/>
      <c r="X70" s="358"/>
      <c r="Y70" s="358"/>
      <c r="Z70" s="358"/>
    </row>
    <row r="71" spans="1:26" ht="15.75" customHeight="1">
      <c r="A71" s="1152">
        <v>65</v>
      </c>
      <c r="B71" s="235" t="s">
        <v>1025</v>
      </c>
      <c r="C71" s="294" t="s">
        <v>1027</v>
      </c>
      <c r="D71" s="294"/>
      <c r="E71" s="280">
        <v>4</v>
      </c>
      <c r="F71" s="235">
        <v>4</v>
      </c>
      <c r="G71" s="1107">
        <v>150000</v>
      </c>
      <c r="H71" s="1105">
        <f t="shared" ref="H71:H81" si="3">G71*F71</f>
        <v>600000</v>
      </c>
      <c r="I71" s="294" t="s">
        <v>1028</v>
      </c>
      <c r="J71" s="294" t="s">
        <v>671</v>
      </c>
      <c r="K71" s="358"/>
      <c r="L71" s="358"/>
      <c r="M71" s="358"/>
      <c r="N71" s="358"/>
      <c r="O71" s="358"/>
      <c r="P71" s="358"/>
      <c r="Q71" s="358"/>
      <c r="R71" s="358"/>
      <c r="S71" s="358"/>
      <c r="T71" s="358"/>
      <c r="U71" s="358"/>
      <c r="V71" s="358"/>
      <c r="W71" s="358"/>
      <c r="X71" s="358"/>
      <c r="Y71" s="358"/>
      <c r="Z71" s="358"/>
    </row>
    <row r="72" spans="1:26" ht="15.75" customHeight="1">
      <c r="A72" s="1152">
        <v>66</v>
      </c>
      <c r="B72" s="235" t="s">
        <v>1025</v>
      </c>
      <c r="C72" s="362" t="s">
        <v>1029</v>
      </c>
      <c r="D72" s="362"/>
      <c r="E72" s="362">
        <v>4</v>
      </c>
      <c r="F72" s="362">
        <v>4</v>
      </c>
      <c r="G72" s="1161">
        <v>125000</v>
      </c>
      <c r="H72" s="1107">
        <f t="shared" si="3"/>
        <v>500000</v>
      </c>
      <c r="I72" s="294"/>
      <c r="J72" s="294" t="s">
        <v>671</v>
      </c>
      <c r="K72" s="358"/>
      <c r="L72" s="358"/>
      <c r="M72" s="358"/>
      <c r="N72" s="358"/>
      <c r="O72" s="358"/>
      <c r="P72" s="358"/>
      <c r="Q72" s="358"/>
      <c r="R72" s="358"/>
      <c r="S72" s="358"/>
      <c r="T72" s="358"/>
      <c r="U72" s="358"/>
      <c r="V72" s="358"/>
      <c r="W72" s="358"/>
      <c r="X72" s="358"/>
      <c r="Y72" s="358"/>
      <c r="Z72" s="358"/>
    </row>
    <row r="73" spans="1:26" ht="15.75" customHeight="1">
      <c r="A73" s="1152">
        <v>67</v>
      </c>
      <c r="B73" s="235" t="s">
        <v>1025</v>
      </c>
      <c r="C73" s="362" t="s">
        <v>1030</v>
      </c>
      <c r="D73" s="363">
        <v>3</v>
      </c>
      <c r="E73" s="363">
        <v>4</v>
      </c>
      <c r="F73" s="364">
        <v>1</v>
      </c>
      <c r="G73" s="1161">
        <v>350000</v>
      </c>
      <c r="H73" s="1105">
        <f t="shared" si="3"/>
        <v>350000</v>
      </c>
      <c r="I73" s="239"/>
      <c r="J73" s="294" t="s">
        <v>671</v>
      </c>
      <c r="K73" s="358"/>
      <c r="L73" s="358"/>
      <c r="M73" s="358"/>
      <c r="N73" s="358"/>
      <c r="O73" s="358"/>
      <c r="P73" s="358"/>
      <c r="Q73" s="358"/>
      <c r="R73" s="358"/>
      <c r="S73" s="358"/>
      <c r="T73" s="358"/>
      <c r="U73" s="358"/>
      <c r="V73" s="358"/>
      <c r="W73" s="358"/>
      <c r="X73" s="358"/>
      <c r="Y73" s="358"/>
      <c r="Z73" s="358"/>
    </row>
    <row r="74" spans="1:26" ht="15.75" customHeight="1">
      <c r="A74" s="1152">
        <v>68</v>
      </c>
      <c r="B74" s="235" t="s">
        <v>1025</v>
      </c>
      <c r="C74" s="294" t="s">
        <v>1031</v>
      </c>
      <c r="D74" s="294"/>
      <c r="E74" s="280">
        <v>4</v>
      </c>
      <c r="F74" s="235">
        <v>4</v>
      </c>
      <c r="G74" s="1105">
        <v>50000</v>
      </c>
      <c r="H74" s="1105">
        <f t="shared" si="3"/>
        <v>200000</v>
      </c>
      <c r="I74" s="239"/>
      <c r="J74" s="294" t="s">
        <v>671</v>
      </c>
      <c r="K74" s="358"/>
      <c r="L74" s="358"/>
      <c r="M74" s="358"/>
      <c r="N74" s="358"/>
      <c r="O74" s="358"/>
      <c r="P74" s="358"/>
      <c r="Q74" s="358"/>
      <c r="R74" s="358"/>
      <c r="S74" s="358"/>
      <c r="T74" s="358"/>
      <c r="U74" s="358"/>
      <c r="V74" s="358"/>
      <c r="W74" s="358"/>
      <c r="X74" s="358"/>
      <c r="Y74" s="358"/>
      <c r="Z74" s="358"/>
    </row>
    <row r="75" spans="1:26" ht="15.75" customHeight="1">
      <c r="A75" s="1152">
        <v>69</v>
      </c>
      <c r="B75" s="235" t="s">
        <v>1025</v>
      </c>
      <c r="C75" s="294" t="s">
        <v>1032</v>
      </c>
      <c r="D75" s="294"/>
      <c r="E75" s="294">
        <v>8</v>
      </c>
      <c r="F75" s="294">
        <v>8</v>
      </c>
      <c r="G75" s="1107">
        <v>20000</v>
      </c>
      <c r="H75" s="1107">
        <f t="shared" si="3"/>
        <v>160000</v>
      </c>
      <c r="I75" s="294"/>
      <c r="J75" s="294" t="s">
        <v>671</v>
      </c>
      <c r="K75" s="358"/>
      <c r="L75" s="358"/>
      <c r="M75" s="358"/>
      <c r="N75" s="358"/>
      <c r="O75" s="358"/>
      <c r="P75" s="358"/>
      <c r="Q75" s="358"/>
      <c r="R75" s="358"/>
      <c r="S75" s="358"/>
      <c r="T75" s="358"/>
      <c r="U75" s="358"/>
      <c r="V75" s="358"/>
      <c r="W75" s="358"/>
      <c r="X75" s="358"/>
      <c r="Y75" s="358"/>
      <c r="Z75" s="358"/>
    </row>
    <row r="76" spans="1:26" ht="15.75" customHeight="1">
      <c r="A76" s="1152">
        <v>70</v>
      </c>
      <c r="B76" s="235" t="s">
        <v>1025</v>
      </c>
      <c r="C76" s="294" t="s">
        <v>1033</v>
      </c>
      <c r="D76" s="360"/>
      <c r="E76" s="280">
        <v>4</v>
      </c>
      <c r="F76" s="294">
        <v>4</v>
      </c>
      <c r="G76" s="1162">
        <v>20000</v>
      </c>
      <c r="H76" s="1105">
        <f t="shared" si="3"/>
        <v>80000</v>
      </c>
      <c r="I76" s="294"/>
      <c r="J76" s="294" t="s">
        <v>671</v>
      </c>
      <c r="K76" s="358"/>
      <c r="L76" s="358"/>
      <c r="M76" s="358"/>
      <c r="N76" s="358"/>
      <c r="O76" s="358"/>
      <c r="P76" s="358"/>
      <c r="Q76" s="358"/>
      <c r="R76" s="358"/>
      <c r="S76" s="358"/>
      <c r="T76" s="358"/>
      <c r="U76" s="358"/>
      <c r="V76" s="358"/>
      <c r="W76" s="358"/>
      <c r="X76" s="358"/>
      <c r="Y76" s="358"/>
      <c r="Z76" s="358"/>
    </row>
    <row r="77" spans="1:26" ht="15.75" customHeight="1">
      <c r="A77" s="1152">
        <v>71</v>
      </c>
      <c r="B77" s="235" t="s">
        <v>1025</v>
      </c>
      <c r="C77" s="294" t="s">
        <v>1034</v>
      </c>
      <c r="D77" s="360"/>
      <c r="E77" s="294">
        <v>4</v>
      </c>
      <c r="F77" s="294">
        <v>4</v>
      </c>
      <c r="G77" s="1107">
        <v>20000</v>
      </c>
      <c r="H77" s="1107">
        <f t="shared" si="3"/>
        <v>80000</v>
      </c>
      <c r="I77" s="294"/>
      <c r="J77" s="294" t="s">
        <v>671</v>
      </c>
      <c r="K77" s="358"/>
      <c r="L77" s="358"/>
      <c r="M77" s="358"/>
      <c r="N77" s="358"/>
      <c r="O77" s="358"/>
      <c r="P77" s="358"/>
      <c r="Q77" s="358"/>
      <c r="R77" s="358"/>
      <c r="S77" s="358"/>
      <c r="T77" s="358"/>
      <c r="U77" s="358"/>
      <c r="V77" s="358"/>
      <c r="W77" s="358"/>
      <c r="X77" s="358"/>
      <c r="Y77" s="358"/>
      <c r="Z77" s="358"/>
    </row>
    <row r="78" spans="1:26" ht="15.75" customHeight="1">
      <c r="A78" s="1152">
        <v>72</v>
      </c>
      <c r="B78" s="235" t="s">
        <v>1025</v>
      </c>
      <c r="C78" s="294" t="s">
        <v>1035</v>
      </c>
      <c r="D78" s="360"/>
      <c r="E78" s="280">
        <v>1</v>
      </c>
      <c r="F78" s="294">
        <v>1</v>
      </c>
      <c r="G78" s="1162">
        <v>50000</v>
      </c>
      <c r="H78" s="1105">
        <f t="shared" si="3"/>
        <v>50000</v>
      </c>
      <c r="I78" s="294"/>
      <c r="J78" s="294" t="s">
        <v>671</v>
      </c>
      <c r="K78" s="358"/>
      <c r="L78" s="358"/>
      <c r="M78" s="358"/>
      <c r="N78" s="358"/>
      <c r="O78" s="358"/>
      <c r="P78" s="358"/>
      <c r="Q78" s="358"/>
      <c r="R78" s="358"/>
      <c r="S78" s="358"/>
      <c r="T78" s="358"/>
      <c r="U78" s="358"/>
      <c r="V78" s="358"/>
      <c r="W78" s="358"/>
      <c r="X78" s="358"/>
      <c r="Y78" s="358"/>
      <c r="Z78" s="358"/>
    </row>
    <row r="79" spans="1:26" ht="15.75" customHeight="1">
      <c r="A79" s="1152">
        <v>73</v>
      </c>
      <c r="B79" s="235" t="s">
        <v>1025</v>
      </c>
      <c r="C79" s="294" t="s">
        <v>1036</v>
      </c>
      <c r="D79" s="360"/>
      <c r="E79" s="280">
        <v>1</v>
      </c>
      <c r="F79" s="294">
        <v>1</v>
      </c>
      <c r="G79" s="1107">
        <v>50000</v>
      </c>
      <c r="H79" s="1105">
        <f t="shared" si="3"/>
        <v>50000</v>
      </c>
      <c r="I79" s="294"/>
      <c r="J79" s="294" t="s">
        <v>671</v>
      </c>
      <c r="K79" s="358"/>
      <c r="L79" s="358"/>
      <c r="M79" s="358"/>
      <c r="N79" s="358"/>
      <c r="O79" s="358"/>
      <c r="P79" s="358"/>
      <c r="Q79" s="358"/>
      <c r="R79" s="358"/>
      <c r="S79" s="358"/>
      <c r="T79" s="358"/>
      <c r="U79" s="358"/>
      <c r="V79" s="358"/>
      <c r="W79" s="358"/>
      <c r="X79" s="358"/>
      <c r="Y79" s="358"/>
      <c r="Z79" s="358"/>
    </row>
    <row r="80" spans="1:26" ht="15.75" customHeight="1">
      <c r="A80" s="1152">
        <v>74</v>
      </c>
      <c r="B80" s="235" t="s">
        <v>1025</v>
      </c>
      <c r="C80" s="294" t="s">
        <v>1010</v>
      </c>
      <c r="D80" s="360"/>
      <c r="E80" s="294">
        <v>2</v>
      </c>
      <c r="F80" s="294">
        <v>2</v>
      </c>
      <c r="G80" s="1107">
        <v>15000</v>
      </c>
      <c r="H80" s="1107">
        <f t="shared" si="3"/>
        <v>30000</v>
      </c>
      <c r="I80" s="294"/>
      <c r="J80" s="294" t="s">
        <v>671</v>
      </c>
      <c r="K80" s="358"/>
      <c r="L80" s="358"/>
      <c r="M80" s="358"/>
      <c r="N80" s="358"/>
      <c r="O80" s="358"/>
      <c r="P80" s="358"/>
      <c r="Q80" s="358"/>
      <c r="R80" s="358"/>
      <c r="S80" s="358"/>
      <c r="T80" s="358"/>
      <c r="U80" s="358"/>
      <c r="V80" s="358"/>
      <c r="W80" s="358"/>
      <c r="X80" s="358"/>
      <c r="Y80" s="358"/>
      <c r="Z80" s="358"/>
    </row>
    <row r="81" spans="1:26" ht="15.75" customHeight="1">
      <c r="A81" s="1152">
        <v>75</v>
      </c>
      <c r="B81" s="229" t="s">
        <v>1037</v>
      </c>
      <c r="C81" s="223" t="s">
        <v>1038</v>
      </c>
      <c r="D81" s="365"/>
      <c r="E81" s="252"/>
      <c r="F81" s="223">
        <v>30</v>
      </c>
      <c r="G81" s="1078">
        <v>7000</v>
      </c>
      <c r="H81" s="1078">
        <f t="shared" si="3"/>
        <v>210000</v>
      </c>
      <c r="I81" s="261"/>
      <c r="J81" s="261" t="s">
        <v>1039</v>
      </c>
      <c r="K81" s="318"/>
      <c r="L81" s="318"/>
      <c r="M81" s="318"/>
      <c r="N81" s="318"/>
      <c r="O81" s="318"/>
      <c r="P81" s="318"/>
      <c r="Q81" s="318"/>
      <c r="R81" s="318"/>
      <c r="S81" s="318"/>
      <c r="T81" s="318"/>
      <c r="U81" s="318"/>
      <c r="V81" s="318"/>
      <c r="W81" s="318"/>
      <c r="X81" s="318"/>
      <c r="Y81" s="318"/>
      <c r="Z81" s="318"/>
    </row>
    <row r="82" spans="1:26" ht="15.75" customHeight="1">
      <c r="A82" s="1152">
        <v>76</v>
      </c>
      <c r="B82" s="366" t="s">
        <v>1040</v>
      </c>
      <c r="C82" s="367" t="s">
        <v>1041</v>
      </c>
      <c r="D82" s="368">
        <v>0</v>
      </c>
      <c r="E82" s="366">
        <v>3</v>
      </c>
      <c r="F82" s="366">
        <v>3</v>
      </c>
      <c r="G82" s="1163">
        <v>350000</v>
      </c>
      <c r="H82" s="1108">
        <v>1050000</v>
      </c>
      <c r="I82" s="369" t="s">
        <v>1042</v>
      </c>
      <c r="J82" s="370"/>
      <c r="K82" s="318"/>
      <c r="L82" s="318"/>
      <c r="M82" s="318"/>
      <c r="N82" s="318"/>
      <c r="O82" s="318"/>
      <c r="P82" s="318"/>
      <c r="Q82" s="318"/>
      <c r="R82" s="318"/>
      <c r="S82" s="318"/>
      <c r="T82" s="318"/>
      <c r="U82" s="318"/>
      <c r="V82" s="318"/>
      <c r="W82" s="318"/>
      <c r="X82" s="318"/>
      <c r="Y82" s="318"/>
      <c r="Z82" s="318"/>
    </row>
    <row r="83" spans="1:26" ht="15.75" customHeight="1">
      <c r="A83" s="1152">
        <v>77</v>
      </c>
      <c r="B83" s="366" t="s">
        <v>1040</v>
      </c>
      <c r="C83" s="367" t="s">
        <v>1041</v>
      </c>
      <c r="D83" s="368">
        <v>0</v>
      </c>
      <c r="E83" s="366">
        <v>3</v>
      </c>
      <c r="F83" s="366">
        <v>3</v>
      </c>
      <c r="G83" s="1163">
        <v>350000</v>
      </c>
      <c r="H83" s="1108">
        <v>1050000</v>
      </c>
      <c r="I83" s="369" t="s">
        <v>1042</v>
      </c>
      <c r="J83" s="370"/>
      <c r="K83" s="318"/>
      <c r="L83" s="318"/>
      <c r="M83" s="318"/>
      <c r="N83" s="318"/>
      <c r="O83" s="318"/>
      <c r="P83" s="318"/>
      <c r="Q83" s="318"/>
      <c r="R83" s="318"/>
      <c r="S83" s="318"/>
      <c r="T83" s="318"/>
      <c r="U83" s="318"/>
      <c r="V83" s="318"/>
      <c r="W83" s="318"/>
      <c r="X83" s="318"/>
      <c r="Y83" s="318"/>
      <c r="Z83" s="318"/>
    </row>
    <row r="84" spans="1:26" ht="15.75" customHeight="1">
      <c r="A84" s="1152">
        <v>78</v>
      </c>
      <c r="B84" s="366" t="s">
        <v>1043</v>
      </c>
      <c r="C84" s="369" t="s">
        <v>1044</v>
      </c>
      <c r="D84" s="368">
        <v>0</v>
      </c>
      <c r="E84" s="366">
        <v>2</v>
      </c>
      <c r="F84" s="366">
        <v>2</v>
      </c>
      <c r="G84" s="1109">
        <v>750000</v>
      </c>
      <c r="H84" s="1109">
        <v>1500000</v>
      </c>
      <c r="I84" s="369" t="s">
        <v>1045</v>
      </c>
      <c r="J84" s="370"/>
      <c r="K84" s="318"/>
      <c r="L84" s="318"/>
      <c r="M84" s="318"/>
      <c r="N84" s="318"/>
      <c r="O84" s="318"/>
      <c r="P84" s="318"/>
      <c r="Q84" s="318"/>
      <c r="R84" s="318"/>
      <c r="S84" s="318"/>
      <c r="T84" s="318"/>
      <c r="U84" s="318"/>
      <c r="V84" s="318"/>
      <c r="W84" s="318"/>
      <c r="X84" s="318"/>
      <c r="Y84" s="318"/>
      <c r="Z84" s="318"/>
    </row>
    <row r="85" spans="1:26" ht="15.75" customHeight="1">
      <c r="A85" s="1152">
        <v>79</v>
      </c>
      <c r="B85" s="262" t="s">
        <v>1043</v>
      </c>
      <c r="C85" s="371" t="s">
        <v>1046</v>
      </c>
      <c r="D85" s="372">
        <v>0</v>
      </c>
      <c r="E85" s="262">
        <v>1</v>
      </c>
      <c r="F85" s="262">
        <v>1</v>
      </c>
      <c r="G85" s="1110">
        <v>850000</v>
      </c>
      <c r="H85" s="1110">
        <f t="shared" ref="H85:H88" si="4">G85*F85</f>
        <v>850000</v>
      </c>
      <c r="I85" s="373" t="s">
        <v>1047</v>
      </c>
      <c r="J85" s="261" t="s">
        <v>748</v>
      </c>
      <c r="K85" s="318"/>
      <c r="L85" s="318"/>
      <c r="M85" s="318"/>
      <c r="N85" s="318"/>
      <c r="O85" s="318"/>
      <c r="P85" s="318"/>
      <c r="Q85" s="318"/>
      <c r="R85" s="318"/>
      <c r="S85" s="318"/>
      <c r="T85" s="318"/>
      <c r="U85" s="318"/>
      <c r="V85" s="318"/>
      <c r="W85" s="318"/>
      <c r="X85" s="318"/>
      <c r="Y85" s="318"/>
      <c r="Z85" s="318"/>
    </row>
    <row r="86" spans="1:26" ht="15.75" customHeight="1">
      <c r="A86" s="1152">
        <v>80</v>
      </c>
      <c r="B86" s="289" t="s">
        <v>1043</v>
      </c>
      <c r="C86" s="265" t="s">
        <v>1048</v>
      </c>
      <c r="D86" s="374"/>
      <c r="E86" s="266"/>
      <c r="F86" s="266">
        <v>240</v>
      </c>
      <c r="G86" s="1111">
        <v>2500</v>
      </c>
      <c r="H86" s="1111">
        <f t="shared" si="4"/>
        <v>600000</v>
      </c>
      <c r="I86" s="278" t="s">
        <v>1049</v>
      </c>
      <c r="J86" s="288" t="s">
        <v>748</v>
      </c>
      <c r="K86" s="375"/>
      <c r="L86" s="375"/>
      <c r="M86" s="375"/>
      <c r="N86" s="375"/>
      <c r="O86" s="375"/>
      <c r="P86" s="375"/>
      <c r="Q86" s="375"/>
      <c r="R86" s="375"/>
      <c r="S86" s="375"/>
      <c r="T86" s="375"/>
      <c r="U86" s="375"/>
      <c r="V86" s="375"/>
      <c r="W86" s="375"/>
      <c r="X86" s="375"/>
      <c r="Y86" s="375"/>
      <c r="Z86" s="375"/>
    </row>
    <row r="87" spans="1:26" ht="15.75" customHeight="1">
      <c r="A87" s="1152">
        <v>81</v>
      </c>
      <c r="B87" s="235" t="s">
        <v>1050</v>
      </c>
      <c r="C87" s="294" t="s">
        <v>1051</v>
      </c>
      <c r="D87" s="376"/>
      <c r="E87" s="235"/>
      <c r="F87" s="235">
        <v>2</v>
      </c>
      <c r="G87" s="1107">
        <v>150000</v>
      </c>
      <c r="H87" s="1105">
        <f t="shared" si="4"/>
        <v>300000</v>
      </c>
      <c r="I87" s="239"/>
      <c r="J87" s="294" t="s">
        <v>704</v>
      </c>
      <c r="K87" s="358"/>
      <c r="L87" s="358"/>
      <c r="M87" s="358"/>
      <c r="N87" s="358"/>
      <c r="O87" s="358"/>
      <c r="P87" s="358"/>
      <c r="Q87" s="358"/>
      <c r="R87" s="358"/>
      <c r="S87" s="358"/>
      <c r="T87" s="358"/>
      <c r="U87" s="358"/>
      <c r="V87" s="358"/>
      <c r="W87" s="358"/>
      <c r="X87" s="358"/>
      <c r="Y87" s="358"/>
      <c r="Z87" s="358"/>
    </row>
    <row r="88" spans="1:26" ht="15.75" customHeight="1">
      <c r="A88" s="1152">
        <v>82</v>
      </c>
      <c r="B88" s="235" t="s">
        <v>1050</v>
      </c>
      <c r="C88" s="294" t="s">
        <v>1052</v>
      </c>
      <c r="D88" s="360"/>
      <c r="E88" s="280"/>
      <c r="F88" s="280">
        <v>2</v>
      </c>
      <c r="G88" s="1164">
        <v>100000</v>
      </c>
      <c r="H88" s="1105">
        <f t="shared" si="4"/>
        <v>200000</v>
      </c>
      <c r="I88" s="239"/>
      <c r="J88" s="294" t="s">
        <v>704</v>
      </c>
      <c r="K88" s="358"/>
      <c r="L88" s="358"/>
      <c r="M88" s="358"/>
      <c r="N88" s="358"/>
      <c r="O88" s="358"/>
      <c r="P88" s="358"/>
      <c r="Q88" s="358"/>
      <c r="R88" s="358"/>
      <c r="S88" s="358"/>
      <c r="T88" s="358"/>
      <c r="U88" s="358"/>
      <c r="V88" s="358"/>
      <c r="W88" s="358"/>
      <c r="X88" s="358"/>
      <c r="Y88" s="358"/>
      <c r="Z88" s="358"/>
    </row>
    <row r="89" spans="1:26" ht="15.75" customHeight="1">
      <c r="A89" s="1152">
        <v>83</v>
      </c>
      <c r="B89" s="229" t="s">
        <v>701</v>
      </c>
      <c r="C89" s="223" t="s">
        <v>1053</v>
      </c>
      <c r="D89" s="338">
        <v>3</v>
      </c>
      <c r="E89" s="229">
        <v>9</v>
      </c>
      <c r="F89" s="229">
        <v>6</v>
      </c>
      <c r="G89" s="1075">
        <v>100000</v>
      </c>
      <c r="H89" s="1075">
        <v>600000</v>
      </c>
      <c r="I89" s="230" t="s">
        <v>1054</v>
      </c>
      <c r="J89" s="223" t="s">
        <v>671</v>
      </c>
      <c r="K89" s="318"/>
      <c r="L89" s="318"/>
      <c r="M89" s="318"/>
      <c r="N89" s="318"/>
      <c r="O89" s="318"/>
      <c r="P89" s="318"/>
      <c r="Q89" s="318"/>
      <c r="R89" s="318"/>
      <c r="S89" s="318"/>
      <c r="T89" s="318"/>
      <c r="U89" s="318"/>
      <c r="V89" s="318"/>
      <c r="W89" s="318"/>
      <c r="X89" s="318"/>
      <c r="Y89" s="318"/>
      <c r="Z89" s="318"/>
    </row>
    <row r="90" spans="1:26" ht="15.75" customHeight="1">
      <c r="A90" s="1152">
        <v>84</v>
      </c>
      <c r="B90" s="229" t="s">
        <v>701</v>
      </c>
      <c r="C90" s="223" t="s">
        <v>994</v>
      </c>
      <c r="D90" s="338">
        <v>1</v>
      </c>
      <c r="E90" s="229">
        <v>2</v>
      </c>
      <c r="F90" s="229">
        <v>1</v>
      </c>
      <c r="G90" s="1075">
        <v>500000</v>
      </c>
      <c r="H90" s="1075">
        <v>500000</v>
      </c>
      <c r="I90" s="223" t="s">
        <v>1055</v>
      </c>
      <c r="J90" s="223" t="s">
        <v>748</v>
      </c>
      <c r="K90" s="318"/>
      <c r="L90" s="318"/>
      <c r="M90" s="318"/>
      <c r="N90" s="318"/>
      <c r="O90" s="318"/>
      <c r="P90" s="318"/>
      <c r="Q90" s="318"/>
      <c r="R90" s="318"/>
      <c r="S90" s="318"/>
      <c r="T90" s="318"/>
      <c r="U90" s="318"/>
      <c r="V90" s="318"/>
      <c r="W90" s="318"/>
      <c r="X90" s="318"/>
      <c r="Y90" s="318"/>
      <c r="Z90" s="318"/>
    </row>
    <row r="91" spans="1:26" ht="15.75" customHeight="1">
      <c r="A91" s="1152">
        <v>85</v>
      </c>
      <c r="B91" s="266" t="s">
        <v>701</v>
      </c>
      <c r="C91" s="265" t="s">
        <v>1056</v>
      </c>
      <c r="D91" s="374">
        <v>2</v>
      </c>
      <c r="E91" s="266">
        <v>6</v>
      </c>
      <c r="F91" s="266">
        <v>4</v>
      </c>
      <c r="G91" s="1079">
        <v>100000</v>
      </c>
      <c r="H91" s="1079">
        <v>400000</v>
      </c>
      <c r="I91" s="268" t="s">
        <v>1057</v>
      </c>
      <c r="J91" s="265" t="s">
        <v>671</v>
      </c>
      <c r="K91" s="375"/>
      <c r="L91" s="375"/>
      <c r="M91" s="375"/>
      <c r="N91" s="375"/>
      <c r="O91" s="375"/>
      <c r="P91" s="375"/>
      <c r="Q91" s="375"/>
      <c r="R91" s="375"/>
      <c r="S91" s="375"/>
      <c r="T91" s="375"/>
      <c r="U91" s="375"/>
      <c r="V91" s="375"/>
      <c r="W91" s="375"/>
      <c r="X91" s="375"/>
      <c r="Y91" s="375"/>
      <c r="Z91" s="375"/>
    </row>
    <row r="92" spans="1:26" ht="15.75" customHeight="1">
      <c r="A92" s="1152">
        <v>86</v>
      </c>
      <c r="B92" s="266" t="s">
        <v>701</v>
      </c>
      <c r="C92" s="265" t="s">
        <v>1058</v>
      </c>
      <c r="D92" s="374">
        <v>1</v>
      </c>
      <c r="E92" s="266">
        <v>2</v>
      </c>
      <c r="F92" s="266">
        <v>1</v>
      </c>
      <c r="G92" s="1079">
        <v>200000</v>
      </c>
      <c r="H92" s="1079">
        <v>200000</v>
      </c>
      <c r="I92" s="268" t="s">
        <v>1059</v>
      </c>
      <c r="J92" s="265" t="s">
        <v>704</v>
      </c>
      <c r="K92" s="375"/>
      <c r="L92" s="375"/>
      <c r="M92" s="375"/>
      <c r="N92" s="375"/>
      <c r="O92" s="375"/>
      <c r="P92" s="375"/>
      <c r="Q92" s="375"/>
      <c r="R92" s="375"/>
      <c r="S92" s="375"/>
      <c r="T92" s="375"/>
      <c r="U92" s="375"/>
      <c r="V92" s="375"/>
      <c r="W92" s="375"/>
      <c r="X92" s="375"/>
      <c r="Y92" s="375"/>
      <c r="Z92" s="375"/>
    </row>
    <row r="93" spans="1:26" ht="15.75" customHeight="1">
      <c r="A93" s="1152">
        <v>87</v>
      </c>
      <c r="B93" s="266" t="s">
        <v>701</v>
      </c>
      <c r="C93" s="265" t="s">
        <v>1060</v>
      </c>
      <c r="D93" s="374">
        <v>2</v>
      </c>
      <c r="E93" s="266">
        <v>4</v>
      </c>
      <c r="F93" s="266">
        <v>2</v>
      </c>
      <c r="G93" s="1079">
        <v>100000</v>
      </c>
      <c r="H93" s="1079">
        <v>200000</v>
      </c>
      <c r="I93" s="268" t="s">
        <v>1061</v>
      </c>
      <c r="J93" s="265" t="s">
        <v>671</v>
      </c>
      <c r="K93" s="375"/>
      <c r="L93" s="375"/>
      <c r="M93" s="375"/>
      <c r="N93" s="375"/>
      <c r="O93" s="375"/>
      <c r="P93" s="375"/>
      <c r="Q93" s="375"/>
      <c r="R93" s="375"/>
      <c r="S93" s="375"/>
      <c r="T93" s="375"/>
      <c r="U93" s="375"/>
      <c r="V93" s="375"/>
      <c r="W93" s="375"/>
      <c r="X93" s="375"/>
      <c r="Y93" s="375"/>
      <c r="Z93" s="375"/>
    </row>
    <row r="94" spans="1:26" ht="15.75" customHeight="1">
      <c r="A94" s="1152">
        <v>88</v>
      </c>
      <c r="B94" s="266" t="s">
        <v>701</v>
      </c>
      <c r="C94" s="265" t="s">
        <v>1062</v>
      </c>
      <c r="D94" s="374">
        <v>2</v>
      </c>
      <c r="E94" s="266">
        <v>3</v>
      </c>
      <c r="F94" s="266">
        <v>1</v>
      </c>
      <c r="G94" s="1079">
        <v>150000</v>
      </c>
      <c r="H94" s="1079">
        <v>150000</v>
      </c>
      <c r="I94" s="265" t="s">
        <v>1063</v>
      </c>
      <c r="J94" s="265" t="s">
        <v>704</v>
      </c>
      <c r="K94" s="375"/>
      <c r="L94" s="375"/>
      <c r="M94" s="375"/>
      <c r="N94" s="375"/>
      <c r="O94" s="375"/>
      <c r="P94" s="375"/>
      <c r="Q94" s="375"/>
      <c r="R94" s="375"/>
      <c r="S94" s="375"/>
      <c r="T94" s="375"/>
      <c r="U94" s="375"/>
      <c r="V94" s="375"/>
      <c r="W94" s="375"/>
      <c r="X94" s="375"/>
      <c r="Y94" s="375"/>
      <c r="Z94" s="375"/>
    </row>
    <row r="95" spans="1:26" ht="15.75" customHeight="1">
      <c r="A95" s="1152">
        <v>89</v>
      </c>
      <c r="B95" s="266" t="s">
        <v>701</v>
      </c>
      <c r="C95" s="265" t="s">
        <v>1064</v>
      </c>
      <c r="D95" s="377"/>
      <c r="E95" s="266"/>
      <c r="F95" s="378">
        <v>2</v>
      </c>
      <c r="G95" s="1090">
        <v>70000</v>
      </c>
      <c r="H95" s="1112">
        <f>G95*F95</f>
        <v>140000</v>
      </c>
      <c r="I95" s="265" t="s">
        <v>1065</v>
      </c>
      <c r="J95" s="265" t="s">
        <v>671</v>
      </c>
      <c r="K95" s="375"/>
      <c r="L95" s="375"/>
      <c r="M95" s="375"/>
      <c r="N95" s="375"/>
      <c r="O95" s="375"/>
      <c r="P95" s="375"/>
      <c r="Q95" s="375"/>
      <c r="R95" s="375"/>
      <c r="S95" s="375"/>
      <c r="T95" s="375"/>
      <c r="U95" s="375"/>
      <c r="V95" s="375"/>
      <c r="W95" s="375"/>
      <c r="X95" s="375"/>
      <c r="Y95" s="375"/>
      <c r="Z95" s="375"/>
    </row>
    <row r="96" spans="1:26" ht="15.75" customHeight="1">
      <c r="A96" s="1152">
        <v>90</v>
      </c>
      <c r="B96" s="266" t="s">
        <v>701</v>
      </c>
      <c r="C96" s="265" t="s">
        <v>1066</v>
      </c>
      <c r="D96" s="266">
        <v>0</v>
      </c>
      <c r="E96" s="266">
        <v>16</v>
      </c>
      <c r="F96" s="266">
        <v>16</v>
      </c>
      <c r="G96" s="1079">
        <v>50000</v>
      </c>
      <c r="H96" s="1079">
        <v>50000</v>
      </c>
      <c r="I96" s="268" t="s">
        <v>1067</v>
      </c>
      <c r="J96" s="265" t="s">
        <v>671</v>
      </c>
      <c r="K96" s="375"/>
      <c r="L96" s="375"/>
      <c r="M96" s="375"/>
      <c r="N96" s="375"/>
      <c r="O96" s="375"/>
      <c r="P96" s="375"/>
      <c r="Q96" s="375"/>
      <c r="R96" s="375"/>
      <c r="S96" s="375"/>
      <c r="T96" s="375"/>
      <c r="U96" s="375"/>
      <c r="V96" s="375"/>
      <c r="W96" s="375"/>
      <c r="X96" s="375"/>
      <c r="Y96" s="375"/>
      <c r="Z96" s="375"/>
    </row>
    <row r="97" spans="1:26" ht="15.75" customHeight="1">
      <c r="A97" s="1152">
        <v>91</v>
      </c>
      <c r="B97" s="262" t="s">
        <v>686</v>
      </c>
      <c r="C97" s="261" t="s">
        <v>1068</v>
      </c>
      <c r="D97" s="262"/>
      <c r="E97" s="262">
        <v>12</v>
      </c>
      <c r="F97" s="262">
        <v>12</v>
      </c>
      <c r="G97" s="1106">
        <v>150000</v>
      </c>
      <c r="H97" s="1106">
        <f>F97*G97</f>
        <v>1800000</v>
      </c>
      <c r="I97" s="223"/>
      <c r="J97" s="223"/>
      <c r="K97" s="318"/>
      <c r="L97" s="318"/>
      <c r="M97" s="318"/>
      <c r="N97" s="318"/>
      <c r="O97" s="318"/>
      <c r="P97" s="318"/>
      <c r="Q97" s="318"/>
      <c r="R97" s="318"/>
      <c r="S97" s="318"/>
      <c r="T97" s="318"/>
      <c r="U97" s="318"/>
      <c r="V97" s="318"/>
      <c r="W97" s="318"/>
      <c r="X97" s="318"/>
      <c r="Y97" s="318"/>
      <c r="Z97" s="318"/>
    </row>
    <row r="98" spans="1:26" ht="15.75" customHeight="1">
      <c r="A98" s="1152">
        <v>92</v>
      </c>
      <c r="B98" s="366" t="s">
        <v>686</v>
      </c>
      <c r="C98" s="367" t="s">
        <v>1069</v>
      </c>
      <c r="D98" s="366">
        <v>0</v>
      </c>
      <c r="E98" s="366">
        <v>2</v>
      </c>
      <c r="F98" s="366">
        <v>1</v>
      </c>
      <c r="G98" s="1108">
        <v>500000</v>
      </c>
      <c r="H98" s="1108">
        <v>500000</v>
      </c>
      <c r="I98" s="369"/>
      <c r="J98" s="370" t="s">
        <v>671</v>
      </c>
      <c r="K98" s="318"/>
      <c r="L98" s="318"/>
      <c r="M98" s="318"/>
      <c r="N98" s="318"/>
      <c r="O98" s="318"/>
      <c r="P98" s="318"/>
      <c r="Q98" s="318"/>
      <c r="R98" s="318"/>
      <c r="S98" s="318"/>
      <c r="T98" s="318"/>
      <c r="U98" s="318"/>
      <c r="V98" s="318"/>
      <c r="W98" s="318"/>
      <c r="X98" s="318"/>
      <c r="Y98" s="318"/>
      <c r="Z98" s="318"/>
    </row>
    <row r="99" spans="1:26" ht="15.75" customHeight="1">
      <c r="A99" s="1152">
        <v>93</v>
      </c>
      <c r="B99" s="229" t="s">
        <v>686</v>
      </c>
      <c r="C99" s="223" t="s">
        <v>1070</v>
      </c>
      <c r="D99" s="229">
        <v>0</v>
      </c>
      <c r="E99" s="229">
        <v>1</v>
      </c>
      <c r="F99" s="229">
        <v>1</v>
      </c>
      <c r="G99" s="1075">
        <v>500000</v>
      </c>
      <c r="H99" s="1075">
        <v>500000</v>
      </c>
      <c r="I99" s="230"/>
      <c r="J99" s="223" t="s">
        <v>671</v>
      </c>
      <c r="K99" s="318"/>
      <c r="L99" s="318"/>
      <c r="M99" s="318"/>
      <c r="N99" s="318"/>
      <c r="O99" s="318"/>
      <c r="P99" s="318"/>
      <c r="Q99" s="318"/>
      <c r="R99" s="318"/>
      <c r="S99" s="318"/>
      <c r="T99" s="318"/>
      <c r="U99" s="318"/>
      <c r="V99" s="318"/>
      <c r="W99" s="318"/>
      <c r="X99" s="318"/>
      <c r="Y99" s="318"/>
      <c r="Z99" s="318"/>
    </row>
    <row r="100" spans="1:26" ht="15.75" customHeight="1">
      <c r="A100" s="1152">
        <v>94</v>
      </c>
      <c r="B100" s="355" t="s">
        <v>1071</v>
      </c>
      <c r="C100" s="356" t="s">
        <v>1072</v>
      </c>
      <c r="D100" s="356"/>
      <c r="E100" s="355"/>
      <c r="F100" s="355">
        <v>15</v>
      </c>
      <c r="G100" s="1113">
        <v>300000</v>
      </c>
      <c r="H100" s="1113">
        <v>4500000</v>
      </c>
      <c r="I100" s="359" t="s">
        <v>1073</v>
      </c>
      <c r="J100" s="357"/>
      <c r="K100" s="358"/>
      <c r="L100" s="358"/>
      <c r="M100" s="358"/>
      <c r="N100" s="358"/>
      <c r="O100" s="358"/>
      <c r="P100" s="358"/>
      <c r="Q100" s="358"/>
      <c r="R100" s="358"/>
      <c r="S100" s="358"/>
      <c r="T100" s="358"/>
      <c r="U100" s="358"/>
      <c r="V100" s="358"/>
      <c r="W100" s="358"/>
      <c r="X100" s="358"/>
      <c r="Y100" s="358"/>
      <c r="Z100" s="358"/>
    </row>
    <row r="101" spans="1:26" ht="15.75" customHeight="1">
      <c r="A101" s="1152">
        <v>95</v>
      </c>
      <c r="B101" s="355" t="s">
        <v>1071</v>
      </c>
      <c r="C101" s="356" t="s">
        <v>1074</v>
      </c>
      <c r="D101" s="355"/>
      <c r="E101" s="355"/>
      <c r="F101" s="355">
        <v>5</v>
      </c>
      <c r="G101" s="1113">
        <v>759000</v>
      </c>
      <c r="H101" s="1113">
        <v>3795000</v>
      </c>
      <c r="I101" s="356" t="s">
        <v>924</v>
      </c>
      <c r="J101" s="357"/>
      <c r="K101" s="358"/>
      <c r="L101" s="358"/>
      <c r="M101" s="358"/>
      <c r="N101" s="358"/>
      <c r="O101" s="358"/>
      <c r="P101" s="358"/>
      <c r="Q101" s="358"/>
      <c r="R101" s="358"/>
      <c r="S101" s="358"/>
      <c r="T101" s="358"/>
      <c r="U101" s="358"/>
      <c r="V101" s="358"/>
      <c r="W101" s="358"/>
      <c r="X101" s="358"/>
      <c r="Y101" s="358"/>
      <c r="Z101" s="358"/>
    </row>
    <row r="102" spans="1:26" ht="15.75" customHeight="1">
      <c r="A102" s="1152">
        <v>96</v>
      </c>
      <c r="B102" s="355" t="s">
        <v>1071</v>
      </c>
      <c r="C102" s="356" t="s">
        <v>1075</v>
      </c>
      <c r="D102" s="355"/>
      <c r="E102" s="355"/>
      <c r="F102" s="355">
        <v>5</v>
      </c>
      <c r="G102" s="1113">
        <v>695000</v>
      </c>
      <c r="H102" s="1113">
        <v>3475000</v>
      </c>
      <c r="I102" s="356" t="s">
        <v>924</v>
      </c>
      <c r="J102" s="357"/>
      <c r="K102" s="358"/>
      <c r="L102" s="358"/>
      <c r="M102" s="358"/>
      <c r="N102" s="358"/>
      <c r="O102" s="358"/>
      <c r="P102" s="358"/>
      <c r="Q102" s="358"/>
      <c r="R102" s="358"/>
      <c r="S102" s="358"/>
      <c r="T102" s="358"/>
      <c r="U102" s="358"/>
      <c r="V102" s="358"/>
      <c r="W102" s="358"/>
      <c r="X102" s="358"/>
      <c r="Y102" s="358"/>
      <c r="Z102" s="358"/>
    </row>
    <row r="103" spans="1:26" ht="15.75" customHeight="1">
      <c r="A103" s="1152">
        <v>97</v>
      </c>
      <c r="B103" s="355" t="s">
        <v>1071</v>
      </c>
      <c r="C103" s="356" t="s">
        <v>1076</v>
      </c>
      <c r="D103" s="355"/>
      <c r="E103" s="355"/>
      <c r="F103" s="355">
        <v>80</v>
      </c>
      <c r="G103" s="1113">
        <v>40000</v>
      </c>
      <c r="H103" s="1113">
        <v>3200000</v>
      </c>
      <c r="I103" s="356" t="s">
        <v>924</v>
      </c>
      <c r="J103" s="357"/>
      <c r="K103" s="358"/>
      <c r="L103" s="358"/>
      <c r="M103" s="358"/>
      <c r="N103" s="358"/>
      <c r="O103" s="358"/>
      <c r="P103" s="358"/>
      <c r="Q103" s="358"/>
      <c r="R103" s="358"/>
      <c r="S103" s="358"/>
      <c r="T103" s="358"/>
      <c r="U103" s="358"/>
      <c r="V103" s="358"/>
      <c r="W103" s="358"/>
      <c r="X103" s="358"/>
      <c r="Y103" s="358"/>
      <c r="Z103" s="358"/>
    </row>
    <row r="104" spans="1:26" ht="15.75" customHeight="1">
      <c r="A104" s="1152">
        <v>98</v>
      </c>
      <c r="B104" s="355" t="s">
        <v>1071</v>
      </c>
      <c r="C104" s="356" t="s">
        <v>1077</v>
      </c>
      <c r="D104" s="355"/>
      <c r="E104" s="355"/>
      <c r="F104" s="355">
        <v>60</v>
      </c>
      <c r="G104" s="1113">
        <v>45000</v>
      </c>
      <c r="H104" s="1113">
        <v>2700000</v>
      </c>
      <c r="I104" s="356" t="s">
        <v>924</v>
      </c>
      <c r="J104" s="357"/>
      <c r="K104" s="358"/>
      <c r="L104" s="358"/>
      <c r="M104" s="358"/>
      <c r="N104" s="358"/>
      <c r="O104" s="358"/>
      <c r="P104" s="358"/>
      <c r="Q104" s="358"/>
      <c r="R104" s="358"/>
      <c r="S104" s="358"/>
      <c r="T104" s="358"/>
      <c r="U104" s="358"/>
      <c r="V104" s="358"/>
      <c r="W104" s="358"/>
      <c r="X104" s="358"/>
      <c r="Y104" s="358"/>
      <c r="Z104" s="358"/>
    </row>
    <row r="105" spans="1:26" ht="15.75" customHeight="1">
      <c r="A105" s="1152">
        <v>99</v>
      </c>
      <c r="B105" s="355" t="s">
        <v>1071</v>
      </c>
      <c r="C105" s="356" t="s">
        <v>1078</v>
      </c>
      <c r="D105" s="355"/>
      <c r="E105" s="355"/>
      <c r="F105" s="355">
        <v>40</v>
      </c>
      <c r="G105" s="1113">
        <v>50000</v>
      </c>
      <c r="H105" s="1113">
        <v>2000000</v>
      </c>
      <c r="I105" s="356" t="s">
        <v>924</v>
      </c>
      <c r="J105" s="357"/>
      <c r="K105" s="358"/>
      <c r="L105" s="358"/>
      <c r="M105" s="358"/>
      <c r="N105" s="358"/>
      <c r="O105" s="358"/>
      <c r="P105" s="358"/>
      <c r="Q105" s="358"/>
      <c r="R105" s="358"/>
      <c r="S105" s="358"/>
      <c r="T105" s="358"/>
      <c r="U105" s="358"/>
      <c r="V105" s="358"/>
      <c r="W105" s="358"/>
      <c r="X105" s="358"/>
      <c r="Y105" s="358"/>
      <c r="Z105" s="358"/>
    </row>
    <row r="106" spans="1:26" ht="15.75" customHeight="1">
      <c r="A106" s="1152">
        <v>100</v>
      </c>
      <c r="B106" s="355" t="s">
        <v>1071</v>
      </c>
      <c r="C106" s="356" t="s">
        <v>1079</v>
      </c>
      <c r="D106" s="355"/>
      <c r="E106" s="355"/>
      <c r="F106" s="355">
        <v>3</v>
      </c>
      <c r="G106" s="1113">
        <v>578000</v>
      </c>
      <c r="H106" s="1113">
        <v>1734000</v>
      </c>
      <c r="I106" s="356" t="s">
        <v>924</v>
      </c>
      <c r="J106" s="357"/>
      <c r="K106" s="358"/>
      <c r="L106" s="358"/>
      <c r="M106" s="358"/>
      <c r="N106" s="358"/>
      <c r="O106" s="358"/>
      <c r="P106" s="358"/>
      <c r="Q106" s="358"/>
      <c r="R106" s="358"/>
      <c r="S106" s="358"/>
      <c r="T106" s="358"/>
      <c r="U106" s="358"/>
      <c r="V106" s="358"/>
      <c r="W106" s="358"/>
      <c r="X106" s="358"/>
      <c r="Y106" s="358"/>
      <c r="Z106" s="358"/>
    </row>
    <row r="107" spans="1:26" ht="15.75" customHeight="1">
      <c r="A107" s="1152">
        <v>101</v>
      </c>
      <c r="B107" s="355" t="s">
        <v>1071</v>
      </c>
      <c r="C107" s="356" t="s">
        <v>1080</v>
      </c>
      <c r="D107" s="355"/>
      <c r="E107" s="355"/>
      <c r="F107" s="355">
        <v>50</v>
      </c>
      <c r="G107" s="1113">
        <v>25000</v>
      </c>
      <c r="H107" s="1113">
        <v>1250000</v>
      </c>
      <c r="I107" s="356" t="s">
        <v>924</v>
      </c>
      <c r="J107" s="357"/>
      <c r="K107" s="358"/>
      <c r="L107" s="358"/>
      <c r="M107" s="358"/>
      <c r="N107" s="358"/>
      <c r="O107" s="358"/>
      <c r="P107" s="358"/>
      <c r="Q107" s="358"/>
      <c r="R107" s="358"/>
      <c r="S107" s="358"/>
      <c r="T107" s="358"/>
      <c r="U107" s="358"/>
      <c r="V107" s="358"/>
      <c r="W107" s="358"/>
      <c r="X107" s="358"/>
      <c r="Y107" s="358"/>
      <c r="Z107" s="358"/>
    </row>
    <row r="108" spans="1:26" ht="15.75" customHeight="1">
      <c r="A108" s="1152">
        <v>102</v>
      </c>
      <c r="B108" s="355" t="s">
        <v>1071</v>
      </c>
      <c r="C108" s="356" t="s">
        <v>1081</v>
      </c>
      <c r="D108" s="355"/>
      <c r="E108" s="355"/>
      <c r="F108" s="355">
        <v>5</v>
      </c>
      <c r="G108" s="1113">
        <v>200000</v>
      </c>
      <c r="H108" s="1113">
        <v>1000000</v>
      </c>
      <c r="I108" s="356" t="s">
        <v>924</v>
      </c>
      <c r="J108" s="357"/>
      <c r="K108" s="358"/>
      <c r="L108" s="358"/>
      <c r="M108" s="358"/>
      <c r="N108" s="358"/>
      <c r="O108" s="358"/>
      <c r="P108" s="358"/>
      <c r="Q108" s="358"/>
      <c r="R108" s="358"/>
      <c r="S108" s="358"/>
      <c r="T108" s="358"/>
      <c r="U108" s="358"/>
      <c r="V108" s="358"/>
      <c r="W108" s="358"/>
      <c r="X108" s="358"/>
      <c r="Y108" s="358"/>
      <c r="Z108" s="358"/>
    </row>
    <row r="109" spans="1:26" ht="15.75" customHeight="1">
      <c r="A109" s="1152">
        <v>103</v>
      </c>
      <c r="B109" s="280" t="s">
        <v>1071</v>
      </c>
      <c r="C109" s="294" t="s">
        <v>1082</v>
      </c>
      <c r="D109" s="280"/>
      <c r="E109" s="280"/>
      <c r="F109" s="235">
        <v>50</v>
      </c>
      <c r="G109" s="1107">
        <v>19500</v>
      </c>
      <c r="H109" s="1114">
        <f>G109*F109</f>
        <v>975000</v>
      </c>
      <c r="I109" s="294" t="s">
        <v>924</v>
      </c>
      <c r="J109" s="379" t="s">
        <v>704</v>
      </c>
      <c r="K109" s="358"/>
      <c r="L109" s="358"/>
      <c r="M109" s="358"/>
      <c r="N109" s="358"/>
      <c r="O109" s="358"/>
      <c r="P109" s="358"/>
      <c r="Q109" s="358"/>
      <c r="R109" s="358"/>
      <c r="S109" s="358"/>
      <c r="T109" s="358"/>
      <c r="U109" s="358"/>
      <c r="V109" s="358"/>
      <c r="W109" s="358"/>
      <c r="X109" s="358"/>
      <c r="Y109" s="358"/>
      <c r="Z109" s="358"/>
    </row>
    <row r="110" spans="1:26" ht="15.75" customHeight="1">
      <c r="A110" s="1152">
        <v>104</v>
      </c>
      <c r="B110" s="280" t="s">
        <v>1071</v>
      </c>
      <c r="C110" s="294" t="s">
        <v>1083</v>
      </c>
      <c r="D110" s="294"/>
      <c r="E110" s="280"/>
      <c r="F110" s="280">
        <v>1</v>
      </c>
      <c r="G110" s="1107">
        <v>950000</v>
      </c>
      <c r="H110" s="1107">
        <f>SUM(G110*F110)</f>
        <v>950000</v>
      </c>
      <c r="I110" s="239" t="s">
        <v>1073</v>
      </c>
      <c r="J110" s="294"/>
      <c r="K110" s="358"/>
      <c r="L110" s="358"/>
      <c r="M110" s="358"/>
      <c r="N110" s="358"/>
      <c r="O110" s="358"/>
      <c r="P110" s="358"/>
      <c r="Q110" s="358"/>
      <c r="R110" s="358"/>
      <c r="S110" s="358"/>
      <c r="T110" s="358"/>
      <c r="U110" s="358"/>
      <c r="V110" s="358"/>
      <c r="W110" s="358"/>
      <c r="X110" s="358"/>
      <c r="Y110" s="358"/>
      <c r="Z110" s="358"/>
    </row>
    <row r="111" spans="1:26" ht="15.75" customHeight="1">
      <c r="A111" s="1152">
        <v>105</v>
      </c>
      <c r="B111" s="280" t="s">
        <v>1071</v>
      </c>
      <c r="C111" s="294" t="s">
        <v>1084</v>
      </c>
      <c r="D111" s="280"/>
      <c r="E111" s="280"/>
      <c r="F111" s="235">
        <v>25</v>
      </c>
      <c r="G111" s="1107">
        <v>25000</v>
      </c>
      <c r="H111" s="1114">
        <f>G111*F111</f>
        <v>625000</v>
      </c>
      <c r="I111" s="294" t="s">
        <v>924</v>
      </c>
      <c r="J111" s="379" t="s">
        <v>696</v>
      </c>
      <c r="K111" s="358"/>
      <c r="L111" s="358"/>
      <c r="M111" s="358"/>
      <c r="N111" s="358"/>
      <c r="O111" s="358"/>
      <c r="P111" s="358"/>
      <c r="Q111" s="358"/>
      <c r="R111" s="358"/>
      <c r="S111" s="358"/>
      <c r="T111" s="358"/>
      <c r="U111" s="358"/>
      <c r="V111" s="358"/>
      <c r="W111" s="358"/>
      <c r="X111" s="358"/>
      <c r="Y111" s="358"/>
      <c r="Z111" s="358"/>
    </row>
    <row r="112" spans="1:26" ht="15.75" customHeight="1">
      <c r="A112" s="1152">
        <v>106</v>
      </c>
      <c r="B112" s="280" t="s">
        <v>1071</v>
      </c>
      <c r="C112" s="294" t="s">
        <v>1085</v>
      </c>
      <c r="D112" s="294"/>
      <c r="E112" s="280"/>
      <c r="F112" s="280">
        <v>1</v>
      </c>
      <c r="G112" s="1107">
        <v>500000</v>
      </c>
      <c r="H112" s="1107">
        <f t="shared" ref="H112:H114" si="5">SUM(G112*F112)</f>
        <v>500000</v>
      </c>
      <c r="I112" s="239" t="s">
        <v>1073</v>
      </c>
      <c r="J112" s="294"/>
      <c r="K112" s="358"/>
      <c r="L112" s="358"/>
      <c r="M112" s="358"/>
      <c r="N112" s="358"/>
      <c r="O112" s="358"/>
      <c r="P112" s="358"/>
      <c r="Q112" s="358"/>
      <c r="R112" s="358"/>
      <c r="S112" s="358"/>
      <c r="T112" s="358"/>
      <c r="U112" s="358"/>
      <c r="V112" s="358"/>
      <c r="W112" s="358"/>
      <c r="X112" s="358"/>
      <c r="Y112" s="358"/>
      <c r="Z112" s="358"/>
    </row>
    <row r="113" spans="1:26" ht="15.75" customHeight="1">
      <c r="A113" s="1152">
        <v>107</v>
      </c>
      <c r="B113" s="280" t="s">
        <v>1071</v>
      </c>
      <c r="C113" s="294" t="s">
        <v>1086</v>
      </c>
      <c r="D113" s="235"/>
      <c r="E113" s="280"/>
      <c r="F113" s="280">
        <v>1</v>
      </c>
      <c r="G113" s="1105">
        <v>500000</v>
      </c>
      <c r="H113" s="1107">
        <f t="shared" si="5"/>
        <v>500000</v>
      </c>
      <c r="I113" s="239" t="s">
        <v>1073</v>
      </c>
      <c r="J113" s="294"/>
      <c r="K113" s="358"/>
      <c r="L113" s="358"/>
      <c r="M113" s="358"/>
      <c r="N113" s="358"/>
      <c r="O113" s="358"/>
      <c r="P113" s="358"/>
      <c r="Q113" s="358"/>
      <c r="R113" s="358"/>
      <c r="S113" s="358"/>
      <c r="T113" s="358"/>
      <c r="U113" s="358"/>
      <c r="V113" s="358"/>
      <c r="W113" s="358"/>
      <c r="X113" s="358"/>
      <c r="Y113" s="358"/>
      <c r="Z113" s="358"/>
    </row>
    <row r="114" spans="1:26" ht="15.75" customHeight="1">
      <c r="A114" s="1152">
        <v>108</v>
      </c>
      <c r="B114" s="280" t="s">
        <v>1071</v>
      </c>
      <c r="C114" s="294" t="s">
        <v>1087</v>
      </c>
      <c r="D114" s="294"/>
      <c r="E114" s="280"/>
      <c r="F114" s="280">
        <v>1</v>
      </c>
      <c r="G114" s="1107">
        <v>500000</v>
      </c>
      <c r="H114" s="1107">
        <f t="shared" si="5"/>
        <v>500000</v>
      </c>
      <c r="I114" s="239" t="s">
        <v>1073</v>
      </c>
      <c r="J114" s="294"/>
      <c r="K114" s="358"/>
      <c r="L114" s="358"/>
      <c r="M114" s="358"/>
      <c r="N114" s="358"/>
      <c r="O114" s="358"/>
      <c r="P114" s="358"/>
      <c r="Q114" s="358"/>
      <c r="R114" s="358"/>
      <c r="S114" s="358"/>
      <c r="T114" s="358"/>
      <c r="U114" s="358"/>
      <c r="V114" s="358"/>
      <c r="W114" s="358"/>
      <c r="X114" s="358"/>
      <c r="Y114" s="358"/>
      <c r="Z114" s="358"/>
    </row>
    <row r="115" spans="1:26" ht="15.75" customHeight="1">
      <c r="A115" s="1152">
        <v>109</v>
      </c>
      <c r="B115" s="280" t="s">
        <v>1071</v>
      </c>
      <c r="C115" s="294" t="s">
        <v>1088</v>
      </c>
      <c r="D115" s="280"/>
      <c r="E115" s="280"/>
      <c r="F115" s="235">
        <v>10</v>
      </c>
      <c r="G115" s="1107">
        <v>50000</v>
      </c>
      <c r="H115" s="1114">
        <f t="shared" ref="H115:H119" si="6">G115*F115</f>
        <v>500000</v>
      </c>
      <c r="I115" s="294" t="s">
        <v>924</v>
      </c>
      <c r="J115" s="379" t="s">
        <v>696</v>
      </c>
      <c r="K115" s="358"/>
      <c r="L115" s="358"/>
      <c r="M115" s="358"/>
      <c r="N115" s="358"/>
      <c r="O115" s="358"/>
      <c r="P115" s="358"/>
      <c r="Q115" s="358"/>
      <c r="R115" s="358"/>
      <c r="S115" s="358"/>
      <c r="T115" s="358"/>
      <c r="U115" s="358"/>
      <c r="V115" s="358"/>
      <c r="W115" s="358"/>
      <c r="X115" s="358"/>
      <c r="Y115" s="358"/>
      <c r="Z115" s="358"/>
    </row>
    <row r="116" spans="1:26" ht="15.75" customHeight="1">
      <c r="A116" s="1152">
        <v>110</v>
      </c>
      <c r="B116" s="280" t="s">
        <v>1071</v>
      </c>
      <c r="C116" s="294" t="s">
        <v>1089</v>
      </c>
      <c r="D116" s="280"/>
      <c r="E116" s="280"/>
      <c r="F116" s="235">
        <v>20</v>
      </c>
      <c r="G116" s="1107">
        <v>20000</v>
      </c>
      <c r="H116" s="1114">
        <f t="shared" si="6"/>
        <v>400000</v>
      </c>
      <c r="I116" s="294" t="s">
        <v>924</v>
      </c>
      <c r="J116" s="379" t="s">
        <v>704</v>
      </c>
      <c r="K116" s="358"/>
      <c r="L116" s="358"/>
      <c r="M116" s="358"/>
      <c r="N116" s="358"/>
      <c r="O116" s="358"/>
      <c r="P116" s="358"/>
      <c r="Q116" s="358"/>
      <c r="R116" s="358"/>
      <c r="S116" s="358"/>
      <c r="T116" s="358"/>
      <c r="U116" s="358"/>
      <c r="V116" s="358"/>
      <c r="W116" s="358"/>
      <c r="X116" s="358"/>
      <c r="Y116" s="358"/>
      <c r="Z116" s="358"/>
    </row>
    <row r="117" spans="1:26" ht="15.75" customHeight="1">
      <c r="A117" s="1152">
        <v>111</v>
      </c>
      <c r="B117" s="280" t="s">
        <v>1071</v>
      </c>
      <c r="C117" s="294" t="s">
        <v>1090</v>
      </c>
      <c r="D117" s="280"/>
      <c r="E117" s="280"/>
      <c r="F117" s="235">
        <v>5</v>
      </c>
      <c r="G117" s="1107">
        <v>75000</v>
      </c>
      <c r="H117" s="1114">
        <f t="shared" si="6"/>
        <v>375000</v>
      </c>
      <c r="I117" s="294" t="s">
        <v>924</v>
      </c>
      <c r="J117" s="379" t="s">
        <v>696</v>
      </c>
      <c r="K117" s="358"/>
      <c r="L117" s="358"/>
      <c r="M117" s="358"/>
      <c r="N117" s="358"/>
      <c r="O117" s="358"/>
      <c r="P117" s="358"/>
      <c r="Q117" s="358"/>
      <c r="R117" s="358"/>
      <c r="S117" s="358"/>
      <c r="T117" s="358"/>
      <c r="U117" s="358"/>
      <c r="V117" s="358"/>
      <c r="W117" s="358"/>
      <c r="X117" s="358"/>
      <c r="Y117" s="358"/>
      <c r="Z117" s="358"/>
    </row>
    <row r="118" spans="1:26" ht="15.75" customHeight="1">
      <c r="A118" s="1152">
        <v>112</v>
      </c>
      <c r="B118" s="280" t="s">
        <v>1071</v>
      </c>
      <c r="C118" s="294" t="s">
        <v>1091</v>
      </c>
      <c r="D118" s="280"/>
      <c r="E118" s="280"/>
      <c r="F118" s="235">
        <v>5</v>
      </c>
      <c r="G118" s="1107">
        <v>70000</v>
      </c>
      <c r="H118" s="1114">
        <f t="shared" si="6"/>
        <v>350000</v>
      </c>
      <c r="I118" s="294" t="s">
        <v>924</v>
      </c>
      <c r="J118" s="379" t="s">
        <v>704</v>
      </c>
      <c r="K118" s="358"/>
      <c r="L118" s="358"/>
      <c r="M118" s="358"/>
      <c r="N118" s="358"/>
      <c r="O118" s="358"/>
      <c r="P118" s="358"/>
      <c r="Q118" s="358"/>
      <c r="R118" s="358"/>
      <c r="S118" s="358"/>
      <c r="T118" s="358"/>
      <c r="U118" s="358"/>
      <c r="V118" s="358"/>
      <c r="W118" s="358"/>
      <c r="X118" s="358"/>
      <c r="Y118" s="358"/>
      <c r="Z118" s="358"/>
    </row>
    <row r="119" spans="1:26" ht="15.75" customHeight="1">
      <c r="A119" s="1152">
        <v>113</v>
      </c>
      <c r="B119" s="280" t="s">
        <v>1071</v>
      </c>
      <c r="C119" s="294" t="s">
        <v>1092</v>
      </c>
      <c r="D119" s="280"/>
      <c r="E119" s="280"/>
      <c r="F119" s="235">
        <v>5</v>
      </c>
      <c r="G119" s="1107">
        <v>65000</v>
      </c>
      <c r="H119" s="1114">
        <f t="shared" si="6"/>
        <v>325000</v>
      </c>
      <c r="I119" s="294" t="s">
        <v>924</v>
      </c>
      <c r="J119" s="379" t="s">
        <v>696</v>
      </c>
      <c r="K119" s="358"/>
      <c r="L119" s="358"/>
      <c r="M119" s="358"/>
      <c r="N119" s="358"/>
      <c r="O119" s="358"/>
      <c r="P119" s="358"/>
      <c r="Q119" s="358"/>
      <c r="R119" s="358"/>
      <c r="S119" s="358"/>
      <c r="T119" s="358"/>
      <c r="U119" s="358"/>
      <c r="V119" s="358"/>
      <c r="W119" s="358"/>
      <c r="X119" s="358"/>
      <c r="Y119" s="358"/>
      <c r="Z119" s="358"/>
    </row>
    <row r="120" spans="1:26" ht="15.75" customHeight="1">
      <c r="A120" s="1152">
        <v>114</v>
      </c>
      <c r="B120" s="280" t="s">
        <v>1071</v>
      </c>
      <c r="C120" s="294" t="s">
        <v>1093</v>
      </c>
      <c r="D120" s="294"/>
      <c r="E120" s="280"/>
      <c r="F120" s="280">
        <v>2</v>
      </c>
      <c r="G120" s="1107">
        <v>150000</v>
      </c>
      <c r="H120" s="1107">
        <f t="shared" ref="H120:H123" si="7">SUM(G120*F120)</f>
        <v>300000</v>
      </c>
      <c r="I120" s="239" t="s">
        <v>1073</v>
      </c>
      <c r="J120" s="294"/>
      <c r="K120" s="358"/>
      <c r="L120" s="358"/>
      <c r="M120" s="358"/>
      <c r="N120" s="358"/>
      <c r="O120" s="358"/>
      <c r="P120" s="358"/>
      <c r="Q120" s="358"/>
      <c r="R120" s="358"/>
      <c r="S120" s="358"/>
      <c r="T120" s="358"/>
      <c r="U120" s="358"/>
      <c r="V120" s="358"/>
      <c r="W120" s="358"/>
      <c r="X120" s="358"/>
      <c r="Y120" s="358"/>
      <c r="Z120" s="358"/>
    </row>
    <row r="121" spans="1:26" ht="15.75" customHeight="1">
      <c r="A121" s="1152">
        <v>115</v>
      </c>
      <c r="B121" s="280" t="s">
        <v>1071</v>
      </c>
      <c r="C121" s="294" t="s">
        <v>1094</v>
      </c>
      <c r="D121" s="294"/>
      <c r="E121" s="280"/>
      <c r="F121" s="280">
        <v>2</v>
      </c>
      <c r="G121" s="1107">
        <v>150000</v>
      </c>
      <c r="H121" s="1107">
        <f t="shared" si="7"/>
        <v>300000</v>
      </c>
      <c r="I121" s="239" t="s">
        <v>1073</v>
      </c>
      <c r="J121" s="294"/>
      <c r="K121" s="358"/>
      <c r="L121" s="358"/>
      <c r="M121" s="358"/>
      <c r="N121" s="358"/>
      <c r="O121" s="358"/>
      <c r="P121" s="358"/>
      <c r="Q121" s="358"/>
      <c r="R121" s="358"/>
      <c r="S121" s="358"/>
      <c r="T121" s="358"/>
      <c r="U121" s="358"/>
      <c r="V121" s="358"/>
      <c r="W121" s="358"/>
      <c r="X121" s="358"/>
      <c r="Y121" s="358"/>
      <c r="Z121" s="358"/>
    </row>
    <row r="122" spans="1:26" ht="15.75" customHeight="1">
      <c r="A122" s="1152">
        <v>116</v>
      </c>
      <c r="B122" s="280" t="s">
        <v>1071</v>
      </c>
      <c r="C122" s="294" t="s">
        <v>1095</v>
      </c>
      <c r="D122" s="294"/>
      <c r="E122" s="280"/>
      <c r="F122" s="280">
        <v>1</v>
      </c>
      <c r="G122" s="1107">
        <v>300000</v>
      </c>
      <c r="H122" s="1107">
        <f t="shared" si="7"/>
        <v>300000</v>
      </c>
      <c r="I122" s="239" t="s">
        <v>1073</v>
      </c>
      <c r="J122" s="294"/>
      <c r="K122" s="358"/>
      <c r="L122" s="358"/>
      <c r="M122" s="358"/>
      <c r="N122" s="358"/>
      <c r="O122" s="358"/>
      <c r="P122" s="358"/>
      <c r="Q122" s="358"/>
      <c r="R122" s="358"/>
      <c r="S122" s="358"/>
      <c r="T122" s="358"/>
      <c r="U122" s="358"/>
      <c r="V122" s="358"/>
      <c r="W122" s="358"/>
      <c r="X122" s="358"/>
      <c r="Y122" s="358"/>
      <c r="Z122" s="358"/>
    </row>
    <row r="123" spans="1:26" ht="15.75" customHeight="1">
      <c r="A123" s="1152">
        <v>117</v>
      </c>
      <c r="B123" s="280" t="s">
        <v>1071</v>
      </c>
      <c r="C123" s="294" t="s">
        <v>1096</v>
      </c>
      <c r="D123" s="294"/>
      <c r="E123" s="280"/>
      <c r="F123" s="280">
        <v>5</v>
      </c>
      <c r="G123" s="1107">
        <v>50000</v>
      </c>
      <c r="H123" s="1107">
        <f t="shared" si="7"/>
        <v>250000</v>
      </c>
      <c r="I123" s="239" t="s">
        <v>1073</v>
      </c>
      <c r="J123" s="294"/>
      <c r="K123" s="358"/>
      <c r="L123" s="358"/>
      <c r="M123" s="358"/>
      <c r="N123" s="358"/>
      <c r="O123" s="358"/>
      <c r="P123" s="358"/>
      <c r="Q123" s="358"/>
      <c r="R123" s="358"/>
      <c r="S123" s="358"/>
      <c r="T123" s="358"/>
      <c r="U123" s="358"/>
      <c r="V123" s="358"/>
      <c r="W123" s="358"/>
      <c r="X123" s="358"/>
      <c r="Y123" s="358"/>
      <c r="Z123" s="358"/>
    </row>
    <row r="124" spans="1:26" ht="15.75" customHeight="1">
      <c r="A124" s="1152">
        <v>118</v>
      </c>
      <c r="B124" s="280" t="s">
        <v>1071</v>
      </c>
      <c r="C124" s="294" t="s">
        <v>1097</v>
      </c>
      <c r="D124" s="280"/>
      <c r="E124" s="280"/>
      <c r="F124" s="235">
        <v>7</v>
      </c>
      <c r="G124" s="1107">
        <v>32000</v>
      </c>
      <c r="H124" s="1114">
        <f>G124*F124</f>
        <v>224000</v>
      </c>
      <c r="I124" s="294" t="s">
        <v>924</v>
      </c>
      <c r="J124" s="379" t="s">
        <v>704</v>
      </c>
      <c r="K124" s="358"/>
      <c r="L124" s="358"/>
      <c r="M124" s="358"/>
      <c r="N124" s="358"/>
      <c r="O124" s="358"/>
      <c r="P124" s="358"/>
      <c r="Q124" s="358"/>
      <c r="R124" s="358"/>
      <c r="S124" s="358"/>
      <c r="T124" s="358"/>
      <c r="U124" s="358"/>
      <c r="V124" s="358"/>
      <c r="W124" s="358"/>
      <c r="X124" s="358"/>
      <c r="Y124" s="358"/>
      <c r="Z124" s="358"/>
    </row>
    <row r="125" spans="1:26" ht="15.75" customHeight="1">
      <c r="A125" s="1152">
        <v>119</v>
      </c>
      <c r="B125" s="280" t="s">
        <v>1071</v>
      </c>
      <c r="C125" s="294" t="s">
        <v>1098</v>
      </c>
      <c r="D125" s="294"/>
      <c r="E125" s="280"/>
      <c r="F125" s="280">
        <v>2</v>
      </c>
      <c r="G125" s="1107">
        <v>100000</v>
      </c>
      <c r="H125" s="1107">
        <f t="shared" ref="H125:H131" si="8">SUM(G125*F125)</f>
        <v>200000</v>
      </c>
      <c r="I125" s="239" t="s">
        <v>1073</v>
      </c>
      <c r="J125" s="294"/>
      <c r="K125" s="358"/>
      <c r="L125" s="358"/>
      <c r="M125" s="358"/>
      <c r="N125" s="358"/>
      <c r="O125" s="358"/>
      <c r="P125" s="358"/>
      <c r="Q125" s="358"/>
      <c r="R125" s="358"/>
      <c r="S125" s="358"/>
      <c r="T125" s="358"/>
      <c r="U125" s="358"/>
      <c r="V125" s="358"/>
      <c r="W125" s="358"/>
      <c r="X125" s="358"/>
      <c r="Y125" s="358"/>
      <c r="Z125" s="358"/>
    </row>
    <row r="126" spans="1:26" ht="15.75" customHeight="1">
      <c r="A126" s="1152">
        <v>120</v>
      </c>
      <c r="B126" s="280" t="s">
        <v>1071</v>
      </c>
      <c r="C126" s="294" t="s">
        <v>1099</v>
      </c>
      <c r="D126" s="294"/>
      <c r="E126" s="280"/>
      <c r="F126" s="280">
        <v>2</v>
      </c>
      <c r="G126" s="1107">
        <v>100000</v>
      </c>
      <c r="H126" s="1107">
        <f t="shared" si="8"/>
        <v>200000</v>
      </c>
      <c r="I126" s="239" t="s">
        <v>1073</v>
      </c>
      <c r="J126" s="294"/>
      <c r="K126" s="358"/>
      <c r="L126" s="358"/>
      <c r="M126" s="358"/>
      <c r="N126" s="358"/>
      <c r="O126" s="358"/>
      <c r="P126" s="358"/>
      <c r="Q126" s="358"/>
      <c r="R126" s="358"/>
      <c r="S126" s="358"/>
      <c r="T126" s="358"/>
      <c r="U126" s="358"/>
      <c r="V126" s="358"/>
      <c r="W126" s="358"/>
      <c r="X126" s="358"/>
      <c r="Y126" s="358"/>
      <c r="Z126" s="358"/>
    </row>
    <row r="127" spans="1:26" ht="15.75" customHeight="1">
      <c r="A127" s="1152">
        <v>121</v>
      </c>
      <c r="B127" s="280" t="s">
        <v>1071</v>
      </c>
      <c r="C127" s="294" t="s">
        <v>1100</v>
      </c>
      <c r="D127" s="294"/>
      <c r="E127" s="280"/>
      <c r="F127" s="280">
        <v>2</v>
      </c>
      <c r="G127" s="1107">
        <v>100000</v>
      </c>
      <c r="H127" s="1107">
        <f t="shared" si="8"/>
        <v>200000</v>
      </c>
      <c r="I127" s="239" t="s">
        <v>1073</v>
      </c>
      <c r="J127" s="294"/>
      <c r="K127" s="358"/>
      <c r="L127" s="358"/>
      <c r="M127" s="358"/>
      <c r="N127" s="358"/>
      <c r="O127" s="358"/>
      <c r="P127" s="358"/>
      <c r="Q127" s="358"/>
      <c r="R127" s="358"/>
      <c r="S127" s="358"/>
      <c r="T127" s="358"/>
      <c r="U127" s="358"/>
      <c r="V127" s="358"/>
      <c r="W127" s="358"/>
      <c r="X127" s="358"/>
      <c r="Y127" s="358"/>
      <c r="Z127" s="358"/>
    </row>
    <row r="128" spans="1:26" ht="15.75" customHeight="1">
      <c r="A128" s="1152">
        <v>122</v>
      </c>
      <c r="B128" s="280" t="s">
        <v>1071</v>
      </c>
      <c r="C128" s="294" t="s">
        <v>1101</v>
      </c>
      <c r="D128" s="294"/>
      <c r="E128" s="280"/>
      <c r="F128" s="280">
        <v>1</v>
      </c>
      <c r="G128" s="1107">
        <v>200000</v>
      </c>
      <c r="H128" s="1107">
        <f t="shared" si="8"/>
        <v>200000</v>
      </c>
      <c r="I128" s="239" t="s">
        <v>1073</v>
      </c>
      <c r="J128" s="294"/>
      <c r="K128" s="358"/>
      <c r="L128" s="358"/>
      <c r="M128" s="358"/>
      <c r="N128" s="358"/>
      <c r="O128" s="358"/>
      <c r="P128" s="358"/>
      <c r="Q128" s="358"/>
      <c r="R128" s="358"/>
      <c r="S128" s="358"/>
      <c r="T128" s="358"/>
      <c r="U128" s="358"/>
      <c r="V128" s="358"/>
      <c r="W128" s="358"/>
      <c r="X128" s="358"/>
      <c r="Y128" s="358"/>
      <c r="Z128" s="358"/>
    </row>
    <row r="129" spans="1:26" ht="15.75" customHeight="1">
      <c r="A129" s="1152">
        <v>123</v>
      </c>
      <c r="B129" s="280" t="s">
        <v>1071</v>
      </c>
      <c r="C129" s="294" t="s">
        <v>1102</v>
      </c>
      <c r="D129" s="294"/>
      <c r="E129" s="280"/>
      <c r="F129" s="280">
        <v>1</v>
      </c>
      <c r="G129" s="1107">
        <v>200000</v>
      </c>
      <c r="H129" s="1107">
        <f t="shared" si="8"/>
        <v>200000</v>
      </c>
      <c r="I129" s="239" t="s">
        <v>1073</v>
      </c>
      <c r="J129" s="294"/>
      <c r="K129" s="358"/>
      <c r="L129" s="358"/>
      <c r="M129" s="358"/>
      <c r="N129" s="358"/>
      <c r="O129" s="358"/>
      <c r="P129" s="358"/>
      <c r="Q129" s="358"/>
      <c r="R129" s="358"/>
      <c r="S129" s="358"/>
      <c r="T129" s="358"/>
      <c r="U129" s="358"/>
      <c r="V129" s="358"/>
      <c r="W129" s="358"/>
      <c r="X129" s="358"/>
      <c r="Y129" s="358"/>
      <c r="Z129" s="358"/>
    </row>
    <row r="130" spans="1:26" ht="15.75" customHeight="1">
      <c r="A130" s="1152">
        <v>124</v>
      </c>
      <c r="B130" s="280" t="s">
        <v>1071</v>
      </c>
      <c r="C130" s="294" t="s">
        <v>1103</v>
      </c>
      <c r="D130" s="294"/>
      <c r="E130" s="280"/>
      <c r="F130" s="280">
        <v>1</v>
      </c>
      <c r="G130" s="1107">
        <v>200000</v>
      </c>
      <c r="H130" s="1107">
        <f t="shared" si="8"/>
        <v>200000</v>
      </c>
      <c r="I130" s="239" t="s">
        <v>1073</v>
      </c>
      <c r="J130" s="294"/>
      <c r="K130" s="358"/>
      <c r="L130" s="358"/>
      <c r="M130" s="358"/>
      <c r="N130" s="358"/>
      <c r="O130" s="358"/>
      <c r="P130" s="358"/>
      <c r="Q130" s="358"/>
      <c r="R130" s="358"/>
      <c r="S130" s="358"/>
      <c r="T130" s="358"/>
      <c r="U130" s="358"/>
      <c r="V130" s="358"/>
      <c r="W130" s="358"/>
      <c r="X130" s="358"/>
      <c r="Y130" s="358"/>
      <c r="Z130" s="358"/>
    </row>
    <row r="131" spans="1:26" ht="15.75" customHeight="1">
      <c r="A131" s="1152">
        <v>125</v>
      </c>
      <c r="B131" s="280" t="s">
        <v>1071</v>
      </c>
      <c r="C131" s="362" t="s">
        <v>1104</v>
      </c>
      <c r="D131" s="362"/>
      <c r="E131" s="380"/>
      <c r="F131" s="380">
        <v>5</v>
      </c>
      <c r="G131" s="1161">
        <v>35000</v>
      </c>
      <c r="H131" s="1107">
        <f t="shared" si="8"/>
        <v>175000</v>
      </c>
      <c r="I131" s="239" t="s">
        <v>1073</v>
      </c>
      <c r="J131" s="381"/>
      <c r="K131" s="358"/>
      <c r="L131" s="358"/>
      <c r="M131" s="358"/>
      <c r="N131" s="358"/>
      <c r="O131" s="358"/>
      <c r="P131" s="358"/>
      <c r="Q131" s="358"/>
      <c r="R131" s="358"/>
      <c r="S131" s="358"/>
      <c r="T131" s="358"/>
      <c r="U131" s="358"/>
      <c r="V131" s="358"/>
      <c r="W131" s="358"/>
      <c r="X131" s="358"/>
      <c r="Y131" s="358"/>
      <c r="Z131" s="358"/>
    </row>
    <row r="132" spans="1:26" ht="15.75" customHeight="1">
      <c r="A132" s="1152">
        <v>126</v>
      </c>
      <c r="B132" s="280" t="s">
        <v>1071</v>
      </c>
      <c r="C132" s="294" t="s">
        <v>1105</v>
      </c>
      <c r="D132" s="280"/>
      <c r="E132" s="280"/>
      <c r="F132" s="235">
        <v>5</v>
      </c>
      <c r="G132" s="1107">
        <v>30000</v>
      </c>
      <c r="H132" s="1114">
        <f t="shared" ref="H132:H133" si="9">G132*F132</f>
        <v>150000</v>
      </c>
      <c r="I132" s="294" t="s">
        <v>924</v>
      </c>
      <c r="J132" s="379" t="s">
        <v>696</v>
      </c>
      <c r="K132" s="358"/>
      <c r="L132" s="358"/>
      <c r="M132" s="358"/>
      <c r="N132" s="358"/>
      <c r="O132" s="358"/>
      <c r="P132" s="358"/>
      <c r="Q132" s="358"/>
      <c r="R132" s="358"/>
      <c r="S132" s="358"/>
      <c r="T132" s="358"/>
      <c r="U132" s="358"/>
      <c r="V132" s="358"/>
      <c r="W132" s="358"/>
      <c r="X132" s="358"/>
      <c r="Y132" s="358"/>
      <c r="Z132" s="358"/>
    </row>
    <row r="133" spans="1:26" ht="15.75" customHeight="1">
      <c r="A133" s="1152">
        <v>127</v>
      </c>
      <c r="B133" s="280" t="s">
        <v>1071</v>
      </c>
      <c r="C133" s="382" t="s">
        <v>1106</v>
      </c>
      <c r="D133" s="280"/>
      <c r="E133" s="280"/>
      <c r="F133" s="235">
        <v>5</v>
      </c>
      <c r="G133" s="1107">
        <v>27000</v>
      </c>
      <c r="H133" s="1114">
        <f t="shared" si="9"/>
        <v>135000</v>
      </c>
      <c r="I133" s="294" t="s">
        <v>924</v>
      </c>
      <c r="J133" s="379" t="s">
        <v>704</v>
      </c>
      <c r="K133" s="358"/>
      <c r="L133" s="358"/>
      <c r="M133" s="358"/>
      <c r="N133" s="358"/>
      <c r="O133" s="358"/>
      <c r="P133" s="358"/>
      <c r="Q133" s="358"/>
      <c r="R133" s="358"/>
      <c r="S133" s="358"/>
      <c r="T133" s="358"/>
      <c r="U133" s="358"/>
      <c r="V133" s="358"/>
      <c r="W133" s="358"/>
      <c r="X133" s="358"/>
      <c r="Y133" s="358"/>
      <c r="Z133" s="358"/>
    </row>
    <row r="134" spans="1:26" ht="15.75" customHeight="1">
      <c r="A134" s="1152">
        <v>128</v>
      </c>
      <c r="B134" s="280" t="s">
        <v>1071</v>
      </c>
      <c r="C134" s="382" t="s">
        <v>1107</v>
      </c>
      <c r="D134" s="235"/>
      <c r="E134" s="280"/>
      <c r="F134" s="280">
        <v>2</v>
      </c>
      <c r="G134" s="1105">
        <v>65000</v>
      </c>
      <c r="H134" s="1107">
        <f>SUM(G134*F134)</f>
        <v>130000</v>
      </c>
      <c r="I134" s="239" t="s">
        <v>1073</v>
      </c>
      <c r="J134" s="294"/>
      <c r="K134" s="358"/>
      <c r="L134" s="358"/>
      <c r="M134" s="358"/>
      <c r="N134" s="358"/>
      <c r="O134" s="358"/>
      <c r="P134" s="358"/>
      <c r="Q134" s="358"/>
      <c r="R134" s="358"/>
      <c r="S134" s="358"/>
      <c r="T134" s="358"/>
      <c r="U134" s="358"/>
      <c r="V134" s="358"/>
      <c r="W134" s="358"/>
      <c r="X134" s="358"/>
      <c r="Y134" s="358"/>
      <c r="Z134" s="358"/>
    </row>
    <row r="135" spans="1:26" ht="15.75" customHeight="1">
      <c r="A135" s="1152">
        <v>129</v>
      </c>
      <c r="B135" s="280" t="s">
        <v>1071</v>
      </c>
      <c r="C135" s="382" t="s">
        <v>1108</v>
      </c>
      <c r="D135" s="280"/>
      <c r="E135" s="280"/>
      <c r="F135" s="235">
        <v>5</v>
      </c>
      <c r="G135" s="1107">
        <v>25000</v>
      </c>
      <c r="H135" s="1114">
        <f t="shared" ref="H135:H136" si="10">G135*F135</f>
        <v>125000</v>
      </c>
      <c r="I135" s="294" t="s">
        <v>924</v>
      </c>
      <c r="J135" s="379" t="s">
        <v>696</v>
      </c>
      <c r="K135" s="358"/>
      <c r="L135" s="358"/>
      <c r="M135" s="358"/>
      <c r="N135" s="358"/>
      <c r="O135" s="358"/>
      <c r="P135" s="358"/>
      <c r="Q135" s="358"/>
      <c r="R135" s="358"/>
      <c r="S135" s="358"/>
      <c r="T135" s="358"/>
      <c r="U135" s="358"/>
      <c r="V135" s="358"/>
      <c r="W135" s="358"/>
      <c r="X135" s="358"/>
      <c r="Y135" s="358"/>
      <c r="Z135" s="358"/>
    </row>
    <row r="136" spans="1:26" ht="15.75" customHeight="1">
      <c r="A136" s="1152">
        <v>130</v>
      </c>
      <c r="B136" s="280" t="s">
        <v>1071</v>
      </c>
      <c r="C136" s="294" t="s">
        <v>1109</v>
      </c>
      <c r="D136" s="280"/>
      <c r="E136" s="280"/>
      <c r="F136" s="235">
        <v>10</v>
      </c>
      <c r="G136" s="1107">
        <v>12000</v>
      </c>
      <c r="H136" s="1114">
        <f t="shared" si="10"/>
        <v>120000</v>
      </c>
      <c r="I136" s="294" t="s">
        <v>924</v>
      </c>
      <c r="J136" s="379" t="s">
        <v>704</v>
      </c>
      <c r="K136" s="358"/>
      <c r="L136" s="358"/>
      <c r="M136" s="358"/>
      <c r="N136" s="358"/>
      <c r="O136" s="358"/>
      <c r="P136" s="358"/>
      <c r="Q136" s="358"/>
      <c r="R136" s="358"/>
      <c r="S136" s="358"/>
      <c r="T136" s="358"/>
      <c r="U136" s="358"/>
      <c r="V136" s="358"/>
      <c r="W136" s="358"/>
      <c r="X136" s="358"/>
      <c r="Y136" s="358"/>
      <c r="Z136" s="358"/>
    </row>
    <row r="137" spans="1:26" ht="15.75" customHeight="1">
      <c r="A137" s="1152">
        <v>131</v>
      </c>
      <c r="B137" s="280" t="s">
        <v>1071</v>
      </c>
      <c r="C137" s="383" t="s">
        <v>1110</v>
      </c>
      <c r="D137" s="294"/>
      <c r="E137" s="280"/>
      <c r="F137" s="280">
        <v>1</v>
      </c>
      <c r="G137" s="1107">
        <v>100000</v>
      </c>
      <c r="H137" s="1107">
        <f t="shared" ref="H137:H139" si="11">SUM(G137*F137)</f>
        <v>100000</v>
      </c>
      <c r="I137" s="239" t="s">
        <v>1073</v>
      </c>
      <c r="J137" s="294"/>
      <c r="K137" s="358"/>
      <c r="L137" s="358"/>
      <c r="M137" s="358"/>
      <c r="N137" s="358"/>
      <c r="O137" s="358"/>
      <c r="P137" s="358"/>
      <c r="Q137" s="358"/>
      <c r="R137" s="358"/>
      <c r="S137" s="358"/>
      <c r="T137" s="358"/>
      <c r="U137" s="358"/>
      <c r="V137" s="358"/>
      <c r="W137" s="358"/>
      <c r="X137" s="358"/>
      <c r="Y137" s="358"/>
      <c r="Z137" s="358"/>
    </row>
    <row r="138" spans="1:26" ht="15.75" customHeight="1">
      <c r="A138" s="1152">
        <v>132</v>
      </c>
      <c r="B138" s="280" t="s">
        <v>1071</v>
      </c>
      <c r="C138" s="294" t="s">
        <v>1111</v>
      </c>
      <c r="D138" s="294"/>
      <c r="E138" s="280"/>
      <c r="F138" s="280">
        <v>1</v>
      </c>
      <c r="G138" s="1107">
        <v>100000</v>
      </c>
      <c r="H138" s="1107">
        <f t="shared" si="11"/>
        <v>100000</v>
      </c>
      <c r="I138" s="239" t="s">
        <v>1073</v>
      </c>
      <c r="J138" s="294"/>
      <c r="K138" s="358"/>
      <c r="L138" s="358"/>
      <c r="M138" s="358"/>
      <c r="N138" s="358"/>
      <c r="O138" s="358"/>
      <c r="P138" s="358"/>
      <c r="Q138" s="358"/>
      <c r="R138" s="358"/>
      <c r="S138" s="358"/>
      <c r="T138" s="358"/>
      <c r="U138" s="358"/>
      <c r="V138" s="358"/>
      <c r="W138" s="358"/>
      <c r="X138" s="358"/>
      <c r="Y138" s="358"/>
      <c r="Z138" s="358"/>
    </row>
    <row r="139" spans="1:26" ht="15.75" customHeight="1">
      <c r="A139" s="1152">
        <v>133</v>
      </c>
      <c r="B139" s="280" t="s">
        <v>1071</v>
      </c>
      <c r="C139" s="294" t="s">
        <v>1112</v>
      </c>
      <c r="D139" s="294"/>
      <c r="E139" s="280"/>
      <c r="F139" s="280">
        <v>5</v>
      </c>
      <c r="G139" s="1107">
        <v>20000</v>
      </c>
      <c r="H139" s="1107">
        <f t="shared" si="11"/>
        <v>100000</v>
      </c>
      <c r="I139" s="239" t="s">
        <v>1073</v>
      </c>
      <c r="J139" s="294"/>
      <c r="K139" s="358"/>
      <c r="L139" s="358"/>
      <c r="M139" s="358"/>
      <c r="N139" s="358"/>
      <c r="O139" s="358"/>
      <c r="P139" s="358"/>
      <c r="Q139" s="358"/>
      <c r="R139" s="358"/>
      <c r="S139" s="358"/>
      <c r="T139" s="358"/>
      <c r="U139" s="358"/>
      <c r="V139" s="358"/>
      <c r="W139" s="358"/>
      <c r="X139" s="358"/>
      <c r="Y139" s="358"/>
      <c r="Z139" s="358"/>
    </row>
    <row r="140" spans="1:26" ht="15.75" customHeight="1">
      <c r="A140" s="1152">
        <v>134</v>
      </c>
      <c r="B140" s="280" t="s">
        <v>1071</v>
      </c>
      <c r="C140" s="294" t="s">
        <v>1113</v>
      </c>
      <c r="D140" s="280"/>
      <c r="E140" s="280"/>
      <c r="F140" s="235">
        <v>4</v>
      </c>
      <c r="G140" s="1107">
        <v>20000</v>
      </c>
      <c r="H140" s="1114">
        <f t="shared" ref="H140:H142" si="12">G140*F140</f>
        <v>80000</v>
      </c>
      <c r="I140" s="294" t="s">
        <v>924</v>
      </c>
      <c r="J140" s="379" t="s">
        <v>704</v>
      </c>
      <c r="K140" s="358"/>
      <c r="L140" s="358"/>
      <c r="M140" s="358"/>
      <c r="N140" s="358"/>
      <c r="O140" s="358"/>
      <c r="P140" s="358"/>
      <c r="Q140" s="358"/>
      <c r="R140" s="358"/>
      <c r="S140" s="358"/>
      <c r="T140" s="358"/>
      <c r="U140" s="358"/>
      <c r="V140" s="358"/>
      <c r="W140" s="358"/>
      <c r="X140" s="358"/>
      <c r="Y140" s="358"/>
      <c r="Z140" s="358"/>
    </row>
    <row r="141" spans="1:26" ht="15.75" customHeight="1">
      <c r="A141" s="1152">
        <v>135</v>
      </c>
      <c r="B141" s="280" t="s">
        <v>1071</v>
      </c>
      <c r="C141" s="294" t="s">
        <v>1114</v>
      </c>
      <c r="D141" s="280"/>
      <c r="E141" s="280"/>
      <c r="F141" s="235">
        <v>3</v>
      </c>
      <c r="G141" s="1107">
        <v>20000</v>
      </c>
      <c r="H141" s="1114">
        <f t="shared" si="12"/>
        <v>60000</v>
      </c>
      <c r="I141" s="294" t="s">
        <v>924</v>
      </c>
      <c r="J141" s="379" t="s">
        <v>696</v>
      </c>
      <c r="K141" s="358"/>
      <c r="L141" s="358"/>
      <c r="M141" s="358"/>
      <c r="N141" s="358"/>
      <c r="O141" s="358"/>
      <c r="P141" s="358"/>
      <c r="Q141" s="358"/>
      <c r="R141" s="358"/>
      <c r="S141" s="358"/>
      <c r="T141" s="358"/>
      <c r="U141" s="358"/>
      <c r="V141" s="358"/>
      <c r="W141" s="358"/>
      <c r="X141" s="358"/>
      <c r="Y141" s="358"/>
      <c r="Z141" s="358"/>
    </row>
    <row r="142" spans="1:26" ht="15.75" customHeight="1">
      <c r="A142" s="1152">
        <v>136</v>
      </c>
      <c r="B142" s="280" t="s">
        <v>1071</v>
      </c>
      <c r="C142" s="294" t="s">
        <v>1115</v>
      </c>
      <c r="D142" s="280"/>
      <c r="E142" s="280"/>
      <c r="F142" s="235">
        <v>2</v>
      </c>
      <c r="G142" s="1107">
        <v>25000</v>
      </c>
      <c r="H142" s="1114">
        <f t="shared" si="12"/>
        <v>50000</v>
      </c>
      <c r="I142" s="294" t="s">
        <v>924</v>
      </c>
      <c r="J142" s="379" t="s">
        <v>704</v>
      </c>
      <c r="K142" s="358"/>
      <c r="L142" s="358"/>
      <c r="M142" s="358"/>
      <c r="N142" s="358"/>
      <c r="O142" s="358"/>
      <c r="P142" s="358"/>
      <c r="Q142" s="358"/>
      <c r="R142" s="358"/>
      <c r="S142" s="358"/>
      <c r="T142" s="358"/>
      <c r="U142" s="358"/>
      <c r="V142" s="358"/>
      <c r="W142" s="358"/>
      <c r="X142" s="358"/>
      <c r="Y142" s="358"/>
      <c r="Z142" s="358"/>
    </row>
    <row r="143" spans="1:26" ht="15.75" customHeight="1">
      <c r="A143" s="1152">
        <v>137</v>
      </c>
      <c r="B143" s="355" t="s">
        <v>502</v>
      </c>
      <c r="C143" s="1181" t="s">
        <v>535</v>
      </c>
      <c r="D143" s="1095"/>
      <c r="E143" s="1095"/>
      <c r="F143" s="384">
        <v>2</v>
      </c>
      <c r="G143" s="1173">
        <v>640000</v>
      </c>
      <c r="H143" s="1113">
        <v>1280000</v>
      </c>
      <c r="I143" s="359" t="s">
        <v>534</v>
      </c>
      <c r="J143" s="357"/>
      <c r="K143" s="358"/>
      <c r="L143" s="358"/>
      <c r="M143" s="358"/>
      <c r="N143" s="358"/>
      <c r="O143" s="358"/>
      <c r="P143" s="358"/>
      <c r="Q143" s="358"/>
      <c r="R143" s="358"/>
      <c r="S143" s="358"/>
      <c r="T143" s="358"/>
      <c r="U143" s="358"/>
      <c r="V143" s="358"/>
      <c r="W143" s="358"/>
      <c r="X143" s="358"/>
      <c r="Y143" s="358"/>
      <c r="Z143" s="358"/>
    </row>
    <row r="144" spans="1:26" ht="15.75" customHeight="1">
      <c r="A144" s="1152">
        <v>138</v>
      </c>
      <c r="B144" s="385" t="s">
        <v>502</v>
      </c>
      <c r="C144" s="1098" t="s">
        <v>1116</v>
      </c>
      <c r="D144" s="1099">
        <v>5</v>
      </c>
      <c r="E144" s="1099">
        <v>7</v>
      </c>
      <c r="F144" s="385">
        <v>2</v>
      </c>
      <c r="G144" s="1175">
        <v>600000</v>
      </c>
      <c r="H144" s="1115">
        <v>1200000</v>
      </c>
      <c r="I144" s="359"/>
      <c r="J144" s="357"/>
      <c r="K144" s="358"/>
      <c r="L144" s="358"/>
      <c r="M144" s="358"/>
      <c r="N144" s="358"/>
      <c r="O144" s="358"/>
      <c r="P144" s="358"/>
      <c r="Q144" s="358"/>
      <c r="R144" s="358"/>
      <c r="S144" s="358"/>
      <c r="T144" s="358"/>
      <c r="U144" s="358"/>
      <c r="V144" s="358"/>
      <c r="W144" s="358"/>
      <c r="X144" s="358"/>
      <c r="Y144" s="358"/>
      <c r="Z144" s="358"/>
    </row>
    <row r="145" spans="1:26" ht="15.75" customHeight="1">
      <c r="A145" s="1152">
        <v>139</v>
      </c>
      <c r="B145" s="1171" t="s">
        <v>502</v>
      </c>
      <c r="C145" s="1182" t="s">
        <v>1117</v>
      </c>
      <c r="D145" s="1068">
        <v>0</v>
      </c>
      <c r="E145" s="1068">
        <v>1</v>
      </c>
      <c r="F145" s="1178">
        <v>1</v>
      </c>
      <c r="G145" s="1176">
        <v>900000</v>
      </c>
      <c r="H145" s="1172">
        <f>F145*G145</f>
        <v>900000</v>
      </c>
      <c r="I145" s="294" t="s">
        <v>1118</v>
      </c>
      <c r="J145" s="294"/>
      <c r="K145" s="358"/>
      <c r="L145" s="358"/>
      <c r="M145" s="358"/>
      <c r="N145" s="358"/>
      <c r="O145" s="358"/>
      <c r="P145" s="358"/>
      <c r="Q145" s="358"/>
      <c r="R145" s="358"/>
      <c r="S145" s="358"/>
      <c r="T145" s="358"/>
      <c r="U145" s="358"/>
      <c r="V145" s="358"/>
      <c r="W145" s="358"/>
      <c r="X145" s="358"/>
      <c r="Y145" s="358"/>
      <c r="Z145" s="358"/>
    </row>
    <row r="146" spans="1:26" ht="15.75" customHeight="1">
      <c r="A146" s="1152">
        <v>140</v>
      </c>
      <c r="B146" s="376" t="s">
        <v>502</v>
      </c>
      <c r="C146" s="1070" t="s">
        <v>1119</v>
      </c>
      <c r="D146" s="1183"/>
      <c r="E146" s="1183"/>
      <c r="F146" s="388">
        <v>1</v>
      </c>
      <c r="G146" s="1177">
        <v>840000</v>
      </c>
      <c r="H146" s="1116">
        <f t="shared" ref="H146:H147" si="13">G146*F146</f>
        <v>840000</v>
      </c>
      <c r="I146" s="239"/>
      <c r="J146" s="379"/>
      <c r="K146" s="358"/>
      <c r="L146" s="358"/>
      <c r="M146" s="358"/>
      <c r="N146" s="358"/>
      <c r="O146" s="358"/>
      <c r="P146" s="358"/>
      <c r="Q146" s="358"/>
      <c r="R146" s="358"/>
      <c r="S146" s="358"/>
      <c r="T146" s="358"/>
      <c r="U146" s="358"/>
      <c r="V146" s="358"/>
      <c r="W146" s="358"/>
      <c r="X146" s="358"/>
      <c r="Y146" s="358"/>
      <c r="Z146" s="358"/>
    </row>
    <row r="147" spans="1:26" ht="15.75" customHeight="1">
      <c r="A147" s="1152">
        <v>141</v>
      </c>
      <c r="B147" s="1171" t="s">
        <v>502</v>
      </c>
      <c r="C147" s="1070" t="s">
        <v>1119</v>
      </c>
      <c r="D147" s="1183"/>
      <c r="E147" s="1183"/>
      <c r="F147" s="1179">
        <v>1</v>
      </c>
      <c r="G147" s="1174">
        <v>840000</v>
      </c>
      <c r="H147" s="1114">
        <f t="shared" si="13"/>
        <v>840000</v>
      </c>
      <c r="I147" s="294"/>
      <c r="J147" s="379"/>
      <c r="K147" s="358"/>
      <c r="L147" s="358"/>
      <c r="M147" s="358"/>
      <c r="N147" s="358"/>
      <c r="O147" s="358"/>
      <c r="P147" s="358"/>
      <c r="Q147" s="358"/>
      <c r="R147" s="358"/>
      <c r="S147" s="358"/>
      <c r="T147" s="358"/>
      <c r="U147" s="358"/>
      <c r="V147" s="358"/>
      <c r="W147" s="358"/>
      <c r="X147" s="358"/>
      <c r="Y147" s="358"/>
      <c r="Z147" s="358"/>
    </row>
    <row r="148" spans="1:26" ht="15.75" customHeight="1">
      <c r="A148" s="1152">
        <v>142</v>
      </c>
      <c r="B148" s="1171" t="s">
        <v>502</v>
      </c>
      <c r="C148" s="1184" t="s">
        <v>1120</v>
      </c>
      <c r="D148" s="1068">
        <v>0</v>
      </c>
      <c r="E148" s="1068">
        <v>48</v>
      </c>
      <c r="F148" s="1180">
        <v>48</v>
      </c>
      <c r="G148" s="1105">
        <v>17000</v>
      </c>
      <c r="H148" s="1105">
        <f t="shared" ref="H148:H154" si="14">F148*G148</f>
        <v>816000</v>
      </c>
      <c r="I148" s="239"/>
      <c r="J148" s="294"/>
      <c r="K148" s="358"/>
      <c r="L148" s="358"/>
      <c r="M148" s="358"/>
      <c r="N148" s="358"/>
      <c r="O148" s="358"/>
      <c r="P148" s="358"/>
      <c r="Q148" s="358"/>
      <c r="R148" s="358"/>
      <c r="S148" s="358"/>
      <c r="T148" s="358"/>
      <c r="U148" s="358"/>
      <c r="V148" s="358"/>
      <c r="W148" s="358"/>
      <c r="X148" s="358"/>
      <c r="Y148" s="358"/>
      <c r="Z148" s="358"/>
    </row>
    <row r="149" spans="1:26" ht="15.75" customHeight="1">
      <c r="A149" s="1152">
        <v>143</v>
      </c>
      <c r="B149" s="1171" t="s">
        <v>502</v>
      </c>
      <c r="C149" s="1182" t="s">
        <v>1121</v>
      </c>
      <c r="D149" s="1068">
        <v>0</v>
      </c>
      <c r="E149" s="1068">
        <v>10</v>
      </c>
      <c r="F149" s="1180">
        <f>E149-D149</f>
        <v>10</v>
      </c>
      <c r="G149" s="1105">
        <v>60000</v>
      </c>
      <c r="H149" s="1105">
        <f t="shared" si="14"/>
        <v>600000</v>
      </c>
      <c r="I149" s="239"/>
      <c r="J149" s="294"/>
      <c r="K149" s="358"/>
      <c r="L149" s="358"/>
      <c r="M149" s="358"/>
      <c r="N149" s="358"/>
      <c r="O149" s="358"/>
      <c r="P149" s="358"/>
      <c r="Q149" s="358"/>
      <c r="R149" s="358"/>
      <c r="S149" s="358"/>
      <c r="T149" s="358"/>
      <c r="U149" s="358"/>
      <c r="V149" s="358"/>
      <c r="W149" s="358"/>
      <c r="X149" s="358"/>
      <c r="Y149" s="358"/>
      <c r="Z149" s="358"/>
    </row>
    <row r="150" spans="1:26" ht="15.75" customHeight="1">
      <c r="A150" s="1152">
        <v>144</v>
      </c>
      <c r="B150" s="235" t="s">
        <v>502</v>
      </c>
      <c r="C150" s="389" t="s">
        <v>1122</v>
      </c>
      <c r="D150" s="1058">
        <v>0</v>
      </c>
      <c r="E150" s="1058">
        <v>58</v>
      </c>
      <c r="F150" s="235">
        <v>58</v>
      </c>
      <c r="G150" s="1105">
        <v>10000</v>
      </c>
      <c r="H150" s="1105">
        <f t="shared" si="14"/>
        <v>580000</v>
      </c>
      <c r="I150" s="239"/>
      <c r="J150" s="294"/>
      <c r="K150" s="358"/>
      <c r="L150" s="358"/>
      <c r="M150" s="358"/>
      <c r="N150" s="358"/>
      <c r="O150" s="358"/>
      <c r="P150" s="358"/>
      <c r="Q150" s="358"/>
      <c r="R150" s="358"/>
      <c r="S150" s="358"/>
      <c r="T150" s="358"/>
      <c r="U150" s="358"/>
      <c r="V150" s="358"/>
      <c r="W150" s="358"/>
      <c r="X150" s="358"/>
      <c r="Y150" s="358"/>
      <c r="Z150" s="358"/>
    </row>
    <row r="151" spans="1:26" ht="15.75" customHeight="1">
      <c r="A151" s="1152">
        <v>145</v>
      </c>
      <c r="B151" s="235" t="s">
        <v>502</v>
      </c>
      <c r="C151" s="389" t="s">
        <v>1123</v>
      </c>
      <c r="D151" s="235">
        <v>0</v>
      </c>
      <c r="E151" s="235">
        <v>1</v>
      </c>
      <c r="F151" s="235">
        <v>1</v>
      </c>
      <c r="G151" s="1105">
        <v>500000</v>
      </c>
      <c r="H151" s="1105">
        <f t="shared" si="14"/>
        <v>500000</v>
      </c>
      <c r="I151" s="294"/>
      <c r="J151" s="294"/>
      <c r="K151" s="358"/>
      <c r="L151" s="358"/>
      <c r="M151" s="358"/>
      <c r="N151" s="358"/>
      <c r="O151" s="358"/>
      <c r="P151" s="358"/>
      <c r="Q151" s="358"/>
      <c r="R151" s="358"/>
      <c r="S151" s="358"/>
      <c r="T151" s="358"/>
      <c r="U151" s="358"/>
      <c r="V151" s="358"/>
      <c r="W151" s="358"/>
      <c r="X151" s="358"/>
      <c r="Y151" s="358"/>
      <c r="Z151" s="358"/>
    </row>
    <row r="152" spans="1:26" ht="15.75" customHeight="1">
      <c r="A152" s="1152">
        <v>146</v>
      </c>
      <c r="B152" s="390" t="s">
        <v>502</v>
      </c>
      <c r="C152" s="386" t="s">
        <v>1124</v>
      </c>
      <c r="D152" s="235">
        <v>2</v>
      </c>
      <c r="E152" s="235">
        <v>12</v>
      </c>
      <c r="F152" s="235">
        <v>10</v>
      </c>
      <c r="G152" s="1105">
        <v>40000</v>
      </c>
      <c r="H152" s="1105">
        <f t="shared" si="14"/>
        <v>400000</v>
      </c>
      <c r="I152" s="239"/>
      <c r="J152" s="294"/>
      <c r="K152" s="358"/>
      <c r="L152" s="358"/>
      <c r="M152" s="358"/>
      <c r="N152" s="358"/>
      <c r="O152" s="358"/>
      <c r="P152" s="358"/>
      <c r="Q152" s="358"/>
      <c r="R152" s="358"/>
      <c r="S152" s="358"/>
      <c r="T152" s="358"/>
      <c r="U152" s="358"/>
      <c r="V152" s="358"/>
      <c r="W152" s="358"/>
      <c r="X152" s="358"/>
      <c r="Y152" s="358"/>
      <c r="Z152" s="358"/>
    </row>
    <row r="153" spans="1:26" ht="15.75" customHeight="1">
      <c r="A153" s="1152">
        <v>147</v>
      </c>
      <c r="B153" s="390" t="s">
        <v>502</v>
      </c>
      <c r="C153" s="386" t="s">
        <v>1125</v>
      </c>
      <c r="D153" s="235">
        <v>0</v>
      </c>
      <c r="E153" s="235">
        <v>10</v>
      </c>
      <c r="F153" s="235">
        <v>10</v>
      </c>
      <c r="G153" s="1105">
        <v>25000</v>
      </c>
      <c r="H153" s="1105">
        <f t="shared" si="14"/>
        <v>250000</v>
      </c>
      <c r="I153" s="239"/>
      <c r="J153" s="294"/>
      <c r="K153" s="358"/>
      <c r="L153" s="358"/>
      <c r="M153" s="358"/>
      <c r="N153" s="358"/>
      <c r="O153" s="358"/>
      <c r="P153" s="358"/>
      <c r="Q153" s="358"/>
      <c r="R153" s="358"/>
      <c r="S153" s="358"/>
      <c r="T153" s="358"/>
      <c r="U153" s="358"/>
      <c r="V153" s="358"/>
      <c r="W153" s="358"/>
      <c r="X153" s="358"/>
      <c r="Y153" s="358"/>
      <c r="Z153" s="358"/>
    </row>
    <row r="154" spans="1:26" ht="31.5" customHeight="1">
      <c r="A154" s="1152">
        <v>148</v>
      </c>
      <c r="B154" s="390" t="s">
        <v>502</v>
      </c>
      <c r="C154" s="386" t="s">
        <v>1126</v>
      </c>
      <c r="D154" s="235">
        <v>1</v>
      </c>
      <c r="E154" s="235">
        <v>3</v>
      </c>
      <c r="F154" s="235">
        <v>2</v>
      </c>
      <c r="G154" s="1105">
        <v>100000</v>
      </c>
      <c r="H154" s="1105">
        <f t="shared" si="14"/>
        <v>200000</v>
      </c>
      <c r="I154" s="239"/>
      <c r="J154" s="294"/>
      <c r="K154" s="358"/>
      <c r="L154" s="358"/>
      <c r="M154" s="358"/>
      <c r="N154" s="358"/>
      <c r="O154" s="358"/>
      <c r="P154" s="358"/>
      <c r="Q154" s="358"/>
      <c r="R154" s="358"/>
      <c r="S154" s="358"/>
      <c r="T154" s="358"/>
      <c r="U154" s="358"/>
      <c r="V154" s="358"/>
      <c r="W154" s="358"/>
      <c r="X154" s="358"/>
      <c r="Y154" s="358"/>
      <c r="Z154" s="358"/>
    </row>
    <row r="155" spans="1:26" ht="15.75" customHeight="1">
      <c r="A155" s="1152">
        <v>149</v>
      </c>
      <c r="B155" s="392" t="s">
        <v>1071</v>
      </c>
      <c r="C155" s="356" t="s">
        <v>1127</v>
      </c>
      <c r="D155" s="355"/>
      <c r="E155" s="355"/>
      <c r="F155" s="355">
        <v>200</v>
      </c>
      <c r="G155" s="1113">
        <v>85000</v>
      </c>
      <c r="H155" s="1113">
        <f t="shared" ref="H155:H156" si="15">G155*F155</f>
        <v>17000000</v>
      </c>
      <c r="I155" s="356" t="s">
        <v>924</v>
      </c>
      <c r="J155" s="357"/>
      <c r="K155" s="393"/>
      <c r="L155" s="393"/>
      <c r="M155" s="393"/>
      <c r="N155" s="393"/>
      <c r="O155" s="393"/>
      <c r="P155" s="393"/>
      <c r="Q155" s="393"/>
      <c r="R155" s="393"/>
      <c r="S155" s="393"/>
      <c r="T155" s="393"/>
      <c r="U155" s="393"/>
      <c r="V155" s="393"/>
      <c r="W155" s="393"/>
      <c r="X155" s="393"/>
      <c r="Y155" s="393"/>
      <c r="Z155" s="393"/>
    </row>
    <row r="156" spans="1:26" ht="15.75" customHeight="1">
      <c r="A156" s="1152">
        <v>150</v>
      </c>
      <c r="B156" s="355" t="s">
        <v>1071</v>
      </c>
      <c r="C156" s="356" t="s">
        <v>1128</v>
      </c>
      <c r="D156" s="355"/>
      <c r="E156" s="355"/>
      <c r="F156" s="355">
        <v>200</v>
      </c>
      <c r="G156" s="1113">
        <v>89000</v>
      </c>
      <c r="H156" s="1113">
        <f t="shared" si="15"/>
        <v>17800000</v>
      </c>
      <c r="I156" s="356" t="s">
        <v>924</v>
      </c>
      <c r="J156" s="357"/>
      <c r="K156" s="393"/>
      <c r="L156" s="393"/>
      <c r="M156" s="393"/>
      <c r="N156" s="393"/>
      <c r="O156" s="393"/>
      <c r="P156" s="393"/>
      <c r="Q156" s="393"/>
      <c r="R156" s="393"/>
      <c r="S156" s="393"/>
      <c r="T156" s="393"/>
      <c r="U156" s="393"/>
      <c r="V156" s="393"/>
      <c r="W156" s="393"/>
      <c r="X156" s="393"/>
      <c r="Y156" s="393"/>
      <c r="Z156" s="393"/>
    </row>
    <row r="157" spans="1:26" ht="15.75" customHeight="1">
      <c r="A157" s="1152">
        <v>151</v>
      </c>
      <c r="B157" s="355" t="s">
        <v>562</v>
      </c>
      <c r="C157" s="356" t="s">
        <v>1129</v>
      </c>
      <c r="D157" s="394"/>
      <c r="E157" s="355"/>
      <c r="F157" s="394">
        <v>15</v>
      </c>
      <c r="G157" s="1113">
        <v>500000</v>
      </c>
      <c r="H157" s="1103">
        <v>7500000</v>
      </c>
      <c r="I157" s="356"/>
      <c r="J157" s="357"/>
      <c r="K157" s="358"/>
      <c r="L157" s="358"/>
      <c r="M157" s="358"/>
      <c r="N157" s="358"/>
      <c r="O157" s="358"/>
      <c r="P157" s="358"/>
      <c r="Q157" s="358"/>
      <c r="R157" s="358"/>
      <c r="S157" s="358"/>
      <c r="T157" s="358"/>
      <c r="U157" s="358"/>
      <c r="V157" s="358"/>
      <c r="W157" s="358"/>
      <c r="X157" s="358"/>
      <c r="Y157" s="358"/>
      <c r="Z157" s="358"/>
    </row>
    <row r="158" spans="1:26" ht="15.75" customHeight="1">
      <c r="A158" s="1152">
        <v>152</v>
      </c>
      <c r="B158" s="355" t="s">
        <v>562</v>
      </c>
      <c r="C158" s="395" t="s">
        <v>1130</v>
      </c>
      <c r="D158" s="356"/>
      <c r="E158" s="355"/>
      <c r="F158" s="394">
        <v>50</v>
      </c>
      <c r="G158" s="1113">
        <v>120000</v>
      </c>
      <c r="H158" s="1103">
        <v>6000000</v>
      </c>
      <c r="I158" s="356"/>
      <c r="J158" s="357"/>
      <c r="K158" s="358"/>
      <c r="L158" s="358"/>
      <c r="M158" s="358"/>
      <c r="N158" s="358"/>
      <c r="O158" s="358"/>
      <c r="P158" s="358"/>
      <c r="Q158" s="358"/>
      <c r="R158" s="358"/>
      <c r="S158" s="358"/>
      <c r="T158" s="358"/>
      <c r="U158" s="358"/>
      <c r="V158" s="358"/>
      <c r="W158" s="358"/>
      <c r="X158" s="358"/>
      <c r="Y158" s="358"/>
      <c r="Z158" s="358"/>
    </row>
    <row r="159" spans="1:26" ht="15.75" customHeight="1">
      <c r="A159" s="1152">
        <v>153</v>
      </c>
      <c r="B159" s="355" t="s">
        <v>562</v>
      </c>
      <c r="C159" s="396" t="s">
        <v>1131</v>
      </c>
      <c r="D159" s="355"/>
      <c r="E159" s="355"/>
      <c r="F159" s="391">
        <v>30</v>
      </c>
      <c r="G159" s="1103">
        <v>200000</v>
      </c>
      <c r="H159" s="1103">
        <v>6000000</v>
      </c>
      <c r="I159" s="356"/>
      <c r="J159" s="357"/>
      <c r="K159" s="358"/>
      <c r="L159" s="358"/>
      <c r="M159" s="358"/>
      <c r="N159" s="358"/>
      <c r="O159" s="358"/>
      <c r="P159" s="358"/>
      <c r="Q159" s="358"/>
      <c r="R159" s="358"/>
      <c r="S159" s="358"/>
      <c r="T159" s="358"/>
      <c r="U159" s="358"/>
      <c r="V159" s="358"/>
      <c r="W159" s="358"/>
      <c r="X159" s="358"/>
      <c r="Y159" s="358"/>
      <c r="Z159" s="358"/>
    </row>
    <row r="160" spans="1:26" ht="15.75" customHeight="1">
      <c r="A160" s="1152">
        <v>154</v>
      </c>
      <c r="B160" s="355" t="s">
        <v>562</v>
      </c>
      <c r="C160" s="357" t="s">
        <v>1132</v>
      </c>
      <c r="D160" s="355"/>
      <c r="E160" s="355"/>
      <c r="F160" s="394">
        <v>100</v>
      </c>
      <c r="G160" s="1103">
        <v>30000</v>
      </c>
      <c r="H160" s="1113">
        <v>3000000</v>
      </c>
      <c r="I160" s="397" t="s">
        <v>1133</v>
      </c>
      <c r="J160" s="357"/>
      <c r="K160" s="358"/>
      <c r="L160" s="358"/>
      <c r="M160" s="358"/>
      <c r="N160" s="358"/>
      <c r="O160" s="358"/>
      <c r="P160" s="358"/>
      <c r="Q160" s="358"/>
      <c r="R160" s="358"/>
      <c r="S160" s="358"/>
      <c r="T160" s="358"/>
      <c r="U160" s="358"/>
      <c r="V160" s="358"/>
      <c r="W160" s="358"/>
      <c r="X160" s="358"/>
      <c r="Y160" s="358"/>
      <c r="Z160" s="358"/>
    </row>
    <row r="161" spans="1:26" ht="15.75" customHeight="1">
      <c r="A161" s="1152">
        <v>155</v>
      </c>
      <c r="B161" s="355" t="s">
        <v>562</v>
      </c>
      <c r="C161" s="396" t="s">
        <v>1134</v>
      </c>
      <c r="D161" s="356"/>
      <c r="E161" s="355"/>
      <c r="F161" s="391">
        <v>10</v>
      </c>
      <c r="G161" s="1103">
        <v>300000</v>
      </c>
      <c r="H161" s="1103">
        <v>3000000</v>
      </c>
      <c r="I161" s="356"/>
      <c r="J161" s="357"/>
      <c r="K161" s="358"/>
      <c r="L161" s="358"/>
      <c r="M161" s="358"/>
      <c r="N161" s="358"/>
      <c r="O161" s="358"/>
      <c r="P161" s="358"/>
      <c r="Q161" s="358"/>
      <c r="R161" s="358"/>
      <c r="S161" s="358"/>
      <c r="T161" s="358"/>
      <c r="U161" s="358"/>
      <c r="V161" s="358"/>
      <c r="W161" s="358"/>
      <c r="X161" s="358"/>
      <c r="Y161" s="358"/>
      <c r="Z161" s="358"/>
    </row>
    <row r="162" spans="1:26" ht="15.75" customHeight="1">
      <c r="A162" s="1152">
        <v>156</v>
      </c>
      <c r="B162" s="398" t="s">
        <v>562</v>
      </c>
      <c r="C162" s="356" t="s">
        <v>1135</v>
      </c>
      <c r="D162" s="355"/>
      <c r="E162" s="355"/>
      <c r="F162" s="394">
        <v>15</v>
      </c>
      <c r="G162" s="1103">
        <v>200000</v>
      </c>
      <c r="H162" s="1115">
        <v>3000000</v>
      </c>
      <c r="I162" s="356"/>
      <c r="J162" s="357"/>
      <c r="K162" s="358"/>
      <c r="L162" s="358"/>
      <c r="M162" s="358"/>
      <c r="N162" s="358"/>
      <c r="O162" s="358"/>
      <c r="P162" s="358"/>
      <c r="Q162" s="358"/>
      <c r="R162" s="358"/>
      <c r="S162" s="358"/>
      <c r="T162" s="358"/>
      <c r="U162" s="358"/>
      <c r="V162" s="358"/>
      <c r="W162" s="358"/>
      <c r="X162" s="358"/>
      <c r="Y162" s="358"/>
      <c r="Z162" s="358"/>
    </row>
    <row r="163" spans="1:26" ht="15.75" customHeight="1">
      <c r="A163" s="1152">
        <v>157</v>
      </c>
      <c r="B163" s="355" t="s">
        <v>562</v>
      </c>
      <c r="C163" s="359" t="s">
        <v>1136</v>
      </c>
      <c r="D163" s="355"/>
      <c r="E163" s="355"/>
      <c r="F163" s="394">
        <v>10</v>
      </c>
      <c r="G163" s="1113">
        <v>250000</v>
      </c>
      <c r="H163" s="1103">
        <v>2500000</v>
      </c>
      <c r="I163" s="356"/>
      <c r="J163" s="357"/>
      <c r="K163" s="358"/>
      <c r="L163" s="358"/>
      <c r="M163" s="358"/>
      <c r="N163" s="358"/>
      <c r="O163" s="358"/>
      <c r="P163" s="358"/>
      <c r="Q163" s="358"/>
      <c r="R163" s="358"/>
      <c r="S163" s="358"/>
      <c r="T163" s="358"/>
      <c r="U163" s="358"/>
      <c r="V163" s="358"/>
      <c r="W163" s="358"/>
      <c r="X163" s="358"/>
      <c r="Y163" s="358"/>
      <c r="Z163" s="358"/>
    </row>
    <row r="164" spans="1:26" ht="15.75" customHeight="1">
      <c r="A164" s="1152">
        <v>158</v>
      </c>
      <c r="B164" s="355" t="s">
        <v>562</v>
      </c>
      <c r="C164" s="357" t="s">
        <v>1137</v>
      </c>
      <c r="D164" s="355"/>
      <c r="E164" s="355"/>
      <c r="F164" s="394">
        <v>5</v>
      </c>
      <c r="G164" s="1103">
        <v>500000</v>
      </c>
      <c r="H164" s="1113">
        <v>2500000</v>
      </c>
      <c r="I164" s="356"/>
      <c r="J164" s="357"/>
      <c r="K164" s="358"/>
      <c r="L164" s="358"/>
      <c r="M164" s="358"/>
      <c r="N164" s="358"/>
      <c r="O164" s="358"/>
      <c r="P164" s="358"/>
      <c r="Q164" s="358"/>
      <c r="R164" s="358"/>
      <c r="S164" s="358"/>
      <c r="T164" s="358"/>
      <c r="U164" s="358"/>
      <c r="V164" s="358"/>
      <c r="W164" s="358"/>
      <c r="X164" s="358"/>
      <c r="Y164" s="358"/>
      <c r="Z164" s="358"/>
    </row>
    <row r="165" spans="1:26" ht="15.75" customHeight="1">
      <c r="A165" s="1152">
        <v>159</v>
      </c>
      <c r="B165" s="355" t="s">
        <v>562</v>
      </c>
      <c r="C165" s="356" t="s">
        <v>1138</v>
      </c>
      <c r="D165" s="355"/>
      <c r="E165" s="355"/>
      <c r="F165" s="394">
        <v>5</v>
      </c>
      <c r="G165" s="1103">
        <v>400000</v>
      </c>
      <c r="H165" s="1113">
        <v>2000000</v>
      </c>
      <c r="I165" s="356" t="s">
        <v>1139</v>
      </c>
      <c r="J165" s="357"/>
      <c r="K165" s="358"/>
      <c r="L165" s="358"/>
      <c r="M165" s="358"/>
      <c r="N165" s="358"/>
      <c r="O165" s="358"/>
      <c r="P165" s="358"/>
      <c r="Q165" s="358"/>
      <c r="R165" s="358"/>
      <c r="S165" s="358"/>
      <c r="T165" s="358"/>
      <c r="U165" s="358"/>
      <c r="V165" s="358"/>
      <c r="W165" s="358"/>
      <c r="X165" s="358"/>
      <c r="Y165" s="358"/>
      <c r="Z165" s="358"/>
    </row>
    <row r="166" spans="1:26" ht="15.75" customHeight="1">
      <c r="A166" s="1152">
        <v>160</v>
      </c>
      <c r="B166" s="355" t="s">
        <v>562</v>
      </c>
      <c r="C166" s="356" t="s">
        <v>1140</v>
      </c>
      <c r="D166" s="355"/>
      <c r="E166" s="355"/>
      <c r="F166" s="394">
        <v>5</v>
      </c>
      <c r="G166" s="1103">
        <v>400000</v>
      </c>
      <c r="H166" s="1113">
        <v>2000000</v>
      </c>
      <c r="I166" s="356"/>
      <c r="J166" s="357"/>
      <c r="K166" s="358"/>
      <c r="L166" s="358"/>
      <c r="M166" s="358"/>
      <c r="N166" s="358"/>
      <c r="O166" s="358"/>
      <c r="P166" s="358"/>
      <c r="Q166" s="358"/>
      <c r="R166" s="358"/>
      <c r="S166" s="358"/>
      <c r="T166" s="358"/>
      <c r="U166" s="358"/>
      <c r="V166" s="358"/>
      <c r="W166" s="358"/>
      <c r="X166" s="358"/>
      <c r="Y166" s="358"/>
      <c r="Z166" s="358"/>
    </row>
    <row r="167" spans="1:26" ht="15.75" customHeight="1">
      <c r="A167" s="1152">
        <v>161</v>
      </c>
      <c r="B167" s="355" t="s">
        <v>562</v>
      </c>
      <c r="C167" s="356" t="s">
        <v>1141</v>
      </c>
      <c r="D167" s="355"/>
      <c r="E167" s="355"/>
      <c r="F167" s="394">
        <v>5</v>
      </c>
      <c r="G167" s="1103">
        <v>300000</v>
      </c>
      <c r="H167" s="1113">
        <v>1500000</v>
      </c>
      <c r="I167" s="356"/>
      <c r="J167" s="357"/>
      <c r="K167" s="358"/>
      <c r="L167" s="358"/>
      <c r="M167" s="358"/>
      <c r="N167" s="358"/>
      <c r="O167" s="358"/>
      <c r="P167" s="358"/>
      <c r="Q167" s="358"/>
      <c r="R167" s="358"/>
      <c r="S167" s="358"/>
      <c r="T167" s="358"/>
      <c r="U167" s="358"/>
      <c r="V167" s="358"/>
      <c r="W167" s="358"/>
      <c r="X167" s="358"/>
      <c r="Y167" s="358"/>
      <c r="Z167" s="358"/>
    </row>
    <row r="168" spans="1:26" ht="15.75" customHeight="1">
      <c r="A168" s="1152">
        <v>162</v>
      </c>
      <c r="B168" s="355" t="s">
        <v>562</v>
      </c>
      <c r="C168" s="399" t="s">
        <v>1142</v>
      </c>
      <c r="D168" s="355"/>
      <c r="E168" s="355"/>
      <c r="F168" s="394">
        <v>30</v>
      </c>
      <c r="G168" s="1103">
        <v>50000</v>
      </c>
      <c r="H168" s="1103">
        <v>1500000</v>
      </c>
      <c r="I168" s="356"/>
      <c r="J168" s="357"/>
      <c r="K168" s="358"/>
      <c r="L168" s="358"/>
      <c r="M168" s="358"/>
      <c r="N168" s="358"/>
      <c r="O168" s="358"/>
      <c r="P168" s="358"/>
      <c r="Q168" s="358"/>
      <c r="R168" s="358"/>
      <c r="S168" s="358"/>
      <c r="T168" s="358"/>
      <c r="U168" s="358"/>
      <c r="V168" s="358"/>
      <c r="W168" s="358"/>
      <c r="X168" s="358"/>
      <c r="Y168" s="358"/>
      <c r="Z168" s="358"/>
    </row>
    <row r="169" spans="1:26" ht="15.75" customHeight="1">
      <c r="A169" s="1152">
        <v>163</v>
      </c>
      <c r="B169" s="355" t="s">
        <v>562</v>
      </c>
      <c r="C169" s="356" t="s">
        <v>1143</v>
      </c>
      <c r="D169" s="394"/>
      <c r="E169" s="355"/>
      <c r="F169" s="394">
        <v>30</v>
      </c>
      <c r="G169" s="1113">
        <v>50000</v>
      </c>
      <c r="H169" s="1103">
        <v>1500000</v>
      </c>
      <c r="I169" s="356"/>
      <c r="J169" s="357"/>
      <c r="K169" s="358"/>
      <c r="L169" s="358"/>
      <c r="M169" s="358"/>
      <c r="N169" s="358"/>
      <c r="O169" s="358"/>
      <c r="P169" s="358"/>
      <c r="Q169" s="358"/>
      <c r="R169" s="358"/>
      <c r="S169" s="358"/>
      <c r="T169" s="358"/>
      <c r="U169" s="358"/>
      <c r="V169" s="358"/>
      <c r="W169" s="358"/>
      <c r="X169" s="358"/>
      <c r="Y169" s="358"/>
      <c r="Z169" s="358"/>
    </row>
    <row r="170" spans="1:26" ht="15.75" customHeight="1">
      <c r="A170" s="1152">
        <v>164</v>
      </c>
      <c r="B170" s="355" t="s">
        <v>562</v>
      </c>
      <c r="C170" s="356" t="s">
        <v>1144</v>
      </c>
      <c r="D170" s="394"/>
      <c r="E170" s="355"/>
      <c r="F170" s="394">
        <v>15</v>
      </c>
      <c r="G170" s="1103">
        <v>100000</v>
      </c>
      <c r="H170" s="1103">
        <v>1500000</v>
      </c>
      <c r="I170" s="356"/>
      <c r="J170" s="357"/>
      <c r="K170" s="358"/>
      <c r="L170" s="358"/>
      <c r="M170" s="358"/>
      <c r="N170" s="358"/>
      <c r="O170" s="358"/>
      <c r="P170" s="358"/>
      <c r="Q170" s="358"/>
      <c r="R170" s="358"/>
      <c r="S170" s="358"/>
      <c r="T170" s="358"/>
      <c r="U170" s="358"/>
      <c r="V170" s="358"/>
      <c r="W170" s="358"/>
      <c r="X170" s="358"/>
      <c r="Y170" s="358"/>
      <c r="Z170" s="358"/>
    </row>
    <row r="171" spans="1:26" ht="15.75" customHeight="1">
      <c r="A171" s="1152">
        <v>165</v>
      </c>
      <c r="B171" s="355" t="s">
        <v>562</v>
      </c>
      <c r="C171" s="399" t="s">
        <v>1145</v>
      </c>
      <c r="D171" s="356"/>
      <c r="E171" s="355"/>
      <c r="F171" s="394">
        <v>100</v>
      </c>
      <c r="G171" s="1103">
        <v>10000</v>
      </c>
      <c r="H171" s="1103">
        <v>1000000</v>
      </c>
      <c r="I171" s="356"/>
      <c r="J171" s="357"/>
      <c r="K171" s="358"/>
      <c r="L171" s="358"/>
      <c r="M171" s="358"/>
      <c r="N171" s="358"/>
      <c r="O171" s="358"/>
      <c r="P171" s="358"/>
      <c r="Q171" s="358"/>
      <c r="R171" s="358"/>
      <c r="S171" s="358"/>
      <c r="T171" s="358"/>
      <c r="U171" s="358"/>
      <c r="V171" s="358"/>
      <c r="W171" s="358"/>
      <c r="X171" s="358"/>
      <c r="Y171" s="358"/>
      <c r="Z171" s="358"/>
    </row>
    <row r="172" spans="1:26" ht="15.75" customHeight="1">
      <c r="A172" s="1152">
        <v>166</v>
      </c>
      <c r="B172" s="280" t="s">
        <v>562</v>
      </c>
      <c r="C172" s="400" t="s">
        <v>1146</v>
      </c>
      <c r="D172" s="401"/>
      <c r="E172" s="280"/>
      <c r="F172" s="235">
        <v>20</v>
      </c>
      <c r="G172" s="1107">
        <v>40000</v>
      </c>
      <c r="H172" s="1105">
        <f t="shared" ref="H172:H184" si="16">G172*F172</f>
        <v>800000</v>
      </c>
      <c r="I172" s="294"/>
      <c r="J172" s="379"/>
      <c r="K172" s="358"/>
      <c r="L172" s="358"/>
      <c r="M172" s="358"/>
      <c r="N172" s="358"/>
      <c r="O172" s="358"/>
      <c r="P172" s="358"/>
      <c r="Q172" s="358"/>
      <c r="R172" s="358"/>
      <c r="S172" s="358"/>
      <c r="T172" s="358"/>
      <c r="U172" s="358"/>
      <c r="V172" s="358"/>
      <c r="W172" s="358"/>
      <c r="X172" s="358"/>
      <c r="Y172" s="358"/>
      <c r="Z172" s="358"/>
    </row>
    <row r="173" spans="1:26" ht="15.75" customHeight="1">
      <c r="A173" s="1152">
        <v>167</v>
      </c>
      <c r="B173" s="280" t="s">
        <v>562</v>
      </c>
      <c r="C173" s="239" t="s">
        <v>1147</v>
      </c>
      <c r="D173" s="402"/>
      <c r="E173" s="280"/>
      <c r="F173" s="402">
        <v>4</v>
      </c>
      <c r="G173" s="1076">
        <v>185000</v>
      </c>
      <c r="H173" s="1105">
        <f t="shared" si="16"/>
        <v>740000</v>
      </c>
      <c r="I173" s="294"/>
      <c r="J173" s="379"/>
      <c r="K173" s="358"/>
      <c r="L173" s="358"/>
      <c r="M173" s="358"/>
      <c r="N173" s="358"/>
      <c r="O173" s="358"/>
      <c r="P173" s="358"/>
      <c r="Q173" s="358"/>
      <c r="R173" s="358"/>
      <c r="S173" s="358"/>
      <c r="T173" s="358"/>
      <c r="U173" s="358"/>
      <c r="V173" s="358"/>
      <c r="W173" s="358"/>
      <c r="X173" s="358"/>
      <c r="Y173" s="358"/>
      <c r="Z173" s="358"/>
    </row>
    <row r="174" spans="1:26" ht="15.75" customHeight="1">
      <c r="A174" s="1152">
        <v>168</v>
      </c>
      <c r="B174" s="280" t="s">
        <v>562</v>
      </c>
      <c r="C174" s="403" t="s">
        <v>1148</v>
      </c>
      <c r="D174" s="280"/>
      <c r="E174" s="280"/>
      <c r="F174" s="401">
        <v>15</v>
      </c>
      <c r="G174" s="1107">
        <v>40000</v>
      </c>
      <c r="H174" s="1114">
        <f t="shared" si="16"/>
        <v>600000</v>
      </c>
      <c r="I174" s="379"/>
      <c r="J174" s="379"/>
      <c r="K174" s="358"/>
      <c r="L174" s="358"/>
      <c r="M174" s="358"/>
      <c r="N174" s="358"/>
      <c r="O174" s="358"/>
      <c r="P174" s="358"/>
      <c r="Q174" s="358"/>
      <c r="R174" s="358"/>
      <c r="S174" s="358"/>
      <c r="T174" s="358"/>
      <c r="U174" s="358"/>
      <c r="V174" s="358"/>
      <c r="W174" s="358"/>
      <c r="X174" s="358"/>
      <c r="Y174" s="358"/>
      <c r="Z174" s="358"/>
    </row>
    <row r="175" spans="1:26" ht="15.75" customHeight="1">
      <c r="A175" s="1152">
        <v>169</v>
      </c>
      <c r="B175" s="280" t="s">
        <v>562</v>
      </c>
      <c r="C175" s="403" t="s">
        <v>1149</v>
      </c>
      <c r="D175" s="294"/>
      <c r="E175" s="280"/>
      <c r="F175" s="253">
        <v>50</v>
      </c>
      <c r="G175" s="1076">
        <v>10000</v>
      </c>
      <c r="H175" s="1105">
        <f t="shared" si="16"/>
        <v>500000</v>
      </c>
      <c r="I175" s="294"/>
      <c r="J175" s="379"/>
      <c r="K175" s="358"/>
      <c r="L175" s="358"/>
      <c r="M175" s="358"/>
      <c r="N175" s="358"/>
      <c r="O175" s="358"/>
      <c r="P175" s="358"/>
      <c r="Q175" s="358"/>
      <c r="R175" s="358"/>
      <c r="S175" s="358"/>
      <c r="T175" s="358"/>
      <c r="U175" s="358"/>
      <c r="V175" s="358"/>
      <c r="W175" s="358"/>
      <c r="X175" s="358"/>
      <c r="Y175" s="358"/>
      <c r="Z175" s="358"/>
    </row>
    <row r="176" spans="1:26" ht="15.75" customHeight="1">
      <c r="A176" s="1152">
        <v>170</v>
      </c>
      <c r="B176" s="280" t="s">
        <v>562</v>
      </c>
      <c r="C176" s="403" t="s">
        <v>1149</v>
      </c>
      <c r="D176" s="253"/>
      <c r="E176" s="280"/>
      <c r="F176" s="253">
        <v>50</v>
      </c>
      <c r="G176" s="1076">
        <v>10000</v>
      </c>
      <c r="H176" s="1105">
        <f t="shared" si="16"/>
        <v>500000</v>
      </c>
      <c r="I176" s="294"/>
      <c r="J176" s="379"/>
      <c r="K176" s="358"/>
      <c r="L176" s="358"/>
      <c r="M176" s="358"/>
      <c r="N176" s="358"/>
      <c r="O176" s="358"/>
      <c r="P176" s="358"/>
      <c r="Q176" s="358"/>
      <c r="R176" s="358"/>
      <c r="S176" s="358"/>
      <c r="T176" s="358"/>
      <c r="U176" s="358"/>
      <c r="V176" s="358"/>
      <c r="W176" s="358"/>
      <c r="X176" s="358"/>
      <c r="Y176" s="358"/>
      <c r="Z176" s="358"/>
    </row>
    <row r="177" spans="1:26" ht="15.75" customHeight="1">
      <c r="A177" s="1152">
        <v>171</v>
      </c>
      <c r="B177" s="280" t="s">
        <v>562</v>
      </c>
      <c r="C177" s="403" t="s">
        <v>1150</v>
      </c>
      <c r="D177" s="253"/>
      <c r="E177" s="280"/>
      <c r="F177" s="253">
        <v>10</v>
      </c>
      <c r="G177" s="1076">
        <v>50000</v>
      </c>
      <c r="H177" s="1105">
        <f t="shared" si="16"/>
        <v>500000</v>
      </c>
      <c r="I177" s="294"/>
      <c r="J177" s="379"/>
      <c r="K177" s="358"/>
      <c r="L177" s="358"/>
      <c r="M177" s="358"/>
      <c r="N177" s="358"/>
      <c r="O177" s="358"/>
      <c r="P177" s="358"/>
      <c r="Q177" s="358"/>
      <c r="R177" s="358"/>
      <c r="S177" s="358"/>
      <c r="T177" s="358"/>
      <c r="U177" s="358"/>
      <c r="V177" s="358"/>
      <c r="W177" s="358"/>
      <c r="X177" s="358"/>
      <c r="Y177" s="358"/>
      <c r="Z177" s="358"/>
    </row>
    <row r="178" spans="1:26" ht="15.75" customHeight="1">
      <c r="A178" s="1152">
        <v>172</v>
      </c>
      <c r="B178" s="280" t="s">
        <v>562</v>
      </c>
      <c r="C178" s="400" t="s">
        <v>1151</v>
      </c>
      <c r="D178" s="402"/>
      <c r="E178" s="280"/>
      <c r="F178" s="402">
        <v>20</v>
      </c>
      <c r="G178" s="1107">
        <v>20000</v>
      </c>
      <c r="H178" s="1105">
        <f t="shared" si="16"/>
        <v>400000</v>
      </c>
      <c r="I178" s="403" t="s">
        <v>1152</v>
      </c>
      <c r="J178" s="379"/>
      <c r="K178" s="358"/>
      <c r="L178" s="358"/>
      <c r="M178" s="358"/>
      <c r="N178" s="358"/>
      <c r="O178" s="358"/>
      <c r="P178" s="358"/>
      <c r="Q178" s="358"/>
      <c r="R178" s="358"/>
      <c r="S178" s="358"/>
      <c r="T178" s="358"/>
      <c r="U178" s="358"/>
      <c r="V178" s="358"/>
      <c r="W178" s="358"/>
      <c r="X178" s="358"/>
      <c r="Y178" s="358"/>
      <c r="Z178" s="358"/>
    </row>
    <row r="179" spans="1:26" ht="15.75" customHeight="1">
      <c r="A179" s="1152">
        <v>173</v>
      </c>
      <c r="B179" s="280" t="s">
        <v>562</v>
      </c>
      <c r="C179" s="379" t="s">
        <v>1153</v>
      </c>
      <c r="D179" s="402"/>
      <c r="E179" s="280"/>
      <c r="F179" s="402">
        <v>20</v>
      </c>
      <c r="G179" s="1114">
        <v>20000</v>
      </c>
      <c r="H179" s="1105">
        <f t="shared" si="16"/>
        <v>400000</v>
      </c>
      <c r="I179" s="396" t="s">
        <v>1154</v>
      </c>
      <c r="J179" s="379"/>
      <c r="K179" s="358"/>
      <c r="L179" s="358"/>
      <c r="M179" s="358"/>
      <c r="N179" s="358"/>
      <c r="O179" s="358"/>
      <c r="P179" s="358"/>
      <c r="Q179" s="358"/>
      <c r="R179" s="358"/>
      <c r="S179" s="358"/>
      <c r="T179" s="358"/>
      <c r="U179" s="358"/>
      <c r="V179" s="358"/>
      <c r="W179" s="358"/>
      <c r="X179" s="358"/>
      <c r="Y179" s="358"/>
      <c r="Z179" s="358"/>
    </row>
    <row r="180" spans="1:26" ht="15.75" customHeight="1">
      <c r="A180" s="1152">
        <v>174</v>
      </c>
      <c r="B180" s="280" t="s">
        <v>562</v>
      </c>
      <c r="C180" s="239" t="s">
        <v>1155</v>
      </c>
      <c r="D180" s="402"/>
      <c r="E180" s="280"/>
      <c r="F180" s="402">
        <v>30</v>
      </c>
      <c r="G180" s="1076">
        <v>10000</v>
      </c>
      <c r="H180" s="1105">
        <f t="shared" si="16"/>
        <v>300000</v>
      </c>
      <c r="I180" s="294"/>
      <c r="J180" s="379"/>
      <c r="K180" s="358"/>
      <c r="L180" s="358"/>
      <c r="M180" s="358"/>
      <c r="N180" s="358"/>
      <c r="O180" s="358"/>
      <c r="P180" s="358"/>
      <c r="Q180" s="358"/>
      <c r="R180" s="358"/>
      <c r="S180" s="358"/>
      <c r="T180" s="358"/>
      <c r="U180" s="358"/>
      <c r="V180" s="358"/>
      <c r="W180" s="358"/>
      <c r="X180" s="358"/>
      <c r="Y180" s="358"/>
      <c r="Z180" s="358"/>
    </row>
    <row r="181" spans="1:26" ht="15.75" customHeight="1">
      <c r="A181" s="1152">
        <v>175</v>
      </c>
      <c r="B181" s="280" t="s">
        <v>562</v>
      </c>
      <c r="C181" s="239" t="s">
        <v>1156</v>
      </c>
      <c r="D181" s="402"/>
      <c r="E181" s="280"/>
      <c r="F181" s="402">
        <v>10</v>
      </c>
      <c r="G181" s="1076">
        <v>15000</v>
      </c>
      <c r="H181" s="1105">
        <f t="shared" si="16"/>
        <v>150000</v>
      </c>
      <c r="I181" s="294"/>
      <c r="J181" s="379"/>
      <c r="K181" s="358"/>
      <c r="L181" s="358"/>
      <c r="M181" s="358"/>
      <c r="N181" s="358"/>
      <c r="O181" s="358"/>
      <c r="P181" s="358"/>
      <c r="Q181" s="358"/>
      <c r="R181" s="358"/>
      <c r="S181" s="358"/>
      <c r="T181" s="358"/>
      <c r="U181" s="358"/>
      <c r="V181" s="358"/>
      <c r="W181" s="358"/>
      <c r="X181" s="358"/>
      <c r="Y181" s="358"/>
      <c r="Z181" s="358"/>
    </row>
    <row r="182" spans="1:26" ht="15.75" customHeight="1">
      <c r="A182" s="1152">
        <v>176</v>
      </c>
      <c r="B182" s="404" t="s">
        <v>1157</v>
      </c>
      <c r="C182" s="282" t="s">
        <v>66</v>
      </c>
      <c r="D182" s="404">
        <v>0</v>
      </c>
      <c r="E182" s="404">
        <v>2</v>
      </c>
      <c r="F182" s="404">
        <v>2</v>
      </c>
      <c r="G182" s="1082">
        <v>460000</v>
      </c>
      <c r="H182" s="1082">
        <f t="shared" si="16"/>
        <v>920000</v>
      </c>
      <c r="I182" s="405" t="s">
        <v>1158</v>
      </c>
      <c r="J182" s="282" t="s">
        <v>671</v>
      </c>
      <c r="K182" s="406"/>
      <c r="L182" s="406"/>
      <c r="M182" s="406"/>
      <c r="N182" s="406"/>
      <c r="O182" s="406"/>
      <c r="P182" s="406"/>
      <c r="Q182" s="406"/>
      <c r="R182" s="406"/>
      <c r="S182" s="406"/>
      <c r="T182" s="406"/>
      <c r="U182" s="406"/>
      <c r="V182" s="406"/>
      <c r="W182" s="406"/>
      <c r="X182" s="406"/>
      <c r="Y182" s="406"/>
      <c r="Z182" s="406"/>
    </row>
    <row r="183" spans="1:26" ht="15.75" customHeight="1">
      <c r="A183" s="1152">
        <v>177</v>
      </c>
      <c r="B183" s="404" t="s">
        <v>1157</v>
      </c>
      <c r="C183" s="282" t="s">
        <v>69</v>
      </c>
      <c r="D183" s="404">
        <v>0</v>
      </c>
      <c r="E183" s="404">
        <v>1</v>
      </c>
      <c r="F183" s="404">
        <v>1</v>
      </c>
      <c r="G183" s="1082">
        <v>862500</v>
      </c>
      <c r="H183" s="1082">
        <f t="shared" si="16"/>
        <v>862500</v>
      </c>
      <c r="I183" s="405" t="s">
        <v>1159</v>
      </c>
      <c r="J183" s="282" t="s">
        <v>671</v>
      </c>
      <c r="K183" s="406"/>
      <c r="L183" s="406"/>
      <c r="M183" s="406"/>
      <c r="N183" s="406"/>
      <c r="O183" s="406"/>
      <c r="P183" s="406"/>
      <c r="Q183" s="406"/>
      <c r="R183" s="406"/>
      <c r="S183" s="406"/>
      <c r="T183" s="406"/>
      <c r="U183" s="406"/>
      <c r="V183" s="406"/>
      <c r="W183" s="406"/>
      <c r="X183" s="406"/>
      <c r="Y183" s="406"/>
      <c r="Z183" s="406"/>
    </row>
    <row r="184" spans="1:26" ht="15.75" customHeight="1">
      <c r="A184" s="1152">
        <v>178</v>
      </c>
      <c r="B184" s="404" t="s">
        <v>1157</v>
      </c>
      <c r="C184" s="282" t="s">
        <v>75</v>
      </c>
      <c r="D184" s="404">
        <v>0</v>
      </c>
      <c r="E184" s="404">
        <v>1</v>
      </c>
      <c r="F184" s="404">
        <v>1</v>
      </c>
      <c r="G184" s="1082">
        <v>460000</v>
      </c>
      <c r="H184" s="1082">
        <f t="shared" si="16"/>
        <v>460000</v>
      </c>
      <c r="I184" s="405" t="s">
        <v>1160</v>
      </c>
      <c r="J184" s="282" t="s">
        <v>671</v>
      </c>
      <c r="K184" s="406"/>
      <c r="L184" s="406"/>
      <c r="M184" s="406"/>
      <c r="N184" s="406"/>
      <c r="O184" s="406"/>
      <c r="P184" s="406"/>
      <c r="Q184" s="406"/>
      <c r="R184" s="406"/>
      <c r="S184" s="406"/>
      <c r="T184" s="406"/>
      <c r="U184" s="406"/>
      <c r="V184" s="406"/>
      <c r="W184" s="406"/>
      <c r="X184" s="406"/>
      <c r="Y184" s="406"/>
      <c r="Z184" s="406"/>
    </row>
    <row r="185" spans="1:26" ht="15.75" customHeight="1">
      <c r="A185" s="1152">
        <v>179</v>
      </c>
      <c r="B185" s="355" t="s">
        <v>1161</v>
      </c>
      <c r="C185" s="407" t="s">
        <v>1162</v>
      </c>
      <c r="D185" s="355"/>
      <c r="E185" s="355"/>
      <c r="F185" s="408">
        <v>375</v>
      </c>
      <c r="G185" s="1117">
        <v>93333.333333333328</v>
      </c>
      <c r="H185" s="1117">
        <v>35000000</v>
      </c>
      <c r="I185" s="356"/>
      <c r="J185" s="357"/>
      <c r="K185" s="358"/>
      <c r="L185" s="358"/>
      <c r="M185" s="358"/>
      <c r="N185" s="358"/>
      <c r="O185" s="358"/>
      <c r="P185" s="358"/>
      <c r="Q185" s="358"/>
      <c r="R185" s="358"/>
      <c r="S185" s="358"/>
      <c r="T185" s="358"/>
      <c r="U185" s="358"/>
      <c r="V185" s="358"/>
      <c r="W185" s="358"/>
      <c r="X185" s="358"/>
      <c r="Y185" s="358"/>
      <c r="Z185" s="358"/>
    </row>
    <row r="186" spans="1:26" ht="15.75" customHeight="1">
      <c r="A186" s="1152">
        <v>180</v>
      </c>
      <c r="B186" s="355" t="s">
        <v>1163</v>
      </c>
      <c r="C186" s="356" t="s">
        <v>1164</v>
      </c>
      <c r="D186" s="356"/>
      <c r="E186" s="355"/>
      <c r="F186" s="355">
        <v>5</v>
      </c>
      <c r="G186" s="1113">
        <v>1500000</v>
      </c>
      <c r="H186" s="1113">
        <f t="shared" ref="H186:H187" si="17">G186*F186</f>
        <v>7500000</v>
      </c>
      <c r="I186" s="356"/>
      <c r="J186" s="357"/>
      <c r="K186" s="358"/>
      <c r="L186" s="358"/>
      <c r="M186" s="358"/>
      <c r="N186" s="358"/>
      <c r="O186" s="358"/>
      <c r="P186" s="358"/>
      <c r="Q186" s="358"/>
      <c r="R186" s="358"/>
      <c r="S186" s="358"/>
      <c r="T186" s="358"/>
      <c r="U186" s="358"/>
      <c r="V186" s="358"/>
      <c r="W186" s="358"/>
      <c r="X186" s="358"/>
      <c r="Y186" s="358"/>
      <c r="Z186" s="358"/>
    </row>
    <row r="187" spans="1:26" ht="15.75" customHeight="1">
      <c r="A187" s="1152">
        <v>181</v>
      </c>
      <c r="B187" s="355" t="s">
        <v>1163</v>
      </c>
      <c r="C187" s="356" t="s">
        <v>1165</v>
      </c>
      <c r="D187" s="356"/>
      <c r="E187" s="355"/>
      <c r="F187" s="355">
        <v>5</v>
      </c>
      <c r="G187" s="1113">
        <v>1500000</v>
      </c>
      <c r="H187" s="1113">
        <f t="shared" si="17"/>
        <v>7500000</v>
      </c>
      <c r="I187" s="356"/>
      <c r="J187" s="357"/>
      <c r="K187" s="358"/>
      <c r="L187" s="358"/>
      <c r="M187" s="358"/>
      <c r="N187" s="358"/>
      <c r="O187" s="358"/>
      <c r="P187" s="358"/>
      <c r="Q187" s="358"/>
      <c r="R187" s="358"/>
      <c r="S187" s="358"/>
      <c r="T187" s="358"/>
      <c r="U187" s="358"/>
      <c r="V187" s="358"/>
      <c r="W187" s="358"/>
      <c r="X187" s="358"/>
      <c r="Y187" s="358"/>
      <c r="Z187" s="358"/>
    </row>
    <row r="188" spans="1:26" ht="15.75" customHeight="1">
      <c r="A188" s="1152">
        <v>182</v>
      </c>
      <c r="B188" s="355" t="s">
        <v>1163</v>
      </c>
      <c r="C188" s="356" t="s">
        <v>1166</v>
      </c>
      <c r="D188" s="356"/>
      <c r="E188" s="355"/>
      <c r="F188" s="355">
        <v>20</v>
      </c>
      <c r="G188" s="1113">
        <v>250000</v>
      </c>
      <c r="H188" s="1113">
        <v>5000000</v>
      </c>
      <c r="I188" s="356"/>
      <c r="J188" s="357"/>
      <c r="K188" s="358"/>
      <c r="L188" s="358"/>
      <c r="M188" s="358"/>
      <c r="N188" s="358"/>
      <c r="O188" s="358"/>
      <c r="P188" s="358"/>
      <c r="Q188" s="358"/>
      <c r="R188" s="358"/>
      <c r="S188" s="358"/>
      <c r="T188" s="358"/>
      <c r="U188" s="358"/>
      <c r="V188" s="358"/>
      <c r="W188" s="358"/>
      <c r="X188" s="358"/>
      <c r="Y188" s="358"/>
      <c r="Z188" s="358"/>
    </row>
    <row r="189" spans="1:26" ht="15.75" customHeight="1">
      <c r="A189" s="1152">
        <v>183</v>
      </c>
      <c r="B189" s="355" t="s">
        <v>1163</v>
      </c>
      <c r="C189" s="356" t="s">
        <v>1167</v>
      </c>
      <c r="D189" s="356"/>
      <c r="E189" s="355"/>
      <c r="F189" s="355">
        <v>20</v>
      </c>
      <c r="G189" s="1113">
        <v>250000</v>
      </c>
      <c r="H189" s="1113">
        <v>5000000</v>
      </c>
      <c r="I189" s="356" t="s">
        <v>1168</v>
      </c>
      <c r="J189" s="357"/>
      <c r="K189" s="358"/>
      <c r="L189" s="358"/>
      <c r="M189" s="358"/>
      <c r="N189" s="358"/>
      <c r="O189" s="358"/>
      <c r="P189" s="358"/>
      <c r="Q189" s="358"/>
      <c r="R189" s="358"/>
      <c r="S189" s="358"/>
      <c r="T189" s="358"/>
      <c r="U189" s="358"/>
      <c r="V189" s="358"/>
      <c r="W189" s="358"/>
      <c r="X189" s="358"/>
      <c r="Y189" s="358"/>
      <c r="Z189" s="358"/>
    </row>
    <row r="190" spans="1:26" ht="15.75" customHeight="1">
      <c r="A190" s="1152">
        <v>184</v>
      </c>
      <c r="B190" s="355" t="s">
        <v>1163</v>
      </c>
      <c r="C190" s="356" t="s">
        <v>1169</v>
      </c>
      <c r="D190" s="356"/>
      <c r="E190" s="355"/>
      <c r="F190" s="355">
        <v>10</v>
      </c>
      <c r="G190" s="1113">
        <v>400000</v>
      </c>
      <c r="H190" s="1113">
        <v>4000000</v>
      </c>
      <c r="I190" s="356" t="s">
        <v>1170</v>
      </c>
      <c r="J190" s="357"/>
      <c r="K190" s="358"/>
      <c r="L190" s="358"/>
      <c r="M190" s="358"/>
      <c r="N190" s="358"/>
      <c r="O190" s="358"/>
      <c r="P190" s="358"/>
      <c r="Q190" s="358"/>
      <c r="R190" s="358"/>
      <c r="S190" s="358"/>
      <c r="T190" s="358"/>
      <c r="U190" s="358"/>
      <c r="V190" s="358"/>
      <c r="W190" s="358"/>
      <c r="X190" s="358"/>
      <c r="Y190" s="358"/>
      <c r="Z190" s="358"/>
    </row>
    <row r="191" spans="1:26" ht="15.75" customHeight="1">
      <c r="A191" s="1152">
        <v>185</v>
      </c>
      <c r="B191" s="355" t="s">
        <v>1163</v>
      </c>
      <c r="C191" s="356" t="s">
        <v>1171</v>
      </c>
      <c r="D191" s="356"/>
      <c r="E191" s="355"/>
      <c r="F191" s="355">
        <v>50</v>
      </c>
      <c r="G191" s="1113">
        <v>50000</v>
      </c>
      <c r="H191" s="1113">
        <v>2500000</v>
      </c>
      <c r="I191" s="356"/>
      <c r="J191" s="357"/>
      <c r="K191" s="358"/>
      <c r="L191" s="358"/>
      <c r="M191" s="358"/>
      <c r="N191" s="358"/>
      <c r="O191" s="358"/>
      <c r="P191" s="358"/>
      <c r="Q191" s="358"/>
      <c r="R191" s="358"/>
      <c r="S191" s="358"/>
      <c r="T191" s="358"/>
      <c r="U191" s="358"/>
      <c r="V191" s="358"/>
      <c r="W191" s="358"/>
      <c r="X191" s="358"/>
      <c r="Y191" s="358"/>
      <c r="Z191" s="358"/>
    </row>
    <row r="192" spans="1:26" ht="15.75" customHeight="1">
      <c r="A192" s="1152">
        <v>186</v>
      </c>
      <c r="B192" s="355" t="s">
        <v>1163</v>
      </c>
      <c r="C192" s="409" t="s">
        <v>1172</v>
      </c>
      <c r="D192" s="356"/>
      <c r="E192" s="355"/>
      <c r="F192" s="355">
        <v>16</v>
      </c>
      <c r="G192" s="1113">
        <v>150000</v>
      </c>
      <c r="H192" s="1113">
        <v>2400000</v>
      </c>
      <c r="I192" s="356"/>
      <c r="J192" s="357"/>
      <c r="K192" s="358"/>
      <c r="L192" s="358"/>
      <c r="M192" s="358"/>
      <c r="N192" s="358"/>
      <c r="O192" s="358"/>
      <c r="P192" s="358"/>
      <c r="Q192" s="358"/>
      <c r="R192" s="358"/>
      <c r="S192" s="358"/>
      <c r="T192" s="358"/>
      <c r="U192" s="358"/>
      <c r="V192" s="358"/>
      <c r="W192" s="358"/>
      <c r="X192" s="358"/>
      <c r="Y192" s="358"/>
      <c r="Z192" s="358"/>
    </row>
    <row r="193" spans="1:26" ht="15.75" customHeight="1">
      <c r="A193" s="1152">
        <v>187</v>
      </c>
      <c r="B193" s="355" t="s">
        <v>1163</v>
      </c>
      <c r="C193" s="356" t="s">
        <v>1173</v>
      </c>
      <c r="D193" s="356"/>
      <c r="E193" s="355"/>
      <c r="F193" s="355">
        <v>10</v>
      </c>
      <c r="G193" s="1113">
        <v>150000</v>
      </c>
      <c r="H193" s="1113">
        <v>1500000</v>
      </c>
      <c r="I193" s="356"/>
      <c r="J193" s="357"/>
      <c r="K193" s="358"/>
      <c r="L193" s="358"/>
      <c r="M193" s="358"/>
      <c r="N193" s="358"/>
      <c r="O193" s="358"/>
      <c r="P193" s="358"/>
      <c r="Q193" s="358"/>
      <c r="R193" s="358"/>
      <c r="S193" s="358"/>
      <c r="T193" s="358"/>
      <c r="U193" s="358"/>
      <c r="V193" s="358"/>
      <c r="W193" s="358"/>
      <c r="X193" s="358"/>
      <c r="Y193" s="358"/>
      <c r="Z193" s="358"/>
    </row>
    <row r="194" spans="1:26" ht="15.75" customHeight="1">
      <c r="A194" s="1152">
        <v>188</v>
      </c>
      <c r="B194" s="355" t="s">
        <v>1163</v>
      </c>
      <c r="C194" s="356" t="s">
        <v>1174</v>
      </c>
      <c r="D194" s="356"/>
      <c r="E194" s="355"/>
      <c r="F194" s="355">
        <v>10</v>
      </c>
      <c r="G194" s="1113">
        <v>150000</v>
      </c>
      <c r="H194" s="1113">
        <v>1500000</v>
      </c>
      <c r="I194" s="356"/>
      <c r="J194" s="357"/>
      <c r="K194" s="358"/>
      <c r="L194" s="358"/>
      <c r="M194" s="358"/>
      <c r="N194" s="358"/>
      <c r="O194" s="358"/>
      <c r="P194" s="358"/>
      <c r="Q194" s="358"/>
      <c r="R194" s="358"/>
      <c r="S194" s="358"/>
      <c r="T194" s="358"/>
      <c r="U194" s="358"/>
      <c r="V194" s="358"/>
      <c r="W194" s="358"/>
      <c r="X194" s="358"/>
      <c r="Y194" s="358"/>
      <c r="Z194" s="358"/>
    </row>
    <row r="195" spans="1:26" ht="15.75" customHeight="1">
      <c r="A195" s="1152">
        <v>189</v>
      </c>
      <c r="B195" s="355" t="s">
        <v>1163</v>
      </c>
      <c r="C195" s="356" t="s">
        <v>1175</v>
      </c>
      <c r="D195" s="356"/>
      <c r="E195" s="355"/>
      <c r="F195" s="355">
        <v>30</v>
      </c>
      <c r="G195" s="1113">
        <v>50000</v>
      </c>
      <c r="H195" s="1113">
        <v>1500000</v>
      </c>
      <c r="I195" s="356"/>
      <c r="J195" s="357"/>
      <c r="K195" s="358"/>
      <c r="L195" s="358"/>
      <c r="M195" s="358"/>
      <c r="N195" s="358"/>
      <c r="O195" s="358"/>
      <c r="P195" s="358"/>
      <c r="Q195" s="358"/>
      <c r="R195" s="358"/>
      <c r="S195" s="358"/>
      <c r="T195" s="358"/>
      <c r="U195" s="358"/>
      <c r="V195" s="358"/>
      <c r="W195" s="358"/>
      <c r="X195" s="358"/>
      <c r="Y195" s="358"/>
      <c r="Z195" s="358"/>
    </row>
    <row r="196" spans="1:26" ht="15.75" customHeight="1">
      <c r="A196" s="1152">
        <v>190</v>
      </c>
      <c r="B196" s="280" t="s">
        <v>1163</v>
      </c>
      <c r="C196" s="410" t="s">
        <v>1176</v>
      </c>
      <c r="D196" s="294"/>
      <c r="E196" s="280"/>
      <c r="F196" s="280">
        <v>8</v>
      </c>
      <c r="G196" s="1107">
        <v>100000</v>
      </c>
      <c r="H196" s="1107">
        <f t="shared" ref="H196:H207" si="18">SUM(G196*F196)</f>
        <v>800000</v>
      </c>
      <c r="I196" s="294" t="s">
        <v>1177</v>
      </c>
      <c r="J196" s="294"/>
      <c r="K196" s="358"/>
      <c r="L196" s="358"/>
      <c r="M196" s="358"/>
      <c r="N196" s="358"/>
      <c r="O196" s="358"/>
      <c r="P196" s="358"/>
      <c r="Q196" s="358"/>
      <c r="R196" s="358"/>
      <c r="S196" s="358"/>
      <c r="T196" s="358"/>
      <c r="U196" s="358"/>
      <c r="V196" s="358"/>
      <c r="W196" s="358"/>
      <c r="X196" s="358"/>
      <c r="Y196" s="358"/>
      <c r="Z196" s="358"/>
    </row>
    <row r="197" spans="1:26" ht="15.75" customHeight="1">
      <c r="A197" s="1152">
        <v>191</v>
      </c>
      <c r="B197" s="280" t="s">
        <v>1163</v>
      </c>
      <c r="C197" s="410" t="s">
        <v>1178</v>
      </c>
      <c r="D197" s="294"/>
      <c r="E197" s="280"/>
      <c r="F197" s="280">
        <v>8</v>
      </c>
      <c r="G197" s="1107">
        <v>75000</v>
      </c>
      <c r="H197" s="1107">
        <f t="shared" si="18"/>
        <v>600000</v>
      </c>
      <c r="I197" s="294"/>
      <c r="J197" s="294"/>
      <c r="K197" s="358"/>
      <c r="L197" s="358"/>
      <c r="M197" s="358"/>
      <c r="N197" s="358"/>
      <c r="O197" s="358"/>
      <c r="P197" s="358"/>
      <c r="Q197" s="358"/>
      <c r="R197" s="358"/>
      <c r="S197" s="358"/>
      <c r="T197" s="358"/>
      <c r="U197" s="358"/>
      <c r="V197" s="358"/>
      <c r="W197" s="358"/>
      <c r="X197" s="358"/>
      <c r="Y197" s="358"/>
      <c r="Z197" s="358"/>
    </row>
    <row r="198" spans="1:26" ht="15.75" customHeight="1">
      <c r="A198" s="1152">
        <v>192</v>
      </c>
      <c r="B198" s="280" t="s">
        <v>1163</v>
      </c>
      <c r="C198" s="410" t="s">
        <v>1172</v>
      </c>
      <c r="D198" s="294"/>
      <c r="E198" s="280"/>
      <c r="F198" s="280">
        <v>4</v>
      </c>
      <c r="G198" s="1107">
        <v>150000</v>
      </c>
      <c r="H198" s="1107">
        <f t="shared" si="18"/>
        <v>600000</v>
      </c>
      <c r="I198" s="294"/>
      <c r="J198" s="294"/>
      <c r="K198" s="358"/>
      <c r="L198" s="358"/>
      <c r="M198" s="358"/>
      <c r="N198" s="358"/>
      <c r="O198" s="358"/>
      <c r="P198" s="358"/>
      <c r="Q198" s="358"/>
      <c r="R198" s="358"/>
      <c r="S198" s="358"/>
      <c r="T198" s="358"/>
      <c r="U198" s="358"/>
      <c r="V198" s="358"/>
      <c r="W198" s="358"/>
      <c r="X198" s="358"/>
      <c r="Y198" s="358"/>
      <c r="Z198" s="358"/>
    </row>
    <row r="199" spans="1:26" ht="15.75" customHeight="1">
      <c r="A199" s="1152">
        <v>193</v>
      </c>
      <c r="B199" s="280" t="s">
        <v>1163</v>
      </c>
      <c r="C199" s="410" t="s">
        <v>1179</v>
      </c>
      <c r="D199" s="294"/>
      <c r="E199" s="280"/>
      <c r="F199" s="280">
        <v>10</v>
      </c>
      <c r="G199" s="1107">
        <v>55000</v>
      </c>
      <c r="H199" s="1107">
        <f t="shared" si="18"/>
        <v>550000</v>
      </c>
      <c r="I199" s="294"/>
      <c r="J199" s="294"/>
      <c r="K199" s="358"/>
      <c r="L199" s="358"/>
      <c r="M199" s="358"/>
      <c r="N199" s="358"/>
      <c r="O199" s="358"/>
      <c r="P199" s="358"/>
      <c r="Q199" s="358"/>
      <c r="R199" s="358"/>
      <c r="S199" s="358"/>
      <c r="T199" s="358"/>
      <c r="U199" s="358"/>
      <c r="V199" s="358"/>
      <c r="W199" s="358"/>
      <c r="X199" s="358"/>
      <c r="Y199" s="358"/>
      <c r="Z199" s="358"/>
    </row>
    <row r="200" spans="1:26" ht="15.75" customHeight="1">
      <c r="A200" s="1152">
        <v>194</v>
      </c>
      <c r="B200" s="280" t="s">
        <v>1163</v>
      </c>
      <c r="C200" s="410" t="s">
        <v>1180</v>
      </c>
      <c r="D200" s="294"/>
      <c r="E200" s="280"/>
      <c r="F200" s="280">
        <v>15</v>
      </c>
      <c r="G200" s="1107">
        <v>30000</v>
      </c>
      <c r="H200" s="1107">
        <f t="shared" si="18"/>
        <v>450000</v>
      </c>
      <c r="I200" s="294"/>
      <c r="J200" s="294"/>
      <c r="K200" s="358"/>
      <c r="L200" s="358"/>
      <c r="M200" s="358"/>
      <c r="N200" s="358"/>
      <c r="O200" s="358"/>
      <c r="P200" s="358"/>
      <c r="Q200" s="358"/>
      <c r="R200" s="358"/>
      <c r="S200" s="358"/>
      <c r="T200" s="358"/>
      <c r="U200" s="358"/>
      <c r="V200" s="358"/>
      <c r="W200" s="358"/>
      <c r="X200" s="358"/>
      <c r="Y200" s="358"/>
      <c r="Z200" s="358"/>
    </row>
    <row r="201" spans="1:26" ht="15.75" customHeight="1">
      <c r="A201" s="1152">
        <v>195</v>
      </c>
      <c r="B201" s="280" t="s">
        <v>1163</v>
      </c>
      <c r="C201" s="410" t="s">
        <v>1181</v>
      </c>
      <c r="D201" s="294"/>
      <c r="E201" s="280"/>
      <c r="F201" s="280">
        <v>8</v>
      </c>
      <c r="G201" s="1107">
        <v>50000</v>
      </c>
      <c r="H201" s="1107">
        <f t="shared" si="18"/>
        <v>400000</v>
      </c>
      <c r="I201" s="294"/>
      <c r="J201" s="294"/>
      <c r="K201" s="358"/>
      <c r="L201" s="358"/>
      <c r="M201" s="358"/>
      <c r="N201" s="358"/>
      <c r="O201" s="358"/>
      <c r="P201" s="358"/>
      <c r="Q201" s="358"/>
      <c r="R201" s="358"/>
      <c r="S201" s="358"/>
      <c r="T201" s="358"/>
      <c r="U201" s="358"/>
      <c r="V201" s="358"/>
      <c r="W201" s="358"/>
      <c r="X201" s="358"/>
      <c r="Y201" s="358"/>
      <c r="Z201" s="358"/>
    </row>
    <row r="202" spans="1:26" ht="15.75" customHeight="1">
      <c r="A202" s="1152">
        <v>196</v>
      </c>
      <c r="B202" s="280" t="s">
        <v>1163</v>
      </c>
      <c r="C202" s="410" t="s">
        <v>1182</v>
      </c>
      <c r="D202" s="294"/>
      <c r="E202" s="280"/>
      <c r="F202" s="280">
        <v>5</v>
      </c>
      <c r="G202" s="1107">
        <v>60000</v>
      </c>
      <c r="H202" s="1107">
        <f t="shared" si="18"/>
        <v>300000</v>
      </c>
      <c r="I202" s="294" t="s">
        <v>1183</v>
      </c>
      <c r="J202" s="379"/>
      <c r="K202" s="358"/>
      <c r="L202" s="358"/>
      <c r="M202" s="358"/>
      <c r="N202" s="358"/>
      <c r="O202" s="358"/>
      <c r="P202" s="358"/>
      <c r="Q202" s="358"/>
      <c r="R202" s="358"/>
      <c r="S202" s="358"/>
      <c r="T202" s="358"/>
      <c r="U202" s="358"/>
      <c r="V202" s="358"/>
      <c r="W202" s="358"/>
      <c r="X202" s="358"/>
      <c r="Y202" s="358"/>
      <c r="Z202" s="358"/>
    </row>
    <row r="203" spans="1:26" ht="15.75" customHeight="1">
      <c r="A203" s="1152">
        <v>197</v>
      </c>
      <c r="B203" s="280" t="s">
        <v>1163</v>
      </c>
      <c r="C203" s="410" t="s">
        <v>1184</v>
      </c>
      <c r="D203" s="294"/>
      <c r="E203" s="280"/>
      <c r="F203" s="280">
        <v>5</v>
      </c>
      <c r="G203" s="1107">
        <v>60000</v>
      </c>
      <c r="H203" s="1107">
        <f t="shared" si="18"/>
        <v>300000</v>
      </c>
      <c r="I203" s="294"/>
      <c r="J203" s="379"/>
      <c r="K203" s="358"/>
      <c r="L203" s="358"/>
      <c r="M203" s="358"/>
      <c r="N203" s="358"/>
      <c r="O203" s="358"/>
      <c r="P203" s="358"/>
      <c r="Q203" s="358"/>
      <c r="R203" s="358"/>
      <c r="S203" s="358"/>
      <c r="T203" s="358"/>
      <c r="U203" s="358"/>
      <c r="V203" s="358"/>
      <c r="W203" s="358"/>
      <c r="X203" s="358"/>
      <c r="Y203" s="358"/>
      <c r="Z203" s="358"/>
    </row>
    <row r="204" spans="1:26" ht="15.75" customHeight="1">
      <c r="A204" s="1152">
        <v>198</v>
      </c>
      <c r="B204" s="280" t="s">
        <v>1163</v>
      </c>
      <c r="C204" s="410" t="s">
        <v>1185</v>
      </c>
      <c r="D204" s="294"/>
      <c r="E204" s="280"/>
      <c r="F204" s="280">
        <v>5</v>
      </c>
      <c r="G204" s="1107">
        <v>60000</v>
      </c>
      <c r="H204" s="1107">
        <f t="shared" si="18"/>
        <v>300000</v>
      </c>
      <c r="I204" s="294"/>
      <c r="J204" s="379"/>
      <c r="K204" s="358"/>
      <c r="L204" s="358"/>
      <c r="M204" s="358"/>
      <c r="N204" s="358"/>
      <c r="O204" s="358"/>
      <c r="P204" s="358"/>
      <c r="Q204" s="358"/>
      <c r="R204" s="358"/>
      <c r="S204" s="358"/>
      <c r="T204" s="358"/>
      <c r="U204" s="358"/>
      <c r="V204" s="358"/>
      <c r="W204" s="358"/>
      <c r="X204" s="358"/>
      <c r="Y204" s="358"/>
      <c r="Z204" s="358"/>
    </row>
    <row r="205" spans="1:26" ht="15.75" customHeight="1">
      <c r="A205" s="1152">
        <v>199</v>
      </c>
      <c r="B205" s="280" t="s">
        <v>1163</v>
      </c>
      <c r="C205" s="294" t="s">
        <v>1186</v>
      </c>
      <c r="D205" s="294"/>
      <c r="E205" s="280"/>
      <c r="F205" s="235">
        <v>2</v>
      </c>
      <c r="G205" s="1107">
        <v>150000</v>
      </c>
      <c r="H205" s="1107">
        <f t="shared" si="18"/>
        <v>300000</v>
      </c>
      <c r="I205" s="294"/>
      <c r="J205" s="379"/>
      <c r="K205" s="358"/>
      <c r="L205" s="358"/>
      <c r="M205" s="358"/>
      <c r="N205" s="358"/>
      <c r="O205" s="358"/>
      <c r="P205" s="358"/>
      <c r="Q205" s="358"/>
      <c r="R205" s="358"/>
      <c r="S205" s="358"/>
      <c r="T205" s="358"/>
      <c r="U205" s="358"/>
      <c r="V205" s="358"/>
      <c r="W205" s="358"/>
      <c r="X205" s="358"/>
      <c r="Y205" s="358"/>
      <c r="Z205" s="358"/>
    </row>
    <row r="206" spans="1:26" ht="15.75" customHeight="1">
      <c r="A206" s="1152">
        <v>200</v>
      </c>
      <c r="B206" s="387" t="s">
        <v>1163</v>
      </c>
      <c r="C206" s="410" t="s">
        <v>1179</v>
      </c>
      <c r="D206" s="360"/>
      <c r="E206" s="387"/>
      <c r="F206" s="280">
        <v>4</v>
      </c>
      <c r="G206" s="1107">
        <v>55000</v>
      </c>
      <c r="H206" s="1107">
        <f t="shared" si="18"/>
        <v>220000</v>
      </c>
      <c r="I206" s="360"/>
      <c r="J206" s="360"/>
      <c r="K206" s="358"/>
      <c r="L206" s="358"/>
      <c r="M206" s="358"/>
      <c r="N206" s="358"/>
      <c r="O206" s="358"/>
      <c r="P206" s="358"/>
      <c r="Q206" s="358"/>
      <c r="R206" s="358"/>
      <c r="S206" s="358"/>
      <c r="T206" s="358"/>
      <c r="U206" s="358"/>
      <c r="V206" s="358"/>
      <c r="W206" s="358"/>
      <c r="X206" s="358"/>
      <c r="Y206" s="358"/>
      <c r="Z206" s="358"/>
    </row>
    <row r="207" spans="1:26" ht="15.75" customHeight="1">
      <c r="A207" s="1152">
        <v>201</v>
      </c>
      <c r="B207" s="387" t="s">
        <v>1163</v>
      </c>
      <c r="C207" s="410" t="s">
        <v>1176</v>
      </c>
      <c r="D207" s="360"/>
      <c r="E207" s="387"/>
      <c r="F207" s="280">
        <v>2</v>
      </c>
      <c r="G207" s="1107">
        <v>100000</v>
      </c>
      <c r="H207" s="1107">
        <f t="shared" si="18"/>
        <v>200000</v>
      </c>
      <c r="I207" s="360"/>
      <c r="J207" s="360"/>
      <c r="K207" s="358"/>
      <c r="L207" s="358"/>
      <c r="M207" s="358"/>
      <c r="N207" s="358"/>
      <c r="O207" s="358"/>
      <c r="P207" s="358"/>
      <c r="Q207" s="358"/>
      <c r="R207" s="358"/>
      <c r="S207" s="358"/>
      <c r="T207" s="358"/>
      <c r="U207" s="358"/>
      <c r="V207" s="358"/>
      <c r="W207" s="358"/>
      <c r="X207" s="358"/>
      <c r="Y207" s="358"/>
      <c r="Z207" s="358"/>
    </row>
    <row r="208" spans="1:26" ht="15.75" customHeight="1">
      <c r="A208" s="1152">
        <v>202</v>
      </c>
      <c r="B208" s="387" t="s">
        <v>1163</v>
      </c>
      <c r="C208" s="410" t="s">
        <v>1187</v>
      </c>
      <c r="D208" s="294"/>
      <c r="E208" s="280"/>
      <c r="F208" s="280">
        <v>4</v>
      </c>
      <c r="G208" s="1107">
        <v>50000</v>
      </c>
      <c r="H208" s="1107">
        <v>200000</v>
      </c>
      <c r="I208" s="379"/>
      <c r="J208" s="379"/>
      <c r="K208" s="358"/>
      <c r="L208" s="358"/>
      <c r="M208" s="358"/>
      <c r="N208" s="358"/>
      <c r="O208" s="358"/>
      <c r="P208" s="358"/>
      <c r="Q208" s="358"/>
      <c r="R208" s="358"/>
      <c r="S208" s="358"/>
      <c r="T208" s="358"/>
      <c r="U208" s="358"/>
      <c r="V208" s="358"/>
      <c r="W208" s="358"/>
      <c r="X208" s="358"/>
      <c r="Y208" s="358"/>
      <c r="Z208" s="358"/>
    </row>
    <row r="209" spans="1:26" ht="15.75" customHeight="1">
      <c r="A209" s="1152">
        <v>203</v>
      </c>
      <c r="B209" s="387" t="s">
        <v>1163</v>
      </c>
      <c r="C209" s="410" t="s">
        <v>1180</v>
      </c>
      <c r="D209" s="294"/>
      <c r="E209" s="280"/>
      <c r="F209" s="280">
        <v>6</v>
      </c>
      <c r="G209" s="1107">
        <v>30000</v>
      </c>
      <c r="H209" s="1107">
        <f t="shared" ref="H209:H215" si="19">SUM(G209*F209)</f>
        <v>180000</v>
      </c>
      <c r="I209" s="294"/>
      <c r="J209" s="294"/>
      <c r="K209" s="358"/>
      <c r="L209" s="358"/>
      <c r="M209" s="358"/>
      <c r="N209" s="358"/>
      <c r="O209" s="358"/>
      <c r="P209" s="358"/>
      <c r="Q209" s="358"/>
      <c r="R209" s="358"/>
      <c r="S209" s="358"/>
      <c r="T209" s="358"/>
      <c r="U209" s="358"/>
      <c r="V209" s="358"/>
      <c r="W209" s="358"/>
      <c r="X209" s="358"/>
      <c r="Y209" s="358"/>
      <c r="Z209" s="358"/>
    </row>
    <row r="210" spans="1:26" ht="15.75" customHeight="1">
      <c r="A210" s="1152">
        <v>204</v>
      </c>
      <c r="B210" s="387" t="s">
        <v>1163</v>
      </c>
      <c r="C210" s="410" t="s">
        <v>1178</v>
      </c>
      <c r="D210" s="294"/>
      <c r="E210" s="280"/>
      <c r="F210" s="280">
        <v>2</v>
      </c>
      <c r="G210" s="1107">
        <v>75000</v>
      </c>
      <c r="H210" s="1107">
        <f t="shared" si="19"/>
        <v>150000</v>
      </c>
      <c r="I210" s="294"/>
      <c r="J210" s="294"/>
      <c r="K210" s="358"/>
      <c r="L210" s="358"/>
      <c r="M210" s="358"/>
      <c r="N210" s="358"/>
      <c r="O210" s="358"/>
      <c r="P210" s="358"/>
      <c r="Q210" s="358"/>
      <c r="R210" s="358"/>
      <c r="S210" s="358"/>
      <c r="T210" s="358"/>
      <c r="U210" s="358"/>
      <c r="V210" s="358"/>
      <c r="W210" s="358"/>
      <c r="X210" s="358"/>
      <c r="Y210" s="358"/>
      <c r="Z210" s="358"/>
    </row>
    <row r="211" spans="1:26" ht="15.75" customHeight="1">
      <c r="A211" s="1152">
        <v>205</v>
      </c>
      <c r="B211" s="387" t="s">
        <v>1163</v>
      </c>
      <c r="C211" s="410" t="s">
        <v>1181</v>
      </c>
      <c r="D211" s="294"/>
      <c r="E211" s="280"/>
      <c r="F211" s="280">
        <v>3</v>
      </c>
      <c r="G211" s="1107">
        <v>50000</v>
      </c>
      <c r="H211" s="1107">
        <f t="shared" si="19"/>
        <v>150000</v>
      </c>
      <c r="I211" s="294"/>
      <c r="J211" s="294"/>
      <c r="K211" s="358"/>
      <c r="L211" s="358"/>
      <c r="M211" s="358"/>
      <c r="N211" s="358"/>
      <c r="O211" s="358"/>
      <c r="P211" s="358"/>
      <c r="Q211" s="358"/>
      <c r="R211" s="358"/>
      <c r="S211" s="358"/>
      <c r="T211" s="358"/>
      <c r="U211" s="358"/>
      <c r="V211" s="358"/>
      <c r="W211" s="358"/>
      <c r="X211" s="358"/>
      <c r="Y211" s="358"/>
      <c r="Z211" s="358"/>
    </row>
    <row r="212" spans="1:26" ht="15.75" customHeight="1">
      <c r="A212" s="1152">
        <v>206</v>
      </c>
      <c r="B212" s="387" t="s">
        <v>1163</v>
      </c>
      <c r="C212" s="411" t="s">
        <v>1188</v>
      </c>
      <c r="D212" s="383"/>
      <c r="E212" s="412"/>
      <c r="F212" s="412">
        <v>1</v>
      </c>
      <c r="G212" s="1118">
        <v>100000</v>
      </c>
      <c r="H212" s="1118">
        <f t="shared" si="19"/>
        <v>100000</v>
      </c>
      <c r="I212" s="294"/>
      <c r="J212" s="294"/>
      <c r="K212" s="358"/>
      <c r="L212" s="358"/>
      <c r="M212" s="358"/>
      <c r="N212" s="358"/>
      <c r="O212" s="358"/>
      <c r="P212" s="358"/>
      <c r="Q212" s="358"/>
      <c r="R212" s="358"/>
      <c r="S212" s="358"/>
      <c r="T212" s="358"/>
      <c r="U212" s="358"/>
      <c r="V212" s="358"/>
      <c r="W212" s="358"/>
      <c r="X212" s="358"/>
      <c r="Y212" s="358"/>
      <c r="Z212" s="358"/>
    </row>
    <row r="213" spans="1:26" ht="15.75" customHeight="1">
      <c r="A213" s="1152">
        <v>207</v>
      </c>
      <c r="B213" s="280" t="s">
        <v>1163</v>
      </c>
      <c r="C213" s="410" t="s">
        <v>1188</v>
      </c>
      <c r="D213" s="294"/>
      <c r="E213" s="280"/>
      <c r="F213" s="280">
        <v>1</v>
      </c>
      <c r="G213" s="1107">
        <v>100000</v>
      </c>
      <c r="H213" s="1107">
        <f t="shared" si="19"/>
        <v>100000</v>
      </c>
      <c r="I213" s="294"/>
      <c r="J213" s="294"/>
      <c r="K213" s="358"/>
      <c r="L213" s="358"/>
      <c r="M213" s="358"/>
      <c r="N213" s="358"/>
      <c r="O213" s="358"/>
      <c r="P213" s="358"/>
      <c r="Q213" s="358"/>
      <c r="R213" s="358"/>
      <c r="S213" s="358"/>
      <c r="T213" s="358"/>
      <c r="U213" s="358"/>
      <c r="V213" s="358"/>
      <c r="W213" s="358"/>
      <c r="X213" s="358"/>
      <c r="Y213" s="358"/>
      <c r="Z213" s="358"/>
    </row>
    <row r="214" spans="1:26" ht="15.75" customHeight="1">
      <c r="A214" s="1152">
        <v>208</v>
      </c>
      <c r="B214" s="280" t="s">
        <v>1163</v>
      </c>
      <c r="C214" s="410" t="s">
        <v>1189</v>
      </c>
      <c r="D214" s="294"/>
      <c r="E214" s="280"/>
      <c r="F214" s="280">
        <v>5</v>
      </c>
      <c r="G214" s="1107">
        <v>5000</v>
      </c>
      <c r="H214" s="1107">
        <f t="shared" si="19"/>
        <v>25000</v>
      </c>
      <c r="I214" s="294"/>
      <c r="J214" s="294"/>
      <c r="K214" s="358"/>
      <c r="L214" s="358"/>
      <c r="M214" s="358"/>
      <c r="N214" s="358"/>
      <c r="O214" s="358"/>
      <c r="P214" s="358"/>
      <c r="Q214" s="358"/>
      <c r="R214" s="358"/>
      <c r="S214" s="358"/>
      <c r="T214" s="358"/>
      <c r="U214" s="358"/>
      <c r="V214" s="358"/>
      <c r="W214" s="358"/>
      <c r="X214" s="358"/>
      <c r="Y214" s="358"/>
      <c r="Z214" s="358"/>
    </row>
    <row r="215" spans="1:26" ht="15.75" customHeight="1">
      <c r="A215" s="1152">
        <v>209</v>
      </c>
      <c r="B215" s="280" t="s">
        <v>1163</v>
      </c>
      <c r="C215" s="410" t="s">
        <v>1189</v>
      </c>
      <c r="D215" s="294"/>
      <c r="E215" s="280"/>
      <c r="F215" s="280">
        <v>2</v>
      </c>
      <c r="G215" s="1107">
        <v>5000</v>
      </c>
      <c r="H215" s="1107">
        <f t="shared" si="19"/>
        <v>10000</v>
      </c>
      <c r="I215" s="294"/>
      <c r="J215" s="294"/>
      <c r="K215" s="358"/>
      <c r="L215" s="358"/>
      <c r="M215" s="358"/>
      <c r="N215" s="358"/>
      <c r="O215" s="358"/>
      <c r="P215" s="358"/>
      <c r="Q215" s="358"/>
      <c r="R215" s="358"/>
      <c r="S215" s="358"/>
      <c r="T215" s="358"/>
      <c r="U215" s="358"/>
      <c r="V215" s="358"/>
      <c r="W215" s="358"/>
      <c r="X215" s="358"/>
      <c r="Y215" s="358"/>
      <c r="Z215" s="358"/>
    </row>
    <row r="216" spans="1:26" ht="15.75" customHeight="1">
      <c r="A216" s="1152">
        <v>210</v>
      </c>
      <c r="B216" s="374" t="s">
        <v>1190</v>
      </c>
      <c r="C216" s="414" t="s">
        <v>1191</v>
      </c>
      <c r="D216" s="415">
        <v>0</v>
      </c>
      <c r="E216" s="415">
        <v>2</v>
      </c>
      <c r="F216" s="415">
        <v>2</v>
      </c>
      <c r="G216" s="1165">
        <v>460000</v>
      </c>
      <c r="H216" s="1119">
        <v>920000</v>
      </c>
      <c r="I216" s="288"/>
      <c r="J216" s="288"/>
      <c r="K216" s="375"/>
      <c r="L216" s="375"/>
      <c r="M216" s="375"/>
      <c r="N216" s="375"/>
      <c r="O216" s="375"/>
      <c r="P216" s="375"/>
      <c r="Q216" s="375"/>
      <c r="R216" s="375"/>
      <c r="S216" s="375"/>
      <c r="T216" s="375"/>
      <c r="U216" s="375"/>
      <c r="V216" s="375"/>
      <c r="W216" s="375"/>
      <c r="X216" s="375"/>
      <c r="Y216" s="375"/>
      <c r="Z216" s="375"/>
    </row>
    <row r="217" spans="1:26" ht="15.75" customHeight="1">
      <c r="A217" s="1152">
        <v>211</v>
      </c>
      <c r="B217" s="266" t="s">
        <v>1190</v>
      </c>
      <c r="C217" s="265" t="s">
        <v>1192</v>
      </c>
      <c r="D217" s="266">
        <v>0</v>
      </c>
      <c r="E217" s="266">
        <v>1</v>
      </c>
      <c r="F217" s="266">
        <v>1</v>
      </c>
      <c r="G217" s="1090">
        <v>862500</v>
      </c>
      <c r="H217" s="1079">
        <v>862500</v>
      </c>
      <c r="I217" s="288"/>
      <c r="J217" s="288"/>
      <c r="K217" s="375"/>
      <c r="L217" s="375"/>
      <c r="M217" s="375"/>
      <c r="N217" s="375"/>
      <c r="O217" s="375"/>
      <c r="P217" s="375"/>
      <c r="Q217" s="375"/>
      <c r="R217" s="375"/>
      <c r="S217" s="375"/>
      <c r="T217" s="375"/>
      <c r="U217" s="375"/>
      <c r="V217" s="375"/>
      <c r="W217" s="375"/>
      <c r="X217" s="375"/>
      <c r="Y217" s="375"/>
      <c r="Z217" s="375"/>
    </row>
    <row r="218" spans="1:26" ht="15.75" customHeight="1">
      <c r="A218" s="1152">
        <v>212</v>
      </c>
      <c r="B218" s="416" t="s">
        <v>1190</v>
      </c>
      <c r="C218" s="265" t="s">
        <v>1193</v>
      </c>
      <c r="D218" s="266">
        <v>0</v>
      </c>
      <c r="E218" s="266" t="s">
        <v>1194</v>
      </c>
      <c r="F218" s="266">
        <v>2</v>
      </c>
      <c r="G218" s="1090">
        <v>400000</v>
      </c>
      <c r="H218" s="1079">
        <v>800000</v>
      </c>
      <c r="I218" s="288"/>
      <c r="J218" s="288"/>
      <c r="K218" s="375"/>
      <c r="L218" s="375"/>
      <c r="M218" s="375"/>
      <c r="N218" s="375"/>
      <c r="O218" s="375"/>
      <c r="P218" s="375"/>
      <c r="Q218" s="375"/>
      <c r="R218" s="375"/>
      <c r="S218" s="375"/>
      <c r="T218" s="375"/>
      <c r="U218" s="375"/>
      <c r="V218" s="375"/>
      <c r="W218" s="375"/>
      <c r="X218" s="375"/>
      <c r="Y218" s="375"/>
      <c r="Z218" s="375"/>
    </row>
    <row r="219" spans="1:26" ht="15.75" customHeight="1">
      <c r="A219" s="1152">
        <v>213</v>
      </c>
      <c r="B219" s="416" t="s">
        <v>1190</v>
      </c>
      <c r="C219" s="265" t="s">
        <v>1195</v>
      </c>
      <c r="D219" s="266">
        <v>0</v>
      </c>
      <c r="E219" s="266">
        <v>1</v>
      </c>
      <c r="F219" s="266">
        <v>1</v>
      </c>
      <c r="G219" s="1090">
        <v>750000</v>
      </c>
      <c r="H219" s="1090">
        <v>750000</v>
      </c>
      <c r="I219" s="288"/>
      <c r="J219" s="288"/>
      <c r="K219" s="375"/>
      <c r="L219" s="375"/>
      <c r="M219" s="375"/>
      <c r="N219" s="375"/>
      <c r="O219" s="375"/>
      <c r="P219" s="375"/>
      <c r="Q219" s="375"/>
      <c r="R219" s="375"/>
      <c r="S219" s="375"/>
      <c r="T219" s="375"/>
      <c r="U219" s="375"/>
      <c r="V219" s="375"/>
      <c r="W219" s="375"/>
      <c r="X219" s="375"/>
      <c r="Y219" s="375"/>
      <c r="Z219" s="375"/>
    </row>
    <row r="220" spans="1:26" ht="15.75" customHeight="1">
      <c r="A220" s="1152">
        <v>214</v>
      </c>
      <c r="B220" s="266" t="s">
        <v>1190</v>
      </c>
      <c r="C220" s="265" t="s">
        <v>1196</v>
      </c>
      <c r="D220" s="266">
        <v>0</v>
      </c>
      <c r="E220" s="266">
        <v>1</v>
      </c>
      <c r="F220" s="266">
        <v>1</v>
      </c>
      <c r="G220" s="1090">
        <v>500000</v>
      </c>
      <c r="H220" s="1079">
        <v>500000</v>
      </c>
      <c r="I220" s="288"/>
      <c r="J220" s="288"/>
      <c r="K220" s="375"/>
      <c r="L220" s="375"/>
      <c r="M220" s="375"/>
      <c r="N220" s="375"/>
      <c r="O220" s="375"/>
      <c r="P220" s="375"/>
      <c r="Q220" s="375"/>
      <c r="R220" s="375"/>
      <c r="S220" s="375"/>
      <c r="T220" s="375"/>
      <c r="U220" s="375"/>
      <c r="V220" s="375"/>
      <c r="W220" s="375"/>
      <c r="X220" s="375"/>
      <c r="Y220" s="375"/>
      <c r="Z220" s="375"/>
    </row>
    <row r="221" spans="1:26" ht="15.75" customHeight="1">
      <c r="A221" s="1152">
        <v>215</v>
      </c>
      <c r="B221" s="366" t="s">
        <v>881</v>
      </c>
      <c r="C221" s="367" t="s">
        <v>1197</v>
      </c>
      <c r="D221" s="366">
        <v>1</v>
      </c>
      <c r="E221" s="366">
        <v>4</v>
      </c>
      <c r="F221" s="366">
        <v>3</v>
      </c>
      <c r="G221" s="1163">
        <v>460000</v>
      </c>
      <c r="H221" s="1108">
        <v>1380000</v>
      </c>
      <c r="I221" s="369" t="s">
        <v>790</v>
      </c>
      <c r="J221" s="370"/>
      <c r="K221" s="318"/>
      <c r="L221" s="318"/>
      <c r="M221" s="318"/>
      <c r="N221" s="318"/>
      <c r="O221" s="318"/>
      <c r="P221" s="318"/>
      <c r="Q221" s="318"/>
      <c r="R221" s="318"/>
      <c r="S221" s="318"/>
      <c r="T221" s="318"/>
      <c r="U221" s="318"/>
      <c r="V221" s="318"/>
      <c r="W221" s="318"/>
      <c r="X221" s="318"/>
      <c r="Y221" s="318"/>
      <c r="Z221" s="318"/>
    </row>
    <row r="222" spans="1:26" ht="15.75" customHeight="1">
      <c r="A222" s="1152">
        <v>216</v>
      </c>
      <c r="B222" s="229" t="s">
        <v>881</v>
      </c>
      <c r="C222" s="223" t="s">
        <v>69</v>
      </c>
      <c r="D222" s="229">
        <v>1</v>
      </c>
      <c r="E222" s="229">
        <v>2</v>
      </c>
      <c r="F222" s="229">
        <v>1</v>
      </c>
      <c r="G222" s="1078">
        <v>862500</v>
      </c>
      <c r="H222" s="1078">
        <f t="shared" ref="H222:H227" si="20">G222*F222</f>
        <v>862500</v>
      </c>
      <c r="I222" s="223" t="s">
        <v>790</v>
      </c>
      <c r="J222" s="223" t="s">
        <v>671</v>
      </c>
      <c r="K222" s="318"/>
      <c r="L222" s="318"/>
      <c r="M222" s="318"/>
      <c r="N222" s="318"/>
      <c r="O222" s="318"/>
      <c r="P222" s="318"/>
      <c r="Q222" s="318"/>
      <c r="R222" s="318"/>
      <c r="S222" s="318"/>
      <c r="T222" s="318"/>
      <c r="U222" s="318"/>
      <c r="V222" s="318"/>
      <c r="W222" s="318"/>
      <c r="X222" s="318"/>
      <c r="Y222" s="318"/>
      <c r="Z222" s="318"/>
    </row>
    <row r="223" spans="1:26" ht="15.75" customHeight="1">
      <c r="A223" s="1152">
        <v>217</v>
      </c>
      <c r="B223" s="229" t="s">
        <v>881</v>
      </c>
      <c r="C223" s="223" t="s">
        <v>1198</v>
      </c>
      <c r="D223" s="229">
        <v>3</v>
      </c>
      <c r="E223" s="229">
        <v>4</v>
      </c>
      <c r="F223" s="229">
        <v>1</v>
      </c>
      <c r="G223" s="1078">
        <v>500000</v>
      </c>
      <c r="H223" s="1075">
        <f t="shared" si="20"/>
        <v>500000</v>
      </c>
      <c r="I223" s="230" t="s">
        <v>790</v>
      </c>
      <c r="J223" s="223" t="s">
        <v>671</v>
      </c>
      <c r="K223" s="318"/>
      <c r="L223" s="318"/>
      <c r="M223" s="318"/>
      <c r="N223" s="318"/>
      <c r="O223" s="318"/>
      <c r="P223" s="318"/>
      <c r="Q223" s="318"/>
      <c r="R223" s="318"/>
      <c r="S223" s="318"/>
      <c r="T223" s="318"/>
      <c r="U223" s="318"/>
      <c r="V223" s="318"/>
      <c r="W223" s="318"/>
      <c r="X223" s="318"/>
      <c r="Y223" s="318"/>
      <c r="Z223" s="318"/>
    </row>
    <row r="224" spans="1:26" ht="15.75" customHeight="1">
      <c r="A224" s="1152">
        <v>218</v>
      </c>
      <c r="B224" s="229" t="s">
        <v>881</v>
      </c>
      <c r="C224" s="223" t="s">
        <v>1199</v>
      </c>
      <c r="D224" s="229">
        <v>1</v>
      </c>
      <c r="E224" s="229">
        <v>2</v>
      </c>
      <c r="F224" s="229">
        <v>1</v>
      </c>
      <c r="G224" s="1078">
        <v>500000</v>
      </c>
      <c r="H224" s="1075">
        <f t="shared" si="20"/>
        <v>500000</v>
      </c>
      <c r="I224" s="230" t="s">
        <v>1200</v>
      </c>
      <c r="J224" s="223" t="s">
        <v>671</v>
      </c>
      <c r="K224" s="318"/>
      <c r="L224" s="318"/>
      <c r="M224" s="318"/>
      <c r="N224" s="318"/>
      <c r="O224" s="318"/>
      <c r="P224" s="318"/>
      <c r="Q224" s="318"/>
      <c r="R224" s="318"/>
      <c r="S224" s="318"/>
      <c r="T224" s="318"/>
      <c r="U224" s="318"/>
      <c r="V224" s="318"/>
      <c r="W224" s="318"/>
      <c r="X224" s="318"/>
      <c r="Y224" s="318"/>
      <c r="Z224" s="318"/>
    </row>
    <row r="225" spans="1:26" ht="15.75" customHeight="1">
      <c r="A225" s="1152">
        <v>219</v>
      </c>
      <c r="B225" s="229" t="s">
        <v>881</v>
      </c>
      <c r="C225" s="223" t="s">
        <v>1201</v>
      </c>
      <c r="D225" s="229">
        <v>2</v>
      </c>
      <c r="E225" s="229">
        <v>4</v>
      </c>
      <c r="F225" s="229">
        <v>2</v>
      </c>
      <c r="G225" s="1078">
        <v>200000</v>
      </c>
      <c r="H225" s="1078">
        <f t="shared" si="20"/>
        <v>400000</v>
      </c>
      <c r="I225" s="223" t="s">
        <v>1202</v>
      </c>
      <c r="J225" s="223" t="s">
        <v>671</v>
      </c>
      <c r="K225" s="318"/>
      <c r="L225" s="318"/>
      <c r="M225" s="318"/>
      <c r="N225" s="318"/>
      <c r="O225" s="318"/>
      <c r="P225" s="318"/>
      <c r="Q225" s="318"/>
      <c r="R225" s="318"/>
      <c r="S225" s="318"/>
      <c r="T225" s="318"/>
      <c r="U225" s="318"/>
      <c r="V225" s="318"/>
      <c r="W225" s="318"/>
      <c r="X225" s="318"/>
      <c r="Y225" s="318"/>
      <c r="Z225" s="318"/>
    </row>
    <row r="226" spans="1:26" ht="15.75" customHeight="1">
      <c r="A226" s="1152">
        <v>220</v>
      </c>
      <c r="B226" s="229" t="s">
        <v>881</v>
      </c>
      <c r="C226" s="223" t="s">
        <v>1203</v>
      </c>
      <c r="D226" s="229">
        <v>1</v>
      </c>
      <c r="E226" s="229">
        <v>2</v>
      </c>
      <c r="F226" s="229">
        <v>1</v>
      </c>
      <c r="G226" s="1078">
        <v>57500</v>
      </c>
      <c r="H226" s="1075">
        <f t="shared" si="20"/>
        <v>57500</v>
      </c>
      <c r="I226" s="230" t="s">
        <v>790</v>
      </c>
      <c r="J226" s="223" t="s">
        <v>671</v>
      </c>
      <c r="K226" s="318"/>
      <c r="L226" s="318"/>
      <c r="M226" s="318"/>
      <c r="N226" s="318"/>
      <c r="O226" s="318"/>
      <c r="P226" s="318"/>
      <c r="Q226" s="318"/>
      <c r="R226" s="318"/>
      <c r="S226" s="318"/>
      <c r="T226" s="318"/>
      <c r="U226" s="318"/>
      <c r="V226" s="318"/>
      <c r="W226" s="318"/>
      <c r="X226" s="318"/>
      <c r="Y226" s="318"/>
      <c r="Z226" s="318"/>
    </row>
    <row r="227" spans="1:26" ht="15.75" customHeight="1">
      <c r="A227" s="1152">
        <v>221</v>
      </c>
      <c r="B227" s="229" t="s">
        <v>881</v>
      </c>
      <c r="C227" s="223" t="s">
        <v>1204</v>
      </c>
      <c r="D227" s="229">
        <v>2</v>
      </c>
      <c r="E227" s="229">
        <v>4</v>
      </c>
      <c r="F227" s="229">
        <v>2</v>
      </c>
      <c r="G227" s="1078">
        <v>20000</v>
      </c>
      <c r="H227" s="1075">
        <f t="shared" si="20"/>
        <v>40000</v>
      </c>
      <c r="I227" s="230" t="s">
        <v>1200</v>
      </c>
      <c r="J227" s="223" t="s">
        <v>671</v>
      </c>
      <c r="K227" s="318"/>
      <c r="L227" s="318"/>
      <c r="M227" s="318"/>
      <c r="N227" s="318"/>
      <c r="O227" s="318"/>
      <c r="P227" s="318"/>
      <c r="Q227" s="318"/>
      <c r="R227" s="318"/>
      <c r="S227" s="318"/>
      <c r="T227" s="318"/>
      <c r="U227" s="318"/>
      <c r="V227" s="318"/>
      <c r="W227" s="318"/>
      <c r="X227" s="318"/>
      <c r="Y227" s="318"/>
      <c r="Z227" s="318"/>
    </row>
    <row r="228" spans="1:26" ht="15.75" customHeight="1">
      <c r="A228" s="1152">
        <v>222</v>
      </c>
      <c r="B228" s="366" t="s">
        <v>872</v>
      </c>
      <c r="C228" s="367" t="s">
        <v>1205</v>
      </c>
      <c r="D228" s="366">
        <v>7</v>
      </c>
      <c r="E228" s="366">
        <v>7</v>
      </c>
      <c r="F228" s="366">
        <v>7</v>
      </c>
      <c r="G228" s="1108">
        <v>190000</v>
      </c>
      <c r="H228" s="1108">
        <v>1330000</v>
      </c>
      <c r="I228" s="369" t="s">
        <v>1206</v>
      </c>
      <c r="J228" s="370"/>
      <c r="K228" s="318"/>
      <c r="L228" s="318"/>
      <c r="M228" s="318"/>
      <c r="N228" s="318"/>
      <c r="O228" s="318"/>
      <c r="P228" s="318"/>
      <c r="Q228" s="318"/>
      <c r="R228" s="318"/>
      <c r="S228" s="318"/>
      <c r="T228" s="318"/>
      <c r="U228" s="318"/>
      <c r="V228" s="318"/>
      <c r="W228" s="318"/>
      <c r="X228" s="318"/>
      <c r="Y228" s="318"/>
      <c r="Z228" s="318"/>
    </row>
    <row r="229" spans="1:26" ht="15.75" customHeight="1">
      <c r="A229" s="1152">
        <v>223</v>
      </c>
      <c r="B229" s="366" t="s">
        <v>872</v>
      </c>
      <c r="C229" s="369" t="s">
        <v>1207</v>
      </c>
      <c r="D229" s="366">
        <v>2</v>
      </c>
      <c r="E229" s="366">
        <v>1</v>
      </c>
      <c r="F229" s="366">
        <v>1</v>
      </c>
      <c r="G229" s="1108">
        <v>500000</v>
      </c>
      <c r="H229" s="1108">
        <f t="shared" ref="H229:H234" si="21">G229*F229</f>
        <v>500000</v>
      </c>
      <c r="I229" s="367" t="s">
        <v>1208</v>
      </c>
      <c r="J229" s="367" t="s">
        <v>671</v>
      </c>
      <c r="K229" s="318"/>
      <c r="L229" s="318"/>
      <c r="M229" s="318"/>
      <c r="N229" s="318"/>
      <c r="O229" s="318"/>
      <c r="P229" s="318"/>
      <c r="Q229" s="318"/>
      <c r="R229" s="318"/>
      <c r="S229" s="318"/>
      <c r="T229" s="318"/>
      <c r="U229" s="318"/>
      <c r="V229" s="318"/>
      <c r="W229" s="318"/>
      <c r="X229" s="318"/>
      <c r="Y229" s="318"/>
      <c r="Z229" s="318"/>
    </row>
    <row r="230" spans="1:26" ht="15.75" customHeight="1">
      <c r="A230" s="1152">
        <v>224</v>
      </c>
      <c r="B230" s="366" t="s">
        <v>872</v>
      </c>
      <c r="C230" s="367" t="s">
        <v>1209</v>
      </c>
      <c r="D230" s="366">
        <v>1</v>
      </c>
      <c r="E230" s="366">
        <v>2</v>
      </c>
      <c r="F230" s="366">
        <v>1</v>
      </c>
      <c r="G230" s="1108">
        <v>200000</v>
      </c>
      <c r="H230" s="1108">
        <f t="shared" si="21"/>
        <v>200000</v>
      </c>
      <c r="I230" s="369" t="s">
        <v>1208</v>
      </c>
      <c r="J230" s="367" t="s">
        <v>671</v>
      </c>
      <c r="K230" s="318"/>
      <c r="L230" s="318"/>
      <c r="M230" s="318"/>
      <c r="N230" s="318"/>
      <c r="O230" s="318"/>
      <c r="P230" s="318"/>
      <c r="Q230" s="318"/>
      <c r="R230" s="318"/>
      <c r="S230" s="318"/>
      <c r="T230" s="318"/>
      <c r="U230" s="318"/>
      <c r="V230" s="318"/>
      <c r="W230" s="318"/>
      <c r="X230" s="318"/>
      <c r="Y230" s="318"/>
      <c r="Z230" s="318"/>
    </row>
    <row r="231" spans="1:26" ht="15.75" customHeight="1">
      <c r="A231" s="1152">
        <v>225</v>
      </c>
      <c r="B231" s="366" t="s">
        <v>872</v>
      </c>
      <c r="C231" s="369" t="s">
        <v>1210</v>
      </c>
      <c r="D231" s="229">
        <v>1</v>
      </c>
      <c r="E231" s="229">
        <v>2</v>
      </c>
      <c r="F231" s="229">
        <v>1</v>
      </c>
      <c r="G231" s="1108">
        <v>50000</v>
      </c>
      <c r="H231" s="1108">
        <f t="shared" si="21"/>
        <v>50000</v>
      </c>
      <c r="I231" s="369" t="s">
        <v>1208</v>
      </c>
      <c r="J231" s="367" t="s">
        <v>671</v>
      </c>
      <c r="K231" s="318"/>
      <c r="L231" s="318"/>
      <c r="M231" s="318"/>
      <c r="N231" s="318"/>
      <c r="O231" s="318"/>
      <c r="P231" s="318"/>
      <c r="Q231" s="318"/>
      <c r="R231" s="318"/>
      <c r="S231" s="318"/>
      <c r="T231" s="318"/>
      <c r="U231" s="318"/>
      <c r="V231" s="318"/>
      <c r="W231" s="318"/>
      <c r="X231" s="318"/>
      <c r="Y231" s="318"/>
      <c r="Z231" s="318"/>
    </row>
    <row r="232" spans="1:26" ht="15.75" customHeight="1">
      <c r="A232" s="1152">
        <v>226</v>
      </c>
      <c r="B232" s="366" t="s">
        <v>872</v>
      </c>
      <c r="C232" s="223" t="s">
        <v>1211</v>
      </c>
      <c r="D232" s="229">
        <v>1</v>
      </c>
      <c r="E232" s="229">
        <v>2</v>
      </c>
      <c r="F232" s="229">
        <v>1</v>
      </c>
      <c r="G232" s="1108">
        <v>50000</v>
      </c>
      <c r="H232" s="1108">
        <f t="shared" si="21"/>
        <v>50000</v>
      </c>
      <c r="I232" s="369" t="s">
        <v>1208</v>
      </c>
      <c r="J232" s="367" t="s">
        <v>671</v>
      </c>
      <c r="K232" s="318"/>
      <c r="L232" s="318"/>
      <c r="M232" s="318"/>
      <c r="N232" s="318"/>
      <c r="O232" s="318"/>
      <c r="P232" s="318"/>
      <c r="Q232" s="318"/>
      <c r="R232" s="318"/>
      <c r="S232" s="318"/>
      <c r="T232" s="318"/>
      <c r="U232" s="318"/>
      <c r="V232" s="318"/>
      <c r="W232" s="318"/>
      <c r="X232" s="318"/>
      <c r="Y232" s="318"/>
      <c r="Z232" s="318"/>
    </row>
    <row r="233" spans="1:26" ht="15.75" customHeight="1">
      <c r="A233" s="1152">
        <v>227</v>
      </c>
      <c r="B233" s="366" t="s">
        <v>872</v>
      </c>
      <c r="C233" s="226" t="s">
        <v>1212</v>
      </c>
      <c r="D233" s="229">
        <v>1</v>
      </c>
      <c r="E233" s="229">
        <v>2</v>
      </c>
      <c r="F233" s="229">
        <v>1</v>
      </c>
      <c r="G233" s="1108">
        <v>50000</v>
      </c>
      <c r="H233" s="1108">
        <f t="shared" si="21"/>
        <v>50000</v>
      </c>
      <c r="I233" s="369" t="s">
        <v>1208</v>
      </c>
      <c r="J233" s="417" t="s">
        <v>671</v>
      </c>
      <c r="K233" s="318"/>
      <c r="L233" s="318"/>
      <c r="M233" s="318"/>
      <c r="N233" s="318"/>
      <c r="O233" s="318"/>
      <c r="P233" s="318"/>
      <c r="Q233" s="318"/>
      <c r="R233" s="318"/>
      <c r="S233" s="318"/>
      <c r="T233" s="318"/>
      <c r="U233" s="318"/>
      <c r="V233" s="318"/>
      <c r="W233" s="318"/>
      <c r="X233" s="318"/>
      <c r="Y233" s="318"/>
      <c r="Z233" s="318"/>
    </row>
    <row r="234" spans="1:26" ht="15.75" customHeight="1">
      <c r="A234" s="1152">
        <v>228</v>
      </c>
      <c r="B234" s="366" t="s">
        <v>872</v>
      </c>
      <c r="C234" s="226" t="s">
        <v>1213</v>
      </c>
      <c r="D234" s="229">
        <v>1</v>
      </c>
      <c r="E234" s="229">
        <v>2</v>
      </c>
      <c r="F234" s="229">
        <v>1</v>
      </c>
      <c r="G234" s="1108">
        <v>50000</v>
      </c>
      <c r="H234" s="1108">
        <f t="shared" si="21"/>
        <v>50000</v>
      </c>
      <c r="I234" s="369" t="s">
        <v>1208</v>
      </c>
      <c r="J234" s="417" t="s">
        <v>671</v>
      </c>
      <c r="K234" s="318"/>
      <c r="L234" s="318"/>
      <c r="M234" s="318"/>
      <c r="N234" s="318"/>
      <c r="O234" s="318"/>
      <c r="P234" s="318"/>
      <c r="Q234" s="318"/>
      <c r="R234" s="318"/>
      <c r="S234" s="318"/>
      <c r="T234" s="318"/>
      <c r="U234" s="318"/>
      <c r="V234" s="318"/>
      <c r="W234" s="318"/>
      <c r="X234" s="318"/>
      <c r="Y234" s="318"/>
      <c r="Z234" s="318"/>
    </row>
    <row r="235" spans="1:26" ht="15.75" customHeight="1">
      <c r="A235" s="1152">
        <v>229</v>
      </c>
      <c r="B235" s="418" t="s">
        <v>775</v>
      </c>
      <c r="C235" s="419" t="s">
        <v>1214</v>
      </c>
      <c r="D235" s="420"/>
      <c r="E235" s="420"/>
      <c r="F235" s="418">
        <v>6000</v>
      </c>
      <c r="G235" s="1120">
        <v>8000</v>
      </c>
      <c r="H235" s="1120">
        <v>48000000</v>
      </c>
      <c r="I235" s="420" t="s">
        <v>1215</v>
      </c>
      <c r="J235" s="421"/>
      <c r="K235" s="406"/>
      <c r="L235" s="406"/>
      <c r="M235" s="406"/>
      <c r="N235" s="406"/>
      <c r="O235" s="406"/>
      <c r="P235" s="406"/>
      <c r="Q235" s="406"/>
      <c r="R235" s="406"/>
      <c r="S235" s="406"/>
      <c r="T235" s="406"/>
      <c r="U235" s="406"/>
      <c r="V235" s="406"/>
      <c r="W235" s="406"/>
      <c r="X235" s="406"/>
      <c r="Y235" s="406"/>
      <c r="Z235" s="406"/>
    </row>
    <row r="236" spans="1:26" ht="15.75" customHeight="1">
      <c r="A236" s="1152">
        <v>230</v>
      </c>
      <c r="B236" s="418" t="s">
        <v>775</v>
      </c>
      <c r="C236" s="419" t="s">
        <v>1216</v>
      </c>
      <c r="D236" s="420"/>
      <c r="E236" s="420"/>
      <c r="F236" s="418">
        <v>500</v>
      </c>
      <c r="G236" s="1120">
        <v>20000</v>
      </c>
      <c r="H236" s="1120">
        <v>10000000</v>
      </c>
      <c r="I236" s="420" t="s">
        <v>1215</v>
      </c>
      <c r="J236" s="421"/>
      <c r="K236" s="406"/>
      <c r="L236" s="406"/>
      <c r="M236" s="406"/>
      <c r="N236" s="406"/>
      <c r="O236" s="406"/>
      <c r="P236" s="406"/>
      <c r="Q236" s="406"/>
      <c r="R236" s="406"/>
      <c r="S236" s="406"/>
      <c r="T236" s="406"/>
      <c r="U236" s="406"/>
      <c r="V236" s="406"/>
      <c r="W236" s="406"/>
      <c r="X236" s="406"/>
      <c r="Y236" s="406"/>
      <c r="Z236" s="406"/>
    </row>
    <row r="237" spans="1:26" ht="15.75" customHeight="1">
      <c r="A237" s="1152">
        <v>231</v>
      </c>
      <c r="B237" s="422" t="s">
        <v>1217</v>
      </c>
      <c r="C237" s="423" t="s">
        <v>1218</v>
      </c>
      <c r="D237" s="283"/>
      <c r="E237" s="283"/>
      <c r="F237" s="283">
        <v>1</v>
      </c>
      <c r="G237" s="1121">
        <v>3000000</v>
      </c>
      <c r="H237" s="1121">
        <f>G237*F237</f>
        <v>3000000</v>
      </c>
      <c r="I237" s="405"/>
      <c r="J237" s="282"/>
      <c r="K237" s="406"/>
      <c r="L237" s="406"/>
      <c r="M237" s="406"/>
      <c r="N237" s="406"/>
      <c r="O237" s="406"/>
      <c r="P237" s="406"/>
      <c r="Q237" s="406"/>
      <c r="R237" s="406"/>
      <c r="S237" s="406"/>
      <c r="T237" s="406"/>
      <c r="U237" s="406"/>
      <c r="V237" s="406"/>
      <c r="W237" s="406"/>
      <c r="X237" s="406"/>
      <c r="Y237" s="406"/>
      <c r="Z237" s="406"/>
    </row>
    <row r="238" spans="1:26" ht="15.75" customHeight="1">
      <c r="A238" s="1152">
        <v>232</v>
      </c>
      <c r="B238" s="424" t="s">
        <v>1217</v>
      </c>
      <c r="C238" s="420" t="s">
        <v>1219</v>
      </c>
      <c r="D238" s="418">
        <v>0</v>
      </c>
      <c r="E238" s="420">
        <v>10</v>
      </c>
      <c r="F238" s="418">
        <v>10</v>
      </c>
      <c r="G238" s="1166">
        <v>200000</v>
      </c>
      <c r="H238" s="1122">
        <v>2000000</v>
      </c>
      <c r="I238" s="420" t="s">
        <v>1220</v>
      </c>
      <c r="J238" s="421"/>
      <c r="K238" s="406"/>
      <c r="L238" s="406"/>
      <c r="M238" s="406"/>
      <c r="N238" s="406"/>
      <c r="O238" s="406"/>
      <c r="P238" s="406"/>
      <c r="Q238" s="406"/>
      <c r="R238" s="406"/>
      <c r="S238" s="406"/>
      <c r="T238" s="406"/>
      <c r="U238" s="406"/>
      <c r="V238" s="406"/>
      <c r="W238" s="406"/>
      <c r="X238" s="406"/>
      <c r="Y238" s="406"/>
      <c r="Z238" s="406"/>
    </row>
    <row r="239" spans="1:26" ht="15.75" customHeight="1">
      <c r="A239" s="1152">
        <v>233</v>
      </c>
      <c r="B239" s="424" t="s">
        <v>775</v>
      </c>
      <c r="C239" s="420" t="s">
        <v>1221</v>
      </c>
      <c r="D239" s="418"/>
      <c r="E239" s="420"/>
      <c r="F239" s="418">
        <v>1000</v>
      </c>
      <c r="G239" s="1166">
        <v>1200</v>
      </c>
      <c r="H239" s="1120">
        <v>1200000</v>
      </c>
      <c r="I239" s="421"/>
      <c r="J239" s="421"/>
      <c r="K239" s="406"/>
      <c r="L239" s="406"/>
      <c r="M239" s="406"/>
      <c r="N239" s="406"/>
      <c r="O239" s="406"/>
      <c r="P239" s="406"/>
      <c r="Q239" s="406"/>
      <c r="R239" s="406"/>
      <c r="S239" s="406"/>
      <c r="T239" s="406"/>
      <c r="U239" s="406"/>
      <c r="V239" s="406"/>
      <c r="W239" s="406"/>
      <c r="X239" s="406"/>
      <c r="Y239" s="406"/>
      <c r="Z239" s="406"/>
    </row>
    <row r="240" spans="1:26" ht="15.75" customHeight="1">
      <c r="A240" s="1152">
        <v>234</v>
      </c>
      <c r="B240" s="425" t="s">
        <v>775</v>
      </c>
      <c r="C240" s="426" t="s">
        <v>1222</v>
      </c>
      <c r="D240" s="283"/>
      <c r="E240" s="282"/>
      <c r="F240" s="282">
        <v>10</v>
      </c>
      <c r="G240" s="1167">
        <v>75000</v>
      </c>
      <c r="H240" s="1123">
        <f t="shared" ref="H240:H242" si="22">G240*F240</f>
        <v>750000</v>
      </c>
      <c r="I240" s="427"/>
      <c r="J240" s="427"/>
      <c r="K240" s="406"/>
      <c r="L240" s="406"/>
      <c r="M240" s="406"/>
      <c r="N240" s="406"/>
      <c r="O240" s="406"/>
      <c r="P240" s="406"/>
      <c r="Q240" s="406"/>
      <c r="R240" s="406"/>
      <c r="S240" s="406"/>
      <c r="T240" s="406"/>
      <c r="U240" s="406"/>
      <c r="V240" s="406"/>
      <c r="W240" s="406"/>
      <c r="X240" s="406"/>
      <c r="Y240" s="406"/>
      <c r="Z240" s="406"/>
    </row>
    <row r="241" spans="1:26" ht="15.75" customHeight="1">
      <c r="A241" s="1152">
        <v>235</v>
      </c>
      <c r="B241" s="425" t="s">
        <v>775</v>
      </c>
      <c r="C241" s="426" t="s">
        <v>1223</v>
      </c>
      <c r="D241" s="283"/>
      <c r="E241" s="282"/>
      <c r="F241" s="282">
        <v>100</v>
      </c>
      <c r="G241" s="1167">
        <v>6000</v>
      </c>
      <c r="H241" s="1123">
        <f t="shared" si="22"/>
        <v>600000</v>
      </c>
      <c r="I241" s="427"/>
      <c r="J241" s="427"/>
      <c r="K241" s="406"/>
      <c r="L241" s="406"/>
      <c r="M241" s="406"/>
      <c r="N241" s="406"/>
      <c r="O241" s="406"/>
      <c r="P241" s="406"/>
      <c r="Q241" s="406"/>
      <c r="R241" s="406"/>
      <c r="S241" s="406"/>
      <c r="T241" s="406"/>
      <c r="U241" s="406"/>
      <c r="V241" s="406"/>
      <c r="W241" s="406"/>
      <c r="X241" s="406"/>
      <c r="Y241" s="406"/>
      <c r="Z241" s="406"/>
    </row>
    <row r="242" spans="1:26" ht="15.75" customHeight="1">
      <c r="A242" s="1152">
        <v>236</v>
      </c>
      <c r="B242" s="428" t="s">
        <v>1217</v>
      </c>
      <c r="C242" s="427" t="s">
        <v>1224</v>
      </c>
      <c r="D242" s="404">
        <v>0</v>
      </c>
      <c r="E242" s="429">
        <v>1</v>
      </c>
      <c r="F242" s="429">
        <v>1</v>
      </c>
      <c r="G242" s="1167">
        <v>500000</v>
      </c>
      <c r="H242" s="1124">
        <f t="shared" si="22"/>
        <v>500000</v>
      </c>
      <c r="I242" s="427" t="s">
        <v>1225</v>
      </c>
      <c r="J242" s="427" t="s">
        <v>704</v>
      </c>
      <c r="K242" s="406"/>
      <c r="L242" s="406"/>
      <c r="M242" s="406"/>
      <c r="N242" s="406"/>
      <c r="O242" s="406"/>
      <c r="P242" s="406"/>
      <c r="Q242" s="406"/>
      <c r="R242" s="406"/>
      <c r="S242" s="406"/>
      <c r="T242" s="406"/>
      <c r="U242" s="406"/>
      <c r="V242" s="406"/>
      <c r="W242" s="406"/>
      <c r="X242" s="406"/>
      <c r="Y242" s="406"/>
      <c r="Z242" s="406"/>
    </row>
    <row r="243" spans="1:26" ht="15.75" customHeight="1">
      <c r="A243" s="1152">
        <v>237</v>
      </c>
      <c r="B243" s="430" t="s">
        <v>775</v>
      </c>
      <c r="C243" s="426" t="s">
        <v>1226</v>
      </c>
      <c r="D243" s="426"/>
      <c r="E243" s="426"/>
      <c r="F243" s="426">
        <v>1</v>
      </c>
      <c r="G243" s="1121">
        <v>500000</v>
      </c>
      <c r="H243" s="1121">
        <v>500000</v>
      </c>
      <c r="I243" s="405"/>
      <c r="J243" s="282"/>
      <c r="K243" s="406"/>
      <c r="L243" s="406"/>
      <c r="M243" s="406"/>
      <c r="N243" s="406"/>
      <c r="O243" s="406"/>
      <c r="P243" s="406"/>
      <c r="Q243" s="406"/>
      <c r="R243" s="406"/>
      <c r="S243" s="406"/>
      <c r="T243" s="406"/>
      <c r="U243" s="406"/>
      <c r="V243" s="406"/>
      <c r="W243" s="406"/>
      <c r="X243" s="406"/>
      <c r="Y243" s="406"/>
      <c r="Z243" s="406"/>
    </row>
    <row r="244" spans="1:26" ht="15.75" customHeight="1">
      <c r="A244" s="1152">
        <v>238</v>
      </c>
      <c r="B244" s="281" t="s">
        <v>1217</v>
      </c>
      <c r="C244" s="282" t="s">
        <v>1227</v>
      </c>
      <c r="D244" s="404">
        <v>1</v>
      </c>
      <c r="E244" s="282">
        <v>2</v>
      </c>
      <c r="F244" s="282">
        <v>16</v>
      </c>
      <c r="G244" s="1167">
        <v>30000</v>
      </c>
      <c r="H244" s="1124">
        <f>G244*F244</f>
        <v>480000</v>
      </c>
      <c r="I244" s="427" t="s">
        <v>1225</v>
      </c>
      <c r="J244" s="427" t="s">
        <v>704</v>
      </c>
      <c r="K244" s="406"/>
      <c r="L244" s="406"/>
      <c r="M244" s="406"/>
      <c r="N244" s="406"/>
      <c r="O244" s="406"/>
      <c r="P244" s="406"/>
      <c r="Q244" s="406"/>
      <c r="R244" s="406"/>
      <c r="S244" s="406"/>
      <c r="T244" s="406"/>
      <c r="U244" s="406"/>
      <c r="V244" s="406"/>
      <c r="W244" s="406"/>
      <c r="X244" s="406"/>
      <c r="Y244" s="406"/>
      <c r="Z244" s="406"/>
    </row>
    <row r="245" spans="1:26" ht="15.75" customHeight="1">
      <c r="A245" s="1152">
        <v>239</v>
      </c>
      <c r="B245" s="404" t="s">
        <v>1217</v>
      </c>
      <c r="C245" s="426" t="s">
        <v>1228</v>
      </c>
      <c r="D245" s="283">
        <v>1</v>
      </c>
      <c r="E245" s="282">
        <v>1</v>
      </c>
      <c r="F245" s="282">
        <v>1</v>
      </c>
      <c r="G245" s="1167">
        <v>400000</v>
      </c>
      <c r="H245" s="1123">
        <v>400000</v>
      </c>
      <c r="I245" s="427" t="s">
        <v>1225</v>
      </c>
      <c r="J245" s="427" t="s">
        <v>704</v>
      </c>
      <c r="K245" s="406"/>
      <c r="L245" s="406"/>
      <c r="M245" s="406"/>
      <c r="N245" s="406"/>
      <c r="O245" s="406"/>
      <c r="P245" s="406"/>
      <c r="Q245" s="406"/>
      <c r="R245" s="406"/>
      <c r="S245" s="406"/>
      <c r="T245" s="406"/>
      <c r="U245" s="406"/>
      <c r="V245" s="406"/>
      <c r="W245" s="406"/>
      <c r="X245" s="406"/>
      <c r="Y245" s="406"/>
      <c r="Z245" s="406"/>
    </row>
    <row r="246" spans="1:26" ht="15.75" customHeight="1">
      <c r="A246" s="1152">
        <v>240</v>
      </c>
      <c r="B246" s="404" t="s">
        <v>1217</v>
      </c>
      <c r="C246" s="426" t="s">
        <v>1229</v>
      </c>
      <c r="D246" s="283">
        <v>1</v>
      </c>
      <c r="E246" s="282">
        <v>2</v>
      </c>
      <c r="F246" s="282">
        <v>2</v>
      </c>
      <c r="G246" s="1167">
        <v>150000</v>
      </c>
      <c r="H246" s="1123">
        <f>G246*F246</f>
        <v>300000</v>
      </c>
      <c r="I246" s="427" t="s">
        <v>1225</v>
      </c>
      <c r="J246" s="427" t="s">
        <v>704</v>
      </c>
      <c r="K246" s="406"/>
      <c r="L246" s="406"/>
      <c r="M246" s="406"/>
      <c r="N246" s="406"/>
      <c r="O246" s="406"/>
      <c r="P246" s="406"/>
      <c r="Q246" s="406"/>
      <c r="R246" s="406"/>
      <c r="S246" s="406"/>
      <c r="T246" s="406"/>
      <c r="U246" s="406"/>
      <c r="V246" s="406"/>
      <c r="W246" s="406"/>
      <c r="X246" s="406"/>
      <c r="Y246" s="406"/>
      <c r="Z246" s="406"/>
    </row>
    <row r="247" spans="1:26" ht="15.75" customHeight="1">
      <c r="A247" s="1152">
        <v>241</v>
      </c>
      <c r="B247" s="404" t="s">
        <v>1217</v>
      </c>
      <c r="C247" s="426" t="s">
        <v>1230</v>
      </c>
      <c r="D247" s="283">
        <v>1</v>
      </c>
      <c r="E247" s="282">
        <v>1</v>
      </c>
      <c r="F247" s="282">
        <v>1</v>
      </c>
      <c r="G247" s="1167">
        <v>100000</v>
      </c>
      <c r="H247" s="1123">
        <v>100000</v>
      </c>
      <c r="I247" s="427" t="s">
        <v>1225</v>
      </c>
      <c r="J247" s="427" t="s">
        <v>704</v>
      </c>
      <c r="K247" s="406"/>
      <c r="L247" s="406"/>
      <c r="M247" s="406"/>
      <c r="N247" s="406"/>
      <c r="O247" s="406"/>
      <c r="P247" s="406"/>
      <c r="Q247" s="406"/>
      <c r="R247" s="406"/>
      <c r="S247" s="406"/>
      <c r="T247" s="406"/>
      <c r="U247" s="406"/>
      <c r="V247" s="406"/>
      <c r="W247" s="406"/>
      <c r="X247" s="406"/>
      <c r="Y247" s="406"/>
      <c r="Z247" s="406"/>
    </row>
    <row r="248" spans="1:26" ht="15.75" customHeight="1">
      <c r="A248" s="1152">
        <v>242</v>
      </c>
      <c r="B248" s="222" t="s">
        <v>929</v>
      </c>
      <c r="C248" s="250" t="s">
        <v>1231</v>
      </c>
      <c r="D248" s="229">
        <v>0</v>
      </c>
      <c r="E248" s="229">
        <v>50</v>
      </c>
      <c r="F248" s="229">
        <v>50</v>
      </c>
      <c r="G248" s="1075">
        <v>15000</v>
      </c>
      <c r="H248" s="1075">
        <f t="shared" ref="H248:H266" si="23">G248*F248</f>
        <v>750000</v>
      </c>
      <c r="I248" s="230" t="s">
        <v>768</v>
      </c>
      <c r="J248" s="223" t="s">
        <v>753</v>
      </c>
      <c r="K248" s="318"/>
      <c r="L248" s="318"/>
      <c r="M248" s="318"/>
      <c r="N248" s="318"/>
      <c r="O248" s="318"/>
      <c r="P248" s="318"/>
      <c r="Q248" s="318"/>
      <c r="R248" s="318"/>
      <c r="S248" s="318"/>
      <c r="T248" s="318"/>
      <c r="U248" s="318"/>
      <c r="V248" s="318"/>
      <c r="W248" s="318"/>
      <c r="X248" s="318"/>
      <c r="Y248" s="318"/>
      <c r="Z248" s="318"/>
    </row>
    <row r="249" spans="1:26" ht="15.75" customHeight="1">
      <c r="A249" s="1152">
        <v>243</v>
      </c>
      <c r="B249" s="222" t="s">
        <v>929</v>
      </c>
      <c r="C249" s="250" t="s">
        <v>1232</v>
      </c>
      <c r="D249" s="229">
        <v>0</v>
      </c>
      <c r="E249" s="229">
        <v>6</v>
      </c>
      <c r="F249" s="229">
        <v>6</v>
      </c>
      <c r="G249" s="1075">
        <v>100000</v>
      </c>
      <c r="H249" s="1075">
        <f t="shared" si="23"/>
        <v>600000</v>
      </c>
      <c r="I249" s="230" t="s">
        <v>768</v>
      </c>
      <c r="J249" s="223" t="s">
        <v>753</v>
      </c>
      <c r="K249" s="318"/>
      <c r="L249" s="318"/>
      <c r="M249" s="318"/>
      <c r="N249" s="318"/>
      <c r="O249" s="318"/>
      <c r="P249" s="318"/>
      <c r="Q249" s="318"/>
      <c r="R249" s="318"/>
      <c r="S249" s="318"/>
      <c r="T249" s="318"/>
      <c r="U249" s="318"/>
      <c r="V249" s="318"/>
      <c r="W249" s="318"/>
      <c r="X249" s="318"/>
      <c r="Y249" s="318"/>
      <c r="Z249" s="318"/>
    </row>
    <row r="250" spans="1:26" ht="15.75" customHeight="1">
      <c r="A250" s="1152">
        <v>244</v>
      </c>
      <c r="B250" s="222" t="s">
        <v>929</v>
      </c>
      <c r="C250" s="250" t="s">
        <v>1233</v>
      </c>
      <c r="D250" s="229">
        <v>9</v>
      </c>
      <c r="E250" s="229">
        <v>12</v>
      </c>
      <c r="F250" s="229">
        <v>3</v>
      </c>
      <c r="G250" s="1075">
        <v>200000</v>
      </c>
      <c r="H250" s="1075">
        <f t="shared" si="23"/>
        <v>600000</v>
      </c>
      <c r="I250" s="223" t="s">
        <v>1234</v>
      </c>
      <c r="J250" s="223" t="s">
        <v>700</v>
      </c>
      <c r="K250" s="318"/>
      <c r="L250" s="318"/>
      <c r="M250" s="318"/>
      <c r="N250" s="318"/>
      <c r="O250" s="318"/>
      <c r="P250" s="318"/>
      <c r="Q250" s="318"/>
      <c r="R250" s="318"/>
      <c r="S250" s="318"/>
      <c r="T250" s="318"/>
      <c r="U250" s="318"/>
      <c r="V250" s="318"/>
      <c r="W250" s="318"/>
      <c r="X250" s="318"/>
      <c r="Y250" s="318"/>
      <c r="Z250" s="318"/>
    </row>
    <row r="251" spans="1:26" ht="15.75" customHeight="1">
      <c r="A251" s="1152">
        <v>245</v>
      </c>
      <c r="B251" s="222" t="s">
        <v>929</v>
      </c>
      <c r="C251" s="250" t="s">
        <v>1235</v>
      </c>
      <c r="D251" s="229">
        <v>0</v>
      </c>
      <c r="E251" s="229">
        <v>1</v>
      </c>
      <c r="F251" s="229">
        <v>1</v>
      </c>
      <c r="G251" s="1075">
        <v>500000</v>
      </c>
      <c r="H251" s="1075">
        <f t="shared" si="23"/>
        <v>500000</v>
      </c>
      <c r="I251" s="230" t="s">
        <v>768</v>
      </c>
      <c r="J251" s="223" t="s">
        <v>753</v>
      </c>
      <c r="K251" s="318"/>
      <c r="L251" s="318"/>
      <c r="M251" s="318"/>
      <c r="N251" s="318"/>
      <c r="O251" s="318"/>
      <c r="P251" s="318"/>
      <c r="Q251" s="318"/>
      <c r="R251" s="318"/>
      <c r="S251" s="318"/>
      <c r="T251" s="318"/>
      <c r="U251" s="318"/>
      <c r="V251" s="318"/>
      <c r="W251" s="318"/>
      <c r="X251" s="318"/>
      <c r="Y251" s="318"/>
      <c r="Z251" s="318"/>
    </row>
    <row r="252" spans="1:26" ht="15.75" customHeight="1">
      <c r="A252" s="1152">
        <v>246</v>
      </c>
      <c r="B252" s="222" t="s">
        <v>929</v>
      </c>
      <c r="C252" s="250" t="s">
        <v>1236</v>
      </c>
      <c r="D252" s="229">
        <v>0</v>
      </c>
      <c r="E252" s="229">
        <v>50</v>
      </c>
      <c r="F252" s="229">
        <v>50</v>
      </c>
      <c r="G252" s="1075">
        <v>10000</v>
      </c>
      <c r="H252" s="1075">
        <f t="shared" si="23"/>
        <v>500000</v>
      </c>
      <c r="I252" s="230" t="s">
        <v>768</v>
      </c>
      <c r="J252" s="223" t="s">
        <v>753</v>
      </c>
      <c r="K252" s="318"/>
      <c r="L252" s="318"/>
      <c r="M252" s="318"/>
      <c r="N252" s="318"/>
      <c r="O252" s="318"/>
      <c r="P252" s="318"/>
      <c r="Q252" s="318"/>
      <c r="R252" s="318"/>
      <c r="S252" s="318"/>
      <c r="T252" s="318"/>
      <c r="U252" s="318"/>
      <c r="V252" s="318"/>
      <c r="W252" s="318"/>
      <c r="X252" s="318"/>
      <c r="Y252" s="318"/>
      <c r="Z252" s="318"/>
    </row>
    <row r="253" spans="1:26" ht="15.75" customHeight="1">
      <c r="A253" s="1152">
        <v>247</v>
      </c>
      <c r="B253" s="222" t="s">
        <v>929</v>
      </c>
      <c r="C253" s="250" t="s">
        <v>1237</v>
      </c>
      <c r="D253" s="229">
        <v>0</v>
      </c>
      <c r="E253" s="229">
        <v>50</v>
      </c>
      <c r="F253" s="229">
        <v>50</v>
      </c>
      <c r="G253" s="1075">
        <v>10000</v>
      </c>
      <c r="H253" s="1075">
        <f t="shared" si="23"/>
        <v>500000</v>
      </c>
      <c r="I253" s="230" t="s">
        <v>768</v>
      </c>
      <c r="J253" s="223" t="s">
        <v>753</v>
      </c>
      <c r="K253" s="318"/>
      <c r="L253" s="318"/>
      <c r="M253" s="318"/>
      <c r="N253" s="318"/>
      <c r="O253" s="318"/>
      <c r="P253" s="318"/>
      <c r="Q253" s="318"/>
      <c r="R253" s="318"/>
      <c r="S253" s="318"/>
      <c r="T253" s="318"/>
      <c r="U253" s="318"/>
      <c r="V253" s="318"/>
      <c r="W253" s="318"/>
      <c r="X253" s="318"/>
      <c r="Y253" s="318"/>
      <c r="Z253" s="318"/>
    </row>
    <row r="254" spans="1:26" ht="15.75" customHeight="1">
      <c r="A254" s="1152">
        <v>248</v>
      </c>
      <c r="B254" s="222" t="s">
        <v>929</v>
      </c>
      <c r="C254" s="230" t="s">
        <v>1238</v>
      </c>
      <c r="D254" s="222">
        <v>0</v>
      </c>
      <c r="E254" s="222">
        <v>4</v>
      </c>
      <c r="F254" s="222">
        <v>4</v>
      </c>
      <c r="G254" s="1168">
        <v>115000</v>
      </c>
      <c r="H254" s="1078">
        <f t="shared" si="23"/>
        <v>460000</v>
      </c>
      <c r="I254" s="223" t="s">
        <v>1239</v>
      </c>
      <c r="J254" s="431" t="s">
        <v>753</v>
      </c>
      <c r="K254" s="318"/>
      <c r="L254" s="318"/>
      <c r="M254" s="318"/>
      <c r="N254" s="318"/>
      <c r="O254" s="318"/>
      <c r="P254" s="318"/>
      <c r="Q254" s="318"/>
      <c r="R254" s="318"/>
      <c r="S254" s="318"/>
      <c r="T254" s="318"/>
      <c r="U254" s="318"/>
      <c r="V254" s="318"/>
      <c r="W254" s="318"/>
      <c r="X254" s="318"/>
      <c r="Y254" s="318"/>
      <c r="Z254" s="318"/>
    </row>
    <row r="255" spans="1:26" ht="15.75" customHeight="1">
      <c r="A255" s="1152">
        <v>249</v>
      </c>
      <c r="B255" s="259" t="s">
        <v>929</v>
      </c>
      <c r="C255" s="223" t="s">
        <v>1240</v>
      </c>
      <c r="D255" s="229">
        <v>1</v>
      </c>
      <c r="E255" s="229">
        <v>1</v>
      </c>
      <c r="F255" s="229">
        <v>1</v>
      </c>
      <c r="G255" s="1075">
        <v>300000</v>
      </c>
      <c r="H255" s="1075">
        <f t="shared" si="23"/>
        <v>300000</v>
      </c>
      <c r="I255" s="223" t="s">
        <v>1241</v>
      </c>
      <c r="J255" s="270" t="s">
        <v>700</v>
      </c>
      <c r="K255" s="318"/>
      <c r="L255" s="318"/>
      <c r="M255" s="318"/>
      <c r="N255" s="318"/>
      <c r="O255" s="318"/>
      <c r="P255" s="318"/>
      <c r="Q255" s="318"/>
      <c r="R255" s="318"/>
      <c r="S255" s="318"/>
      <c r="T255" s="318"/>
      <c r="U255" s="318"/>
      <c r="V255" s="318"/>
      <c r="W255" s="318"/>
      <c r="X255" s="318"/>
      <c r="Y255" s="318"/>
      <c r="Z255" s="318"/>
    </row>
    <row r="256" spans="1:26" ht="15.75" customHeight="1">
      <c r="A256" s="1152">
        <v>250</v>
      </c>
      <c r="B256" s="259" t="s">
        <v>929</v>
      </c>
      <c r="C256" s="250" t="s">
        <v>1242</v>
      </c>
      <c r="D256" s="229">
        <v>1</v>
      </c>
      <c r="E256" s="229">
        <v>1</v>
      </c>
      <c r="F256" s="229">
        <v>1</v>
      </c>
      <c r="G256" s="1075">
        <v>200000</v>
      </c>
      <c r="H256" s="1075">
        <f t="shared" si="23"/>
        <v>200000</v>
      </c>
      <c r="I256" s="223" t="s">
        <v>1234</v>
      </c>
      <c r="J256" s="270" t="s">
        <v>700</v>
      </c>
      <c r="K256" s="318"/>
      <c r="L256" s="318"/>
      <c r="M256" s="318"/>
      <c r="N256" s="318"/>
      <c r="O256" s="318"/>
      <c r="P256" s="318"/>
      <c r="Q256" s="318"/>
      <c r="R256" s="318"/>
      <c r="S256" s="318"/>
      <c r="T256" s="318"/>
      <c r="U256" s="318"/>
      <c r="V256" s="318"/>
      <c r="W256" s="318"/>
      <c r="X256" s="318"/>
      <c r="Y256" s="318"/>
      <c r="Z256" s="318"/>
    </row>
    <row r="257" spans="1:26" ht="15.75" customHeight="1">
      <c r="A257" s="1152">
        <v>251</v>
      </c>
      <c r="B257" s="259" t="s">
        <v>929</v>
      </c>
      <c r="C257" s="223" t="s">
        <v>1243</v>
      </c>
      <c r="D257" s="223"/>
      <c r="E257" s="250"/>
      <c r="F257" s="250">
        <v>3</v>
      </c>
      <c r="G257" s="1169">
        <v>40000</v>
      </c>
      <c r="H257" s="1078">
        <f t="shared" si="23"/>
        <v>120000</v>
      </c>
      <c r="I257" s="223" t="s">
        <v>1065</v>
      </c>
      <c r="J257" s="270"/>
      <c r="K257" s="318"/>
      <c r="L257" s="318"/>
      <c r="M257" s="318"/>
      <c r="N257" s="318"/>
      <c r="O257" s="318"/>
      <c r="P257" s="318"/>
      <c r="Q257" s="318"/>
      <c r="R257" s="318"/>
      <c r="S257" s="318"/>
      <c r="T257" s="318"/>
      <c r="U257" s="318"/>
      <c r="V257" s="318"/>
      <c r="W257" s="318"/>
      <c r="X257" s="318"/>
      <c r="Y257" s="318"/>
      <c r="Z257" s="318"/>
    </row>
    <row r="258" spans="1:26" ht="15.75" customHeight="1">
      <c r="A258" s="1152">
        <v>252</v>
      </c>
      <c r="B258" s="259" t="s">
        <v>929</v>
      </c>
      <c r="C258" s="250" t="s">
        <v>1244</v>
      </c>
      <c r="D258" s="229">
        <v>0</v>
      </c>
      <c r="E258" s="229">
        <v>4</v>
      </c>
      <c r="F258" s="229">
        <v>4</v>
      </c>
      <c r="G258" s="1075">
        <v>25000</v>
      </c>
      <c r="H258" s="1075">
        <f t="shared" si="23"/>
        <v>100000</v>
      </c>
      <c r="I258" s="230" t="s">
        <v>768</v>
      </c>
      <c r="J258" s="270" t="s">
        <v>753</v>
      </c>
      <c r="K258" s="318"/>
      <c r="L258" s="318"/>
      <c r="M258" s="318"/>
      <c r="N258" s="318"/>
      <c r="O258" s="318"/>
      <c r="P258" s="318"/>
      <c r="Q258" s="318"/>
      <c r="R258" s="318"/>
      <c r="S258" s="318"/>
      <c r="T258" s="318"/>
      <c r="U258" s="318"/>
      <c r="V258" s="318"/>
      <c r="W258" s="318"/>
      <c r="X258" s="318"/>
      <c r="Y258" s="318"/>
      <c r="Z258" s="318"/>
    </row>
    <row r="259" spans="1:26" ht="15.75" customHeight="1">
      <c r="A259" s="1152">
        <v>253</v>
      </c>
      <c r="B259" s="259" t="s">
        <v>929</v>
      </c>
      <c r="C259" s="250" t="s">
        <v>1056</v>
      </c>
      <c r="D259" s="229">
        <v>0</v>
      </c>
      <c r="E259" s="229">
        <v>4</v>
      </c>
      <c r="F259" s="229">
        <v>4</v>
      </c>
      <c r="G259" s="1075">
        <v>25000</v>
      </c>
      <c r="H259" s="1075">
        <f t="shared" si="23"/>
        <v>100000</v>
      </c>
      <c r="I259" s="230" t="s">
        <v>768</v>
      </c>
      <c r="J259" s="270" t="s">
        <v>700</v>
      </c>
      <c r="K259" s="318"/>
      <c r="L259" s="318"/>
      <c r="M259" s="318"/>
      <c r="N259" s="318"/>
      <c r="O259" s="318"/>
      <c r="P259" s="318"/>
      <c r="Q259" s="318"/>
      <c r="R259" s="318"/>
      <c r="S259" s="318"/>
      <c r="T259" s="318"/>
      <c r="U259" s="318"/>
      <c r="V259" s="318"/>
      <c r="W259" s="318"/>
      <c r="X259" s="318"/>
      <c r="Y259" s="318"/>
      <c r="Z259" s="318"/>
    </row>
    <row r="260" spans="1:26" ht="15.75" customHeight="1">
      <c r="A260" s="1152">
        <v>254</v>
      </c>
      <c r="B260" s="259" t="s">
        <v>929</v>
      </c>
      <c r="C260" s="250" t="s">
        <v>1060</v>
      </c>
      <c r="D260" s="229">
        <v>2</v>
      </c>
      <c r="E260" s="229">
        <v>3</v>
      </c>
      <c r="F260" s="229">
        <v>1</v>
      </c>
      <c r="G260" s="1075">
        <v>100000</v>
      </c>
      <c r="H260" s="1075">
        <f t="shared" si="23"/>
        <v>100000</v>
      </c>
      <c r="I260" s="230" t="s">
        <v>752</v>
      </c>
      <c r="J260" s="270" t="s">
        <v>700</v>
      </c>
      <c r="K260" s="318"/>
      <c r="L260" s="318"/>
      <c r="M260" s="318"/>
      <c r="N260" s="318"/>
      <c r="O260" s="318"/>
      <c r="P260" s="318"/>
      <c r="Q260" s="318"/>
      <c r="R260" s="318"/>
      <c r="S260" s="318"/>
      <c r="T260" s="318"/>
      <c r="U260" s="318"/>
      <c r="V260" s="318"/>
      <c r="W260" s="318"/>
      <c r="X260" s="318"/>
      <c r="Y260" s="318"/>
      <c r="Z260" s="318"/>
    </row>
    <row r="261" spans="1:26" ht="15.75" customHeight="1">
      <c r="A261" s="1152">
        <v>255</v>
      </c>
      <c r="B261" s="259" t="s">
        <v>929</v>
      </c>
      <c r="C261" s="250" t="s">
        <v>1245</v>
      </c>
      <c r="D261" s="229">
        <v>2</v>
      </c>
      <c r="E261" s="229">
        <v>4</v>
      </c>
      <c r="F261" s="229">
        <v>2</v>
      </c>
      <c r="G261" s="1075">
        <v>50000</v>
      </c>
      <c r="H261" s="1075">
        <f t="shared" si="23"/>
        <v>100000</v>
      </c>
      <c r="I261" s="223" t="s">
        <v>1234</v>
      </c>
      <c r="J261" s="270" t="s">
        <v>700</v>
      </c>
      <c r="K261" s="318"/>
      <c r="L261" s="318"/>
      <c r="M261" s="318"/>
      <c r="N261" s="318"/>
      <c r="O261" s="318"/>
      <c r="P261" s="318"/>
      <c r="Q261" s="318"/>
      <c r="R261" s="318"/>
      <c r="S261" s="318"/>
      <c r="T261" s="318"/>
      <c r="U261" s="318"/>
      <c r="V261" s="318"/>
      <c r="W261" s="318"/>
      <c r="X261" s="318"/>
      <c r="Y261" s="318"/>
      <c r="Z261" s="318"/>
    </row>
    <row r="262" spans="1:26" ht="15.75" customHeight="1">
      <c r="A262" s="1152">
        <v>256</v>
      </c>
      <c r="B262" s="259" t="s">
        <v>929</v>
      </c>
      <c r="C262" s="223" t="s">
        <v>1246</v>
      </c>
      <c r="D262" s="229">
        <v>1</v>
      </c>
      <c r="E262" s="229">
        <v>1</v>
      </c>
      <c r="F262" s="229">
        <v>1</v>
      </c>
      <c r="G262" s="1078">
        <v>100000</v>
      </c>
      <c r="H262" s="1078">
        <f t="shared" si="23"/>
        <v>100000</v>
      </c>
      <c r="I262" s="223" t="s">
        <v>1234</v>
      </c>
      <c r="J262" s="270" t="s">
        <v>700</v>
      </c>
      <c r="K262" s="318"/>
      <c r="L262" s="318"/>
      <c r="M262" s="318"/>
      <c r="N262" s="318"/>
      <c r="O262" s="318"/>
      <c r="P262" s="318"/>
      <c r="Q262" s="318"/>
      <c r="R262" s="318"/>
      <c r="S262" s="318"/>
      <c r="T262" s="318"/>
      <c r="U262" s="318"/>
      <c r="V262" s="318"/>
      <c r="W262" s="318"/>
      <c r="X262" s="318"/>
      <c r="Y262" s="318"/>
      <c r="Z262" s="318"/>
    </row>
    <row r="263" spans="1:26" ht="15.75" customHeight="1">
      <c r="A263" s="1152">
        <v>257</v>
      </c>
      <c r="B263" s="259" t="s">
        <v>929</v>
      </c>
      <c r="C263" s="223" t="s">
        <v>1247</v>
      </c>
      <c r="D263" s="229">
        <v>1</v>
      </c>
      <c r="E263" s="229">
        <v>3</v>
      </c>
      <c r="F263" s="229">
        <v>2</v>
      </c>
      <c r="G263" s="1078">
        <v>34500</v>
      </c>
      <c r="H263" s="1078">
        <f t="shared" si="23"/>
        <v>69000</v>
      </c>
      <c r="I263" s="223" t="s">
        <v>1234</v>
      </c>
      <c r="J263" s="270" t="s">
        <v>700</v>
      </c>
      <c r="K263" s="318"/>
      <c r="L263" s="318"/>
      <c r="M263" s="318"/>
      <c r="N263" s="318"/>
      <c r="O263" s="318"/>
      <c r="P263" s="318"/>
      <c r="Q263" s="318"/>
      <c r="R263" s="318"/>
      <c r="S263" s="318"/>
      <c r="T263" s="318"/>
      <c r="U263" s="318"/>
      <c r="V263" s="318"/>
      <c r="W263" s="318"/>
      <c r="X263" s="318"/>
      <c r="Y263" s="318"/>
      <c r="Z263" s="318"/>
    </row>
    <row r="264" spans="1:26" ht="15.75" customHeight="1">
      <c r="A264" s="1152">
        <v>258</v>
      </c>
      <c r="B264" s="222" t="s">
        <v>929</v>
      </c>
      <c r="C264" s="250" t="s">
        <v>1058</v>
      </c>
      <c r="D264" s="229">
        <v>0</v>
      </c>
      <c r="E264" s="229">
        <v>1</v>
      </c>
      <c r="F264" s="229">
        <v>1</v>
      </c>
      <c r="G264" s="1075">
        <v>50000</v>
      </c>
      <c r="H264" s="1075">
        <f t="shared" si="23"/>
        <v>50000</v>
      </c>
      <c r="I264" s="230" t="s">
        <v>768</v>
      </c>
      <c r="J264" s="270" t="s">
        <v>700</v>
      </c>
      <c r="K264" s="318"/>
      <c r="L264" s="318"/>
      <c r="M264" s="318"/>
      <c r="N264" s="318"/>
      <c r="O264" s="318"/>
      <c r="P264" s="318"/>
      <c r="Q264" s="318"/>
      <c r="R264" s="318"/>
      <c r="S264" s="318"/>
      <c r="T264" s="318"/>
      <c r="U264" s="318"/>
      <c r="V264" s="318"/>
      <c r="W264" s="318"/>
      <c r="X264" s="318"/>
      <c r="Y264" s="318"/>
      <c r="Z264" s="318"/>
    </row>
    <row r="265" spans="1:26" ht="15.75" customHeight="1">
      <c r="A265" s="1152">
        <v>259</v>
      </c>
      <c r="B265" s="222" t="s">
        <v>929</v>
      </c>
      <c r="C265" s="223" t="s">
        <v>1248</v>
      </c>
      <c r="D265" s="229">
        <v>2</v>
      </c>
      <c r="E265" s="229">
        <v>4</v>
      </c>
      <c r="F265" s="229">
        <v>2</v>
      </c>
      <c r="G265" s="1078">
        <v>17250</v>
      </c>
      <c r="H265" s="1078">
        <f t="shared" si="23"/>
        <v>34500</v>
      </c>
      <c r="I265" s="223" t="s">
        <v>1234</v>
      </c>
      <c r="J265" s="270" t="s">
        <v>700</v>
      </c>
      <c r="K265" s="318"/>
      <c r="L265" s="318"/>
      <c r="M265" s="318"/>
      <c r="N265" s="318"/>
      <c r="O265" s="318"/>
      <c r="P265" s="318"/>
      <c r="Q265" s="318"/>
      <c r="R265" s="318"/>
      <c r="S265" s="318"/>
      <c r="T265" s="318"/>
      <c r="U265" s="318"/>
      <c r="V265" s="318"/>
      <c r="W265" s="318"/>
      <c r="X265" s="318"/>
      <c r="Y265" s="318"/>
      <c r="Z265" s="318"/>
    </row>
    <row r="266" spans="1:26" ht="15.75" customHeight="1">
      <c r="A266" s="1152">
        <v>260</v>
      </c>
      <c r="B266" s="222" t="s">
        <v>929</v>
      </c>
      <c r="C266" s="223" t="s">
        <v>1249</v>
      </c>
      <c r="D266" s="229">
        <v>0</v>
      </c>
      <c r="E266" s="229">
        <v>1</v>
      </c>
      <c r="F266" s="229">
        <v>1</v>
      </c>
      <c r="G266" s="1078">
        <v>11500</v>
      </c>
      <c r="H266" s="1078">
        <f t="shared" si="23"/>
        <v>11500</v>
      </c>
      <c r="I266" s="223" t="s">
        <v>768</v>
      </c>
      <c r="J266" s="270" t="s">
        <v>700</v>
      </c>
      <c r="K266" s="318"/>
      <c r="L266" s="318"/>
      <c r="M266" s="318"/>
      <c r="N266" s="318"/>
      <c r="O266" s="318"/>
      <c r="P266" s="318"/>
      <c r="Q266" s="318"/>
      <c r="R266" s="318"/>
      <c r="S266" s="318"/>
      <c r="T266" s="318"/>
      <c r="U266" s="318"/>
      <c r="V266" s="318"/>
      <c r="W266" s="318"/>
      <c r="X266" s="318"/>
      <c r="Y266" s="318"/>
      <c r="Z266" s="318"/>
    </row>
    <row r="267" spans="1:26" ht="15.75" customHeight="1">
      <c r="A267" s="1152">
        <v>261</v>
      </c>
      <c r="B267" s="283" t="s">
        <v>1250</v>
      </c>
      <c r="C267" s="426" t="s">
        <v>1251</v>
      </c>
      <c r="D267" s="283">
        <v>0</v>
      </c>
      <c r="E267" s="283">
        <v>1</v>
      </c>
      <c r="F267" s="283">
        <v>1</v>
      </c>
      <c r="G267" s="1121">
        <v>5000000</v>
      </c>
      <c r="H267" s="1121">
        <v>5000000</v>
      </c>
      <c r="I267" s="405"/>
      <c r="J267" s="432"/>
      <c r="K267" s="406"/>
      <c r="L267" s="406"/>
      <c r="M267" s="406"/>
      <c r="N267" s="406"/>
      <c r="O267" s="406"/>
      <c r="P267" s="406"/>
      <c r="Q267" s="406"/>
      <c r="R267" s="406"/>
      <c r="S267" s="406"/>
      <c r="T267" s="406"/>
      <c r="U267" s="406"/>
      <c r="V267" s="406"/>
      <c r="W267" s="406"/>
      <c r="X267" s="406"/>
      <c r="Y267" s="406"/>
      <c r="Z267" s="406"/>
    </row>
    <row r="268" spans="1:26" ht="15.75" customHeight="1">
      <c r="A268" s="1152">
        <v>262</v>
      </c>
      <c r="B268" s="404" t="s">
        <v>1250</v>
      </c>
      <c r="C268" s="282" t="s">
        <v>1252</v>
      </c>
      <c r="D268" s="404">
        <v>0</v>
      </c>
      <c r="E268" s="404">
        <v>1</v>
      </c>
      <c r="F268" s="404">
        <v>1</v>
      </c>
      <c r="G268" s="1082">
        <v>300000</v>
      </c>
      <c r="H268" s="1082">
        <f t="shared" ref="H268:H269" si="24">G268*F268</f>
        <v>300000</v>
      </c>
      <c r="I268" s="405" t="s">
        <v>1253</v>
      </c>
      <c r="J268" s="432" t="s">
        <v>704</v>
      </c>
      <c r="K268" s="406"/>
      <c r="L268" s="406"/>
      <c r="M268" s="406"/>
      <c r="N268" s="406"/>
      <c r="O268" s="406"/>
      <c r="P268" s="406"/>
      <c r="Q268" s="406"/>
      <c r="R268" s="406"/>
      <c r="S268" s="406"/>
      <c r="T268" s="406"/>
      <c r="U268" s="406"/>
      <c r="V268" s="406"/>
      <c r="W268" s="406"/>
      <c r="X268" s="406"/>
      <c r="Y268" s="406"/>
      <c r="Z268" s="406"/>
    </row>
    <row r="269" spans="1:26" ht="15.75" customHeight="1">
      <c r="A269" s="1152">
        <v>263</v>
      </c>
      <c r="B269" s="404" t="s">
        <v>1250</v>
      </c>
      <c r="C269" s="282" t="s">
        <v>1254</v>
      </c>
      <c r="D269" s="404">
        <v>0</v>
      </c>
      <c r="E269" s="404">
        <v>2</v>
      </c>
      <c r="F269" s="404">
        <v>2</v>
      </c>
      <c r="G269" s="1082">
        <v>100000</v>
      </c>
      <c r="H269" s="1082">
        <f t="shared" si="24"/>
        <v>200000</v>
      </c>
      <c r="I269" s="405" t="s">
        <v>1255</v>
      </c>
      <c r="J269" s="432" t="s">
        <v>704</v>
      </c>
      <c r="K269" s="406"/>
      <c r="L269" s="406"/>
      <c r="M269" s="406"/>
      <c r="N269" s="406"/>
      <c r="O269" s="406"/>
      <c r="P269" s="406"/>
      <c r="Q269" s="406"/>
      <c r="R269" s="406"/>
      <c r="S269" s="406"/>
      <c r="T269" s="406"/>
      <c r="U269" s="406"/>
      <c r="V269" s="406"/>
      <c r="W269" s="406"/>
      <c r="X269" s="406"/>
      <c r="Y269" s="406"/>
      <c r="Z269" s="406"/>
    </row>
    <row r="270" spans="1:26" ht="15.75" customHeight="1">
      <c r="A270" s="1152">
        <v>264</v>
      </c>
      <c r="B270" s="404" t="s">
        <v>1250</v>
      </c>
      <c r="C270" s="282" t="s">
        <v>1230</v>
      </c>
      <c r="D270" s="404">
        <v>0</v>
      </c>
      <c r="E270" s="404">
        <v>1</v>
      </c>
      <c r="F270" s="404">
        <v>1</v>
      </c>
      <c r="G270" s="1082">
        <v>200000</v>
      </c>
      <c r="H270" s="1082">
        <v>200000</v>
      </c>
      <c r="I270" s="405"/>
      <c r="J270" s="432" t="s">
        <v>704</v>
      </c>
      <c r="K270" s="406"/>
      <c r="L270" s="406"/>
      <c r="M270" s="406"/>
      <c r="N270" s="406"/>
      <c r="O270" s="406"/>
      <c r="P270" s="406"/>
      <c r="Q270" s="406"/>
      <c r="R270" s="406"/>
      <c r="S270" s="406"/>
      <c r="T270" s="406"/>
      <c r="U270" s="406"/>
      <c r="V270" s="406"/>
      <c r="W270" s="406"/>
      <c r="X270" s="406"/>
      <c r="Y270" s="406"/>
      <c r="Z270" s="406"/>
    </row>
    <row r="271" spans="1:26" ht="15.75" customHeight="1">
      <c r="A271" s="1152">
        <v>265</v>
      </c>
      <c r="B271" s="366" t="s">
        <v>766</v>
      </c>
      <c r="C271" s="367" t="s">
        <v>1256</v>
      </c>
      <c r="D271" s="366"/>
      <c r="E271" s="366">
        <v>2</v>
      </c>
      <c r="F271" s="366">
        <v>2</v>
      </c>
      <c r="G271" s="1108">
        <v>800000</v>
      </c>
      <c r="H271" s="1108">
        <v>1600000</v>
      </c>
      <c r="I271" s="369" t="s">
        <v>1257</v>
      </c>
      <c r="J271" s="433"/>
      <c r="K271" s="318"/>
      <c r="L271" s="318"/>
      <c r="M271" s="318"/>
      <c r="N271" s="318"/>
      <c r="O271" s="318"/>
      <c r="P271" s="318"/>
      <c r="Q271" s="318"/>
      <c r="R271" s="318"/>
      <c r="S271" s="318"/>
      <c r="T271" s="318"/>
      <c r="U271" s="318"/>
      <c r="V271" s="318"/>
      <c r="W271" s="318"/>
      <c r="X271" s="318"/>
      <c r="Y271" s="318"/>
      <c r="Z271" s="318"/>
    </row>
    <row r="272" spans="1:26" ht="15.75" customHeight="1">
      <c r="A272" s="1152">
        <v>266</v>
      </c>
      <c r="B272" s="366" t="s">
        <v>766</v>
      </c>
      <c r="C272" s="367" t="s">
        <v>1258</v>
      </c>
      <c r="D272" s="366"/>
      <c r="E272" s="366">
        <v>5</v>
      </c>
      <c r="F272" s="366">
        <v>5</v>
      </c>
      <c r="G272" s="1108">
        <v>250000</v>
      </c>
      <c r="H272" s="1108">
        <v>1250000</v>
      </c>
      <c r="I272" s="369" t="s">
        <v>1017</v>
      </c>
      <c r="J272" s="433"/>
      <c r="K272" s="318"/>
      <c r="L272" s="318"/>
      <c r="M272" s="318"/>
      <c r="N272" s="318"/>
      <c r="O272" s="318"/>
      <c r="P272" s="318"/>
      <c r="Q272" s="318"/>
      <c r="R272" s="318"/>
      <c r="S272" s="318"/>
      <c r="T272" s="318"/>
      <c r="U272" s="318"/>
      <c r="V272" s="318"/>
      <c r="W272" s="318"/>
      <c r="X272" s="318"/>
      <c r="Y272" s="318"/>
      <c r="Z272" s="318"/>
    </row>
    <row r="273" spans="1:26" ht="15.75" customHeight="1">
      <c r="A273" s="1152">
        <v>267</v>
      </c>
      <c r="B273" s="262" t="s">
        <v>766</v>
      </c>
      <c r="C273" s="261" t="s">
        <v>1259</v>
      </c>
      <c r="D273" s="229"/>
      <c r="E273" s="262">
        <v>1</v>
      </c>
      <c r="F273" s="262">
        <v>1</v>
      </c>
      <c r="G273" s="1077">
        <v>200000</v>
      </c>
      <c r="H273" s="1077">
        <v>200000</v>
      </c>
      <c r="I273" s="230" t="s">
        <v>1260</v>
      </c>
      <c r="J273" s="232"/>
      <c r="K273" s="318"/>
      <c r="L273" s="318"/>
      <c r="M273" s="318"/>
      <c r="N273" s="318"/>
      <c r="O273" s="318"/>
      <c r="P273" s="318"/>
      <c r="Q273" s="318"/>
      <c r="R273" s="318"/>
      <c r="S273" s="318"/>
      <c r="T273" s="318"/>
      <c r="U273" s="318"/>
      <c r="V273" s="318"/>
      <c r="W273" s="318"/>
      <c r="X273" s="318"/>
      <c r="Y273" s="318"/>
      <c r="Z273" s="318"/>
    </row>
    <row r="274" spans="1:26" ht="15.75" customHeight="1">
      <c r="A274" s="1152">
        <v>268</v>
      </c>
      <c r="B274" s="233" t="s">
        <v>1261</v>
      </c>
      <c r="C274" s="239" t="s">
        <v>1262</v>
      </c>
      <c r="D274" s="280">
        <v>86</v>
      </c>
      <c r="E274" s="280">
        <v>136</v>
      </c>
      <c r="F274" s="280">
        <v>50</v>
      </c>
      <c r="G274" s="1076">
        <v>15000</v>
      </c>
      <c r="H274" s="1076">
        <v>750000</v>
      </c>
      <c r="I274" s="239" t="s">
        <v>1263</v>
      </c>
      <c r="J274" s="434" t="s">
        <v>671</v>
      </c>
      <c r="K274" s="358"/>
      <c r="L274" s="358"/>
      <c r="M274" s="358"/>
      <c r="N274" s="358"/>
      <c r="O274" s="358"/>
      <c r="P274" s="358"/>
      <c r="Q274" s="358"/>
      <c r="R274" s="358"/>
      <c r="S274" s="358"/>
      <c r="T274" s="358"/>
      <c r="U274" s="358"/>
      <c r="V274" s="358"/>
      <c r="W274" s="358"/>
      <c r="X274" s="358"/>
      <c r="Y274" s="358"/>
      <c r="Z274" s="358"/>
    </row>
    <row r="275" spans="1:26" ht="15.75" customHeight="1">
      <c r="A275" s="1152">
        <v>269</v>
      </c>
      <c r="B275" s="355" t="s">
        <v>1264</v>
      </c>
      <c r="C275" s="356" t="s">
        <v>1265</v>
      </c>
      <c r="D275" s="356">
        <v>15</v>
      </c>
      <c r="E275" s="435">
        <v>15</v>
      </c>
      <c r="F275" s="436">
        <v>15</v>
      </c>
      <c r="G275" s="1113">
        <v>350000</v>
      </c>
      <c r="H275" s="1113">
        <v>5250000</v>
      </c>
      <c r="I275" s="356"/>
      <c r="J275" s="437"/>
      <c r="K275" s="358"/>
      <c r="L275" s="358"/>
      <c r="M275" s="358"/>
      <c r="N275" s="358"/>
      <c r="O275" s="358"/>
      <c r="P275" s="358"/>
      <c r="Q275" s="358"/>
      <c r="R275" s="358"/>
      <c r="S275" s="358"/>
      <c r="T275" s="358"/>
      <c r="U275" s="358"/>
      <c r="V275" s="358"/>
      <c r="W275" s="358"/>
      <c r="X275" s="358"/>
      <c r="Y275" s="358"/>
      <c r="Z275" s="358"/>
    </row>
    <row r="276" spans="1:26" ht="15.75" customHeight="1">
      <c r="A276" s="1152">
        <v>270</v>
      </c>
      <c r="B276" s="355" t="s">
        <v>1264</v>
      </c>
      <c r="C276" s="356" t="s">
        <v>1266</v>
      </c>
      <c r="D276" s="356">
        <v>7</v>
      </c>
      <c r="E276" s="355">
        <v>22</v>
      </c>
      <c r="F276" s="355">
        <v>10</v>
      </c>
      <c r="G276" s="1103">
        <v>300000</v>
      </c>
      <c r="H276" s="1103">
        <f>G276*F276</f>
        <v>3000000</v>
      </c>
      <c r="I276" s="359" t="s">
        <v>1267</v>
      </c>
      <c r="J276" s="437"/>
      <c r="K276" s="358"/>
      <c r="L276" s="358"/>
      <c r="M276" s="358"/>
      <c r="N276" s="358"/>
      <c r="O276" s="358"/>
      <c r="P276" s="358"/>
      <c r="Q276" s="358"/>
      <c r="R276" s="358"/>
      <c r="S276" s="358"/>
      <c r="T276" s="358"/>
      <c r="U276" s="358"/>
      <c r="V276" s="358"/>
      <c r="W276" s="358"/>
      <c r="X276" s="358"/>
      <c r="Y276" s="358"/>
      <c r="Z276" s="358"/>
    </row>
    <row r="277" spans="1:26" ht="15.75" customHeight="1">
      <c r="A277" s="1152">
        <v>271</v>
      </c>
      <c r="B277" s="355" t="s">
        <v>1264</v>
      </c>
      <c r="C277" s="356" t="s">
        <v>66</v>
      </c>
      <c r="D277" s="356"/>
      <c r="E277" s="355"/>
      <c r="F277" s="355">
        <v>4</v>
      </c>
      <c r="G277" s="1103">
        <v>600000</v>
      </c>
      <c r="H277" s="1103">
        <v>2400000</v>
      </c>
      <c r="I277" s="359" t="s">
        <v>1268</v>
      </c>
      <c r="J277" s="437"/>
      <c r="K277" s="358"/>
      <c r="L277" s="358"/>
      <c r="M277" s="358"/>
      <c r="N277" s="358"/>
      <c r="O277" s="358"/>
      <c r="P277" s="358"/>
      <c r="Q277" s="358"/>
      <c r="R277" s="358"/>
      <c r="S277" s="358"/>
      <c r="T277" s="358"/>
      <c r="U277" s="358"/>
      <c r="V277" s="358"/>
      <c r="W277" s="358"/>
      <c r="X277" s="358"/>
      <c r="Y277" s="358"/>
      <c r="Z277" s="358"/>
    </row>
    <row r="278" spans="1:26" ht="15.75" customHeight="1">
      <c r="A278" s="1152">
        <v>272</v>
      </c>
      <c r="B278" s="355" t="s">
        <v>1264</v>
      </c>
      <c r="C278" s="356" t="s">
        <v>1269</v>
      </c>
      <c r="D278" s="356"/>
      <c r="E278" s="355"/>
      <c r="F278" s="355">
        <v>6</v>
      </c>
      <c r="G278" s="1113">
        <v>300000</v>
      </c>
      <c r="H278" s="1103">
        <v>1800000</v>
      </c>
      <c r="I278" s="356" t="s">
        <v>1267</v>
      </c>
      <c r="J278" s="437"/>
      <c r="K278" s="358"/>
      <c r="L278" s="358"/>
      <c r="M278" s="358"/>
      <c r="N278" s="358"/>
      <c r="O278" s="358"/>
      <c r="P278" s="358"/>
      <c r="Q278" s="358"/>
      <c r="R278" s="358"/>
      <c r="S278" s="358"/>
      <c r="T278" s="358"/>
      <c r="U278" s="358"/>
      <c r="V278" s="358"/>
      <c r="W278" s="358"/>
      <c r="X278" s="358"/>
      <c r="Y278" s="358"/>
      <c r="Z278" s="358"/>
    </row>
    <row r="279" spans="1:26" ht="15.75" customHeight="1">
      <c r="A279" s="1152">
        <v>273</v>
      </c>
      <c r="B279" s="355" t="s">
        <v>1264</v>
      </c>
      <c r="C279" s="356" t="s">
        <v>1270</v>
      </c>
      <c r="D279" s="356"/>
      <c r="E279" s="355"/>
      <c r="F279" s="355">
        <v>6</v>
      </c>
      <c r="G279" s="1113">
        <v>200000</v>
      </c>
      <c r="H279" s="1103">
        <v>1200000</v>
      </c>
      <c r="I279" s="356"/>
      <c r="J279" s="437"/>
      <c r="K279" s="358"/>
      <c r="L279" s="358"/>
      <c r="M279" s="358"/>
      <c r="N279" s="358"/>
      <c r="O279" s="358"/>
      <c r="P279" s="358"/>
      <c r="Q279" s="358"/>
      <c r="R279" s="358"/>
      <c r="S279" s="358"/>
      <c r="T279" s="358"/>
      <c r="U279" s="358"/>
      <c r="V279" s="358"/>
      <c r="W279" s="358"/>
      <c r="X279" s="358"/>
      <c r="Y279" s="358"/>
      <c r="Z279" s="358"/>
    </row>
    <row r="280" spans="1:26" ht="15.75" customHeight="1">
      <c r="A280" s="1152">
        <v>274</v>
      </c>
      <c r="B280" s="235" t="s">
        <v>1264</v>
      </c>
      <c r="C280" s="294" t="s">
        <v>975</v>
      </c>
      <c r="D280" s="294"/>
      <c r="E280" s="294"/>
      <c r="F280" s="294">
        <v>3</v>
      </c>
      <c r="G280" s="1107">
        <v>200000</v>
      </c>
      <c r="H280" s="1107">
        <f t="shared" ref="H280:H281" si="25">F280*G280</f>
        <v>600000</v>
      </c>
      <c r="I280" s="294"/>
      <c r="J280" s="438"/>
      <c r="K280" s="358"/>
      <c r="L280" s="358"/>
      <c r="M280" s="358"/>
      <c r="N280" s="358"/>
      <c r="O280" s="358"/>
      <c r="P280" s="358"/>
      <c r="Q280" s="358"/>
      <c r="R280" s="358"/>
      <c r="S280" s="358"/>
      <c r="T280" s="358"/>
      <c r="U280" s="358"/>
      <c r="V280" s="358"/>
      <c r="W280" s="358"/>
      <c r="X280" s="358"/>
      <c r="Y280" s="358"/>
      <c r="Z280" s="358"/>
    </row>
    <row r="281" spans="1:26" ht="15.75" customHeight="1">
      <c r="A281" s="1152">
        <v>275</v>
      </c>
      <c r="B281" s="235" t="s">
        <v>1264</v>
      </c>
      <c r="C281" s="294" t="s">
        <v>1271</v>
      </c>
      <c r="D281" s="294"/>
      <c r="E281" s="294"/>
      <c r="F281" s="294">
        <v>5</v>
      </c>
      <c r="G281" s="1107">
        <v>100000</v>
      </c>
      <c r="H281" s="1107">
        <f t="shared" si="25"/>
        <v>500000</v>
      </c>
      <c r="I281" s="294"/>
      <c r="J281" s="438"/>
      <c r="K281" s="358"/>
      <c r="L281" s="358"/>
      <c r="M281" s="358"/>
      <c r="N281" s="358"/>
      <c r="O281" s="358"/>
      <c r="P281" s="358"/>
      <c r="Q281" s="358"/>
      <c r="R281" s="358"/>
      <c r="S281" s="358"/>
      <c r="T281" s="358"/>
      <c r="U281" s="358"/>
      <c r="V281" s="358"/>
      <c r="W281" s="358"/>
      <c r="X281" s="358"/>
      <c r="Y281" s="358"/>
      <c r="Z281" s="358"/>
    </row>
    <row r="282" spans="1:26" ht="15.75" customHeight="1">
      <c r="A282" s="1152">
        <v>276</v>
      </c>
      <c r="B282" s="235" t="s">
        <v>1264</v>
      </c>
      <c r="C282" s="294" t="s">
        <v>1272</v>
      </c>
      <c r="D282" s="294"/>
      <c r="E282" s="280"/>
      <c r="F282" s="280">
        <v>2</v>
      </c>
      <c r="G282" s="1107">
        <v>200000</v>
      </c>
      <c r="H282" s="1105">
        <f t="shared" ref="H282:H283" si="26">G282*F282</f>
        <v>400000</v>
      </c>
      <c r="I282" s="294"/>
      <c r="J282" s="381" t="s">
        <v>1273</v>
      </c>
      <c r="K282" s="358"/>
      <c r="L282" s="358"/>
      <c r="M282" s="358"/>
      <c r="N282" s="358"/>
      <c r="O282" s="358"/>
      <c r="P282" s="358"/>
      <c r="Q282" s="358"/>
      <c r="R282" s="358"/>
      <c r="S282" s="358"/>
      <c r="T282" s="358"/>
      <c r="U282" s="358"/>
      <c r="V282" s="358"/>
      <c r="W282" s="358"/>
      <c r="X282" s="358"/>
      <c r="Y282" s="358"/>
      <c r="Z282" s="358"/>
    </row>
    <row r="283" spans="1:26" ht="15.75" customHeight="1">
      <c r="A283" s="1152">
        <v>277</v>
      </c>
      <c r="B283" s="235" t="s">
        <v>1264</v>
      </c>
      <c r="C283" s="294" t="s">
        <v>1274</v>
      </c>
      <c r="D283" s="294"/>
      <c r="E283" s="280"/>
      <c r="F283" s="280">
        <v>2</v>
      </c>
      <c r="G283" s="1105">
        <v>150000</v>
      </c>
      <c r="H283" s="1105">
        <f t="shared" si="26"/>
        <v>300000</v>
      </c>
      <c r="I283" s="239"/>
      <c r="J283" s="381" t="s">
        <v>1273</v>
      </c>
      <c r="K283" s="358"/>
      <c r="L283" s="358"/>
      <c r="M283" s="358"/>
      <c r="N283" s="358"/>
      <c r="O283" s="358"/>
      <c r="P283" s="358"/>
      <c r="Q283" s="358"/>
      <c r="R283" s="358"/>
      <c r="S283" s="358"/>
      <c r="T283" s="358"/>
      <c r="U283" s="358"/>
      <c r="V283" s="358"/>
      <c r="W283" s="358"/>
      <c r="X283" s="358"/>
      <c r="Y283" s="358"/>
      <c r="Z283" s="358"/>
    </row>
    <row r="284" spans="1:26" ht="15.75" customHeight="1">
      <c r="A284" s="1152">
        <v>278</v>
      </c>
      <c r="B284" s="235" t="s">
        <v>1264</v>
      </c>
      <c r="C284" s="294" t="s">
        <v>1275</v>
      </c>
      <c r="D284" s="294"/>
      <c r="E284" s="294"/>
      <c r="F284" s="294">
        <v>3</v>
      </c>
      <c r="G284" s="1107">
        <v>100000</v>
      </c>
      <c r="H284" s="1107">
        <f>F284*G284</f>
        <v>300000</v>
      </c>
      <c r="I284" s="294"/>
      <c r="J284" s="438"/>
      <c r="K284" s="358"/>
      <c r="L284" s="358"/>
      <c r="M284" s="358"/>
      <c r="N284" s="358"/>
      <c r="O284" s="358"/>
      <c r="P284" s="358"/>
      <c r="Q284" s="358"/>
      <c r="R284" s="358"/>
      <c r="S284" s="358"/>
      <c r="T284" s="358"/>
      <c r="U284" s="358"/>
      <c r="V284" s="358"/>
      <c r="W284" s="358"/>
      <c r="X284" s="358"/>
      <c r="Y284" s="358"/>
      <c r="Z284" s="358"/>
    </row>
    <row r="285" spans="1:26" ht="15.75" customHeight="1">
      <c r="A285" s="1152">
        <v>279</v>
      </c>
      <c r="B285" s="235" t="s">
        <v>1264</v>
      </c>
      <c r="C285" s="294" t="s">
        <v>1276</v>
      </c>
      <c r="D285" s="294"/>
      <c r="E285" s="280"/>
      <c r="F285" s="280">
        <v>1</v>
      </c>
      <c r="G285" s="1105">
        <v>200000</v>
      </c>
      <c r="H285" s="1105">
        <f>G285*F285</f>
        <v>200000</v>
      </c>
      <c r="I285" s="239" t="s">
        <v>1277</v>
      </c>
      <c r="J285" s="381" t="s">
        <v>1273</v>
      </c>
      <c r="K285" s="358"/>
      <c r="L285" s="358"/>
      <c r="M285" s="358"/>
      <c r="N285" s="358"/>
      <c r="O285" s="358"/>
      <c r="P285" s="358"/>
      <c r="Q285" s="358"/>
      <c r="R285" s="358"/>
      <c r="S285" s="358"/>
      <c r="T285" s="358"/>
      <c r="U285" s="358"/>
      <c r="V285" s="358"/>
      <c r="W285" s="358"/>
      <c r="X285" s="358"/>
      <c r="Y285" s="358"/>
      <c r="Z285" s="358"/>
    </row>
    <row r="286" spans="1:26" ht="15.75" customHeight="1">
      <c r="A286" s="1152">
        <v>280</v>
      </c>
      <c r="B286" s="355" t="s">
        <v>1278</v>
      </c>
      <c r="C286" s="356" t="s">
        <v>1279</v>
      </c>
      <c r="D286" s="356"/>
      <c r="E286" s="355"/>
      <c r="F286" s="355">
        <v>100</v>
      </c>
      <c r="G286" s="1113">
        <v>31700</v>
      </c>
      <c r="H286" s="1103">
        <v>3170000</v>
      </c>
      <c r="I286" s="356"/>
      <c r="J286" s="437"/>
      <c r="K286" s="358"/>
      <c r="L286" s="358"/>
      <c r="M286" s="358"/>
      <c r="N286" s="358"/>
      <c r="O286" s="358"/>
      <c r="P286" s="358"/>
      <c r="Q286" s="358"/>
      <c r="R286" s="358"/>
      <c r="S286" s="358"/>
      <c r="T286" s="358"/>
      <c r="U286" s="358"/>
      <c r="V286" s="358"/>
      <c r="W286" s="358"/>
      <c r="X286" s="358"/>
      <c r="Y286" s="358"/>
      <c r="Z286" s="358"/>
    </row>
    <row r="287" spans="1:26" ht="15.75" customHeight="1">
      <c r="A287" s="1152">
        <v>281</v>
      </c>
      <c r="B287" s="355" t="s">
        <v>1278</v>
      </c>
      <c r="C287" s="356" t="s">
        <v>1280</v>
      </c>
      <c r="D287" s="356"/>
      <c r="E287" s="355"/>
      <c r="F287" s="355">
        <v>100</v>
      </c>
      <c r="G287" s="1113">
        <v>25000</v>
      </c>
      <c r="H287" s="1103">
        <v>2500000</v>
      </c>
      <c r="I287" s="356"/>
      <c r="J287" s="437"/>
      <c r="K287" s="358"/>
      <c r="L287" s="358"/>
      <c r="M287" s="358"/>
      <c r="N287" s="358"/>
      <c r="O287" s="358"/>
      <c r="P287" s="358"/>
      <c r="Q287" s="358"/>
      <c r="R287" s="358"/>
      <c r="S287" s="358"/>
      <c r="T287" s="358"/>
      <c r="U287" s="358"/>
      <c r="V287" s="358"/>
      <c r="W287" s="358"/>
      <c r="X287" s="358"/>
      <c r="Y287" s="358"/>
      <c r="Z287" s="358"/>
    </row>
    <row r="288" spans="1:26" ht="15.75" customHeight="1">
      <c r="A288" s="1152">
        <v>282</v>
      </c>
      <c r="B288" s="235" t="s">
        <v>1278</v>
      </c>
      <c r="C288" s="294" t="s">
        <v>1281</v>
      </c>
      <c r="D288" s="294"/>
      <c r="E288" s="280"/>
      <c r="F288" s="280">
        <v>10</v>
      </c>
      <c r="G288" s="1107">
        <v>70000</v>
      </c>
      <c r="H288" s="1105">
        <f t="shared" ref="H288:H293" si="27">G288*F288</f>
        <v>700000</v>
      </c>
      <c r="I288" s="294"/>
      <c r="J288" s="381" t="s">
        <v>704</v>
      </c>
      <c r="K288" s="358"/>
      <c r="L288" s="358"/>
      <c r="M288" s="358"/>
      <c r="N288" s="358"/>
      <c r="O288" s="358"/>
      <c r="P288" s="358"/>
      <c r="Q288" s="358"/>
      <c r="R288" s="358"/>
      <c r="S288" s="358"/>
      <c r="T288" s="358"/>
      <c r="U288" s="358"/>
      <c r="V288" s="358"/>
      <c r="W288" s="358"/>
      <c r="X288" s="358"/>
      <c r="Y288" s="358"/>
      <c r="Z288" s="358"/>
    </row>
    <row r="289" spans="1:26" ht="15.75" customHeight="1">
      <c r="A289" s="1152">
        <v>283</v>
      </c>
      <c r="B289" s="235" t="s">
        <v>1278</v>
      </c>
      <c r="C289" s="294" t="s">
        <v>1282</v>
      </c>
      <c r="D289" s="294"/>
      <c r="E289" s="280"/>
      <c r="F289" s="280">
        <v>1</v>
      </c>
      <c r="G289" s="1107">
        <v>645000</v>
      </c>
      <c r="H289" s="1105">
        <f t="shared" si="27"/>
        <v>645000</v>
      </c>
      <c r="I289" s="294"/>
      <c r="J289" s="381" t="s">
        <v>671</v>
      </c>
      <c r="K289" s="358"/>
      <c r="L289" s="358"/>
      <c r="M289" s="358"/>
      <c r="N289" s="358"/>
      <c r="O289" s="358"/>
      <c r="P289" s="358"/>
      <c r="Q289" s="358"/>
      <c r="R289" s="358"/>
      <c r="S289" s="358"/>
      <c r="T289" s="358"/>
      <c r="U289" s="358"/>
      <c r="V289" s="358"/>
      <c r="W289" s="358"/>
      <c r="X289" s="358"/>
      <c r="Y289" s="358"/>
      <c r="Z289" s="358"/>
    </row>
    <row r="290" spans="1:26" ht="15.75" customHeight="1">
      <c r="A290" s="1152">
        <v>284</v>
      </c>
      <c r="B290" s="235" t="s">
        <v>1278</v>
      </c>
      <c r="C290" s="294" t="s">
        <v>1283</v>
      </c>
      <c r="D290" s="294"/>
      <c r="E290" s="280"/>
      <c r="F290" s="280">
        <v>9</v>
      </c>
      <c r="G290" s="1107">
        <v>67500</v>
      </c>
      <c r="H290" s="1105">
        <f t="shared" si="27"/>
        <v>607500</v>
      </c>
      <c r="I290" s="294" t="s">
        <v>1284</v>
      </c>
      <c r="J290" s="381" t="s">
        <v>704</v>
      </c>
      <c r="K290" s="358"/>
      <c r="L290" s="358"/>
      <c r="M290" s="358"/>
      <c r="N290" s="358"/>
      <c r="O290" s="358"/>
      <c r="P290" s="358"/>
      <c r="Q290" s="358"/>
      <c r="R290" s="358"/>
      <c r="S290" s="358"/>
      <c r="T290" s="358"/>
      <c r="U290" s="358"/>
      <c r="V290" s="358"/>
      <c r="W290" s="358"/>
      <c r="X290" s="358"/>
      <c r="Y290" s="358"/>
      <c r="Z290" s="358"/>
    </row>
    <row r="291" spans="1:26" ht="15.75" customHeight="1">
      <c r="A291" s="1152">
        <v>285</v>
      </c>
      <c r="B291" s="235" t="s">
        <v>1278</v>
      </c>
      <c r="C291" s="294" t="s">
        <v>1285</v>
      </c>
      <c r="D291" s="294"/>
      <c r="E291" s="280"/>
      <c r="F291" s="280">
        <v>9</v>
      </c>
      <c r="G291" s="1107">
        <v>67500</v>
      </c>
      <c r="H291" s="1105">
        <f t="shared" si="27"/>
        <v>607500</v>
      </c>
      <c r="I291" s="294" t="s">
        <v>1284</v>
      </c>
      <c r="J291" s="381" t="s">
        <v>704</v>
      </c>
      <c r="K291" s="358"/>
      <c r="L291" s="358"/>
      <c r="M291" s="358"/>
      <c r="N291" s="358"/>
      <c r="O291" s="358"/>
      <c r="P291" s="358"/>
      <c r="Q291" s="358"/>
      <c r="R291" s="358"/>
      <c r="S291" s="358"/>
      <c r="T291" s="358"/>
      <c r="U291" s="358"/>
      <c r="V291" s="358"/>
      <c r="W291" s="358"/>
      <c r="X291" s="358"/>
      <c r="Y291" s="358"/>
      <c r="Z291" s="358"/>
    </row>
    <row r="292" spans="1:26" ht="15.75" customHeight="1">
      <c r="A292" s="1152">
        <v>286</v>
      </c>
      <c r="B292" s="235" t="s">
        <v>1278</v>
      </c>
      <c r="C292" s="294" t="s">
        <v>1286</v>
      </c>
      <c r="D292" s="294"/>
      <c r="E292" s="280"/>
      <c r="F292" s="280">
        <v>1</v>
      </c>
      <c r="G292" s="1107">
        <v>350000</v>
      </c>
      <c r="H292" s="1105">
        <f t="shared" si="27"/>
        <v>350000</v>
      </c>
      <c r="I292" s="294"/>
      <c r="J292" s="381" t="s">
        <v>704</v>
      </c>
      <c r="K292" s="358"/>
      <c r="L292" s="358"/>
      <c r="M292" s="358"/>
      <c r="N292" s="358"/>
      <c r="O292" s="358"/>
      <c r="P292" s="358"/>
      <c r="Q292" s="358"/>
      <c r="R292" s="358"/>
      <c r="S292" s="358"/>
      <c r="T292" s="358"/>
      <c r="U292" s="358"/>
      <c r="V292" s="358"/>
      <c r="W292" s="358"/>
      <c r="X292" s="358"/>
      <c r="Y292" s="358"/>
      <c r="Z292" s="358"/>
    </row>
    <row r="293" spans="1:26" ht="15.75" customHeight="1">
      <c r="A293" s="1152">
        <v>287</v>
      </c>
      <c r="B293" s="235" t="s">
        <v>1278</v>
      </c>
      <c r="C293" s="294" t="s">
        <v>1287</v>
      </c>
      <c r="D293" s="294"/>
      <c r="E293" s="280"/>
      <c r="F293" s="280">
        <v>2</v>
      </c>
      <c r="G293" s="1107">
        <v>125000</v>
      </c>
      <c r="H293" s="1105">
        <f t="shared" si="27"/>
        <v>250000</v>
      </c>
      <c r="I293" s="294"/>
      <c r="J293" s="381" t="s">
        <v>671</v>
      </c>
      <c r="K293" s="358"/>
      <c r="L293" s="358"/>
      <c r="M293" s="358"/>
      <c r="N293" s="358"/>
      <c r="O293" s="358"/>
      <c r="P293" s="358"/>
      <c r="Q293" s="358"/>
      <c r="R293" s="358"/>
      <c r="S293" s="358"/>
      <c r="T293" s="358"/>
      <c r="U293" s="358"/>
      <c r="V293" s="358"/>
      <c r="W293" s="358"/>
      <c r="X293" s="358"/>
      <c r="Y293" s="358"/>
      <c r="Z293" s="358"/>
    </row>
    <row r="294" spans="1:26" ht="15.75" customHeight="1">
      <c r="A294" s="307"/>
      <c r="B294" s="307"/>
      <c r="C294" s="306"/>
      <c r="D294" s="307"/>
      <c r="E294" s="307"/>
      <c r="F294" s="307"/>
      <c r="G294" s="1049"/>
      <c r="H294" s="1049"/>
      <c r="I294" s="306"/>
      <c r="J294" s="306"/>
      <c r="K294" s="306"/>
      <c r="L294" s="306"/>
      <c r="M294" s="306"/>
      <c r="N294" s="306"/>
      <c r="O294" s="306"/>
      <c r="P294" s="306"/>
      <c r="Q294" s="306"/>
      <c r="R294" s="306"/>
      <c r="S294" s="306"/>
      <c r="T294" s="306"/>
      <c r="U294" s="306"/>
      <c r="V294" s="306"/>
      <c r="W294" s="306"/>
      <c r="X294" s="306"/>
      <c r="Y294" s="306"/>
      <c r="Z294" s="306"/>
    </row>
    <row r="295" spans="1:26" ht="15.75" customHeight="1">
      <c r="A295" s="307"/>
      <c r="B295" s="307"/>
      <c r="C295" s="306"/>
      <c r="D295" s="307"/>
      <c r="E295" s="307"/>
      <c r="F295" s="307"/>
      <c r="G295" s="1049"/>
      <c r="H295" s="1049">
        <f>SUM(H7:H293)</f>
        <v>393446750</v>
      </c>
      <c r="I295" s="306"/>
      <c r="J295" s="306"/>
      <c r="K295" s="306"/>
      <c r="L295" s="306"/>
      <c r="M295" s="306"/>
      <c r="N295" s="306"/>
      <c r="O295" s="306"/>
      <c r="P295" s="306"/>
      <c r="Q295" s="306"/>
      <c r="R295" s="306"/>
      <c r="S295" s="306"/>
      <c r="T295" s="306"/>
      <c r="U295" s="306"/>
      <c r="V295" s="306"/>
      <c r="W295" s="306"/>
      <c r="X295" s="306"/>
      <c r="Y295" s="306"/>
      <c r="Z295" s="306"/>
    </row>
    <row r="296" spans="1:26" ht="15.75" customHeight="1">
      <c r="A296" s="307"/>
      <c r="B296" s="307"/>
      <c r="C296" s="306"/>
      <c r="D296" s="307"/>
      <c r="E296" s="307"/>
      <c r="F296" s="307"/>
      <c r="G296" s="1049"/>
      <c r="H296" s="1049"/>
      <c r="I296" s="306"/>
      <c r="J296" s="306"/>
      <c r="K296" s="306"/>
      <c r="L296" s="306"/>
      <c r="M296" s="306"/>
      <c r="N296" s="306"/>
      <c r="O296" s="306"/>
      <c r="P296" s="306"/>
      <c r="Q296" s="306"/>
      <c r="R296" s="306"/>
      <c r="S296" s="306"/>
      <c r="T296" s="306"/>
      <c r="U296" s="306"/>
      <c r="V296" s="306"/>
      <c r="W296" s="306"/>
      <c r="X296" s="306"/>
      <c r="Y296" s="306"/>
      <c r="Z296" s="306"/>
    </row>
    <row r="297" spans="1:26" ht="15.75" customHeight="1">
      <c r="A297" s="307"/>
      <c r="B297" s="307"/>
      <c r="C297" s="306"/>
      <c r="D297" s="307"/>
      <c r="E297" s="307"/>
      <c r="F297" s="307"/>
      <c r="G297" s="1170"/>
      <c r="H297" s="1049"/>
      <c r="I297" s="297"/>
      <c r="J297" s="306"/>
      <c r="K297" s="306"/>
      <c r="L297" s="306"/>
      <c r="M297" s="306"/>
      <c r="N297" s="306"/>
      <c r="O297" s="306"/>
      <c r="P297" s="306"/>
      <c r="Q297" s="306"/>
      <c r="R297" s="306"/>
      <c r="S297" s="306"/>
      <c r="T297" s="306"/>
      <c r="U297" s="306"/>
      <c r="V297" s="306"/>
      <c r="W297" s="306"/>
      <c r="X297" s="306"/>
      <c r="Y297" s="306"/>
      <c r="Z297" s="306"/>
    </row>
    <row r="298" spans="1:26" ht="15.75" customHeight="1">
      <c r="A298" s="307"/>
      <c r="B298" s="307"/>
      <c r="C298" s="306"/>
      <c r="D298" s="307"/>
      <c r="E298" s="307"/>
      <c r="F298" s="307"/>
      <c r="G298" s="1049"/>
      <c r="H298" s="1049"/>
      <c r="I298" s="306"/>
      <c r="J298" s="306"/>
      <c r="K298" s="306"/>
      <c r="L298" s="306"/>
      <c r="M298" s="306"/>
      <c r="N298" s="306"/>
      <c r="O298" s="306"/>
      <c r="P298" s="306"/>
      <c r="Q298" s="306"/>
      <c r="R298" s="306"/>
      <c r="S298" s="306"/>
      <c r="T298" s="306"/>
      <c r="U298" s="306"/>
      <c r="V298" s="306"/>
      <c r="W298" s="306"/>
      <c r="X298" s="306"/>
      <c r="Y298" s="306"/>
      <c r="Z298" s="306"/>
    </row>
    <row r="299" spans="1:26" ht="15.75" customHeight="1">
      <c r="A299" s="307"/>
      <c r="B299" s="307"/>
      <c r="C299" s="306"/>
      <c r="D299" s="307"/>
      <c r="E299" s="307"/>
      <c r="F299" s="307"/>
      <c r="G299" s="1049"/>
      <c r="H299" s="1049"/>
      <c r="I299" s="306"/>
      <c r="J299" s="306"/>
      <c r="K299" s="306"/>
      <c r="L299" s="306"/>
      <c r="M299" s="306"/>
      <c r="N299" s="306"/>
      <c r="O299" s="306"/>
      <c r="P299" s="306"/>
      <c r="Q299" s="306"/>
      <c r="R299" s="306"/>
      <c r="S299" s="306"/>
      <c r="T299" s="306"/>
      <c r="U299" s="306"/>
      <c r="V299" s="306"/>
      <c r="W299" s="306"/>
      <c r="X299" s="306"/>
      <c r="Y299" s="306"/>
      <c r="Z299" s="306"/>
    </row>
    <row r="300" spans="1:26" ht="15.75" customHeight="1">
      <c r="A300" s="307"/>
      <c r="B300" s="307"/>
      <c r="C300" s="306"/>
      <c r="D300" s="307"/>
      <c r="E300" s="307"/>
      <c r="F300" s="307"/>
      <c r="G300" s="1049"/>
      <c r="H300" s="1049"/>
      <c r="I300" s="306"/>
      <c r="J300" s="306"/>
      <c r="K300" s="306"/>
      <c r="L300" s="306"/>
      <c r="M300" s="306"/>
      <c r="N300" s="306"/>
      <c r="O300" s="306"/>
      <c r="P300" s="306"/>
      <c r="Q300" s="306"/>
      <c r="R300" s="306"/>
      <c r="S300" s="306"/>
      <c r="T300" s="306"/>
      <c r="U300" s="306"/>
      <c r="V300" s="306"/>
      <c r="W300" s="306"/>
      <c r="X300" s="306"/>
      <c r="Y300" s="306"/>
      <c r="Z300" s="306"/>
    </row>
    <row r="301" spans="1:26" ht="15.75" customHeight="1">
      <c r="A301" s="307"/>
      <c r="B301" s="307"/>
      <c r="C301" s="306"/>
      <c r="D301" s="307"/>
      <c r="E301" s="307"/>
      <c r="F301" s="307"/>
      <c r="G301" s="1049"/>
      <c r="H301" s="1049"/>
      <c r="I301" s="306"/>
      <c r="J301" s="306"/>
      <c r="K301" s="306"/>
      <c r="L301" s="306"/>
      <c r="M301" s="306"/>
      <c r="N301" s="306"/>
      <c r="O301" s="306"/>
      <c r="P301" s="306"/>
      <c r="Q301" s="306"/>
      <c r="R301" s="306"/>
      <c r="S301" s="306"/>
      <c r="T301" s="306"/>
      <c r="U301" s="306"/>
      <c r="V301" s="306"/>
      <c r="W301" s="306"/>
      <c r="X301" s="306"/>
      <c r="Y301" s="306"/>
      <c r="Z301" s="306"/>
    </row>
    <row r="302" spans="1:26" ht="15.75" customHeight="1">
      <c r="A302" s="307"/>
      <c r="B302" s="307"/>
      <c r="C302" s="306"/>
      <c r="D302" s="307"/>
      <c r="E302" s="307"/>
      <c r="F302" s="307"/>
      <c r="G302" s="1049"/>
      <c r="H302" s="1049"/>
      <c r="I302" s="306"/>
      <c r="J302" s="306"/>
      <c r="K302" s="306"/>
      <c r="L302" s="306"/>
      <c r="M302" s="306"/>
      <c r="N302" s="306"/>
      <c r="O302" s="306"/>
      <c r="P302" s="306"/>
      <c r="Q302" s="306"/>
      <c r="R302" s="306"/>
      <c r="S302" s="306"/>
      <c r="T302" s="306"/>
      <c r="U302" s="306"/>
      <c r="V302" s="306"/>
      <c r="W302" s="306"/>
      <c r="X302" s="306"/>
      <c r="Y302" s="306"/>
      <c r="Z302" s="306"/>
    </row>
    <row r="303" spans="1:26" ht="15.75" customHeight="1">
      <c r="A303" s="307"/>
      <c r="B303" s="307"/>
      <c r="C303" s="306"/>
      <c r="D303" s="307"/>
      <c r="E303" s="307"/>
      <c r="F303" s="307"/>
      <c r="G303" s="1049"/>
      <c r="H303" s="1049"/>
      <c r="I303" s="306"/>
      <c r="J303" s="306"/>
      <c r="K303" s="306"/>
      <c r="L303" s="306"/>
      <c r="M303" s="306"/>
      <c r="N303" s="306"/>
      <c r="O303" s="306"/>
      <c r="P303" s="306"/>
      <c r="Q303" s="306"/>
      <c r="R303" s="306"/>
      <c r="S303" s="306"/>
      <c r="T303" s="306"/>
      <c r="U303" s="306"/>
      <c r="V303" s="306"/>
      <c r="W303" s="306"/>
      <c r="X303" s="306"/>
      <c r="Y303" s="306"/>
      <c r="Z303" s="306"/>
    </row>
    <row r="304" spans="1:26" ht="15.75" customHeight="1">
      <c r="A304" s="307"/>
      <c r="B304" s="307"/>
      <c r="C304" s="306"/>
      <c r="D304" s="307"/>
      <c r="E304" s="307"/>
      <c r="F304" s="307"/>
      <c r="G304" s="1049"/>
      <c r="H304" s="1049"/>
      <c r="I304" s="306"/>
      <c r="J304" s="306"/>
      <c r="K304" s="306"/>
      <c r="L304" s="306"/>
      <c r="M304" s="306"/>
      <c r="N304" s="306"/>
      <c r="O304" s="306"/>
      <c r="P304" s="306"/>
      <c r="Q304" s="306"/>
      <c r="R304" s="306"/>
      <c r="S304" s="306"/>
      <c r="T304" s="306"/>
      <c r="U304" s="306"/>
      <c r="V304" s="306"/>
      <c r="W304" s="306"/>
      <c r="X304" s="306"/>
      <c r="Y304" s="306"/>
      <c r="Z304" s="306"/>
    </row>
    <row r="305" spans="1:26" ht="15.75" customHeight="1">
      <c r="A305" s="307"/>
      <c r="B305" s="307"/>
      <c r="C305" s="306"/>
      <c r="D305" s="307"/>
      <c r="E305" s="307"/>
      <c r="F305" s="307"/>
      <c r="G305" s="1049"/>
      <c r="H305" s="1049"/>
      <c r="I305" s="306"/>
      <c r="J305" s="306"/>
      <c r="K305" s="306"/>
      <c r="L305" s="306"/>
      <c r="M305" s="306"/>
      <c r="N305" s="306"/>
      <c r="O305" s="306"/>
      <c r="P305" s="306"/>
      <c r="Q305" s="306"/>
      <c r="R305" s="306"/>
      <c r="S305" s="306"/>
      <c r="T305" s="306"/>
      <c r="U305" s="306"/>
      <c r="V305" s="306"/>
      <c r="W305" s="306"/>
      <c r="X305" s="306"/>
      <c r="Y305" s="306"/>
      <c r="Z305" s="306"/>
    </row>
    <row r="306" spans="1:26" ht="15.75" customHeight="1">
      <c r="A306" s="307"/>
      <c r="B306" s="307"/>
      <c r="C306" s="306"/>
      <c r="D306" s="307"/>
      <c r="E306" s="307"/>
      <c r="F306" s="307"/>
      <c r="G306" s="1049"/>
      <c r="H306" s="1049"/>
      <c r="I306" s="306"/>
      <c r="J306" s="306"/>
      <c r="K306" s="306"/>
      <c r="L306" s="306"/>
      <c r="M306" s="306"/>
      <c r="N306" s="306"/>
      <c r="O306" s="306"/>
      <c r="P306" s="306"/>
      <c r="Q306" s="306"/>
      <c r="R306" s="306"/>
      <c r="S306" s="306"/>
      <c r="T306" s="306"/>
      <c r="U306" s="306"/>
      <c r="V306" s="306"/>
      <c r="W306" s="306"/>
      <c r="X306" s="306"/>
      <c r="Y306" s="306"/>
      <c r="Z306" s="306"/>
    </row>
    <row r="307" spans="1:26" ht="15.75" customHeight="1">
      <c r="A307" s="307"/>
      <c r="B307" s="307"/>
      <c r="C307" s="306"/>
      <c r="D307" s="307"/>
      <c r="E307" s="307"/>
      <c r="F307" s="307"/>
      <c r="G307" s="1049"/>
      <c r="H307" s="1049"/>
      <c r="I307" s="306"/>
      <c r="J307" s="306"/>
      <c r="K307" s="306"/>
      <c r="L307" s="306"/>
      <c r="M307" s="306"/>
      <c r="N307" s="306"/>
      <c r="O307" s="306"/>
      <c r="P307" s="306"/>
      <c r="Q307" s="306"/>
      <c r="R307" s="306"/>
      <c r="S307" s="306"/>
      <c r="T307" s="306"/>
      <c r="U307" s="306"/>
      <c r="V307" s="306"/>
      <c r="W307" s="306"/>
      <c r="X307" s="306"/>
      <c r="Y307" s="306"/>
      <c r="Z307" s="306"/>
    </row>
    <row r="308" spans="1:26" ht="15.75" customHeight="1">
      <c r="A308" s="307"/>
      <c r="B308" s="307"/>
      <c r="C308" s="306"/>
      <c r="D308" s="307"/>
      <c r="E308" s="307"/>
      <c r="F308" s="307"/>
      <c r="G308" s="1049"/>
      <c r="H308" s="1049"/>
      <c r="I308" s="306"/>
      <c r="J308" s="306"/>
      <c r="K308" s="306"/>
      <c r="L308" s="306"/>
      <c r="M308" s="306"/>
      <c r="N308" s="306"/>
      <c r="O308" s="306"/>
      <c r="P308" s="306"/>
      <c r="Q308" s="306"/>
      <c r="R308" s="306"/>
      <c r="S308" s="306"/>
      <c r="T308" s="306"/>
      <c r="U308" s="306"/>
      <c r="V308" s="306"/>
      <c r="W308" s="306"/>
      <c r="X308" s="306"/>
      <c r="Y308" s="306"/>
      <c r="Z308" s="306"/>
    </row>
    <row r="309" spans="1:26" ht="15.75" customHeight="1">
      <c r="A309" s="307"/>
      <c r="B309" s="307"/>
      <c r="C309" s="306"/>
      <c r="D309" s="307"/>
      <c r="E309" s="307"/>
      <c r="F309" s="307"/>
      <c r="G309" s="1049"/>
      <c r="H309" s="1049"/>
      <c r="I309" s="306"/>
      <c r="J309" s="306"/>
      <c r="K309" s="306"/>
      <c r="L309" s="306"/>
      <c r="M309" s="306"/>
      <c r="N309" s="306"/>
      <c r="O309" s="306"/>
      <c r="P309" s="306"/>
      <c r="Q309" s="306"/>
      <c r="R309" s="306"/>
      <c r="S309" s="306"/>
      <c r="T309" s="306"/>
      <c r="U309" s="306"/>
      <c r="V309" s="306"/>
      <c r="W309" s="306"/>
      <c r="X309" s="306"/>
      <c r="Y309" s="306"/>
      <c r="Z309" s="306"/>
    </row>
    <row r="310" spans="1:26" ht="15.75" customHeight="1">
      <c r="A310" s="307"/>
      <c r="B310" s="307"/>
      <c r="C310" s="306"/>
      <c r="D310" s="307"/>
      <c r="E310" s="307"/>
      <c r="F310" s="307"/>
      <c r="G310" s="1049"/>
      <c r="H310" s="1049"/>
      <c r="I310" s="306"/>
      <c r="J310" s="306"/>
      <c r="K310" s="306"/>
      <c r="L310" s="306"/>
      <c r="M310" s="306"/>
      <c r="N310" s="306"/>
      <c r="O310" s="306"/>
      <c r="P310" s="306"/>
      <c r="Q310" s="306"/>
      <c r="R310" s="306"/>
      <c r="S310" s="306"/>
      <c r="T310" s="306"/>
      <c r="U310" s="306"/>
      <c r="V310" s="306"/>
      <c r="W310" s="306"/>
      <c r="X310" s="306"/>
      <c r="Y310" s="306"/>
      <c r="Z310" s="306"/>
    </row>
    <row r="311" spans="1:26" ht="15.75" customHeight="1">
      <c r="A311" s="307"/>
      <c r="B311" s="307"/>
      <c r="C311" s="306"/>
      <c r="D311" s="307"/>
      <c r="E311" s="307"/>
      <c r="F311" s="307"/>
      <c r="G311" s="1049"/>
      <c r="H311" s="1049"/>
      <c r="I311" s="306"/>
      <c r="J311" s="306"/>
      <c r="K311" s="306"/>
      <c r="L311" s="306"/>
      <c r="M311" s="306"/>
      <c r="N311" s="306"/>
      <c r="O311" s="306"/>
      <c r="P311" s="306"/>
      <c r="Q311" s="306"/>
      <c r="R311" s="306"/>
      <c r="S311" s="306"/>
      <c r="T311" s="306"/>
      <c r="U311" s="306"/>
      <c r="V311" s="306"/>
      <c r="W311" s="306"/>
      <c r="X311" s="306"/>
      <c r="Y311" s="306"/>
      <c r="Z311" s="306"/>
    </row>
    <row r="312" spans="1:26" ht="15.75" customHeight="1">
      <c r="A312" s="307"/>
      <c r="B312" s="307"/>
      <c r="C312" s="306"/>
      <c r="D312" s="307"/>
      <c r="E312" s="307"/>
      <c r="F312" s="307"/>
      <c r="G312" s="1049"/>
      <c r="H312" s="1049"/>
      <c r="I312" s="306"/>
      <c r="J312" s="306"/>
      <c r="K312" s="306"/>
      <c r="L312" s="306"/>
      <c r="M312" s="306"/>
      <c r="N312" s="306"/>
      <c r="O312" s="306"/>
      <c r="P312" s="306"/>
      <c r="Q312" s="306"/>
      <c r="R312" s="306"/>
      <c r="S312" s="306"/>
      <c r="T312" s="306"/>
      <c r="U312" s="306"/>
      <c r="V312" s="306"/>
      <c r="W312" s="306"/>
      <c r="X312" s="306"/>
      <c r="Y312" s="306"/>
      <c r="Z312" s="306"/>
    </row>
    <row r="313" spans="1:26" ht="15.75" customHeight="1">
      <c r="A313" s="307"/>
      <c r="B313" s="307"/>
      <c r="C313" s="306"/>
      <c r="D313" s="307"/>
      <c r="E313" s="307"/>
      <c r="F313" s="307"/>
      <c r="G313" s="1049"/>
      <c r="H313" s="1049"/>
      <c r="I313" s="306"/>
      <c r="J313" s="306"/>
      <c r="K313" s="306"/>
      <c r="L313" s="306"/>
      <c r="M313" s="306"/>
      <c r="N313" s="306"/>
      <c r="O313" s="306"/>
      <c r="P313" s="306"/>
      <c r="Q313" s="306"/>
      <c r="R313" s="306"/>
      <c r="S313" s="306"/>
      <c r="T313" s="306"/>
      <c r="U313" s="306"/>
      <c r="V313" s="306"/>
      <c r="W313" s="306"/>
      <c r="X313" s="306"/>
      <c r="Y313" s="306"/>
      <c r="Z313" s="306"/>
    </row>
    <row r="314" spans="1:26" ht="15.75" customHeight="1">
      <c r="A314" s="307"/>
      <c r="B314" s="307"/>
      <c r="C314" s="306"/>
      <c r="D314" s="307"/>
      <c r="E314" s="307"/>
      <c r="F314" s="307"/>
      <c r="G314" s="1049"/>
      <c r="H314" s="1049"/>
      <c r="I314" s="306"/>
      <c r="J314" s="306"/>
      <c r="K314" s="306"/>
      <c r="L314" s="306"/>
      <c r="M314" s="306"/>
      <c r="N314" s="306"/>
      <c r="O314" s="306"/>
      <c r="P314" s="306"/>
      <c r="Q314" s="306"/>
      <c r="R314" s="306"/>
      <c r="S314" s="306"/>
      <c r="T314" s="306"/>
      <c r="U314" s="306"/>
      <c r="V314" s="306"/>
      <c r="W314" s="306"/>
      <c r="X314" s="306"/>
      <c r="Y314" s="306"/>
      <c r="Z314" s="306"/>
    </row>
    <row r="315" spans="1:26" ht="15.75" customHeight="1">
      <c r="A315" s="307"/>
      <c r="B315" s="307"/>
      <c r="C315" s="306"/>
      <c r="D315" s="307"/>
      <c r="E315" s="307"/>
      <c r="F315" s="307"/>
      <c r="G315" s="1049"/>
      <c r="H315" s="1049"/>
      <c r="I315" s="306"/>
      <c r="J315" s="306"/>
      <c r="K315" s="306"/>
      <c r="L315" s="306"/>
      <c r="M315" s="306"/>
      <c r="N315" s="306"/>
      <c r="O315" s="306"/>
      <c r="P315" s="306"/>
      <c r="Q315" s="306"/>
      <c r="R315" s="306"/>
      <c r="S315" s="306"/>
      <c r="T315" s="306"/>
      <c r="U315" s="306"/>
      <c r="V315" s="306"/>
      <c r="W315" s="306"/>
      <c r="X315" s="306"/>
      <c r="Y315" s="306"/>
      <c r="Z315" s="306"/>
    </row>
    <row r="316" spans="1:26" ht="15.75" customHeight="1">
      <c r="A316" s="307"/>
      <c r="B316" s="307"/>
      <c r="C316" s="306"/>
      <c r="D316" s="307"/>
      <c r="E316" s="307"/>
      <c r="F316" s="307"/>
      <c r="G316" s="1049"/>
      <c r="H316" s="1049"/>
      <c r="I316" s="306"/>
      <c r="J316" s="306"/>
      <c r="K316" s="306"/>
      <c r="L316" s="306"/>
      <c r="M316" s="306"/>
      <c r="N316" s="306"/>
      <c r="O316" s="306"/>
      <c r="P316" s="306"/>
      <c r="Q316" s="306"/>
      <c r="R316" s="306"/>
      <c r="S316" s="306"/>
      <c r="T316" s="306"/>
      <c r="U316" s="306"/>
      <c r="V316" s="306"/>
      <c r="W316" s="306"/>
      <c r="X316" s="306"/>
      <c r="Y316" s="306"/>
      <c r="Z316" s="306"/>
    </row>
    <row r="317" spans="1:26" ht="15.75" customHeight="1">
      <c r="A317" s="307"/>
      <c r="B317" s="307"/>
      <c r="C317" s="306"/>
      <c r="D317" s="307"/>
      <c r="E317" s="307"/>
      <c r="F317" s="307"/>
      <c r="G317" s="1049"/>
      <c r="H317" s="1049"/>
      <c r="I317" s="306"/>
      <c r="J317" s="306"/>
      <c r="K317" s="306"/>
      <c r="L317" s="306"/>
      <c r="M317" s="306"/>
      <c r="N317" s="306"/>
      <c r="O317" s="306"/>
      <c r="P317" s="306"/>
      <c r="Q317" s="306"/>
      <c r="R317" s="306"/>
      <c r="S317" s="306"/>
      <c r="T317" s="306"/>
      <c r="U317" s="306"/>
      <c r="V317" s="306"/>
      <c r="W317" s="306"/>
      <c r="X317" s="306"/>
      <c r="Y317" s="306"/>
      <c r="Z317" s="306"/>
    </row>
    <row r="318" spans="1:26" ht="15.75" customHeight="1">
      <c r="A318" s="307"/>
      <c r="B318" s="307"/>
      <c r="C318" s="306"/>
      <c r="D318" s="307"/>
      <c r="E318" s="307"/>
      <c r="F318" s="307"/>
      <c r="G318" s="1049"/>
      <c r="H318" s="1049"/>
      <c r="I318" s="306"/>
      <c r="J318" s="306"/>
      <c r="K318" s="306"/>
      <c r="L318" s="306"/>
      <c r="M318" s="306"/>
      <c r="N318" s="306"/>
      <c r="O318" s="306"/>
      <c r="P318" s="306"/>
      <c r="Q318" s="306"/>
      <c r="R318" s="306"/>
      <c r="S318" s="306"/>
      <c r="T318" s="306"/>
      <c r="U318" s="306"/>
      <c r="V318" s="306"/>
      <c r="W318" s="306"/>
      <c r="X318" s="306"/>
      <c r="Y318" s="306"/>
      <c r="Z318" s="306"/>
    </row>
    <row r="319" spans="1:26" ht="15.75" customHeight="1">
      <c r="A319" s="307"/>
      <c r="B319" s="307"/>
      <c r="C319" s="306"/>
      <c r="D319" s="307"/>
      <c r="E319" s="307"/>
      <c r="F319" s="307"/>
      <c r="G319" s="1049"/>
      <c r="H319" s="1049"/>
      <c r="I319" s="306"/>
      <c r="J319" s="306"/>
      <c r="K319" s="306"/>
      <c r="L319" s="306"/>
      <c r="M319" s="306"/>
      <c r="N319" s="306"/>
      <c r="O319" s="306"/>
      <c r="P319" s="306"/>
      <c r="Q319" s="306"/>
      <c r="R319" s="306"/>
      <c r="S319" s="306"/>
      <c r="T319" s="306"/>
      <c r="U319" s="306"/>
      <c r="V319" s="306"/>
      <c r="W319" s="306"/>
      <c r="X319" s="306"/>
      <c r="Y319" s="306"/>
      <c r="Z319" s="306"/>
    </row>
    <row r="320" spans="1:26" ht="15.75" customHeight="1">
      <c r="A320" s="307"/>
      <c r="B320" s="307"/>
      <c r="C320" s="306"/>
      <c r="D320" s="307"/>
      <c r="E320" s="307"/>
      <c r="F320" s="307"/>
      <c r="G320" s="1049"/>
      <c r="H320" s="1049"/>
      <c r="I320" s="306"/>
      <c r="J320" s="306"/>
      <c r="K320" s="306"/>
      <c r="L320" s="306"/>
      <c r="M320" s="306"/>
      <c r="N320" s="306"/>
      <c r="O320" s="306"/>
      <c r="P320" s="306"/>
      <c r="Q320" s="306"/>
      <c r="R320" s="306"/>
      <c r="S320" s="306"/>
      <c r="T320" s="306"/>
      <c r="U320" s="306"/>
      <c r="V320" s="306"/>
      <c r="W320" s="306"/>
      <c r="X320" s="306"/>
      <c r="Y320" s="306"/>
      <c r="Z320" s="306"/>
    </row>
    <row r="321" spans="1:26" ht="15.75" customHeight="1">
      <c r="A321" s="307"/>
      <c r="B321" s="307"/>
      <c r="C321" s="306"/>
      <c r="D321" s="307"/>
      <c r="E321" s="307"/>
      <c r="F321" s="307"/>
      <c r="G321" s="1049"/>
      <c r="H321" s="1049"/>
      <c r="I321" s="306"/>
      <c r="J321" s="306"/>
      <c r="K321" s="306"/>
      <c r="L321" s="306"/>
      <c r="M321" s="306"/>
      <c r="N321" s="306"/>
      <c r="O321" s="306"/>
      <c r="P321" s="306"/>
      <c r="Q321" s="306"/>
      <c r="R321" s="306"/>
      <c r="S321" s="306"/>
      <c r="T321" s="306"/>
      <c r="U321" s="306"/>
      <c r="V321" s="306"/>
      <c r="W321" s="306"/>
      <c r="X321" s="306"/>
      <c r="Y321" s="306"/>
      <c r="Z321" s="306"/>
    </row>
    <row r="322" spans="1:26" ht="15.75" customHeight="1">
      <c r="A322" s="307"/>
      <c r="B322" s="307"/>
      <c r="C322" s="306"/>
      <c r="D322" s="307"/>
      <c r="E322" s="307"/>
      <c r="F322" s="307"/>
      <c r="G322" s="1049"/>
      <c r="H322" s="1049"/>
      <c r="I322" s="306"/>
      <c r="J322" s="306"/>
      <c r="K322" s="306"/>
      <c r="L322" s="306"/>
      <c r="M322" s="306"/>
      <c r="N322" s="306"/>
      <c r="O322" s="306"/>
      <c r="P322" s="306"/>
      <c r="Q322" s="306"/>
      <c r="R322" s="306"/>
      <c r="S322" s="306"/>
      <c r="T322" s="306"/>
      <c r="U322" s="306"/>
      <c r="V322" s="306"/>
      <c r="W322" s="306"/>
      <c r="X322" s="306"/>
      <c r="Y322" s="306"/>
      <c r="Z322" s="306"/>
    </row>
    <row r="323" spans="1:26" ht="15.75" customHeight="1">
      <c r="A323" s="307"/>
      <c r="B323" s="307"/>
      <c r="C323" s="306"/>
      <c r="D323" s="307"/>
      <c r="E323" s="307"/>
      <c r="F323" s="307"/>
      <c r="G323" s="1049"/>
      <c r="H323" s="1049"/>
      <c r="I323" s="306"/>
      <c r="J323" s="306"/>
      <c r="K323" s="306"/>
      <c r="L323" s="306"/>
      <c r="M323" s="306"/>
      <c r="N323" s="306"/>
      <c r="O323" s="306"/>
      <c r="P323" s="306"/>
      <c r="Q323" s="306"/>
      <c r="R323" s="306"/>
      <c r="S323" s="306"/>
      <c r="T323" s="306"/>
      <c r="U323" s="306"/>
      <c r="V323" s="306"/>
      <c r="W323" s="306"/>
      <c r="X323" s="306"/>
      <c r="Y323" s="306"/>
      <c r="Z323" s="306"/>
    </row>
    <row r="324" spans="1:26" ht="15.75" customHeight="1">
      <c r="A324" s="307"/>
      <c r="B324" s="307"/>
      <c r="C324" s="306"/>
      <c r="D324" s="307"/>
      <c r="E324" s="307"/>
      <c r="F324" s="307"/>
      <c r="G324" s="1049"/>
      <c r="H324" s="1049"/>
      <c r="I324" s="306"/>
      <c r="J324" s="306"/>
      <c r="K324" s="306"/>
      <c r="L324" s="306"/>
      <c r="M324" s="306"/>
      <c r="N324" s="306"/>
      <c r="O324" s="306"/>
      <c r="P324" s="306"/>
      <c r="Q324" s="306"/>
      <c r="R324" s="306"/>
      <c r="S324" s="306"/>
      <c r="T324" s="306"/>
      <c r="U324" s="306"/>
      <c r="V324" s="306"/>
      <c r="W324" s="306"/>
      <c r="X324" s="306"/>
      <c r="Y324" s="306"/>
      <c r="Z324" s="306"/>
    </row>
    <row r="325" spans="1:26" ht="15.75" customHeight="1">
      <c r="A325" s="307"/>
      <c r="B325" s="307"/>
      <c r="C325" s="306"/>
      <c r="D325" s="307"/>
      <c r="E325" s="307"/>
      <c r="F325" s="307"/>
      <c r="G325" s="1049"/>
      <c r="H325" s="1049"/>
      <c r="I325" s="306"/>
      <c r="J325" s="306"/>
      <c r="K325" s="306"/>
      <c r="L325" s="306"/>
      <c r="M325" s="306"/>
      <c r="N325" s="306"/>
      <c r="O325" s="306"/>
      <c r="P325" s="306"/>
      <c r="Q325" s="306"/>
      <c r="R325" s="306"/>
      <c r="S325" s="306"/>
      <c r="T325" s="306"/>
      <c r="U325" s="306"/>
      <c r="V325" s="306"/>
      <c r="W325" s="306"/>
      <c r="X325" s="306"/>
      <c r="Y325" s="306"/>
      <c r="Z325" s="306"/>
    </row>
    <row r="326" spans="1:26" ht="15.75" customHeight="1">
      <c r="A326" s="307"/>
      <c r="B326" s="307"/>
      <c r="C326" s="306"/>
      <c r="D326" s="307"/>
      <c r="E326" s="307"/>
      <c r="F326" s="307"/>
      <c r="G326" s="1049"/>
      <c r="H326" s="1049"/>
      <c r="I326" s="306"/>
      <c r="J326" s="306"/>
      <c r="K326" s="306"/>
      <c r="L326" s="306"/>
      <c r="M326" s="306"/>
      <c r="N326" s="306"/>
      <c r="O326" s="306"/>
      <c r="P326" s="306"/>
      <c r="Q326" s="306"/>
      <c r="R326" s="306"/>
      <c r="S326" s="306"/>
      <c r="T326" s="306"/>
      <c r="U326" s="306"/>
      <c r="V326" s="306"/>
      <c r="W326" s="306"/>
      <c r="X326" s="306"/>
      <c r="Y326" s="306"/>
      <c r="Z326" s="306"/>
    </row>
    <row r="327" spans="1:26" ht="15.75" customHeight="1">
      <c r="A327" s="307"/>
      <c r="B327" s="307"/>
      <c r="C327" s="306"/>
      <c r="D327" s="307"/>
      <c r="E327" s="307"/>
      <c r="F327" s="307"/>
      <c r="G327" s="1049"/>
      <c r="H327" s="1049"/>
      <c r="I327" s="306"/>
      <c r="J327" s="306"/>
      <c r="K327" s="306"/>
      <c r="L327" s="306"/>
      <c r="M327" s="306"/>
      <c r="N327" s="306"/>
      <c r="O327" s="306"/>
      <c r="P327" s="306"/>
      <c r="Q327" s="306"/>
      <c r="R327" s="306"/>
      <c r="S327" s="306"/>
      <c r="T327" s="306"/>
      <c r="U327" s="306"/>
      <c r="V327" s="306"/>
      <c r="W327" s="306"/>
      <c r="X327" s="306"/>
      <c r="Y327" s="306"/>
      <c r="Z327" s="306"/>
    </row>
    <row r="328" spans="1:26" ht="15.75" customHeight="1">
      <c r="A328" s="307"/>
      <c r="B328" s="307"/>
      <c r="C328" s="306"/>
      <c r="D328" s="307"/>
      <c r="E328" s="307"/>
      <c r="F328" s="307"/>
      <c r="G328" s="1049"/>
      <c r="H328" s="1049"/>
      <c r="I328" s="306"/>
      <c r="J328" s="306"/>
      <c r="K328" s="306"/>
      <c r="L328" s="306"/>
      <c r="M328" s="306"/>
      <c r="N328" s="306"/>
      <c r="O328" s="306"/>
      <c r="P328" s="306"/>
      <c r="Q328" s="306"/>
      <c r="R328" s="306"/>
      <c r="S328" s="306"/>
      <c r="T328" s="306"/>
      <c r="U328" s="306"/>
      <c r="V328" s="306"/>
      <c r="W328" s="306"/>
      <c r="X328" s="306"/>
      <c r="Y328" s="306"/>
      <c r="Z328" s="306"/>
    </row>
    <row r="329" spans="1:26" ht="15.75" customHeight="1">
      <c r="A329" s="307"/>
      <c r="B329" s="307"/>
      <c r="C329" s="306"/>
      <c r="D329" s="307"/>
      <c r="E329" s="307"/>
      <c r="F329" s="307"/>
      <c r="G329" s="1049"/>
      <c r="H329" s="1049"/>
      <c r="I329" s="306"/>
      <c r="J329" s="306"/>
      <c r="K329" s="306"/>
      <c r="L329" s="306"/>
      <c r="M329" s="306"/>
      <c r="N329" s="306"/>
      <c r="O329" s="306"/>
      <c r="P329" s="306"/>
      <c r="Q329" s="306"/>
      <c r="R329" s="306"/>
      <c r="S329" s="306"/>
      <c r="T329" s="306"/>
      <c r="U329" s="306"/>
      <c r="V329" s="306"/>
      <c r="W329" s="306"/>
      <c r="X329" s="306"/>
      <c r="Y329" s="306"/>
      <c r="Z329" s="306"/>
    </row>
    <row r="330" spans="1:26" ht="15.75" customHeight="1">
      <c r="A330" s="307"/>
      <c r="B330" s="307"/>
      <c r="C330" s="306"/>
      <c r="D330" s="307"/>
      <c r="E330" s="307"/>
      <c r="F330" s="307"/>
      <c r="G330" s="1049"/>
      <c r="H330" s="1049"/>
      <c r="I330" s="306"/>
      <c r="J330" s="306"/>
      <c r="K330" s="306"/>
      <c r="L330" s="306"/>
      <c r="M330" s="306"/>
      <c r="N330" s="306"/>
      <c r="O330" s="306"/>
      <c r="P330" s="306"/>
      <c r="Q330" s="306"/>
      <c r="R330" s="306"/>
      <c r="S330" s="306"/>
      <c r="T330" s="306"/>
      <c r="U330" s="306"/>
      <c r="V330" s="306"/>
      <c r="W330" s="306"/>
      <c r="X330" s="306"/>
      <c r="Y330" s="306"/>
      <c r="Z330" s="306"/>
    </row>
    <row r="331" spans="1:26" ht="15.75" customHeight="1">
      <c r="A331" s="307"/>
      <c r="B331" s="307"/>
      <c r="C331" s="306"/>
      <c r="D331" s="307"/>
      <c r="E331" s="307"/>
      <c r="F331" s="307"/>
      <c r="G331" s="1049"/>
      <c r="H331" s="1049"/>
      <c r="I331" s="306"/>
      <c r="J331" s="306"/>
      <c r="K331" s="306"/>
      <c r="L331" s="306"/>
      <c r="M331" s="306"/>
      <c r="N331" s="306"/>
      <c r="O331" s="306"/>
      <c r="P331" s="306"/>
      <c r="Q331" s="306"/>
      <c r="R331" s="306"/>
      <c r="S331" s="306"/>
      <c r="T331" s="306"/>
      <c r="U331" s="306"/>
      <c r="V331" s="306"/>
      <c r="W331" s="306"/>
      <c r="X331" s="306"/>
      <c r="Y331" s="306"/>
      <c r="Z331" s="306"/>
    </row>
    <row r="332" spans="1:26" ht="15.75" customHeight="1">
      <c r="A332" s="307"/>
      <c r="B332" s="307"/>
      <c r="C332" s="306"/>
      <c r="D332" s="307"/>
      <c r="E332" s="307"/>
      <c r="F332" s="307"/>
      <c r="G332" s="1049"/>
      <c r="H332" s="1049"/>
      <c r="I332" s="306"/>
      <c r="J332" s="306"/>
      <c r="K332" s="306"/>
      <c r="L332" s="306"/>
      <c r="M332" s="306"/>
      <c r="N332" s="306"/>
      <c r="O332" s="306"/>
      <c r="P332" s="306"/>
      <c r="Q332" s="306"/>
      <c r="R332" s="306"/>
      <c r="S332" s="306"/>
      <c r="T332" s="306"/>
      <c r="U332" s="306"/>
      <c r="V332" s="306"/>
      <c r="W332" s="306"/>
      <c r="X332" s="306"/>
      <c r="Y332" s="306"/>
      <c r="Z332" s="306"/>
    </row>
    <row r="333" spans="1:26" ht="15.75" customHeight="1">
      <c r="A333" s="307"/>
      <c r="B333" s="307"/>
      <c r="C333" s="306"/>
      <c r="D333" s="307"/>
      <c r="E333" s="307"/>
      <c r="F333" s="307"/>
      <c r="G333" s="1049"/>
      <c r="H333" s="1049"/>
      <c r="I333" s="306"/>
      <c r="J333" s="306"/>
      <c r="K333" s="306"/>
      <c r="L333" s="306"/>
      <c r="M333" s="306"/>
      <c r="N333" s="306"/>
      <c r="O333" s="306"/>
      <c r="P333" s="306"/>
      <c r="Q333" s="306"/>
      <c r="R333" s="306"/>
      <c r="S333" s="306"/>
      <c r="T333" s="306"/>
      <c r="U333" s="306"/>
      <c r="V333" s="306"/>
      <c r="W333" s="306"/>
      <c r="X333" s="306"/>
      <c r="Y333" s="306"/>
      <c r="Z333" s="306"/>
    </row>
    <row r="334" spans="1:26" ht="15.75" customHeight="1">
      <c r="A334" s="307"/>
      <c r="B334" s="307"/>
      <c r="C334" s="306"/>
      <c r="D334" s="307"/>
      <c r="E334" s="307"/>
      <c r="F334" s="307"/>
      <c r="G334" s="1049"/>
      <c r="H334" s="1049"/>
      <c r="I334" s="306"/>
      <c r="J334" s="306"/>
      <c r="K334" s="306"/>
      <c r="L334" s="306"/>
      <c r="M334" s="306"/>
      <c r="N334" s="306"/>
      <c r="O334" s="306"/>
      <c r="P334" s="306"/>
      <c r="Q334" s="306"/>
      <c r="R334" s="306"/>
      <c r="S334" s="306"/>
      <c r="T334" s="306"/>
      <c r="U334" s="306"/>
      <c r="V334" s="306"/>
      <c r="W334" s="306"/>
      <c r="X334" s="306"/>
      <c r="Y334" s="306"/>
      <c r="Z334" s="306"/>
    </row>
    <row r="335" spans="1:26" ht="15.75" customHeight="1">
      <c r="A335" s="307"/>
      <c r="B335" s="307"/>
      <c r="C335" s="306"/>
      <c r="D335" s="307"/>
      <c r="E335" s="307"/>
      <c r="F335" s="307"/>
      <c r="G335" s="1049"/>
      <c r="H335" s="1049"/>
      <c r="I335" s="306"/>
      <c r="J335" s="306"/>
      <c r="K335" s="306"/>
      <c r="L335" s="306"/>
      <c r="M335" s="306"/>
      <c r="N335" s="306"/>
      <c r="O335" s="306"/>
      <c r="P335" s="306"/>
      <c r="Q335" s="306"/>
      <c r="R335" s="306"/>
      <c r="S335" s="306"/>
      <c r="T335" s="306"/>
      <c r="U335" s="306"/>
      <c r="V335" s="306"/>
      <c r="W335" s="306"/>
      <c r="X335" s="306"/>
      <c r="Y335" s="306"/>
      <c r="Z335" s="306"/>
    </row>
    <row r="336" spans="1:26" ht="15.75" customHeight="1">
      <c r="A336" s="307"/>
      <c r="B336" s="307"/>
      <c r="C336" s="306"/>
      <c r="D336" s="307"/>
      <c r="E336" s="307"/>
      <c r="F336" s="307"/>
      <c r="G336" s="1049"/>
      <c r="H336" s="1049"/>
      <c r="I336" s="306"/>
      <c r="J336" s="306"/>
      <c r="K336" s="306"/>
      <c r="L336" s="306"/>
      <c r="M336" s="306"/>
      <c r="N336" s="306"/>
      <c r="O336" s="306"/>
      <c r="P336" s="306"/>
      <c r="Q336" s="306"/>
      <c r="R336" s="306"/>
      <c r="S336" s="306"/>
      <c r="T336" s="306"/>
      <c r="U336" s="306"/>
      <c r="V336" s="306"/>
      <c r="W336" s="306"/>
      <c r="X336" s="306"/>
      <c r="Y336" s="306"/>
      <c r="Z336" s="306"/>
    </row>
    <row r="337" spans="1:26" ht="15.75" customHeight="1">
      <c r="A337" s="307"/>
      <c r="B337" s="307"/>
      <c r="C337" s="306"/>
      <c r="D337" s="307"/>
      <c r="E337" s="307"/>
      <c r="F337" s="307"/>
      <c r="G337" s="1049"/>
      <c r="H337" s="1049"/>
      <c r="I337" s="306"/>
      <c r="J337" s="306"/>
      <c r="K337" s="306"/>
      <c r="L337" s="306"/>
      <c r="M337" s="306"/>
      <c r="N337" s="306"/>
      <c r="O337" s="306"/>
      <c r="P337" s="306"/>
      <c r="Q337" s="306"/>
      <c r="R337" s="306"/>
      <c r="S337" s="306"/>
      <c r="T337" s="306"/>
      <c r="U337" s="306"/>
      <c r="V337" s="306"/>
      <c r="W337" s="306"/>
      <c r="X337" s="306"/>
      <c r="Y337" s="306"/>
      <c r="Z337" s="306"/>
    </row>
    <row r="338" spans="1:26" ht="15.75" customHeight="1">
      <c r="A338" s="307"/>
      <c r="B338" s="307"/>
      <c r="C338" s="306"/>
      <c r="D338" s="307"/>
      <c r="E338" s="307"/>
      <c r="F338" s="307"/>
      <c r="G338" s="1049"/>
      <c r="H338" s="1049"/>
      <c r="I338" s="306"/>
      <c r="J338" s="306"/>
      <c r="K338" s="306"/>
      <c r="L338" s="306"/>
      <c r="M338" s="306"/>
      <c r="N338" s="306"/>
      <c r="O338" s="306"/>
      <c r="P338" s="306"/>
      <c r="Q338" s="306"/>
      <c r="R338" s="306"/>
      <c r="S338" s="306"/>
      <c r="T338" s="306"/>
      <c r="U338" s="306"/>
      <c r="V338" s="306"/>
      <c r="W338" s="306"/>
      <c r="X338" s="306"/>
      <c r="Y338" s="306"/>
      <c r="Z338" s="306"/>
    </row>
    <row r="339" spans="1:26" ht="15.75" customHeight="1">
      <c r="A339" s="307"/>
      <c r="B339" s="307"/>
      <c r="C339" s="306"/>
      <c r="D339" s="307"/>
      <c r="E339" s="307"/>
      <c r="F339" s="307"/>
      <c r="G339" s="1049"/>
      <c r="H339" s="1049"/>
      <c r="I339" s="306"/>
      <c r="J339" s="306"/>
      <c r="K339" s="306"/>
      <c r="L339" s="306"/>
      <c r="M339" s="306"/>
      <c r="N339" s="306"/>
      <c r="O339" s="306"/>
      <c r="P339" s="306"/>
      <c r="Q339" s="306"/>
      <c r="R339" s="306"/>
      <c r="S339" s="306"/>
      <c r="T339" s="306"/>
      <c r="U339" s="306"/>
      <c r="V339" s="306"/>
      <c r="W339" s="306"/>
      <c r="X339" s="306"/>
      <c r="Y339" s="306"/>
      <c r="Z339" s="306"/>
    </row>
    <row r="340" spans="1:26" ht="15.75" customHeight="1">
      <c r="A340" s="307"/>
      <c r="B340" s="307"/>
      <c r="C340" s="306"/>
      <c r="D340" s="307"/>
      <c r="E340" s="307"/>
      <c r="F340" s="307"/>
      <c r="G340" s="1049"/>
      <c r="H340" s="1049"/>
      <c r="I340" s="306"/>
      <c r="J340" s="306"/>
      <c r="K340" s="306"/>
      <c r="L340" s="306"/>
      <c r="M340" s="306"/>
      <c r="N340" s="306"/>
      <c r="O340" s="306"/>
      <c r="P340" s="306"/>
      <c r="Q340" s="306"/>
      <c r="R340" s="306"/>
      <c r="S340" s="306"/>
      <c r="T340" s="306"/>
      <c r="U340" s="306"/>
      <c r="V340" s="306"/>
      <c r="W340" s="306"/>
      <c r="X340" s="306"/>
      <c r="Y340" s="306"/>
      <c r="Z340" s="306"/>
    </row>
    <row r="341" spans="1:26" ht="15.75" customHeight="1">
      <c r="A341" s="307"/>
      <c r="B341" s="307"/>
      <c r="C341" s="306"/>
      <c r="D341" s="307"/>
      <c r="E341" s="307"/>
      <c r="F341" s="307"/>
      <c r="G341" s="1049"/>
      <c r="H341" s="1049"/>
      <c r="I341" s="306"/>
      <c r="J341" s="306"/>
      <c r="K341" s="306"/>
      <c r="L341" s="306"/>
      <c r="M341" s="306"/>
      <c r="N341" s="306"/>
      <c r="O341" s="306"/>
      <c r="P341" s="306"/>
      <c r="Q341" s="306"/>
      <c r="R341" s="306"/>
      <c r="S341" s="306"/>
      <c r="T341" s="306"/>
      <c r="U341" s="306"/>
      <c r="V341" s="306"/>
      <c r="W341" s="306"/>
      <c r="X341" s="306"/>
      <c r="Y341" s="306"/>
      <c r="Z341" s="306"/>
    </row>
    <row r="342" spans="1:26" ht="15.75" customHeight="1">
      <c r="A342" s="307"/>
      <c r="B342" s="307"/>
      <c r="C342" s="306"/>
      <c r="D342" s="307"/>
      <c r="E342" s="307"/>
      <c r="F342" s="307"/>
      <c r="G342" s="1049"/>
      <c r="H342" s="1049"/>
      <c r="I342" s="306"/>
      <c r="J342" s="306"/>
      <c r="K342" s="306"/>
      <c r="L342" s="306"/>
      <c r="M342" s="306"/>
      <c r="N342" s="306"/>
      <c r="O342" s="306"/>
      <c r="P342" s="306"/>
      <c r="Q342" s="306"/>
      <c r="R342" s="306"/>
      <c r="S342" s="306"/>
      <c r="T342" s="306"/>
      <c r="U342" s="306"/>
      <c r="V342" s="306"/>
      <c r="W342" s="306"/>
      <c r="X342" s="306"/>
      <c r="Y342" s="306"/>
      <c r="Z342" s="306"/>
    </row>
    <row r="343" spans="1:26" ht="15.75" customHeight="1">
      <c r="A343" s="307"/>
      <c r="B343" s="307"/>
      <c r="C343" s="306"/>
      <c r="D343" s="307"/>
      <c r="E343" s="307"/>
      <c r="F343" s="307"/>
      <c r="G343" s="1049"/>
      <c r="H343" s="1049"/>
      <c r="I343" s="306"/>
      <c r="J343" s="306"/>
      <c r="K343" s="306"/>
      <c r="L343" s="306"/>
      <c r="M343" s="306"/>
      <c r="N343" s="306"/>
      <c r="O343" s="306"/>
      <c r="P343" s="306"/>
      <c r="Q343" s="306"/>
      <c r="R343" s="306"/>
      <c r="S343" s="306"/>
      <c r="T343" s="306"/>
      <c r="U343" s="306"/>
      <c r="V343" s="306"/>
      <c r="W343" s="306"/>
      <c r="X343" s="306"/>
      <c r="Y343" s="306"/>
      <c r="Z343" s="306"/>
    </row>
    <row r="344" spans="1:26" ht="15.75" customHeight="1">
      <c r="A344" s="307"/>
      <c r="B344" s="307"/>
      <c r="C344" s="306"/>
      <c r="D344" s="307"/>
      <c r="E344" s="307"/>
      <c r="F344" s="307"/>
      <c r="G344" s="1049"/>
      <c r="H344" s="1049"/>
      <c r="I344" s="306"/>
      <c r="J344" s="306"/>
      <c r="K344" s="306"/>
      <c r="L344" s="306"/>
      <c r="M344" s="306"/>
      <c r="N344" s="306"/>
      <c r="O344" s="306"/>
      <c r="P344" s="306"/>
      <c r="Q344" s="306"/>
      <c r="R344" s="306"/>
      <c r="S344" s="306"/>
      <c r="T344" s="306"/>
      <c r="U344" s="306"/>
      <c r="V344" s="306"/>
      <c r="W344" s="306"/>
      <c r="X344" s="306"/>
      <c r="Y344" s="306"/>
      <c r="Z344" s="306"/>
    </row>
    <row r="345" spans="1:26" ht="15.75" customHeight="1">
      <c r="A345" s="307"/>
      <c r="B345" s="307"/>
      <c r="C345" s="306"/>
      <c r="D345" s="307"/>
      <c r="E345" s="307"/>
      <c r="F345" s="307"/>
      <c r="G345" s="1049"/>
      <c r="H345" s="1049"/>
      <c r="I345" s="306"/>
      <c r="J345" s="306"/>
      <c r="K345" s="306"/>
      <c r="L345" s="306"/>
      <c r="M345" s="306"/>
      <c r="N345" s="306"/>
      <c r="O345" s="306"/>
      <c r="P345" s="306"/>
      <c r="Q345" s="306"/>
      <c r="R345" s="306"/>
      <c r="S345" s="306"/>
      <c r="T345" s="306"/>
      <c r="U345" s="306"/>
      <c r="V345" s="306"/>
      <c r="W345" s="306"/>
      <c r="X345" s="306"/>
      <c r="Y345" s="306"/>
      <c r="Z345" s="306"/>
    </row>
    <row r="346" spans="1:26" ht="15.75" customHeight="1">
      <c r="A346" s="307"/>
      <c r="B346" s="307"/>
      <c r="C346" s="306"/>
      <c r="D346" s="307"/>
      <c r="E346" s="307"/>
      <c r="F346" s="307"/>
      <c r="G346" s="1049"/>
      <c r="H346" s="1049"/>
      <c r="I346" s="306"/>
      <c r="J346" s="306"/>
      <c r="K346" s="306"/>
      <c r="L346" s="306"/>
      <c r="M346" s="306"/>
      <c r="N346" s="306"/>
      <c r="O346" s="306"/>
      <c r="P346" s="306"/>
      <c r="Q346" s="306"/>
      <c r="R346" s="306"/>
      <c r="S346" s="306"/>
      <c r="T346" s="306"/>
      <c r="U346" s="306"/>
      <c r="V346" s="306"/>
      <c r="W346" s="306"/>
      <c r="X346" s="306"/>
      <c r="Y346" s="306"/>
      <c r="Z346" s="306"/>
    </row>
    <row r="347" spans="1:26" ht="15.75" customHeight="1">
      <c r="A347" s="307"/>
      <c r="B347" s="307"/>
      <c r="C347" s="306"/>
      <c r="D347" s="307"/>
      <c r="E347" s="307"/>
      <c r="F347" s="307"/>
      <c r="G347" s="1049"/>
      <c r="H347" s="1049"/>
      <c r="I347" s="306"/>
      <c r="J347" s="306"/>
      <c r="K347" s="306"/>
      <c r="L347" s="306"/>
      <c r="M347" s="306"/>
      <c r="N347" s="306"/>
      <c r="O347" s="306"/>
      <c r="P347" s="306"/>
      <c r="Q347" s="306"/>
      <c r="R347" s="306"/>
      <c r="S347" s="306"/>
      <c r="T347" s="306"/>
      <c r="U347" s="306"/>
      <c r="V347" s="306"/>
      <c r="W347" s="306"/>
      <c r="X347" s="306"/>
      <c r="Y347" s="306"/>
      <c r="Z347" s="306"/>
    </row>
    <row r="348" spans="1:26" ht="15.75" customHeight="1">
      <c r="A348" s="307"/>
      <c r="B348" s="307"/>
      <c r="C348" s="306"/>
      <c r="D348" s="307"/>
      <c r="E348" s="307"/>
      <c r="F348" s="307"/>
      <c r="G348" s="1049"/>
      <c r="H348" s="1049"/>
      <c r="I348" s="306"/>
      <c r="J348" s="306"/>
      <c r="K348" s="306"/>
      <c r="L348" s="306"/>
      <c r="M348" s="306"/>
      <c r="N348" s="306"/>
      <c r="O348" s="306"/>
      <c r="P348" s="306"/>
      <c r="Q348" s="306"/>
      <c r="R348" s="306"/>
      <c r="S348" s="306"/>
      <c r="T348" s="306"/>
      <c r="U348" s="306"/>
      <c r="V348" s="306"/>
      <c r="W348" s="306"/>
      <c r="X348" s="306"/>
      <c r="Y348" s="306"/>
      <c r="Z348" s="306"/>
    </row>
    <row r="349" spans="1:26" ht="15.75" customHeight="1">
      <c r="A349" s="307"/>
      <c r="B349" s="307"/>
      <c r="C349" s="306"/>
      <c r="D349" s="307"/>
      <c r="E349" s="307"/>
      <c r="F349" s="307"/>
      <c r="G349" s="1049"/>
      <c r="H349" s="1049"/>
      <c r="I349" s="306"/>
      <c r="J349" s="306"/>
      <c r="K349" s="306"/>
      <c r="L349" s="306"/>
      <c r="M349" s="306"/>
      <c r="N349" s="306"/>
      <c r="O349" s="306"/>
      <c r="P349" s="306"/>
      <c r="Q349" s="306"/>
      <c r="R349" s="306"/>
      <c r="S349" s="306"/>
      <c r="T349" s="306"/>
      <c r="U349" s="306"/>
      <c r="V349" s="306"/>
      <c r="W349" s="306"/>
      <c r="X349" s="306"/>
      <c r="Y349" s="306"/>
      <c r="Z349" s="306"/>
    </row>
    <row r="350" spans="1:26" ht="15.75" customHeight="1">
      <c r="A350" s="307"/>
      <c r="B350" s="307"/>
      <c r="C350" s="306"/>
      <c r="D350" s="307"/>
      <c r="E350" s="307"/>
      <c r="F350" s="307"/>
      <c r="G350" s="1049"/>
      <c r="H350" s="1049"/>
      <c r="I350" s="306"/>
      <c r="J350" s="306"/>
      <c r="K350" s="306"/>
      <c r="L350" s="306"/>
      <c r="M350" s="306"/>
      <c r="N350" s="306"/>
      <c r="O350" s="306"/>
      <c r="P350" s="306"/>
      <c r="Q350" s="306"/>
      <c r="R350" s="306"/>
      <c r="S350" s="306"/>
      <c r="T350" s="306"/>
      <c r="U350" s="306"/>
      <c r="V350" s="306"/>
      <c r="W350" s="306"/>
      <c r="X350" s="306"/>
      <c r="Y350" s="306"/>
      <c r="Z350" s="306"/>
    </row>
    <row r="351" spans="1:26" ht="15.75" customHeight="1">
      <c r="A351" s="307"/>
      <c r="B351" s="307"/>
      <c r="C351" s="306"/>
      <c r="D351" s="307"/>
      <c r="E351" s="307"/>
      <c r="F351" s="307"/>
      <c r="G351" s="1049"/>
      <c r="H351" s="1049"/>
      <c r="I351" s="306"/>
      <c r="J351" s="306"/>
      <c r="K351" s="306"/>
      <c r="L351" s="306"/>
      <c r="M351" s="306"/>
      <c r="N351" s="306"/>
      <c r="O351" s="306"/>
      <c r="P351" s="306"/>
      <c r="Q351" s="306"/>
      <c r="R351" s="306"/>
      <c r="S351" s="306"/>
      <c r="T351" s="306"/>
      <c r="U351" s="306"/>
      <c r="V351" s="306"/>
      <c r="W351" s="306"/>
      <c r="X351" s="306"/>
      <c r="Y351" s="306"/>
      <c r="Z351" s="306"/>
    </row>
    <row r="352" spans="1:26" ht="15.75" customHeight="1">
      <c r="A352" s="307"/>
      <c r="B352" s="307"/>
      <c r="C352" s="306"/>
      <c r="D352" s="307"/>
      <c r="E352" s="307"/>
      <c r="F352" s="307"/>
      <c r="G352" s="1049"/>
      <c r="H352" s="1049"/>
      <c r="I352" s="306"/>
      <c r="J352" s="306"/>
      <c r="K352" s="306"/>
      <c r="L352" s="306"/>
      <c r="M352" s="306"/>
      <c r="N352" s="306"/>
      <c r="O352" s="306"/>
      <c r="P352" s="306"/>
      <c r="Q352" s="306"/>
      <c r="R352" s="306"/>
      <c r="S352" s="306"/>
      <c r="T352" s="306"/>
      <c r="U352" s="306"/>
      <c r="V352" s="306"/>
      <c r="W352" s="306"/>
      <c r="X352" s="306"/>
      <c r="Y352" s="306"/>
      <c r="Z352" s="306"/>
    </row>
    <row r="353" spans="1:26" ht="15.75" customHeight="1">
      <c r="A353" s="307"/>
      <c r="B353" s="307"/>
      <c r="C353" s="306"/>
      <c r="D353" s="307"/>
      <c r="E353" s="307"/>
      <c r="F353" s="307"/>
      <c r="G353" s="1049"/>
      <c r="H353" s="1049"/>
      <c r="I353" s="306"/>
      <c r="J353" s="306"/>
      <c r="K353" s="306"/>
      <c r="L353" s="306"/>
      <c r="M353" s="306"/>
      <c r="N353" s="306"/>
      <c r="O353" s="306"/>
      <c r="P353" s="306"/>
      <c r="Q353" s="306"/>
      <c r="R353" s="306"/>
      <c r="S353" s="306"/>
      <c r="T353" s="306"/>
      <c r="U353" s="306"/>
      <c r="V353" s="306"/>
      <c r="W353" s="306"/>
      <c r="X353" s="306"/>
      <c r="Y353" s="306"/>
      <c r="Z353" s="306"/>
    </row>
    <row r="354" spans="1:26" ht="15.75" customHeight="1">
      <c r="A354" s="307"/>
      <c r="B354" s="307"/>
      <c r="C354" s="306"/>
      <c r="D354" s="307"/>
      <c r="E354" s="307"/>
      <c r="F354" s="307"/>
      <c r="G354" s="1049"/>
      <c r="H354" s="1049"/>
      <c r="I354" s="306"/>
      <c r="J354" s="306"/>
      <c r="K354" s="306"/>
      <c r="L354" s="306"/>
      <c r="M354" s="306"/>
      <c r="N354" s="306"/>
      <c r="O354" s="306"/>
      <c r="P354" s="306"/>
      <c r="Q354" s="306"/>
      <c r="R354" s="306"/>
      <c r="S354" s="306"/>
      <c r="T354" s="306"/>
      <c r="U354" s="306"/>
      <c r="V354" s="306"/>
      <c r="W354" s="306"/>
      <c r="X354" s="306"/>
      <c r="Y354" s="306"/>
      <c r="Z354" s="306"/>
    </row>
    <row r="355" spans="1:26" ht="15.75" customHeight="1">
      <c r="A355" s="307"/>
      <c r="B355" s="307"/>
      <c r="C355" s="306"/>
      <c r="D355" s="307"/>
      <c r="E355" s="307"/>
      <c r="F355" s="307"/>
      <c r="G355" s="1049"/>
      <c r="H355" s="1049"/>
      <c r="I355" s="306"/>
      <c r="J355" s="306"/>
      <c r="K355" s="306"/>
      <c r="L355" s="306"/>
      <c r="M355" s="306"/>
      <c r="N355" s="306"/>
      <c r="O355" s="306"/>
      <c r="P355" s="306"/>
      <c r="Q355" s="306"/>
      <c r="R355" s="306"/>
      <c r="S355" s="306"/>
      <c r="T355" s="306"/>
      <c r="U355" s="306"/>
      <c r="V355" s="306"/>
      <c r="W355" s="306"/>
      <c r="X355" s="306"/>
      <c r="Y355" s="306"/>
      <c r="Z355" s="306"/>
    </row>
    <row r="356" spans="1:26" ht="15.75" customHeight="1">
      <c r="A356" s="307"/>
      <c r="B356" s="307"/>
      <c r="C356" s="306"/>
      <c r="D356" s="307"/>
      <c r="E356" s="307"/>
      <c r="F356" s="307"/>
      <c r="G356" s="1049"/>
      <c r="H356" s="1049"/>
      <c r="I356" s="306"/>
      <c r="J356" s="306"/>
      <c r="K356" s="306"/>
      <c r="L356" s="306"/>
      <c r="M356" s="306"/>
      <c r="N356" s="306"/>
      <c r="O356" s="306"/>
      <c r="P356" s="306"/>
      <c r="Q356" s="306"/>
      <c r="R356" s="306"/>
      <c r="S356" s="306"/>
      <c r="T356" s="306"/>
      <c r="U356" s="306"/>
      <c r="V356" s="306"/>
      <c r="W356" s="306"/>
      <c r="X356" s="306"/>
      <c r="Y356" s="306"/>
      <c r="Z356" s="306"/>
    </row>
    <row r="357" spans="1:26" ht="15.75" customHeight="1">
      <c r="A357" s="307"/>
      <c r="B357" s="307"/>
      <c r="C357" s="306"/>
      <c r="D357" s="307"/>
      <c r="E357" s="307"/>
      <c r="F357" s="307"/>
      <c r="G357" s="1049"/>
      <c r="H357" s="1049"/>
      <c r="I357" s="306"/>
      <c r="J357" s="306"/>
      <c r="K357" s="306"/>
      <c r="L357" s="306"/>
      <c r="M357" s="306"/>
      <c r="N357" s="306"/>
      <c r="O357" s="306"/>
      <c r="P357" s="306"/>
      <c r="Q357" s="306"/>
      <c r="R357" s="306"/>
      <c r="S357" s="306"/>
      <c r="T357" s="306"/>
      <c r="U357" s="306"/>
      <c r="V357" s="306"/>
      <c r="W357" s="306"/>
      <c r="X357" s="306"/>
      <c r="Y357" s="306"/>
      <c r="Z357" s="306"/>
    </row>
    <row r="358" spans="1:26" ht="15.75" customHeight="1">
      <c r="A358" s="307"/>
      <c r="B358" s="307"/>
      <c r="C358" s="306"/>
      <c r="D358" s="307"/>
      <c r="E358" s="307"/>
      <c r="F358" s="307"/>
      <c r="G358" s="1049"/>
      <c r="H358" s="1049"/>
      <c r="I358" s="306"/>
      <c r="J358" s="306"/>
      <c r="K358" s="306"/>
      <c r="L358" s="306"/>
      <c r="M358" s="306"/>
      <c r="N358" s="306"/>
      <c r="O358" s="306"/>
      <c r="P358" s="306"/>
      <c r="Q358" s="306"/>
      <c r="R358" s="306"/>
      <c r="S358" s="306"/>
      <c r="T358" s="306"/>
      <c r="U358" s="306"/>
      <c r="V358" s="306"/>
      <c r="W358" s="306"/>
      <c r="X358" s="306"/>
      <c r="Y358" s="306"/>
      <c r="Z358" s="306"/>
    </row>
    <row r="359" spans="1:26" ht="15.75" customHeight="1">
      <c r="A359" s="307"/>
      <c r="B359" s="307"/>
      <c r="C359" s="306"/>
      <c r="D359" s="307"/>
      <c r="E359" s="307"/>
      <c r="F359" s="307"/>
      <c r="G359" s="1049"/>
      <c r="H359" s="1049"/>
      <c r="I359" s="306"/>
      <c r="J359" s="306"/>
      <c r="K359" s="306"/>
      <c r="L359" s="306"/>
      <c r="M359" s="306"/>
      <c r="N359" s="306"/>
      <c r="O359" s="306"/>
      <c r="P359" s="306"/>
      <c r="Q359" s="306"/>
      <c r="R359" s="306"/>
      <c r="S359" s="306"/>
      <c r="T359" s="306"/>
      <c r="U359" s="306"/>
      <c r="V359" s="306"/>
      <c r="W359" s="306"/>
      <c r="X359" s="306"/>
      <c r="Y359" s="306"/>
      <c r="Z359" s="306"/>
    </row>
    <row r="360" spans="1:26" ht="15.75" customHeight="1">
      <c r="A360" s="307"/>
      <c r="B360" s="307"/>
      <c r="C360" s="306"/>
      <c r="D360" s="307"/>
      <c r="E360" s="307"/>
      <c r="F360" s="307"/>
      <c r="G360" s="1049"/>
      <c r="H360" s="1049"/>
      <c r="I360" s="306"/>
      <c r="J360" s="306"/>
      <c r="K360" s="306"/>
      <c r="L360" s="306"/>
      <c r="M360" s="306"/>
      <c r="N360" s="306"/>
      <c r="O360" s="306"/>
      <c r="P360" s="306"/>
      <c r="Q360" s="306"/>
      <c r="R360" s="306"/>
      <c r="S360" s="306"/>
      <c r="T360" s="306"/>
      <c r="U360" s="306"/>
      <c r="V360" s="306"/>
      <c r="W360" s="306"/>
      <c r="X360" s="306"/>
      <c r="Y360" s="306"/>
      <c r="Z360" s="306"/>
    </row>
    <row r="361" spans="1:26" ht="15.75" customHeight="1">
      <c r="A361" s="307"/>
      <c r="B361" s="307"/>
      <c r="C361" s="306"/>
      <c r="D361" s="307"/>
      <c r="E361" s="307"/>
      <c r="F361" s="307"/>
      <c r="G361" s="1049"/>
      <c r="H361" s="1049"/>
      <c r="I361" s="306"/>
      <c r="J361" s="306"/>
      <c r="K361" s="306"/>
      <c r="L361" s="306"/>
      <c r="M361" s="306"/>
      <c r="N361" s="306"/>
      <c r="O361" s="306"/>
      <c r="P361" s="306"/>
      <c r="Q361" s="306"/>
      <c r="R361" s="306"/>
      <c r="S361" s="306"/>
      <c r="T361" s="306"/>
      <c r="U361" s="306"/>
      <c r="V361" s="306"/>
      <c r="W361" s="306"/>
      <c r="X361" s="306"/>
      <c r="Y361" s="306"/>
      <c r="Z361" s="306"/>
    </row>
    <row r="362" spans="1:26" ht="15.75" customHeight="1">
      <c r="A362" s="307"/>
      <c r="B362" s="307"/>
      <c r="C362" s="306"/>
      <c r="D362" s="307"/>
      <c r="E362" s="307"/>
      <c r="F362" s="307"/>
      <c r="G362" s="1049"/>
      <c r="H362" s="1049"/>
      <c r="I362" s="306"/>
      <c r="J362" s="306"/>
      <c r="K362" s="306"/>
      <c r="L362" s="306"/>
      <c r="M362" s="306"/>
      <c r="N362" s="306"/>
      <c r="O362" s="306"/>
      <c r="P362" s="306"/>
      <c r="Q362" s="306"/>
      <c r="R362" s="306"/>
      <c r="S362" s="306"/>
      <c r="T362" s="306"/>
      <c r="U362" s="306"/>
      <c r="V362" s="306"/>
      <c r="W362" s="306"/>
      <c r="X362" s="306"/>
      <c r="Y362" s="306"/>
      <c r="Z362" s="306"/>
    </row>
    <row r="363" spans="1:26" ht="15.75" customHeight="1">
      <c r="A363" s="307"/>
      <c r="B363" s="307"/>
      <c r="C363" s="306"/>
      <c r="D363" s="307"/>
      <c r="E363" s="307"/>
      <c r="F363" s="307"/>
      <c r="G363" s="1049"/>
      <c r="H363" s="1049"/>
      <c r="I363" s="306"/>
      <c r="J363" s="306"/>
      <c r="K363" s="306"/>
      <c r="L363" s="306"/>
      <c r="M363" s="306"/>
      <c r="N363" s="306"/>
      <c r="O363" s="306"/>
      <c r="P363" s="306"/>
      <c r="Q363" s="306"/>
      <c r="R363" s="306"/>
      <c r="S363" s="306"/>
      <c r="T363" s="306"/>
      <c r="U363" s="306"/>
      <c r="V363" s="306"/>
      <c r="W363" s="306"/>
      <c r="X363" s="306"/>
      <c r="Y363" s="306"/>
      <c r="Z363" s="306"/>
    </row>
    <row r="364" spans="1:26" ht="15.75" customHeight="1">
      <c r="A364" s="307"/>
      <c r="B364" s="307"/>
      <c r="C364" s="306"/>
      <c r="D364" s="307"/>
      <c r="E364" s="307"/>
      <c r="F364" s="307"/>
      <c r="G364" s="1049"/>
      <c r="H364" s="1049"/>
      <c r="I364" s="306"/>
      <c r="J364" s="306"/>
      <c r="K364" s="306"/>
      <c r="L364" s="306"/>
      <c r="M364" s="306"/>
      <c r="N364" s="306"/>
      <c r="O364" s="306"/>
      <c r="P364" s="306"/>
      <c r="Q364" s="306"/>
      <c r="R364" s="306"/>
      <c r="S364" s="306"/>
      <c r="T364" s="306"/>
      <c r="U364" s="306"/>
      <c r="V364" s="306"/>
      <c r="W364" s="306"/>
      <c r="X364" s="306"/>
      <c r="Y364" s="306"/>
      <c r="Z364" s="306"/>
    </row>
    <row r="365" spans="1:26" ht="15.75" customHeight="1">
      <c r="A365" s="307"/>
      <c r="B365" s="307"/>
      <c r="C365" s="306"/>
      <c r="D365" s="307"/>
      <c r="E365" s="307"/>
      <c r="F365" s="307"/>
      <c r="G365" s="1049"/>
      <c r="H365" s="1049"/>
      <c r="I365" s="306"/>
      <c r="J365" s="306"/>
      <c r="K365" s="306"/>
      <c r="L365" s="306"/>
      <c r="M365" s="306"/>
      <c r="N365" s="306"/>
      <c r="O365" s="306"/>
      <c r="P365" s="306"/>
      <c r="Q365" s="306"/>
      <c r="R365" s="306"/>
      <c r="S365" s="306"/>
      <c r="T365" s="306"/>
      <c r="U365" s="306"/>
      <c r="V365" s="306"/>
      <c r="W365" s="306"/>
      <c r="X365" s="306"/>
      <c r="Y365" s="306"/>
      <c r="Z365" s="306"/>
    </row>
    <row r="366" spans="1:26" ht="15.75" customHeight="1">
      <c r="A366" s="307"/>
      <c r="B366" s="307"/>
      <c r="C366" s="306"/>
      <c r="D366" s="307"/>
      <c r="E366" s="307"/>
      <c r="F366" s="307"/>
      <c r="G366" s="1049"/>
      <c r="H366" s="1049"/>
      <c r="I366" s="306"/>
      <c r="J366" s="306"/>
      <c r="K366" s="306"/>
      <c r="L366" s="306"/>
      <c r="M366" s="306"/>
      <c r="N366" s="306"/>
      <c r="O366" s="306"/>
      <c r="P366" s="306"/>
      <c r="Q366" s="306"/>
      <c r="R366" s="306"/>
      <c r="S366" s="306"/>
      <c r="T366" s="306"/>
      <c r="U366" s="306"/>
      <c r="V366" s="306"/>
      <c r="W366" s="306"/>
      <c r="X366" s="306"/>
      <c r="Y366" s="306"/>
      <c r="Z366" s="306"/>
    </row>
    <row r="367" spans="1:26" ht="15.75" customHeight="1">
      <c r="A367" s="307"/>
      <c r="B367" s="307"/>
      <c r="C367" s="306"/>
      <c r="D367" s="307"/>
      <c r="E367" s="307"/>
      <c r="F367" s="307"/>
      <c r="G367" s="1049"/>
      <c r="H367" s="1049"/>
      <c r="I367" s="306"/>
      <c r="J367" s="306"/>
      <c r="K367" s="306"/>
      <c r="L367" s="306"/>
      <c r="M367" s="306"/>
      <c r="N367" s="306"/>
      <c r="O367" s="306"/>
      <c r="P367" s="306"/>
      <c r="Q367" s="306"/>
      <c r="R367" s="306"/>
      <c r="S367" s="306"/>
      <c r="T367" s="306"/>
      <c r="U367" s="306"/>
      <c r="V367" s="306"/>
      <c r="W367" s="306"/>
      <c r="X367" s="306"/>
      <c r="Y367" s="306"/>
      <c r="Z367" s="306"/>
    </row>
    <row r="368" spans="1:26" ht="15.75" customHeight="1">
      <c r="A368" s="307"/>
      <c r="B368" s="307"/>
      <c r="C368" s="306"/>
      <c r="D368" s="307"/>
      <c r="E368" s="307"/>
      <c r="F368" s="307"/>
      <c r="G368" s="1049"/>
      <c r="H368" s="1049"/>
      <c r="I368" s="306"/>
      <c r="J368" s="306"/>
      <c r="K368" s="306"/>
      <c r="L368" s="306"/>
      <c r="M368" s="306"/>
      <c r="N368" s="306"/>
      <c r="O368" s="306"/>
      <c r="P368" s="306"/>
      <c r="Q368" s="306"/>
      <c r="R368" s="306"/>
      <c r="S368" s="306"/>
      <c r="T368" s="306"/>
      <c r="U368" s="306"/>
      <c r="V368" s="306"/>
      <c r="W368" s="306"/>
      <c r="X368" s="306"/>
      <c r="Y368" s="306"/>
      <c r="Z368" s="306"/>
    </row>
    <row r="369" spans="1:26" ht="15.75" customHeight="1">
      <c r="A369" s="307"/>
      <c r="B369" s="307"/>
      <c r="C369" s="306"/>
      <c r="D369" s="307"/>
      <c r="E369" s="307"/>
      <c r="F369" s="307"/>
      <c r="G369" s="1049"/>
      <c r="H369" s="1049"/>
      <c r="I369" s="306"/>
      <c r="J369" s="306"/>
      <c r="K369" s="306"/>
      <c r="L369" s="306"/>
      <c r="M369" s="306"/>
      <c r="N369" s="306"/>
      <c r="O369" s="306"/>
      <c r="P369" s="306"/>
      <c r="Q369" s="306"/>
      <c r="R369" s="306"/>
      <c r="S369" s="306"/>
      <c r="T369" s="306"/>
      <c r="U369" s="306"/>
      <c r="V369" s="306"/>
      <c r="W369" s="306"/>
      <c r="X369" s="306"/>
      <c r="Y369" s="306"/>
      <c r="Z369" s="306"/>
    </row>
    <row r="370" spans="1:26" ht="15.75" customHeight="1">
      <c r="A370" s="307"/>
      <c r="B370" s="307"/>
      <c r="C370" s="306"/>
      <c r="D370" s="307"/>
      <c r="E370" s="307"/>
      <c r="F370" s="307"/>
      <c r="G370" s="1049"/>
      <c r="H370" s="1049"/>
      <c r="I370" s="306"/>
      <c r="J370" s="306"/>
      <c r="K370" s="306"/>
      <c r="L370" s="306"/>
      <c r="M370" s="306"/>
      <c r="N370" s="306"/>
      <c r="O370" s="306"/>
      <c r="P370" s="306"/>
      <c r="Q370" s="306"/>
      <c r="R370" s="306"/>
      <c r="S370" s="306"/>
      <c r="T370" s="306"/>
      <c r="U370" s="306"/>
      <c r="V370" s="306"/>
      <c r="W370" s="306"/>
      <c r="X370" s="306"/>
      <c r="Y370" s="306"/>
      <c r="Z370" s="306"/>
    </row>
    <row r="371" spans="1:26" ht="15.75" customHeight="1">
      <c r="A371" s="307"/>
      <c r="B371" s="307"/>
      <c r="C371" s="306"/>
      <c r="D371" s="307"/>
      <c r="E371" s="307"/>
      <c r="F371" s="307"/>
      <c r="G371" s="1049"/>
      <c r="H371" s="1049"/>
      <c r="I371" s="306"/>
      <c r="J371" s="306"/>
      <c r="K371" s="306"/>
      <c r="L371" s="306"/>
      <c r="M371" s="306"/>
      <c r="N371" s="306"/>
      <c r="O371" s="306"/>
      <c r="P371" s="306"/>
      <c r="Q371" s="306"/>
      <c r="R371" s="306"/>
      <c r="S371" s="306"/>
      <c r="T371" s="306"/>
      <c r="U371" s="306"/>
      <c r="V371" s="306"/>
      <c r="W371" s="306"/>
      <c r="X371" s="306"/>
      <c r="Y371" s="306"/>
      <c r="Z371" s="306"/>
    </row>
    <row r="372" spans="1:26" ht="15.75" customHeight="1">
      <c r="A372" s="307"/>
      <c r="B372" s="307"/>
      <c r="C372" s="306"/>
      <c r="D372" s="307"/>
      <c r="E372" s="307"/>
      <c r="F372" s="307"/>
      <c r="G372" s="1049"/>
      <c r="H372" s="1049"/>
      <c r="I372" s="306"/>
      <c r="J372" s="306"/>
      <c r="K372" s="306"/>
      <c r="L372" s="306"/>
      <c r="M372" s="306"/>
      <c r="N372" s="306"/>
      <c r="O372" s="306"/>
      <c r="P372" s="306"/>
      <c r="Q372" s="306"/>
      <c r="R372" s="306"/>
      <c r="S372" s="306"/>
      <c r="T372" s="306"/>
      <c r="U372" s="306"/>
      <c r="V372" s="306"/>
      <c r="W372" s="306"/>
      <c r="X372" s="306"/>
      <c r="Y372" s="306"/>
      <c r="Z372" s="306"/>
    </row>
    <row r="373" spans="1:26" ht="15.75" customHeight="1">
      <c r="A373" s="307"/>
      <c r="B373" s="307"/>
      <c r="C373" s="306"/>
      <c r="D373" s="307"/>
      <c r="E373" s="307"/>
      <c r="F373" s="307"/>
      <c r="G373" s="1049"/>
      <c r="H373" s="1049"/>
      <c r="I373" s="306"/>
      <c r="J373" s="306"/>
      <c r="K373" s="306"/>
      <c r="L373" s="306"/>
      <c r="M373" s="306"/>
      <c r="N373" s="306"/>
      <c r="O373" s="306"/>
      <c r="P373" s="306"/>
      <c r="Q373" s="306"/>
      <c r="R373" s="306"/>
      <c r="S373" s="306"/>
      <c r="T373" s="306"/>
      <c r="U373" s="306"/>
      <c r="V373" s="306"/>
      <c r="W373" s="306"/>
      <c r="X373" s="306"/>
      <c r="Y373" s="306"/>
      <c r="Z373" s="306"/>
    </row>
    <row r="374" spans="1:26" ht="15.75" customHeight="1">
      <c r="A374" s="307"/>
      <c r="B374" s="307"/>
      <c r="C374" s="306"/>
      <c r="D374" s="307"/>
      <c r="E374" s="307"/>
      <c r="F374" s="307"/>
      <c r="G374" s="1049"/>
      <c r="H374" s="1049"/>
      <c r="I374" s="306"/>
      <c r="J374" s="306"/>
      <c r="K374" s="306"/>
      <c r="L374" s="306"/>
      <c r="M374" s="306"/>
      <c r="N374" s="306"/>
      <c r="O374" s="306"/>
      <c r="P374" s="306"/>
      <c r="Q374" s="306"/>
      <c r="R374" s="306"/>
      <c r="S374" s="306"/>
      <c r="T374" s="306"/>
      <c r="U374" s="306"/>
      <c r="V374" s="306"/>
      <c r="W374" s="306"/>
      <c r="X374" s="306"/>
      <c r="Y374" s="306"/>
      <c r="Z374" s="306"/>
    </row>
    <row r="375" spans="1:26" ht="15.75" customHeight="1">
      <c r="A375" s="307"/>
      <c r="B375" s="307"/>
      <c r="C375" s="306"/>
      <c r="D375" s="307"/>
      <c r="E375" s="307"/>
      <c r="F375" s="307"/>
      <c r="G375" s="1049"/>
      <c r="H375" s="1049"/>
      <c r="I375" s="306"/>
      <c r="J375" s="306"/>
      <c r="K375" s="306"/>
      <c r="L375" s="306"/>
      <c r="M375" s="306"/>
      <c r="N375" s="306"/>
      <c r="O375" s="306"/>
      <c r="P375" s="306"/>
      <c r="Q375" s="306"/>
      <c r="R375" s="306"/>
      <c r="S375" s="306"/>
      <c r="T375" s="306"/>
      <c r="U375" s="306"/>
      <c r="V375" s="306"/>
      <c r="W375" s="306"/>
      <c r="X375" s="306"/>
      <c r="Y375" s="306"/>
      <c r="Z375" s="306"/>
    </row>
    <row r="376" spans="1:26" ht="15.75" customHeight="1">
      <c r="A376" s="307"/>
      <c r="B376" s="307"/>
      <c r="C376" s="306"/>
      <c r="D376" s="307"/>
      <c r="E376" s="307"/>
      <c r="F376" s="307"/>
      <c r="G376" s="1049"/>
      <c r="H376" s="1049"/>
      <c r="I376" s="306"/>
      <c r="J376" s="306"/>
      <c r="K376" s="306"/>
      <c r="L376" s="306"/>
      <c r="M376" s="306"/>
      <c r="N376" s="306"/>
      <c r="O376" s="306"/>
      <c r="P376" s="306"/>
      <c r="Q376" s="306"/>
      <c r="R376" s="306"/>
      <c r="S376" s="306"/>
      <c r="T376" s="306"/>
      <c r="U376" s="306"/>
      <c r="V376" s="306"/>
      <c r="W376" s="306"/>
      <c r="X376" s="306"/>
      <c r="Y376" s="306"/>
      <c r="Z376" s="306"/>
    </row>
    <row r="377" spans="1:26" ht="15.75" customHeight="1">
      <c r="A377" s="307"/>
      <c r="B377" s="307"/>
      <c r="C377" s="306"/>
      <c r="D377" s="307"/>
      <c r="E377" s="307"/>
      <c r="F377" s="307"/>
      <c r="G377" s="1049"/>
      <c r="H377" s="1049"/>
      <c r="I377" s="306"/>
      <c r="J377" s="306"/>
      <c r="K377" s="306"/>
      <c r="L377" s="306"/>
      <c r="M377" s="306"/>
      <c r="N377" s="306"/>
      <c r="O377" s="306"/>
      <c r="P377" s="306"/>
      <c r="Q377" s="306"/>
      <c r="R377" s="306"/>
      <c r="S377" s="306"/>
      <c r="T377" s="306"/>
      <c r="U377" s="306"/>
      <c r="V377" s="306"/>
      <c r="W377" s="306"/>
      <c r="X377" s="306"/>
      <c r="Y377" s="306"/>
      <c r="Z377" s="306"/>
    </row>
    <row r="378" spans="1:26" ht="15.75" customHeight="1">
      <c r="A378" s="307"/>
      <c r="B378" s="307"/>
      <c r="C378" s="306"/>
      <c r="D378" s="307"/>
      <c r="E378" s="307"/>
      <c r="F378" s="307"/>
      <c r="G378" s="1049"/>
      <c r="H378" s="1049"/>
      <c r="I378" s="306"/>
      <c r="J378" s="306"/>
      <c r="K378" s="306"/>
      <c r="L378" s="306"/>
      <c r="M378" s="306"/>
      <c r="N378" s="306"/>
      <c r="O378" s="306"/>
      <c r="P378" s="306"/>
      <c r="Q378" s="306"/>
      <c r="R378" s="306"/>
      <c r="S378" s="306"/>
      <c r="T378" s="306"/>
      <c r="U378" s="306"/>
      <c r="V378" s="306"/>
      <c r="W378" s="306"/>
      <c r="X378" s="306"/>
      <c r="Y378" s="306"/>
      <c r="Z378" s="306"/>
    </row>
    <row r="379" spans="1:26" ht="15.75" customHeight="1">
      <c r="A379" s="307"/>
      <c r="B379" s="307"/>
      <c r="C379" s="306"/>
      <c r="D379" s="307"/>
      <c r="E379" s="307"/>
      <c r="F379" s="307"/>
      <c r="G379" s="1049"/>
      <c r="H379" s="1049"/>
      <c r="I379" s="306"/>
      <c r="J379" s="306"/>
      <c r="K379" s="306"/>
      <c r="L379" s="306"/>
      <c r="M379" s="306"/>
      <c r="N379" s="306"/>
      <c r="O379" s="306"/>
      <c r="P379" s="306"/>
      <c r="Q379" s="306"/>
      <c r="R379" s="306"/>
      <c r="S379" s="306"/>
      <c r="T379" s="306"/>
      <c r="U379" s="306"/>
      <c r="V379" s="306"/>
      <c r="W379" s="306"/>
      <c r="X379" s="306"/>
      <c r="Y379" s="306"/>
      <c r="Z379" s="306"/>
    </row>
    <row r="380" spans="1:26" ht="15.75" customHeight="1">
      <c r="A380" s="307"/>
      <c r="B380" s="307"/>
      <c r="C380" s="306"/>
      <c r="D380" s="307"/>
      <c r="E380" s="307"/>
      <c r="F380" s="307"/>
      <c r="G380" s="1049"/>
      <c r="H380" s="1049"/>
      <c r="I380" s="306"/>
      <c r="J380" s="306"/>
      <c r="K380" s="306"/>
      <c r="L380" s="306"/>
      <c r="M380" s="306"/>
      <c r="N380" s="306"/>
      <c r="O380" s="306"/>
      <c r="P380" s="306"/>
      <c r="Q380" s="306"/>
      <c r="R380" s="306"/>
      <c r="S380" s="306"/>
      <c r="T380" s="306"/>
      <c r="U380" s="306"/>
      <c r="V380" s="306"/>
      <c r="W380" s="306"/>
      <c r="X380" s="306"/>
      <c r="Y380" s="306"/>
      <c r="Z380" s="306"/>
    </row>
    <row r="381" spans="1:26" ht="15.75" customHeight="1">
      <c r="A381" s="307"/>
      <c r="B381" s="307"/>
      <c r="C381" s="306"/>
      <c r="D381" s="307"/>
      <c r="E381" s="307"/>
      <c r="F381" s="307"/>
      <c r="G381" s="1049"/>
      <c r="H381" s="1049"/>
      <c r="I381" s="306"/>
      <c r="J381" s="306"/>
      <c r="K381" s="306"/>
      <c r="L381" s="306"/>
      <c r="M381" s="306"/>
      <c r="N381" s="306"/>
      <c r="O381" s="306"/>
      <c r="P381" s="306"/>
      <c r="Q381" s="306"/>
      <c r="R381" s="306"/>
      <c r="S381" s="306"/>
      <c r="T381" s="306"/>
      <c r="U381" s="306"/>
      <c r="V381" s="306"/>
      <c r="W381" s="306"/>
      <c r="X381" s="306"/>
      <c r="Y381" s="306"/>
      <c r="Z381" s="306"/>
    </row>
    <row r="382" spans="1:26" ht="15.75" customHeight="1">
      <c r="A382" s="307"/>
      <c r="B382" s="307"/>
      <c r="C382" s="306"/>
      <c r="D382" s="307"/>
      <c r="E382" s="307"/>
      <c r="F382" s="307"/>
      <c r="G382" s="1049"/>
      <c r="H382" s="1049"/>
      <c r="I382" s="306"/>
      <c r="J382" s="306"/>
      <c r="K382" s="306"/>
      <c r="L382" s="306"/>
      <c r="M382" s="306"/>
      <c r="N382" s="306"/>
      <c r="O382" s="306"/>
      <c r="P382" s="306"/>
      <c r="Q382" s="306"/>
      <c r="R382" s="306"/>
      <c r="S382" s="306"/>
      <c r="T382" s="306"/>
      <c r="U382" s="306"/>
      <c r="V382" s="306"/>
      <c r="W382" s="306"/>
      <c r="X382" s="306"/>
      <c r="Y382" s="306"/>
      <c r="Z382" s="306"/>
    </row>
    <row r="383" spans="1:26" ht="15.75" customHeight="1">
      <c r="A383" s="307"/>
      <c r="B383" s="307"/>
      <c r="C383" s="306"/>
      <c r="D383" s="307"/>
      <c r="E383" s="307"/>
      <c r="F383" s="307"/>
      <c r="G383" s="1049"/>
      <c r="H383" s="1049"/>
      <c r="I383" s="306"/>
      <c r="J383" s="306"/>
      <c r="K383" s="306"/>
      <c r="L383" s="306"/>
      <c r="M383" s="306"/>
      <c r="N383" s="306"/>
      <c r="O383" s="306"/>
      <c r="P383" s="306"/>
      <c r="Q383" s="306"/>
      <c r="R383" s="306"/>
      <c r="S383" s="306"/>
      <c r="T383" s="306"/>
      <c r="U383" s="306"/>
      <c r="V383" s="306"/>
      <c r="W383" s="306"/>
      <c r="X383" s="306"/>
      <c r="Y383" s="306"/>
      <c r="Z383" s="306"/>
    </row>
    <row r="384" spans="1:26" ht="15.75" customHeight="1">
      <c r="A384" s="307"/>
      <c r="B384" s="307"/>
      <c r="C384" s="306"/>
      <c r="D384" s="307"/>
      <c r="E384" s="307"/>
      <c r="F384" s="307"/>
      <c r="G384" s="1049"/>
      <c r="H384" s="1049"/>
      <c r="I384" s="306"/>
      <c r="J384" s="306"/>
      <c r="K384" s="306"/>
      <c r="L384" s="306"/>
      <c r="M384" s="306"/>
      <c r="N384" s="306"/>
      <c r="O384" s="306"/>
      <c r="P384" s="306"/>
      <c r="Q384" s="306"/>
      <c r="R384" s="306"/>
      <c r="S384" s="306"/>
      <c r="T384" s="306"/>
      <c r="U384" s="306"/>
      <c r="V384" s="306"/>
      <c r="W384" s="306"/>
      <c r="X384" s="306"/>
      <c r="Y384" s="306"/>
      <c r="Z384" s="306"/>
    </row>
    <row r="385" spans="1:26" ht="15.75" customHeight="1">
      <c r="A385" s="307"/>
      <c r="B385" s="307"/>
      <c r="C385" s="306"/>
      <c r="D385" s="307"/>
      <c r="E385" s="307"/>
      <c r="F385" s="307"/>
      <c r="G385" s="1049"/>
      <c r="H385" s="1049"/>
      <c r="I385" s="306"/>
      <c r="J385" s="306"/>
      <c r="K385" s="306"/>
      <c r="L385" s="306"/>
      <c r="M385" s="306"/>
      <c r="N385" s="306"/>
      <c r="O385" s="306"/>
      <c r="P385" s="306"/>
      <c r="Q385" s="306"/>
      <c r="R385" s="306"/>
      <c r="S385" s="306"/>
      <c r="T385" s="306"/>
      <c r="U385" s="306"/>
      <c r="V385" s="306"/>
      <c r="W385" s="306"/>
      <c r="X385" s="306"/>
      <c r="Y385" s="306"/>
      <c r="Z385" s="306"/>
    </row>
    <row r="386" spans="1:26" ht="15.75" customHeight="1">
      <c r="A386" s="307"/>
      <c r="B386" s="307"/>
      <c r="C386" s="306"/>
      <c r="D386" s="307"/>
      <c r="E386" s="307"/>
      <c r="F386" s="307"/>
      <c r="G386" s="1049"/>
      <c r="H386" s="1049"/>
      <c r="I386" s="306"/>
      <c r="J386" s="306"/>
      <c r="K386" s="306"/>
      <c r="L386" s="306"/>
      <c r="M386" s="306"/>
      <c r="N386" s="306"/>
      <c r="O386" s="306"/>
      <c r="P386" s="306"/>
      <c r="Q386" s="306"/>
      <c r="R386" s="306"/>
      <c r="S386" s="306"/>
      <c r="T386" s="306"/>
      <c r="U386" s="306"/>
      <c r="V386" s="306"/>
      <c r="W386" s="306"/>
      <c r="X386" s="306"/>
      <c r="Y386" s="306"/>
      <c r="Z386" s="306"/>
    </row>
    <row r="387" spans="1:26" ht="15.75" customHeight="1">
      <c r="A387" s="307"/>
      <c r="B387" s="307"/>
      <c r="C387" s="306"/>
      <c r="D387" s="307"/>
      <c r="E387" s="307"/>
      <c r="F387" s="307"/>
      <c r="G387" s="1049"/>
      <c r="H387" s="1049"/>
      <c r="I387" s="306"/>
      <c r="J387" s="306"/>
      <c r="K387" s="306"/>
      <c r="L387" s="306"/>
      <c r="M387" s="306"/>
      <c r="N387" s="306"/>
      <c r="O387" s="306"/>
      <c r="P387" s="306"/>
      <c r="Q387" s="306"/>
      <c r="R387" s="306"/>
      <c r="S387" s="306"/>
      <c r="T387" s="306"/>
      <c r="U387" s="306"/>
      <c r="V387" s="306"/>
      <c r="W387" s="306"/>
      <c r="X387" s="306"/>
      <c r="Y387" s="306"/>
      <c r="Z387" s="306"/>
    </row>
    <row r="388" spans="1:26" ht="15.75" customHeight="1">
      <c r="A388" s="307"/>
      <c r="B388" s="307"/>
      <c r="C388" s="306"/>
      <c r="D388" s="307"/>
      <c r="E388" s="307"/>
      <c r="F388" s="307"/>
      <c r="G388" s="1049"/>
      <c r="H388" s="1049"/>
      <c r="I388" s="306"/>
      <c r="J388" s="306"/>
      <c r="K388" s="306"/>
      <c r="L388" s="306"/>
      <c r="M388" s="306"/>
      <c r="N388" s="306"/>
      <c r="O388" s="306"/>
      <c r="P388" s="306"/>
      <c r="Q388" s="306"/>
      <c r="R388" s="306"/>
      <c r="S388" s="306"/>
      <c r="T388" s="306"/>
      <c r="U388" s="306"/>
      <c r="V388" s="306"/>
      <c r="W388" s="306"/>
      <c r="X388" s="306"/>
      <c r="Y388" s="306"/>
      <c r="Z388" s="306"/>
    </row>
    <row r="389" spans="1:26" ht="15.75" customHeight="1">
      <c r="A389" s="307"/>
      <c r="B389" s="307"/>
      <c r="C389" s="306"/>
      <c r="D389" s="307"/>
      <c r="E389" s="307"/>
      <c r="F389" s="307"/>
      <c r="G389" s="1049"/>
      <c r="H389" s="1049"/>
      <c r="I389" s="306"/>
      <c r="J389" s="306"/>
      <c r="K389" s="306"/>
      <c r="L389" s="306"/>
      <c r="M389" s="306"/>
      <c r="N389" s="306"/>
      <c r="O389" s="306"/>
      <c r="P389" s="306"/>
      <c r="Q389" s="306"/>
      <c r="R389" s="306"/>
      <c r="S389" s="306"/>
      <c r="T389" s="306"/>
      <c r="U389" s="306"/>
      <c r="V389" s="306"/>
      <c r="W389" s="306"/>
      <c r="X389" s="306"/>
      <c r="Y389" s="306"/>
      <c r="Z389" s="306"/>
    </row>
    <row r="390" spans="1:26" ht="15.75" customHeight="1">
      <c r="A390" s="307"/>
      <c r="B390" s="307"/>
      <c r="C390" s="306"/>
      <c r="D390" s="307"/>
      <c r="E390" s="307"/>
      <c r="F390" s="307"/>
      <c r="G390" s="1049"/>
      <c r="H390" s="1049"/>
      <c r="I390" s="306"/>
      <c r="J390" s="306"/>
      <c r="K390" s="306"/>
      <c r="L390" s="306"/>
      <c r="M390" s="306"/>
      <c r="N390" s="306"/>
      <c r="O390" s="306"/>
      <c r="P390" s="306"/>
      <c r="Q390" s="306"/>
      <c r="R390" s="306"/>
      <c r="S390" s="306"/>
      <c r="T390" s="306"/>
      <c r="U390" s="306"/>
      <c r="V390" s="306"/>
      <c r="W390" s="306"/>
      <c r="X390" s="306"/>
      <c r="Y390" s="306"/>
      <c r="Z390" s="306"/>
    </row>
    <row r="391" spans="1:26" ht="15.75" customHeight="1">
      <c r="A391" s="307"/>
      <c r="B391" s="307"/>
      <c r="C391" s="306"/>
      <c r="D391" s="307"/>
      <c r="E391" s="307"/>
      <c r="F391" s="307"/>
      <c r="G391" s="1049"/>
      <c r="H391" s="1049"/>
      <c r="I391" s="306"/>
      <c r="J391" s="306"/>
      <c r="K391" s="306"/>
      <c r="L391" s="306"/>
      <c r="M391" s="306"/>
      <c r="N391" s="306"/>
      <c r="O391" s="306"/>
      <c r="P391" s="306"/>
      <c r="Q391" s="306"/>
      <c r="R391" s="306"/>
      <c r="S391" s="306"/>
      <c r="T391" s="306"/>
      <c r="U391" s="306"/>
      <c r="V391" s="306"/>
      <c r="W391" s="306"/>
      <c r="X391" s="306"/>
      <c r="Y391" s="306"/>
      <c r="Z391" s="306"/>
    </row>
    <row r="392" spans="1:26" ht="15.75" customHeight="1">
      <c r="A392" s="307"/>
      <c r="B392" s="307"/>
      <c r="C392" s="306"/>
      <c r="D392" s="307"/>
      <c r="E392" s="307"/>
      <c r="F392" s="307"/>
      <c r="G392" s="1049"/>
      <c r="H392" s="1049"/>
      <c r="I392" s="306"/>
      <c r="J392" s="306"/>
      <c r="K392" s="306"/>
      <c r="L392" s="306"/>
      <c r="M392" s="306"/>
      <c r="N392" s="306"/>
      <c r="O392" s="306"/>
      <c r="P392" s="306"/>
      <c r="Q392" s="306"/>
      <c r="R392" s="306"/>
      <c r="S392" s="306"/>
      <c r="T392" s="306"/>
      <c r="U392" s="306"/>
      <c r="V392" s="306"/>
      <c r="W392" s="306"/>
      <c r="X392" s="306"/>
      <c r="Y392" s="306"/>
      <c r="Z392" s="306"/>
    </row>
    <row r="393" spans="1:26" ht="15.75" customHeight="1">
      <c r="A393" s="307"/>
      <c r="B393" s="307"/>
      <c r="C393" s="306"/>
      <c r="D393" s="307"/>
      <c r="E393" s="307"/>
      <c r="F393" s="307"/>
      <c r="G393" s="1049"/>
      <c r="H393" s="1049"/>
      <c r="I393" s="306"/>
      <c r="J393" s="306"/>
      <c r="K393" s="306"/>
      <c r="L393" s="306"/>
      <c r="M393" s="306"/>
      <c r="N393" s="306"/>
      <c r="O393" s="306"/>
      <c r="P393" s="306"/>
      <c r="Q393" s="306"/>
      <c r="R393" s="306"/>
      <c r="S393" s="306"/>
      <c r="T393" s="306"/>
      <c r="U393" s="306"/>
      <c r="V393" s="306"/>
      <c r="W393" s="306"/>
      <c r="X393" s="306"/>
      <c r="Y393" s="306"/>
      <c r="Z393" s="306"/>
    </row>
    <row r="394" spans="1:26" ht="15.75" customHeight="1">
      <c r="A394" s="307"/>
      <c r="B394" s="307"/>
      <c r="C394" s="306"/>
      <c r="D394" s="307"/>
      <c r="E394" s="307"/>
      <c r="F394" s="307"/>
      <c r="G394" s="1049"/>
      <c r="H394" s="1049"/>
      <c r="I394" s="306"/>
      <c r="J394" s="306"/>
      <c r="K394" s="306"/>
      <c r="L394" s="306"/>
      <c r="M394" s="306"/>
      <c r="N394" s="306"/>
      <c r="O394" s="306"/>
      <c r="P394" s="306"/>
      <c r="Q394" s="306"/>
      <c r="R394" s="306"/>
      <c r="S394" s="306"/>
      <c r="T394" s="306"/>
      <c r="U394" s="306"/>
      <c r="V394" s="306"/>
      <c r="W394" s="306"/>
      <c r="X394" s="306"/>
      <c r="Y394" s="306"/>
      <c r="Z394" s="306"/>
    </row>
    <row r="395" spans="1:26" ht="15.75" customHeight="1">
      <c r="A395" s="307"/>
      <c r="B395" s="307"/>
      <c r="C395" s="306"/>
      <c r="D395" s="307"/>
      <c r="E395" s="307"/>
      <c r="F395" s="307"/>
      <c r="G395" s="1049"/>
      <c r="H395" s="1049"/>
      <c r="I395" s="306"/>
      <c r="J395" s="306"/>
      <c r="K395" s="306"/>
      <c r="L395" s="306"/>
      <c r="M395" s="306"/>
      <c r="N395" s="306"/>
      <c r="O395" s="306"/>
      <c r="P395" s="306"/>
      <c r="Q395" s="306"/>
      <c r="R395" s="306"/>
      <c r="S395" s="306"/>
      <c r="T395" s="306"/>
      <c r="U395" s="306"/>
      <c r="V395" s="306"/>
      <c r="W395" s="306"/>
      <c r="X395" s="306"/>
      <c r="Y395" s="306"/>
      <c r="Z395" s="306"/>
    </row>
    <row r="396" spans="1:26" ht="15.75" customHeight="1">
      <c r="A396" s="307"/>
      <c r="B396" s="307"/>
      <c r="C396" s="306"/>
      <c r="D396" s="307"/>
      <c r="E396" s="307"/>
      <c r="F396" s="307"/>
      <c r="G396" s="1049"/>
      <c r="H396" s="1049"/>
      <c r="I396" s="306"/>
      <c r="J396" s="306"/>
      <c r="K396" s="306"/>
      <c r="L396" s="306"/>
      <c r="M396" s="306"/>
      <c r="N396" s="306"/>
      <c r="O396" s="306"/>
      <c r="P396" s="306"/>
      <c r="Q396" s="306"/>
      <c r="R396" s="306"/>
      <c r="S396" s="306"/>
      <c r="T396" s="306"/>
      <c r="U396" s="306"/>
      <c r="V396" s="306"/>
      <c r="W396" s="306"/>
      <c r="X396" s="306"/>
      <c r="Y396" s="306"/>
      <c r="Z396" s="306"/>
    </row>
    <row r="397" spans="1:26" ht="15.75" customHeight="1">
      <c r="A397" s="307"/>
      <c r="B397" s="307"/>
      <c r="C397" s="306"/>
      <c r="D397" s="307"/>
      <c r="E397" s="307"/>
      <c r="F397" s="307"/>
      <c r="G397" s="1049"/>
      <c r="H397" s="1049"/>
      <c r="I397" s="306"/>
      <c r="J397" s="306"/>
      <c r="K397" s="306"/>
      <c r="L397" s="306"/>
      <c r="M397" s="306"/>
      <c r="N397" s="306"/>
      <c r="O397" s="306"/>
      <c r="P397" s="306"/>
      <c r="Q397" s="306"/>
      <c r="R397" s="306"/>
      <c r="S397" s="306"/>
      <c r="T397" s="306"/>
      <c r="U397" s="306"/>
      <c r="V397" s="306"/>
      <c r="W397" s="306"/>
      <c r="X397" s="306"/>
      <c r="Y397" s="306"/>
      <c r="Z397" s="306"/>
    </row>
    <row r="398" spans="1:26" ht="15.75" customHeight="1">
      <c r="A398" s="307"/>
      <c r="B398" s="307"/>
      <c r="C398" s="306"/>
      <c r="D398" s="307"/>
      <c r="E398" s="307"/>
      <c r="F398" s="307"/>
      <c r="G398" s="1049"/>
      <c r="H398" s="1049"/>
      <c r="I398" s="306"/>
      <c r="J398" s="306"/>
      <c r="K398" s="306"/>
      <c r="L398" s="306"/>
      <c r="M398" s="306"/>
      <c r="N398" s="306"/>
      <c r="O398" s="306"/>
      <c r="P398" s="306"/>
      <c r="Q398" s="306"/>
      <c r="R398" s="306"/>
      <c r="S398" s="306"/>
      <c r="T398" s="306"/>
      <c r="U398" s="306"/>
      <c r="V398" s="306"/>
      <c r="W398" s="306"/>
      <c r="X398" s="306"/>
      <c r="Y398" s="306"/>
      <c r="Z398" s="306"/>
    </row>
    <row r="399" spans="1:26" ht="15.75" customHeight="1">
      <c r="A399" s="307"/>
      <c r="B399" s="307"/>
      <c r="C399" s="306"/>
      <c r="D399" s="307"/>
      <c r="E399" s="307"/>
      <c r="F399" s="307"/>
      <c r="G399" s="1049"/>
      <c r="H399" s="1049"/>
      <c r="I399" s="306"/>
      <c r="J399" s="306"/>
      <c r="K399" s="306"/>
      <c r="L399" s="306"/>
      <c r="M399" s="306"/>
      <c r="N399" s="306"/>
      <c r="O399" s="306"/>
      <c r="P399" s="306"/>
      <c r="Q399" s="306"/>
      <c r="R399" s="306"/>
      <c r="S399" s="306"/>
      <c r="T399" s="306"/>
      <c r="U399" s="306"/>
      <c r="V399" s="306"/>
      <c r="W399" s="306"/>
      <c r="X399" s="306"/>
      <c r="Y399" s="306"/>
      <c r="Z399" s="306"/>
    </row>
    <row r="400" spans="1:26" ht="15.75" customHeight="1">
      <c r="A400" s="307"/>
      <c r="B400" s="307"/>
      <c r="C400" s="306"/>
      <c r="D400" s="307"/>
      <c r="E400" s="307"/>
      <c r="F400" s="307"/>
      <c r="G400" s="1049"/>
      <c r="H400" s="1049"/>
      <c r="I400" s="306"/>
      <c r="J400" s="306"/>
      <c r="K400" s="306"/>
      <c r="L400" s="306"/>
      <c r="M400" s="306"/>
      <c r="N400" s="306"/>
      <c r="O400" s="306"/>
      <c r="P400" s="306"/>
      <c r="Q400" s="306"/>
      <c r="R400" s="306"/>
      <c r="S400" s="306"/>
      <c r="T400" s="306"/>
      <c r="U400" s="306"/>
      <c r="V400" s="306"/>
      <c r="W400" s="306"/>
      <c r="X400" s="306"/>
      <c r="Y400" s="306"/>
      <c r="Z400" s="306"/>
    </row>
    <row r="401" spans="1:26" ht="15.75" customHeight="1">
      <c r="A401" s="307"/>
      <c r="B401" s="307"/>
      <c r="C401" s="306"/>
      <c r="D401" s="307"/>
      <c r="E401" s="307"/>
      <c r="F401" s="307"/>
      <c r="G401" s="1049"/>
      <c r="H401" s="1049"/>
      <c r="I401" s="306"/>
      <c r="J401" s="306"/>
      <c r="K401" s="306"/>
      <c r="L401" s="306"/>
      <c r="M401" s="306"/>
      <c r="N401" s="306"/>
      <c r="O401" s="306"/>
      <c r="P401" s="306"/>
      <c r="Q401" s="306"/>
      <c r="R401" s="306"/>
      <c r="S401" s="306"/>
      <c r="T401" s="306"/>
      <c r="U401" s="306"/>
      <c r="V401" s="306"/>
      <c r="W401" s="306"/>
      <c r="X401" s="306"/>
      <c r="Y401" s="306"/>
      <c r="Z401" s="306"/>
    </row>
    <row r="402" spans="1:26" ht="15.75" customHeight="1">
      <c r="A402" s="307"/>
      <c r="B402" s="307"/>
      <c r="C402" s="306"/>
      <c r="D402" s="307"/>
      <c r="E402" s="307"/>
      <c r="F402" s="307"/>
      <c r="G402" s="1049"/>
      <c r="H402" s="1049"/>
      <c r="I402" s="306"/>
      <c r="J402" s="306"/>
      <c r="K402" s="306"/>
      <c r="L402" s="306"/>
      <c r="M402" s="306"/>
      <c r="N402" s="306"/>
      <c r="O402" s="306"/>
      <c r="P402" s="306"/>
      <c r="Q402" s="306"/>
      <c r="R402" s="306"/>
      <c r="S402" s="306"/>
      <c r="T402" s="306"/>
      <c r="U402" s="306"/>
      <c r="V402" s="306"/>
      <c r="W402" s="306"/>
      <c r="X402" s="306"/>
      <c r="Y402" s="306"/>
      <c r="Z402" s="306"/>
    </row>
    <row r="403" spans="1:26" ht="15.75" customHeight="1">
      <c r="A403" s="307"/>
      <c r="B403" s="307"/>
      <c r="C403" s="306"/>
      <c r="D403" s="307"/>
      <c r="E403" s="307"/>
      <c r="F403" s="307"/>
      <c r="G403" s="1049"/>
      <c r="H403" s="1049"/>
      <c r="I403" s="306"/>
      <c r="J403" s="306"/>
      <c r="K403" s="306"/>
      <c r="L403" s="306"/>
      <c r="M403" s="306"/>
      <c r="N403" s="306"/>
      <c r="O403" s="306"/>
      <c r="P403" s="306"/>
      <c r="Q403" s="306"/>
      <c r="R403" s="306"/>
      <c r="S403" s="306"/>
      <c r="T403" s="306"/>
      <c r="U403" s="306"/>
      <c r="V403" s="306"/>
      <c r="W403" s="306"/>
      <c r="X403" s="306"/>
      <c r="Y403" s="306"/>
      <c r="Z403" s="306"/>
    </row>
    <row r="404" spans="1:26" ht="15.75" customHeight="1">
      <c r="A404" s="307"/>
      <c r="B404" s="307"/>
      <c r="C404" s="306"/>
      <c r="D404" s="307"/>
      <c r="E404" s="307"/>
      <c r="F404" s="307"/>
      <c r="G404" s="1049"/>
      <c r="H404" s="1049"/>
      <c r="I404" s="306"/>
      <c r="J404" s="306"/>
      <c r="K404" s="306"/>
      <c r="L404" s="306"/>
      <c r="M404" s="306"/>
      <c r="N404" s="306"/>
      <c r="O404" s="306"/>
      <c r="P404" s="306"/>
      <c r="Q404" s="306"/>
      <c r="R404" s="306"/>
      <c r="S404" s="306"/>
      <c r="T404" s="306"/>
      <c r="U404" s="306"/>
      <c r="V404" s="306"/>
      <c r="W404" s="306"/>
      <c r="X404" s="306"/>
      <c r="Y404" s="306"/>
      <c r="Z404" s="306"/>
    </row>
    <row r="405" spans="1:26" ht="15.75" customHeight="1">
      <c r="A405" s="307"/>
      <c r="B405" s="307"/>
      <c r="C405" s="306"/>
      <c r="D405" s="307"/>
      <c r="E405" s="307"/>
      <c r="F405" s="307"/>
      <c r="G405" s="1049"/>
      <c r="H405" s="1049"/>
      <c r="I405" s="306"/>
      <c r="J405" s="306"/>
      <c r="K405" s="306"/>
      <c r="L405" s="306"/>
      <c r="M405" s="306"/>
      <c r="N405" s="306"/>
      <c r="O405" s="306"/>
      <c r="P405" s="306"/>
      <c r="Q405" s="306"/>
      <c r="R405" s="306"/>
      <c r="S405" s="306"/>
      <c r="T405" s="306"/>
      <c r="U405" s="306"/>
      <c r="V405" s="306"/>
      <c r="W405" s="306"/>
      <c r="X405" s="306"/>
      <c r="Y405" s="306"/>
      <c r="Z405" s="306"/>
    </row>
    <row r="406" spans="1:26" ht="15.75" customHeight="1">
      <c r="A406" s="307"/>
      <c r="B406" s="307"/>
      <c r="C406" s="306"/>
      <c r="D406" s="307"/>
      <c r="E406" s="307"/>
      <c r="F406" s="307"/>
      <c r="G406" s="1049"/>
      <c r="H406" s="1049"/>
      <c r="I406" s="306"/>
      <c r="J406" s="306"/>
      <c r="K406" s="306"/>
      <c r="L406" s="306"/>
      <c r="M406" s="306"/>
      <c r="N406" s="306"/>
      <c r="O406" s="306"/>
      <c r="P406" s="306"/>
      <c r="Q406" s="306"/>
      <c r="R406" s="306"/>
      <c r="S406" s="306"/>
      <c r="T406" s="306"/>
      <c r="U406" s="306"/>
      <c r="V406" s="306"/>
      <c r="W406" s="306"/>
      <c r="X406" s="306"/>
      <c r="Y406" s="306"/>
      <c r="Z406" s="306"/>
    </row>
    <row r="407" spans="1:26" ht="15.75" customHeight="1">
      <c r="A407" s="307"/>
      <c r="B407" s="307"/>
      <c r="C407" s="306"/>
      <c r="D407" s="307"/>
      <c r="E407" s="307"/>
      <c r="F407" s="307"/>
      <c r="G407" s="1049"/>
      <c r="H407" s="1049"/>
      <c r="I407" s="306"/>
      <c r="J407" s="306"/>
      <c r="K407" s="306"/>
      <c r="L407" s="306"/>
      <c r="M407" s="306"/>
      <c r="N407" s="306"/>
      <c r="O407" s="306"/>
      <c r="P407" s="306"/>
      <c r="Q407" s="306"/>
      <c r="R407" s="306"/>
      <c r="S407" s="306"/>
      <c r="T407" s="306"/>
      <c r="U407" s="306"/>
      <c r="V407" s="306"/>
      <c r="W407" s="306"/>
      <c r="X407" s="306"/>
      <c r="Y407" s="306"/>
      <c r="Z407" s="306"/>
    </row>
    <row r="408" spans="1:26" ht="15.75" customHeight="1">
      <c r="A408" s="307"/>
      <c r="B408" s="307"/>
      <c r="C408" s="306"/>
      <c r="D408" s="307"/>
      <c r="E408" s="307"/>
      <c r="F408" s="307"/>
      <c r="G408" s="1049"/>
      <c r="H408" s="1049"/>
      <c r="I408" s="306"/>
      <c r="J408" s="306"/>
      <c r="K408" s="306"/>
      <c r="L408" s="306"/>
      <c r="M408" s="306"/>
      <c r="N408" s="306"/>
      <c r="O408" s="306"/>
      <c r="P408" s="306"/>
      <c r="Q408" s="306"/>
      <c r="R408" s="306"/>
      <c r="S408" s="306"/>
      <c r="T408" s="306"/>
      <c r="U408" s="306"/>
      <c r="V408" s="306"/>
      <c r="W408" s="306"/>
      <c r="X408" s="306"/>
      <c r="Y408" s="306"/>
      <c r="Z408" s="306"/>
    </row>
    <row r="409" spans="1:26" ht="15.75" customHeight="1">
      <c r="A409" s="307"/>
      <c r="B409" s="307"/>
      <c r="C409" s="306"/>
      <c r="D409" s="307"/>
      <c r="E409" s="307"/>
      <c r="F409" s="307"/>
      <c r="G409" s="1049"/>
      <c r="H409" s="1049"/>
      <c r="I409" s="306"/>
      <c r="J409" s="306"/>
      <c r="K409" s="306"/>
      <c r="L409" s="306"/>
      <c r="M409" s="306"/>
      <c r="N409" s="306"/>
      <c r="O409" s="306"/>
      <c r="P409" s="306"/>
      <c r="Q409" s="306"/>
      <c r="R409" s="306"/>
      <c r="S409" s="306"/>
      <c r="T409" s="306"/>
      <c r="U409" s="306"/>
      <c r="V409" s="306"/>
      <c r="W409" s="306"/>
      <c r="X409" s="306"/>
      <c r="Y409" s="306"/>
      <c r="Z409" s="306"/>
    </row>
    <row r="410" spans="1:26" ht="15.75" customHeight="1">
      <c r="A410" s="307"/>
      <c r="B410" s="307"/>
      <c r="C410" s="306"/>
      <c r="D410" s="307"/>
      <c r="E410" s="307"/>
      <c r="F410" s="307"/>
      <c r="G410" s="1049"/>
      <c r="H410" s="1049"/>
      <c r="I410" s="306"/>
      <c r="J410" s="306"/>
      <c r="K410" s="306"/>
      <c r="L410" s="306"/>
      <c r="M410" s="306"/>
      <c r="N410" s="306"/>
      <c r="O410" s="306"/>
      <c r="P410" s="306"/>
      <c r="Q410" s="306"/>
      <c r="R410" s="306"/>
      <c r="S410" s="306"/>
      <c r="T410" s="306"/>
      <c r="U410" s="306"/>
      <c r="V410" s="306"/>
      <c r="W410" s="306"/>
      <c r="X410" s="306"/>
      <c r="Y410" s="306"/>
      <c r="Z410" s="306"/>
    </row>
    <row r="411" spans="1:26" ht="15.75" customHeight="1">
      <c r="A411" s="307"/>
      <c r="B411" s="307"/>
      <c r="C411" s="306"/>
      <c r="D411" s="307"/>
      <c r="E411" s="307"/>
      <c r="F411" s="307"/>
      <c r="G411" s="1049"/>
      <c r="H411" s="1049"/>
      <c r="I411" s="306"/>
      <c r="J411" s="306"/>
      <c r="K411" s="306"/>
      <c r="L411" s="306"/>
      <c r="M411" s="306"/>
      <c r="N411" s="306"/>
      <c r="O411" s="306"/>
      <c r="P411" s="306"/>
      <c r="Q411" s="306"/>
      <c r="R411" s="306"/>
      <c r="S411" s="306"/>
      <c r="T411" s="306"/>
      <c r="U411" s="306"/>
      <c r="V411" s="306"/>
      <c r="W411" s="306"/>
      <c r="X411" s="306"/>
      <c r="Y411" s="306"/>
      <c r="Z411" s="306"/>
    </row>
    <row r="412" spans="1:26" ht="15.75" customHeight="1">
      <c r="A412" s="307"/>
      <c r="B412" s="307"/>
      <c r="C412" s="306"/>
      <c r="D412" s="307"/>
      <c r="E412" s="307"/>
      <c r="F412" s="307"/>
      <c r="G412" s="1049"/>
      <c r="H412" s="1049"/>
      <c r="I412" s="306"/>
      <c r="J412" s="306"/>
      <c r="K412" s="306"/>
      <c r="L412" s="306"/>
      <c r="M412" s="306"/>
      <c r="N412" s="306"/>
      <c r="O412" s="306"/>
      <c r="P412" s="306"/>
      <c r="Q412" s="306"/>
      <c r="R412" s="306"/>
      <c r="S412" s="306"/>
      <c r="T412" s="306"/>
      <c r="U412" s="306"/>
      <c r="V412" s="306"/>
      <c r="W412" s="306"/>
      <c r="X412" s="306"/>
      <c r="Y412" s="306"/>
      <c r="Z412" s="306"/>
    </row>
    <row r="413" spans="1:26" ht="15.75" customHeight="1">
      <c r="A413" s="307"/>
      <c r="B413" s="307"/>
      <c r="C413" s="306"/>
      <c r="D413" s="307"/>
      <c r="E413" s="307"/>
      <c r="F413" s="307"/>
      <c r="G413" s="1049"/>
      <c r="H413" s="1049"/>
      <c r="I413" s="306"/>
      <c r="J413" s="306"/>
      <c r="K413" s="306"/>
      <c r="L413" s="306"/>
      <c r="M413" s="306"/>
      <c r="N413" s="306"/>
      <c r="O413" s="306"/>
      <c r="P413" s="306"/>
      <c r="Q413" s="306"/>
      <c r="R413" s="306"/>
      <c r="S413" s="306"/>
      <c r="T413" s="306"/>
      <c r="U413" s="306"/>
      <c r="V413" s="306"/>
      <c r="W413" s="306"/>
      <c r="X413" s="306"/>
      <c r="Y413" s="306"/>
      <c r="Z413" s="306"/>
    </row>
    <row r="414" spans="1:26" ht="15.75" customHeight="1">
      <c r="A414" s="307"/>
      <c r="B414" s="307"/>
      <c r="C414" s="306"/>
      <c r="D414" s="307"/>
      <c r="E414" s="307"/>
      <c r="F414" s="307"/>
      <c r="G414" s="1049"/>
      <c r="H414" s="1049"/>
      <c r="I414" s="306"/>
      <c r="J414" s="306"/>
      <c r="K414" s="306"/>
      <c r="L414" s="306"/>
      <c r="M414" s="306"/>
      <c r="N414" s="306"/>
      <c r="O414" s="306"/>
      <c r="P414" s="306"/>
      <c r="Q414" s="306"/>
      <c r="R414" s="306"/>
      <c r="S414" s="306"/>
      <c r="T414" s="306"/>
      <c r="U414" s="306"/>
      <c r="V414" s="306"/>
      <c r="W414" s="306"/>
      <c r="X414" s="306"/>
      <c r="Y414" s="306"/>
      <c r="Z414" s="306"/>
    </row>
    <row r="415" spans="1:26" ht="15.75" customHeight="1">
      <c r="A415" s="307"/>
      <c r="B415" s="307"/>
      <c r="C415" s="306"/>
      <c r="D415" s="307"/>
      <c r="E415" s="307"/>
      <c r="F415" s="307"/>
      <c r="G415" s="1049"/>
      <c r="H415" s="1049"/>
      <c r="I415" s="306"/>
      <c r="J415" s="306"/>
      <c r="K415" s="306"/>
      <c r="L415" s="306"/>
      <c r="M415" s="306"/>
      <c r="N415" s="306"/>
      <c r="O415" s="306"/>
      <c r="P415" s="306"/>
      <c r="Q415" s="306"/>
      <c r="R415" s="306"/>
      <c r="S415" s="306"/>
      <c r="T415" s="306"/>
      <c r="U415" s="306"/>
      <c r="V415" s="306"/>
      <c r="W415" s="306"/>
      <c r="X415" s="306"/>
      <c r="Y415" s="306"/>
      <c r="Z415" s="306"/>
    </row>
    <row r="416" spans="1:26" ht="15.75" customHeight="1">
      <c r="A416" s="307"/>
      <c r="B416" s="307"/>
      <c r="C416" s="306"/>
      <c r="D416" s="307"/>
      <c r="E416" s="307"/>
      <c r="F416" s="307"/>
      <c r="G416" s="1049"/>
      <c r="H416" s="1049"/>
      <c r="I416" s="306"/>
      <c r="J416" s="306"/>
      <c r="K416" s="306"/>
      <c r="L416" s="306"/>
      <c r="M416" s="306"/>
      <c r="N416" s="306"/>
      <c r="O416" s="306"/>
      <c r="P416" s="306"/>
      <c r="Q416" s="306"/>
      <c r="R416" s="306"/>
      <c r="S416" s="306"/>
      <c r="T416" s="306"/>
      <c r="U416" s="306"/>
      <c r="V416" s="306"/>
      <c r="W416" s="306"/>
      <c r="X416" s="306"/>
      <c r="Y416" s="306"/>
      <c r="Z416" s="306"/>
    </row>
    <row r="417" spans="1:26" ht="15.75" customHeight="1">
      <c r="A417" s="307"/>
      <c r="B417" s="307"/>
      <c r="C417" s="306"/>
      <c r="D417" s="307"/>
      <c r="E417" s="307"/>
      <c r="F417" s="307"/>
      <c r="G417" s="1049"/>
      <c r="H417" s="1049"/>
      <c r="I417" s="306"/>
      <c r="J417" s="306"/>
      <c r="K417" s="306"/>
      <c r="L417" s="306"/>
      <c r="M417" s="306"/>
      <c r="N417" s="306"/>
      <c r="O417" s="306"/>
      <c r="P417" s="306"/>
      <c r="Q417" s="306"/>
      <c r="R417" s="306"/>
      <c r="S417" s="306"/>
      <c r="T417" s="306"/>
      <c r="U417" s="306"/>
      <c r="V417" s="306"/>
      <c r="W417" s="306"/>
      <c r="X417" s="306"/>
      <c r="Y417" s="306"/>
      <c r="Z417" s="306"/>
    </row>
    <row r="418" spans="1:26" ht="15.75" customHeight="1">
      <c r="A418" s="307"/>
      <c r="B418" s="307"/>
      <c r="C418" s="306"/>
      <c r="D418" s="307"/>
      <c r="E418" s="307"/>
      <c r="F418" s="307"/>
      <c r="G418" s="1049"/>
      <c r="H418" s="1049"/>
      <c r="I418" s="306"/>
      <c r="J418" s="306"/>
      <c r="K418" s="306"/>
      <c r="L418" s="306"/>
      <c r="M418" s="306"/>
      <c r="N418" s="306"/>
      <c r="O418" s="306"/>
      <c r="P418" s="306"/>
      <c r="Q418" s="306"/>
      <c r="R418" s="306"/>
      <c r="S418" s="306"/>
      <c r="T418" s="306"/>
      <c r="U418" s="306"/>
      <c r="V418" s="306"/>
      <c r="W418" s="306"/>
      <c r="X418" s="306"/>
      <c r="Y418" s="306"/>
      <c r="Z418" s="306"/>
    </row>
    <row r="419" spans="1:26" ht="15.75" customHeight="1">
      <c r="A419" s="307"/>
      <c r="B419" s="307"/>
      <c r="C419" s="306"/>
      <c r="D419" s="307"/>
      <c r="E419" s="307"/>
      <c r="F419" s="307"/>
      <c r="G419" s="1049"/>
      <c r="H419" s="1049"/>
      <c r="I419" s="306"/>
      <c r="J419" s="306"/>
      <c r="K419" s="306"/>
      <c r="L419" s="306"/>
      <c r="M419" s="306"/>
      <c r="N419" s="306"/>
      <c r="O419" s="306"/>
      <c r="P419" s="306"/>
      <c r="Q419" s="306"/>
      <c r="R419" s="306"/>
      <c r="S419" s="306"/>
      <c r="T419" s="306"/>
      <c r="U419" s="306"/>
      <c r="V419" s="306"/>
      <c r="W419" s="306"/>
      <c r="X419" s="306"/>
      <c r="Y419" s="306"/>
      <c r="Z419" s="306"/>
    </row>
    <row r="420" spans="1:26" ht="15.75" customHeight="1">
      <c r="A420" s="307"/>
      <c r="B420" s="307"/>
      <c r="C420" s="306"/>
      <c r="D420" s="307"/>
      <c r="E420" s="307"/>
      <c r="F420" s="307"/>
      <c r="G420" s="1049"/>
      <c r="H420" s="1049"/>
      <c r="I420" s="306"/>
      <c r="J420" s="306"/>
      <c r="K420" s="306"/>
      <c r="L420" s="306"/>
      <c r="M420" s="306"/>
      <c r="N420" s="306"/>
      <c r="O420" s="306"/>
      <c r="P420" s="306"/>
      <c r="Q420" s="306"/>
      <c r="R420" s="306"/>
      <c r="S420" s="306"/>
      <c r="T420" s="306"/>
      <c r="U420" s="306"/>
      <c r="V420" s="306"/>
      <c r="W420" s="306"/>
      <c r="X420" s="306"/>
      <c r="Y420" s="306"/>
      <c r="Z420" s="306"/>
    </row>
    <row r="421" spans="1:26" ht="15.75" customHeight="1">
      <c r="A421" s="307"/>
      <c r="B421" s="307"/>
      <c r="C421" s="306"/>
      <c r="D421" s="307"/>
      <c r="E421" s="307"/>
      <c r="F421" s="307"/>
      <c r="G421" s="1049"/>
      <c r="H421" s="1049"/>
      <c r="I421" s="306"/>
      <c r="J421" s="306"/>
      <c r="K421" s="306"/>
      <c r="L421" s="306"/>
      <c r="M421" s="306"/>
      <c r="N421" s="306"/>
      <c r="O421" s="306"/>
      <c r="P421" s="306"/>
      <c r="Q421" s="306"/>
      <c r="R421" s="306"/>
      <c r="S421" s="306"/>
      <c r="T421" s="306"/>
      <c r="U421" s="306"/>
      <c r="V421" s="306"/>
      <c r="W421" s="306"/>
      <c r="X421" s="306"/>
      <c r="Y421" s="306"/>
      <c r="Z421" s="306"/>
    </row>
    <row r="422" spans="1:26" ht="15.75" customHeight="1">
      <c r="A422" s="307"/>
      <c r="B422" s="307"/>
      <c r="C422" s="306"/>
      <c r="D422" s="307"/>
      <c r="E422" s="307"/>
      <c r="F422" s="307"/>
      <c r="G422" s="1049"/>
      <c r="H422" s="1049"/>
      <c r="I422" s="306"/>
      <c r="J422" s="306"/>
      <c r="K422" s="306"/>
      <c r="L422" s="306"/>
      <c r="M422" s="306"/>
      <c r="N422" s="306"/>
      <c r="O422" s="306"/>
      <c r="P422" s="306"/>
      <c r="Q422" s="306"/>
      <c r="R422" s="306"/>
      <c r="S422" s="306"/>
      <c r="T422" s="306"/>
      <c r="U422" s="306"/>
      <c r="V422" s="306"/>
      <c r="W422" s="306"/>
      <c r="X422" s="306"/>
      <c r="Y422" s="306"/>
      <c r="Z422" s="306"/>
    </row>
    <row r="423" spans="1:26" ht="15.75" customHeight="1">
      <c r="A423" s="307"/>
      <c r="B423" s="307"/>
      <c r="C423" s="306"/>
      <c r="D423" s="307"/>
      <c r="E423" s="307"/>
      <c r="F423" s="307"/>
      <c r="G423" s="1049"/>
      <c r="H423" s="1049"/>
      <c r="I423" s="306"/>
      <c r="J423" s="306"/>
      <c r="K423" s="306"/>
      <c r="L423" s="306"/>
      <c r="M423" s="306"/>
      <c r="N423" s="306"/>
      <c r="O423" s="306"/>
      <c r="P423" s="306"/>
      <c r="Q423" s="306"/>
      <c r="R423" s="306"/>
      <c r="S423" s="306"/>
      <c r="T423" s="306"/>
      <c r="U423" s="306"/>
      <c r="V423" s="306"/>
      <c r="W423" s="306"/>
      <c r="X423" s="306"/>
      <c r="Y423" s="306"/>
      <c r="Z423" s="306"/>
    </row>
    <row r="424" spans="1:26" ht="15.75" customHeight="1">
      <c r="A424" s="307"/>
      <c r="B424" s="307"/>
      <c r="C424" s="306"/>
      <c r="D424" s="307"/>
      <c r="E424" s="307"/>
      <c r="F424" s="307"/>
      <c r="G424" s="1049"/>
      <c r="H424" s="1049"/>
      <c r="I424" s="306"/>
      <c r="J424" s="306"/>
      <c r="K424" s="306"/>
      <c r="L424" s="306"/>
      <c r="M424" s="306"/>
      <c r="N424" s="306"/>
      <c r="O424" s="306"/>
      <c r="P424" s="306"/>
      <c r="Q424" s="306"/>
      <c r="R424" s="306"/>
      <c r="S424" s="306"/>
      <c r="T424" s="306"/>
      <c r="U424" s="306"/>
      <c r="V424" s="306"/>
      <c r="W424" s="306"/>
      <c r="X424" s="306"/>
      <c r="Y424" s="306"/>
      <c r="Z424" s="306"/>
    </row>
    <row r="425" spans="1:26" ht="15.75" customHeight="1">
      <c r="A425" s="307"/>
      <c r="B425" s="307"/>
      <c r="C425" s="306"/>
      <c r="D425" s="307"/>
      <c r="E425" s="307"/>
      <c r="F425" s="307"/>
      <c r="G425" s="1049"/>
      <c r="H425" s="1049"/>
      <c r="I425" s="306"/>
      <c r="J425" s="306"/>
      <c r="K425" s="306"/>
      <c r="L425" s="306"/>
      <c r="M425" s="306"/>
      <c r="N425" s="306"/>
      <c r="O425" s="306"/>
      <c r="P425" s="306"/>
      <c r="Q425" s="306"/>
      <c r="R425" s="306"/>
      <c r="S425" s="306"/>
      <c r="T425" s="306"/>
      <c r="U425" s="306"/>
      <c r="V425" s="306"/>
      <c r="W425" s="306"/>
      <c r="X425" s="306"/>
      <c r="Y425" s="306"/>
      <c r="Z425" s="306"/>
    </row>
    <row r="426" spans="1:26" ht="15.75" customHeight="1">
      <c r="A426" s="307"/>
      <c r="B426" s="307"/>
      <c r="C426" s="306"/>
      <c r="D426" s="307"/>
      <c r="E426" s="307"/>
      <c r="F426" s="307"/>
      <c r="G426" s="1049"/>
      <c r="H426" s="1049"/>
      <c r="I426" s="306"/>
      <c r="J426" s="306"/>
      <c r="K426" s="306"/>
      <c r="L426" s="306"/>
      <c r="M426" s="306"/>
      <c r="N426" s="306"/>
      <c r="O426" s="306"/>
      <c r="P426" s="306"/>
      <c r="Q426" s="306"/>
      <c r="R426" s="306"/>
      <c r="S426" s="306"/>
      <c r="T426" s="306"/>
      <c r="U426" s="306"/>
      <c r="V426" s="306"/>
      <c r="W426" s="306"/>
      <c r="X426" s="306"/>
      <c r="Y426" s="306"/>
      <c r="Z426" s="306"/>
    </row>
    <row r="427" spans="1:26" ht="15.75" customHeight="1">
      <c r="A427" s="307"/>
      <c r="B427" s="307"/>
      <c r="C427" s="306"/>
      <c r="D427" s="307"/>
      <c r="E427" s="307"/>
      <c r="F427" s="307"/>
      <c r="G427" s="1049"/>
      <c r="H427" s="1049"/>
      <c r="I427" s="306"/>
      <c r="J427" s="306"/>
      <c r="K427" s="306"/>
      <c r="L427" s="306"/>
      <c r="M427" s="306"/>
      <c r="N427" s="306"/>
      <c r="O427" s="306"/>
      <c r="P427" s="306"/>
      <c r="Q427" s="306"/>
      <c r="R427" s="306"/>
      <c r="S427" s="306"/>
      <c r="T427" s="306"/>
      <c r="U427" s="306"/>
      <c r="V427" s="306"/>
      <c r="W427" s="306"/>
      <c r="X427" s="306"/>
      <c r="Y427" s="306"/>
      <c r="Z427" s="306"/>
    </row>
    <row r="428" spans="1:26" ht="15.75" customHeight="1">
      <c r="A428" s="307"/>
      <c r="B428" s="307"/>
      <c r="C428" s="306"/>
      <c r="D428" s="307"/>
      <c r="E428" s="307"/>
      <c r="F428" s="307"/>
      <c r="G428" s="1049"/>
      <c r="H428" s="1049"/>
      <c r="I428" s="306"/>
      <c r="J428" s="306"/>
      <c r="K428" s="306"/>
      <c r="L428" s="306"/>
      <c r="M428" s="306"/>
      <c r="N428" s="306"/>
      <c r="O428" s="306"/>
      <c r="P428" s="306"/>
      <c r="Q428" s="306"/>
      <c r="R428" s="306"/>
      <c r="S428" s="306"/>
      <c r="T428" s="306"/>
      <c r="U428" s="306"/>
      <c r="V428" s="306"/>
      <c r="W428" s="306"/>
      <c r="X428" s="306"/>
      <c r="Y428" s="306"/>
      <c r="Z428" s="306"/>
    </row>
    <row r="429" spans="1:26" ht="15.75" customHeight="1">
      <c r="A429" s="307"/>
      <c r="B429" s="307"/>
      <c r="C429" s="306"/>
      <c r="D429" s="307"/>
      <c r="E429" s="307"/>
      <c r="F429" s="307"/>
      <c r="G429" s="1049"/>
      <c r="H429" s="1049"/>
      <c r="I429" s="306"/>
      <c r="J429" s="306"/>
      <c r="K429" s="306"/>
      <c r="L429" s="306"/>
      <c r="M429" s="306"/>
      <c r="N429" s="306"/>
      <c r="O429" s="306"/>
      <c r="P429" s="306"/>
      <c r="Q429" s="306"/>
      <c r="R429" s="306"/>
      <c r="S429" s="306"/>
      <c r="T429" s="306"/>
      <c r="U429" s="306"/>
      <c r="V429" s="306"/>
      <c r="W429" s="306"/>
      <c r="X429" s="306"/>
      <c r="Y429" s="306"/>
      <c r="Z429" s="306"/>
    </row>
    <row r="430" spans="1:26" ht="15.75" customHeight="1">
      <c r="A430" s="307"/>
      <c r="B430" s="307"/>
      <c r="C430" s="306"/>
      <c r="D430" s="307"/>
      <c r="E430" s="307"/>
      <c r="F430" s="307"/>
      <c r="G430" s="1049"/>
      <c r="H430" s="1049"/>
      <c r="I430" s="306"/>
      <c r="J430" s="306"/>
      <c r="K430" s="306"/>
      <c r="L430" s="306"/>
      <c r="M430" s="306"/>
      <c r="N430" s="306"/>
      <c r="O430" s="306"/>
      <c r="P430" s="306"/>
      <c r="Q430" s="306"/>
      <c r="R430" s="306"/>
      <c r="S430" s="306"/>
      <c r="T430" s="306"/>
      <c r="U430" s="306"/>
      <c r="V430" s="306"/>
      <c r="W430" s="306"/>
      <c r="X430" s="306"/>
      <c r="Y430" s="306"/>
      <c r="Z430" s="306"/>
    </row>
    <row r="431" spans="1:26" ht="15.75" customHeight="1">
      <c r="A431" s="307"/>
      <c r="B431" s="307"/>
      <c r="C431" s="306"/>
      <c r="D431" s="307"/>
      <c r="E431" s="307"/>
      <c r="F431" s="307"/>
      <c r="G431" s="1049"/>
      <c r="H431" s="1049"/>
      <c r="I431" s="306"/>
      <c r="J431" s="306"/>
      <c r="K431" s="306"/>
      <c r="L431" s="306"/>
      <c r="M431" s="306"/>
      <c r="N431" s="306"/>
      <c r="O431" s="306"/>
      <c r="P431" s="306"/>
      <c r="Q431" s="306"/>
      <c r="R431" s="306"/>
      <c r="S431" s="306"/>
      <c r="T431" s="306"/>
      <c r="U431" s="306"/>
      <c r="V431" s="306"/>
      <c r="W431" s="306"/>
      <c r="X431" s="306"/>
      <c r="Y431" s="306"/>
      <c r="Z431" s="306"/>
    </row>
    <row r="432" spans="1:26" ht="15.75" customHeight="1">
      <c r="A432" s="307"/>
      <c r="B432" s="307"/>
      <c r="C432" s="306"/>
      <c r="D432" s="307"/>
      <c r="E432" s="307"/>
      <c r="F432" s="307"/>
      <c r="G432" s="1049"/>
      <c r="H432" s="1049"/>
      <c r="I432" s="306"/>
      <c r="J432" s="306"/>
      <c r="K432" s="306"/>
      <c r="L432" s="306"/>
      <c r="M432" s="306"/>
      <c r="N432" s="306"/>
      <c r="O432" s="306"/>
      <c r="P432" s="306"/>
      <c r="Q432" s="306"/>
      <c r="R432" s="306"/>
      <c r="S432" s="306"/>
      <c r="T432" s="306"/>
      <c r="U432" s="306"/>
      <c r="V432" s="306"/>
      <c r="W432" s="306"/>
      <c r="X432" s="306"/>
      <c r="Y432" s="306"/>
      <c r="Z432" s="306"/>
    </row>
    <row r="433" spans="1:26" ht="15.75" customHeight="1">
      <c r="A433" s="307"/>
      <c r="B433" s="307"/>
      <c r="C433" s="306"/>
      <c r="D433" s="307"/>
      <c r="E433" s="307"/>
      <c r="F433" s="307"/>
      <c r="G433" s="1049"/>
      <c r="H433" s="1049"/>
      <c r="I433" s="306"/>
      <c r="J433" s="306"/>
      <c r="K433" s="306"/>
      <c r="L433" s="306"/>
      <c r="M433" s="306"/>
      <c r="N433" s="306"/>
      <c r="O433" s="306"/>
      <c r="P433" s="306"/>
      <c r="Q433" s="306"/>
      <c r="R433" s="306"/>
      <c r="S433" s="306"/>
      <c r="T433" s="306"/>
      <c r="U433" s="306"/>
      <c r="V433" s="306"/>
      <c r="W433" s="306"/>
      <c r="X433" s="306"/>
      <c r="Y433" s="306"/>
      <c r="Z433" s="306"/>
    </row>
    <row r="434" spans="1:26" ht="15.75" customHeight="1">
      <c r="A434" s="307"/>
      <c r="B434" s="307"/>
      <c r="C434" s="306"/>
      <c r="D434" s="307"/>
      <c r="E434" s="307"/>
      <c r="F434" s="307"/>
      <c r="G434" s="1049"/>
      <c r="H434" s="1049"/>
      <c r="I434" s="306"/>
      <c r="J434" s="306"/>
      <c r="K434" s="306"/>
      <c r="L434" s="306"/>
      <c r="M434" s="306"/>
      <c r="N434" s="306"/>
      <c r="O434" s="306"/>
      <c r="P434" s="306"/>
      <c r="Q434" s="306"/>
      <c r="R434" s="306"/>
      <c r="S434" s="306"/>
      <c r="T434" s="306"/>
      <c r="U434" s="306"/>
      <c r="V434" s="306"/>
      <c r="W434" s="306"/>
      <c r="X434" s="306"/>
      <c r="Y434" s="306"/>
      <c r="Z434" s="306"/>
    </row>
    <row r="435" spans="1:26" ht="15.75" customHeight="1">
      <c r="A435" s="307"/>
      <c r="B435" s="307"/>
      <c r="C435" s="306"/>
      <c r="D435" s="307"/>
      <c r="E435" s="307"/>
      <c r="F435" s="307"/>
      <c r="G435" s="1049"/>
      <c r="H435" s="1049"/>
      <c r="I435" s="306"/>
      <c r="J435" s="306"/>
      <c r="K435" s="306"/>
      <c r="L435" s="306"/>
      <c r="M435" s="306"/>
      <c r="N435" s="306"/>
      <c r="O435" s="306"/>
      <c r="P435" s="306"/>
      <c r="Q435" s="306"/>
      <c r="R435" s="306"/>
      <c r="S435" s="306"/>
      <c r="T435" s="306"/>
      <c r="U435" s="306"/>
      <c r="V435" s="306"/>
      <c r="W435" s="306"/>
      <c r="X435" s="306"/>
      <c r="Y435" s="306"/>
      <c r="Z435" s="306"/>
    </row>
    <row r="436" spans="1:26" ht="15.75" customHeight="1">
      <c r="A436" s="307"/>
      <c r="B436" s="307"/>
      <c r="C436" s="306"/>
      <c r="D436" s="307"/>
      <c r="E436" s="307"/>
      <c r="F436" s="307"/>
      <c r="G436" s="1049"/>
      <c r="H436" s="1049"/>
      <c r="I436" s="306"/>
      <c r="J436" s="306"/>
      <c r="K436" s="306"/>
      <c r="L436" s="306"/>
      <c r="M436" s="306"/>
      <c r="N436" s="306"/>
      <c r="O436" s="306"/>
      <c r="P436" s="306"/>
      <c r="Q436" s="306"/>
      <c r="R436" s="306"/>
      <c r="S436" s="306"/>
      <c r="T436" s="306"/>
      <c r="U436" s="306"/>
      <c r="V436" s="306"/>
      <c r="W436" s="306"/>
      <c r="X436" s="306"/>
      <c r="Y436" s="306"/>
      <c r="Z436" s="306"/>
    </row>
    <row r="437" spans="1:26" ht="15.75" customHeight="1">
      <c r="A437" s="307"/>
      <c r="B437" s="307"/>
      <c r="C437" s="306"/>
      <c r="D437" s="307"/>
      <c r="E437" s="307"/>
      <c r="F437" s="307"/>
      <c r="G437" s="1049"/>
      <c r="H437" s="1049"/>
      <c r="I437" s="306"/>
      <c r="J437" s="306"/>
      <c r="K437" s="306"/>
      <c r="L437" s="306"/>
      <c r="M437" s="306"/>
      <c r="N437" s="306"/>
      <c r="O437" s="306"/>
      <c r="P437" s="306"/>
      <c r="Q437" s="306"/>
      <c r="R437" s="306"/>
      <c r="S437" s="306"/>
      <c r="T437" s="306"/>
      <c r="U437" s="306"/>
      <c r="V437" s="306"/>
      <c r="W437" s="306"/>
      <c r="X437" s="306"/>
      <c r="Y437" s="306"/>
      <c r="Z437" s="306"/>
    </row>
    <row r="438" spans="1:26" ht="15.75" customHeight="1">
      <c r="A438" s="307"/>
      <c r="B438" s="307"/>
      <c r="C438" s="306"/>
      <c r="D438" s="307"/>
      <c r="E438" s="307"/>
      <c r="F438" s="307"/>
      <c r="G438" s="1049"/>
      <c r="H438" s="1049"/>
      <c r="I438" s="306"/>
      <c r="J438" s="306"/>
      <c r="K438" s="306"/>
      <c r="L438" s="306"/>
      <c r="M438" s="306"/>
      <c r="N438" s="306"/>
      <c r="O438" s="306"/>
      <c r="P438" s="306"/>
      <c r="Q438" s="306"/>
      <c r="R438" s="306"/>
      <c r="S438" s="306"/>
      <c r="T438" s="306"/>
      <c r="U438" s="306"/>
      <c r="V438" s="306"/>
      <c r="W438" s="306"/>
      <c r="X438" s="306"/>
      <c r="Y438" s="306"/>
      <c r="Z438" s="306"/>
    </row>
    <row r="439" spans="1:26" ht="15.75" customHeight="1">
      <c r="A439" s="307"/>
      <c r="B439" s="307"/>
      <c r="C439" s="306"/>
      <c r="D439" s="307"/>
      <c r="E439" s="307"/>
      <c r="F439" s="307"/>
      <c r="G439" s="1049"/>
      <c r="H439" s="1049"/>
      <c r="I439" s="306"/>
      <c r="J439" s="306"/>
      <c r="K439" s="306"/>
      <c r="L439" s="306"/>
      <c r="M439" s="306"/>
      <c r="N439" s="306"/>
      <c r="O439" s="306"/>
      <c r="P439" s="306"/>
      <c r="Q439" s="306"/>
      <c r="R439" s="306"/>
      <c r="S439" s="306"/>
      <c r="T439" s="306"/>
      <c r="U439" s="306"/>
      <c r="V439" s="306"/>
      <c r="W439" s="306"/>
      <c r="X439" s="306"/>
      <c r="Y439" s="306"/>
      <c r="Z439" s="306"/>
    </row>
    <row r="440" spans="1:26" ht="15.75" customHeight="1">
      <c r="A440" s="307"/>
      <c r="B440" s="307"/>
      <c r="C440" s="306"/>
      <c r="D440" s="307"/>
      <c r="E440" s="307"/>
      <c r="F440" s="307"/>
      <c r="G440" s="1049"/>
      <c r="H440" s="1049"/>
      <c r="I440" s="306"/>
      <c r="J440" s="306"/>
      <c r="K440" s="306"/>
      <c r="L440" s="306"/>
      <c r="M440" s="306"/>
      <c r="N440" s="306"/>
      <c r="O440" s="306"/>
      <c r="P440" s="306"/>
      <c r="Q440" s="306"/>
      <c r="R440" s="306"/>
      <c r="S440" s="306"/>
      <c r="T440" s="306"/>
      <c r="U440" s="306"/>
      <c r="V440" s="306"/>
      <c r="W440" s="306"/>
      <c r="X440" s="306"/>
      <c r="Y440" s="306"/>
      <c r="Z440" s="306"/>
    </row>
    <row r="441" spans="1:26" ht="15.75" customHeight="1">
      <c r="A441" s="307"/>
      <c r="B441" s="307"/>
      <c r="C441" s="306"/>
      <c r="D441" s="307"/>
      <c r="E441" s="307"/>
      <c r="F441" s="307"/>
      <c r="G441" s="1049"/>
      <c r="H441" s="1049"/>
      <c r="I441" s="306"/>
      <c r="J441" s="306"/>
      <c r="K441" s="306"/>
      <c r="L441" s="306"/>
      <c r="M441" s="306"/>
      <c r="N441" s="306"/>
      <c r="O441" s="306"/>
      <c r="P441" s="306"/>
      <c r="Q441" s="306"/>
      <c r="R441" s="306"/>
      <c r="S441" s="306"/>
      <c r="T441" s="306"/>
      <c r="U441" s="306"/>
      <c r="V441" s="306"/>
      <c r="W441" s="306"/>
      <c r="X441" s="306"/>
      <c r="Y441" s="306"/>
      <c r="Z441" s="306"/>
    </row>
    <row r="442" spans="1:26" ht="15.75" customHeight="1">
      <c r="A442" s="307"/>
      <c r="B442" s="307"/>
      <c r="C442" s="306"/>
      <c r="D442" s="307"/>
      <c r="E442" s="307"/>
      <c r="F442" s="307"/>
      <c r="G442" s="1049"/>
      <c r="H442" s="1049"/>
      <c r="I442" s="306"/>
      <c r="J442" s="306"/>
      <c r="K442" s="306"/>
      <c r="L442" s="306"/>
      <c r="M442" s="306"/>
      <c r="N442" s="306"/>
      <c r="O442" s="306"/>
      <c r="P442" s="306"/>
      <c r="Q442" s="306"/>
      <c r="R442" s="306"/>
      <c r="S442" s="306"/>
      <c r="T442" s="306"/>
      <c r="U442" s="306"/>
      <c r="V442" s="306"/>
      <c r="W442" s="306"/>
      <c r="X442" s="306"/>
      <c r="Y442" s="306"/>
      <c r="Z442" s="306"/>
    </row>
    <row r="443" spans="1:26" ht="15.75" customHeight="1">
      <c r="A443" s="307"/>
      <c r="B443" s="307"/>
      <c r="C443" s="306"/>
      <c r="D443" s="307"/>
      <c r="E443" s="307"/>
      <c r="F443" s="307"/>
      <c r="G443" s="1049"/>
      <c r="H443" s="1049"/>
      <c r="I443" s="306"/>
      <c r="J443" s="306"/>
      <c r="K443" s="306"/>
      <c r="L443" s="306"/>
      <c r="M443" s="306"/>
      <c r="N443" s="306"/>
      <c r="O443" s="306"/>
      <c r="P443" s="306"/>
      <c r="Q443" s="306"/>
      <c r="R443" s="306"/>
      <c r="S443" s="306"/>
      <c r="T443" s="306"/>
      <c r="U443" s="306"/>
      <c r="V443" s="306"/>
      <c r="W443" s="306"/>
      <c r="X443" s="306"/>
      <c r="Y443" s="306"/>
      <c r="Z443" s="306"/>
    </row>
    <row r="444" spans="1:26" ht="15.75" customHeight="1">
      <c r="A444" s="307"/>
      <c r="B444" s="307"/>
      <c r="C444" s="306"/>
      <c r="D444" s="307"/>
      <c r="E444" s="307"/>
      <c r="F444" s="307"/>
      <c r="G444" s="1049"/>
      <c r="H444" s="1049"/>
      <c r="I444" s="306"/>
      <c r="J444" s="306"/>
      <c r="K444" s="306"/>
      <c r="L444" s="306"/>
      <c r="M444" s="306"/>
      <c r="N444" s="306"/>
      <c r="O444" s="306"/>
      <c r="P444" s="306"/>
      <c r="Q444" s="306"/>
      <c r="R444" s="306"/>
      <c r="S444" s="306"/>
      <c r="T444" s="306"/>
      <c r="U444" s="306"/>
      <c r="V444" s="306"/>
      <c r="W444" s="306"/>
      <c r="X444" s="306"/>
      <c r="Y444" s="306"/>
      <c r="Z444" s="306"/>
    </row>
    <row r="445" spans="1:26" ht="15.75" customHeight="1">
      <c r="A445" s="307"/>
      <c r="B445" s="307"/>
      <c r="C445" s="306"/>
      <c r="D445" s="307"/>
      <c r="E445" s="307"/>
      <c r="F445" s="307"/>
      <c r="G445" s="1049"/>
      <c r="H445" s="1049"/>
      <c r="I445" s="306"/>
      <c r="J445" s="306"/>
      <c r="K445" s="306"/>
      <c r="L445" s="306"/>
      <c r="M445" s="306"/>
      <c r="N445" s="306"/>
      <c r="O445" s="306"/>
      <c r="P445" s="306"/>
      <c r="Q445" s="306"/>
      <c r="R445" s="306"/>
      <c r="S445" s="306"/>
      <c r="T445" s="306"/>
      <c r="U445" s="306"/>
      <c r="V445" s="306"/>
      <c r="W445" s="306"/>
      <c r="X445" s="306"/>
      <c r="Y445" s="306"/>
      <c r="Z445" s="306"/>
    </row>
    <row r="446" spans="1:26" ht="15.75" customHeight="1">
      <c r="A446" s="307"/>
      <c r="B446" s="307"/>
      <c r="C446" s="306"/>
      <c r="D446" s="307"/>
      <c r="E446" s="307"/>
      <c r="F446" s="307"/>
      <c r="G446" s="1049"/>
      <c r="H446" s="1049"/>
      <c r="I446" s="306"/>
      <c r="J446" s="306"/>
      <c r="K446" s="306"/>
      <c r="L446" s="306"/>
      <c r="M446" s="306"/>
      <c r="N446" s="306"/>
      <c r="O446" s="306"/>
      <c r="P446" s="306"/>
      <c r="Q446" s="306"/>
      <c r="R446" s="306"/>
      <c r="S446" s="306"/>
      <c r="T446" s="306"/>
      <c r="U446" s="306"/>
      <c r="V446" s="306"/>
      <c r="W446" s="306"/>
      <c r="X446" s="306"/>
      <c r="Y446" s="306"/>
      <c r="Z446" s="306"/>
    </row>
    <row r="447" spans="1:26" ht="15.75" customHeight="1">
      <c r="A447" s="307"/>
      <c r="B447" s="307"/>
      <c r="C447" s="306"/>
      <c r="D447" s="307"/>
      <c r="E447" s="307"/>
      <c r="F447" s="307"/>
      <c r="G447" s="1049"/>
      <c r="H447" s="1049"/>
      <c r="I447" s="306"/>
      <c r="J447" s="306"/>
      <c r="K447" s="306"/>
      <c r="L447" s="306"/>
      <c r="M447" s="306"/>
      <c r="N447" s="306"/>
      <c r="O447" s="306"/>
      <c r="P447" s="306"/>
      <c r="Q447" s="306"/>
      <c r="R447" s="306"/>
      <c r="S447" s="306"/>
      <c r="T447" s="306"/>
      <c r="U447" s="306"/>
      <c r="V447" s="306"/>
      <c r="W447" s="306"/>
      <c r="X447" s="306"/>
      <c r="Y447" s="306"/>
      <c r="Z447" s="306"/>
    </row>
    <row r="448" spans="1:26" ht="15.75" customHeight="1">
      <c r="A448" s="307"/>
      <c r="B448" s="307"/>
      <c r="C448" s="306"/>
      <c r="D448" s="307"/>
      <c r="E448" s="307"/>
      <c r="F448" s="307"/>
      <c r="G448" s="1049"/>
      <c r="H448" s="1049"/>
      <c r="I448" s="306"/>
      <c r="J448" s="306"/>
      <c r="K448" s="306"/>
      <c r="L448" s="306"/>
      <c r="M448" s="306"/>
      <c r="N448" s="306"/>
      <c r="O448" s="306"/>
      <c r="P448" s="306"/>
      <c r="Q448" s="306"/>
      <c r="R448" s="306"/>
      <c r="S448" s="306"/>
      <c r="T448" s="306"/>
      <c r="U448" s="306"/>
      <c r="V448" s="306"/>
      <c r="W448" s="306"/>
      <c r="X448" s="306"/>
      <c r="Y448" s="306"/>
      <c r="Z448" s="306"/>
    </row>
    <row r="449" spans="1:26" ht="15.75" customHeight="1">
      <c r="A449" s="307"/>
      <c r="B449" s="307"/>
      <c r="C449" s="306"/>
      <c r="D449" s="307"/>
      <c r="E449" s="307"/>
      <c r="F449" s="307"/>
      <c r="G449" s="1049"/>
      <c r="H449" s="1049"/>
      <c r="I449" s="306"/>
      <c r="J449" s="306"/>
      <c r="K449" s="306"/>
      <c r="L449" s="306"/>
      <c r="M449" s="306"/>
      <c r="N449" s="306"/>
      <c r="O449" s="306"/>
      <c r="P449" s="306"/>
      <c r="Q449" s="306"/>
      <c r="R449" s="306"/>
      <c r="S449" s="306"/>
      <c r="T449" s="306"/>
      <c r="U449" s="306"/>
      <c r="V449" s="306"/>
      <c r="W449" s="306"/>
      <c r="X449" s="306"/>
      <c r="Y449" s="306"/>
      <c r="Z449" s="306"/>
    </row>
    <row r="450" spans="1:26" ht="15.75" customHeight="1">
      <c r="A450" s="307"/>
      <c r="B450" s="307"/>
      <c r="C450" s="306"/>
      <c r="D450" s="307"/>
      <c r="E450" s="307"/>
      <c r="F450" s="307"/>
      <c r="G450" s="1049"/>
      <c r="H450" s="1049"/>
      <c r="I450" s="306"/>
      <c r="J450" s="306"/>
      <c r="K450" s="306"/>
      <c r="L450" s="306"/>
      <c r="M450" s="306"/>
      <c r="N450" s="306"/>
      <c r="O450" s="306"/>
      <c r="P450" s="306"/>
      <c r="Q450" s="306"/>
      <c r="R450" s="306"/>
      <c r="S450" s="306"/>
      <c r="T450" s="306"/>
      <c r="U450" s="306"/>
      <c r="V450" s="306"/>
      <c r="W450" s="306"/>
      <c r="X450" s="306"/>
      <c r="Y450" s="306"/>
      <c r="Z450" s="306"/>
    </row>
    <row r="451" spans="1:26" ht="15.75" customHeight="1">
      <c r="A451" s="307"/>
      <c r="B451" s="307"/>
      <c r="C451" s="306"/>
      <c r="D451" s="307"/>
      <c r="E451" s="307"/>
      <c r="F451" s="307"/>
      <c r="G451" s="1049"/>
      <c r="H451" s="1049"/>
      <c r="I451" s="306"/>
      <c r="J451" s="306"/>
      <c r="K451" s="306"/>
      <c r="L451" s="306"/>
      <c r="M451" s="306"/>
      <c r="N451" s="306"/>
      <c r="O451" s="306"/>
      <c r="P451" s="306"/>
      <c r="Q451" s="306"/>
      <c r="R451" s="306"/>
      <c r="S451" s="306"/>
      <c r="T451" s="306"/>
      <c r="U451" s="306"/>
      <c r="V451" s="306"/>
      <c r="W451" s="306"/>
      <c r="X451" s="306"/>
      <c r="Y451" s="306"/>
      <c r="Z451" s="306"/>
    </row>
    <row r="452" spans="1:26" ht="15.75" customHeight="1">
      <c r="A452" s="307"/>
      <c r="B452" s="307"/>
      <c r="C452" s="306"/>
      <c r="D452" s="307"/>
      <c r="E452" s="307"/>
      <c r="F452" s="307"/>
      <c r="G452" s="1049"/>
      <c r="H452" s="1049"/>
      <c r="I452" s="306"/>
      <c r="J452" s="306"/>
      <c r="K452" s="306"/>
      <c r="L452" s="306"/>
      <c r="M452" s="306"/>
      <c r="N452" s="306"/>
      <c r="O452" s="306"/>
      <c r="P452" s="306"/>
      <c r="Q452" s="306"/>
      <c r="R452" s="306"/>
      <c r="S452" s="306"/>
      <c r="T452" s="306"/>
      <c r="U452" s="306"/>
      <c r="V452" s="306"/>
      <c r="W452" s="306"/>
      <c r="X452" s="306"/>
      <c r="Y452" s="306"/>
      <c r="Z452" s="306"/>
    </row>
    <row r="453" spans="1:26" ht="15.75" customHeight="1">
      <c r="A453" s="307"/>
      <c r="B453" s="307"/>
      <c r="C453" s="306"/>
      <c r="D453" s="307"/>
      <c r="E453" s="307"/>
      <c r="F453" s="307"/>
      <c r="G453" s="1049"/>
      <c r="H453" s="1049"/>
      <c r="I453" s="306"/>
      <c r="J453" s="306"/>
      <c r="K453" s="306"/>
      <c r="L453" s="306"/>
      <c r="M453" s="306"/>
      <c r="N453" s="306"/>
      <c r="O453" s="306"/>
      <c r="P453" s="306"/>
      <c r="Q453" s="306"/>
      <c r="R453" s="306"/>
      <c r="S453" s="306"/>
      <c r="T453" s="306"/>
      <c r="U453" s="306"/>
      <c r="V453" s="306"/>
      <c r="W453" s="306"/>
      <c r="X453" s="306"/>
      <c r="Y453" s="306"/>
      <c r="Z453" s="306"/>
    </row>
    <row r="454" spans="1:26" ht="15.75" customHeight="1">
      <c r="A454" s="307"/>
      <c r="B454" s="307"/>
      <c r="C454" s="306"/>
      <c r="D454" s="307"/>
      <c r="E454" s="307"/>
      <c r="F454" s="307"/>
      <c r="G454" s="1049"/>
      <c r="H454" s="1049"/>
      <c r="I454" s="306"/>
      <c r="J454" s="306"/>
      <c r="K454" s="306"/>
      <c r="L454" s="306"/>
      <c r="M454" s="306"/>
      <c r="N454" s="306"/>
      <c r="O454" s="306"/>
      <c r="P454" s="306"/>
      <c r="Q454" s="306"/>
      <c r="R454" s="306"/>
      <c r="S454" s="306"/>
      <c r="T454" s="306"/>
      <c r="U454" s="306"/>
      <c r="V454" s="306"/>
      <c r="W454" s="306"/>
      <c r="X454" s="306"/>
      <c r="Y454" s="306"/>
      <c r="Z454" s="306"/>
    </row>
    <row r="455" spans="1:26" ht="15.75" customHeight="1">
      <c r="A455" s="307"/>
      <c r="B455" s="307"/>
      <c r="C455" s="306"/>
      <c r="D455" s="307"/>
      <c r="E455" s="307"/>
      <c r="F455" s="307"/>
      <c r="G455" s="1049"/>
      <c r="H455" s="1049"/>
      <c r="I455" s="306"/>
      <c r="J455" s="306"/>
      <c r="K455" s="306"/>
      <c r="L455" s="306"/>
      <c r="M455" s="306"/>
      <c r="N455" s="306"/>
      <c r="O455" s="306"/>
      <c r="P455" s="306"/>
      <c r="Q455" s="306"/>
      <c r="R455" s="306"/>
      <c r="S455" s="306"/>
      <c r="T455" s="306"/>
      <c r="U455" s="306"/>
      <c r="V455" s="306"/>
      <c r="W455" s="306"/>
      <c r="X455" s="306"/>
      <c r="Y455" s="306"/>
      <c r="Z455" s="306"/>
    </row>
    <row r="456" spans="1:26" ht="15.75" customHeight="1">
      <c r="A456" s="307"/>
      <c r="B456" s="307"/>
      <c r="C456" s="306"/>
      <c r="D456" s="307"/>
      <c r="E456" s="307"/>
      <c r="F456" s="307"/>
      <c r="G456" s="1049"/>
      <c r="H456" s="1049"/>
      <c r="I456" s="306"/>
      <c r="J456" s="306"/>
      <c r="K456" s="306"/>
      <c r="L456" s="306"/>
      <c r="M456" s="306"/>
      <c r="N456" s="306"/>
      <c r="O456" s="306"/>
      <c r="P456" s="306"/>
      <c r="Q456" s="306"/>
      <c r="R456" s="306"/>
      <c r="S456" s="306"/>
      <c r="T456" s="306"/>
      <c r="U456" s="306"/>
      <c r="V456" s="306"/>
      <c r="W456" s="306"/>
      <c r="X456" s="306"/>
      <c r="Y456" s="306"/>
      <c r="Z456" s="306"/>
    </row>
    <row r="457" spans="1:26" ht="15.75" customHeight="1">
      <c r="A457" s="307"/>
      <c r="B457" s="307"/>
      <c r="C457" s="306"/>
      <c r="D457" s="307"/>
      <c r="E457" s="307"/>
      <c r="F457" s="307"/>
      <c r="G457" s="1049"/>
      <c r="H457" s="1049"/>
      <c r="I457" s="306"/>
      <c r="J457" s="306"/>
      <c r="K457" s="306"/>
      <c r="L457" s="306"/>
      <c r="M457" s="306"/>
      <c r="N457" s="306"/>
      <c r="O457" s="306"/>
      <c r="P457" s="306"/>
      <c r="Q457" s="306"/>
      <c r="R457" s="306"/>
      <c r="S457" s="306"/>
      <c r="T457" s="306"/>
      <c r="U457" s="306"/>
      <c r="V457" s="306"/>
      <c r="W457" s="306"/>
      <c r="X457" s="306"/>
      <c r="Y457" s="306"/>
      <c r="Z457" s="306"/>
    </row>
    <row r="458" spans="1:26" ht="15.75" customHeight="1">
      <c r="A458" s="307"/>
      <c r="B458" s="307"/>
      <c r="C458" s="306"/>
      <c r="D458" s="307"/>
      <c r="E458" s="307"/>
      <c r="F458" s="307"/>
      <c r="G458" s="1049"/>
      <c r="H458" s="1049"/>
      <c r="I458" s="306"/>
      <c r="J458" s="306"/>
      <c r="K458" s="306"/>
      <c r="L458" s="306"/>
      <c r="M458" s="306"/>
      <c r="N458" s="306"/>
      <c r="O458" s="306"/>
      <c r="P458" s="306"/>
      <c r="Q458" s="306"/>
      <c r="R458" s="306"/>
      <c r="S458" s="306"/>
      <c r="T458" s="306"/>
      <c r="U458" s="306"/>
      <c r="V458" s="306"/>
      <c r="W458" s="306"/>
      <c r="X458" s="306"/>
      <c r="Y458" s="306"/>
      <c r="Z458" s="306"/>
    </row>
    <row r="459" spans="1:26" ht="15.75" customHeight="1">
      <c r="A459" s="307"/>
      <c r="B459" s="307"/>
      <c r="C459" s="306"/>
      <c r="D459" s="307"/>
      <c r="E459" s="307"/>
      <c r="F459" s="307"/>
      <c r="G459" s="1049"/>
      <c r="H459" s="1049"/>
      <c r="I459" s="306"/>
      <c r="J459" s="306"/>
      <c r="K459" s="306"/>
      <c r="L459" s="306"/>
      <c r="M459" s="306"/>
      <c r="N459" s="306"/>
      <c r="O459" s="306"/>
      <c r="P459" s="306"/>
      <c r="Q459" s="306"/>
      <c r="R459" s="306"/>
      <c r="S459" s="306"/>
      <c r="T459" s="306"/>
      <c r="U459" s="306"/>
      <c r="V459" s="306"/>
      <c r="W459" s="306"/>
      <c r="X459" s="306"/>
      <c r="Y459" s="306"/>
      <c r="Z459" s="306"/>
    </row>
    <row r="460" spans="1:26" ht="15.75" customHeight="1">
      <c r="A460" s="307"/>
      <c r="B460" s="307"/>
      <c r="C460" s="306"/>
      <c r="D460" s="307"/>
      <c r="E460" s="307"/>
      <c r="F460" s="307"/>
      <c r="G460" s="1049"/>
      <c r="H460" s="1049"/>
      <c r="I460" s="306"/>
      <c r="J460" s="306"/>
      <c r="K460" s="306"/>
      <c r="L460" s="306"/>
      <c r="M460" s="306"/>
      <c r="N460" s="306"/>
      <c r="O460" s="306"/>
      <c r="P460" s="306"/>
      <c r="Q460" s="306"/>
      <c r="R460" s="306"/>
      <c r="S460" s="306"/>
      <c r="T460" s="306"/>
      <c r="U460" s="306"/>
      <c r="V460" s="306"/>
      <c r="W460" s="306"/>
      <c r="X460" s="306"/>
      <c r="Y460" s="306"/>
      <c r="Z460" s="306"/>
    </row>
    <row r="461" spans="1:26" ht="15.75" customHeight="1">
      <c r="A461" s="307"/>
      <c r="B461" s="307"/>
      <c r="C461" s="306"/>
      <c r="D461" s="307"/>
      <c r="E461" s="307"/>
      <c r="F461" s="307"/>
      <c r="G461" s="1049"/>
      <c r="H461" s="1049"/>
      <c r="I461" s="306"/>
      <c r="J461" s="306"/>
      <c r="K461" s="306"/>
      <c r="L461" s="306"/>
      <c r="M461" s="306"/>
      <c r="N461" s="306"/>
      <c r="O461" s="306"/>
      <c r="P461" s="306"/>
      <c r="Q461" s="306"/>
      <c r="R461" s="306"/>
      <c r="S461" s="306"/>
      <c r="T461" s="306"/>
      <c r="U461" s="306"/>
      <c r="V461" s="306"/>
      <c r="W461" s="306"/>
      <c r="X461" s="306"/>
      <c r="Y461" s="306"/>
      <c r="Z461" s="306"/>
    </row>
    <row r="462" spans="1:26" ht="15.75" customHeight="1">
      <c r="A462" s="307"/>
      <c r="B462" s="307"/>
      <c r="C462" s="306"/>
      <c r="D462" s="307"/>
      <c r="E462" s="307"/>
      <c r="F462" s="307"/>
      <c r="G462" s="1049"/>
      <c r="H462" s="1049"/>
      <c r="I462" s="306"/>
      <c r="J462" s="306"/>
      <c r="K462" s="306"/>
      <c r="L462" s="306"/>
      <c r="M462" s="306"/>
      <c r="N462" s="306"/>
      <c r="O462" s="306"/>
      <c r="P462" s="306"/>
      <c r="Q462" s="306"/>
      <c r="R462" s="306"/>
      <c r="S462" s="306"/>
      <c r="T462" s="306"/>
      <c r="U462" s="306"/>
      <c r="V462" s="306"/>
      <c r="W462" s="306"/>
      <c r="X462" s="306"/>
      <c r="Y462" s="306"/>
      <c r="Z462" s="306"/>
    </row>
    <row r="463" spans="1:26" ht="15.75" customHeight="1">
      <c r="A463" s="307"/>
      <c r="B463" s="307"/>
      <c r="C463" s="306"/>
      <c r="D463" s="307"/>
      <c r="E463" s="307"/>
      <c r="F463" s="307"/>
      <c r="G463" s="1049"/>
      <c r="H463" s="1049"/>
      <c r="I463" s="306"/>
      <c r="J463" s="306"/>
      <c r="K463" s="306"/>
      <c r="L463" s="306"/>
      <c r="M463" s="306"/>
      <c r="N463" s="306"/>
      <c r="O463" s="306"/>
      <c r="P463" s="306"/>
      <c r="Q463" s="306"/>
      <c r="R463" s="306"/>
      <c r="S463" s="306"/>
      <c r="T463" s="306"/>
      <c r="U463" s="306"/>
      <c r="V463" s="306"/>
      <c r="W463" s="306"/>
      <c r="X463" s="306"/>
      <c r="Y463" s="306"/>
      <c r="Z463" s="306"/>
    </row>
    <row r="464" spans="1:26" ht="15.75" customHeight="1">
      <c r="A464" s="307"/>
      <c r="B464" s="307"/>
      <c r="C464" s="306"/>
      <c r="D464" s="307"/>
      <c r="E464" s="307"/>
      <c r="F464" s="307"/>
      <c r="G464" s="1049"/>
      <c r="H464" s="1049"/>
      <c r="I464" s="306"/>
      <c r="J464" s="306"/>
      <c r="K464" s="306"/>
      <c r="L464" s="306"/>
      <c r="M464" s="306"/>
      <c r="N464" s="306"/>
      <c r="O464" s="306"/>
      <c r="P464" s="306"/>
      <c r="Q464" s="306"/>
      <c r="R464" s="306"/>
      <c r="S464" s="306"/>
      <c r="T464" s="306"/>
      <c r="U464" s="306"/>
      <c r="V464" s="306"/>
      <c r="W464" s="306"/>
      <c r="X464" s="306"/>
      <c r="Y464" s="306"/>
      <c r="Z464" s="306"/>
    </row>
    <row r="465" spans="1:26" ht="15.75" customHeight="1">
      <c r="A465" s="307"/>
      <c r="B465" s="307"/>
      <c r="C465" s="306"/>
      <c r="D465" s="307"/>
      <c r="E465" s="307"/>
      <c r="F465" s="307"/>
      <c r="G465" s="1049"/>
      <c r="H465" s="1049"/>
      <c r="I465" s="306"/>
      <c r="J465" s="306"/>
      <c r="K465" s="306"/>
      <c r="L465" s="306"/>
      <c r="M465" s="306"/>
      <c r="N465" s="306"/>
      <c r="O465" s="306"/>
      <c r="P465" s="306"/>
      <c r="Q465" s="306"/>
      <c r="R465" s="306"/>
      <c r="S465" s="306"/>
      <c r="T465" s="306"/>
      <c r="U465" s="306"/>
      <c r="V465" s="306"/>
      <c r="W465" s="306"/>
      <c r="X465" s="306"/>
      <c r="Y465" s="306"/>
      <c r="Z465" s="306"/>
    </row>
    <row r="466" spans="1:26" ht="15.75" customHeight="1">
      <c r="A466" s="307"/>
      <c r="B466" s="307"/>
      <c r="C466" s="306"/>
      <c r="D466" s="307"/>
      <c r="E466" s="307"/>
      <c r="F466" s="307"/>
      <c r="G466" s="1049"/>
      <c r="H466" s="1049"/>
      <c r="I466" s="306"/>
      <c r="J466" s="306"/>
      <c r="K466" s="306"/>
      <c r="L466" s="306"/>
      <c r="M466" s="306"/>
      <c r="N466" s="306"/>
      <c r="O466" s="306"/>
      <c r="P466" s="306"/>
      <c r="Q466" s="306"/>
      <c r="R466" s="306"/>
      <c r="S466" s="306"/>
      <c r="T466" s="306"/>
      <c r="U466" s="306"/>
      <c r="V466" s="306"/>
      <c r="W466" s="306"/>
      <c r="X466" s="306"/>
      <c r="Y466" s="306"/>
      <c r="Z466" s="306"/>
    </row>
    <row r="467" spans="1:26" ht="15.75" customHeight="1">
      <c r="A467" s="307"/>
      <c r="B467" s="307"/>
      <c r="C467" s="306"/>
      <c r="D467" s="307"/>
      <c r="E467" s="307"/>
      <c r="F467" s="307"/>
      <c r="G467" s="1049"/>
      <c r="H467" s="1049"/>
      <c r="I467" s="306"/>
      <c r="J467" s="306"/>
      <c r="K467" s="306"/>
      <c r="L467" s="306"/>
      <c r="M467" s="306"/>
      <c r="N467" s="306"/>
      <c r="O467" s="306"/>
      <c r="P467" s="306"/>
      <c r="Q467" s="306"/>
      <c r="R467" s="306"/>
      <c r="S467" s="306"/>
      <c r="T467" s="306"/>
      <c r="U467" s="306"/>
      <c r="V467" s="306"/>
      <c r="W467" s="306"/>
      <c r="X467" s="306"/>
      <c r="Y467" s="306"/>
      <c r="Z467" s="306"/>
    </row>
    <row r="468" spans="1:26" ht="15.75" customHeight="1">
      <c r="A468" s="307"/>
      <c r="B468" s="307"/>
      <c r="C468" s="306"/>
      <c r="D468" s="307"/>
      <c r="E468" s="307"/>
      <c r="F468" s="307"/>
      <c r="G468" s="1049"/>
      <c r="H468" s="1049"/>
      <c r="I468" s="306"/>
      <c r="J468" s="306"/>
      <c r="K468" s="306"/>
      <c r="L468" s="306"/>
      <c r="M468" s="306"/>
      <c r="N468" s="306"/>
      <c r="O468" s="306"/>
      <c r="P468" s="306"/>
      <c r="Q468" s="306"/>
      <c r="R468" s="306"/>
      <c r="S468" s="306"/>
      <c r="T468" s="306"/>
      <c r="U468" s="306"/>
      <c r="V468" s="306"/>
      <c r="W468" s="306"/>
      <c r="X468" s="306"/>
      <c r="Y468" s="306"/>
      <c r="Z468" s="306"/>
    </row>
    <row r="469" spans="1:26" ht="15.75" customHeight="1">
      <c r="A469" s="307"/>
      <c r="B469" s="307"/>
      <c r="C469" s="306"/>
      <c r="D469" s="307"/>
      <c r="E469" s="307"/>
      <c r="F469" s="307"/>
      <c r="G469" s="1049"/>
      <c r="H469" s="1049"/>
      <c r="I469" s="306"/>
      <c r="J469" s="306"/>
      <c r="K469" s="306"/>
      <c r="L469" s="306"/>
      <c r="M469" s="306"/>
      <c r="N469" s="306"/>
      <c r="O469" s="306"/>
      <c r="P469" s="306"/>
      <c r="Q469" s="306"/>
      <c r="R469" s="306"/>
      <c r="S469" s="306"/>
      <c r="T469" s="306"/>
      <c r="U469" s="306"/>
      <c r="V469" s="306"/>
      <c r="W469" s="306"/>
      <c r="X469" s="306"/>
      <c r="Y469" s="306"/>
      <c r="Z469" s="306"/>
    </row>
    <row r="470" spans="1:26" ht="15.75" customHeight="1">
      <c r="A470" s="307"/>
      <c r="B470" s="307"/>
      <c r="C470" s="306"/>
      <c r="D470" s="307"/>
      <c r="E470" s="307"/>
      <c r="F470" s="307"/>
      <c r="G470" s="1049"/>
      <c r="H470" s="1049"/>
      <c r="I470" s="306"/>
      <c r="J470" s="306"/>
      <c r="K470" s="306"/>
      <c r="L470" s="306"/>
      <c r="M470" s="306"/>
      <c r="N470" s="306"/>
      <c r="O470" s="306"/>
      <c r="P470" s="306"/>
      <c r="Q470" s="306"/>
      <c r="R470" s="306"/>
      <c r="S470" s="306"/>
      <c r="T470" s="306"/>
      <c r="U470" s="306"/>
      <c r="V470" s="306"/>
      <c r="W470" s="306"/>
      <c r="X470" s="306"/>
      <c r="Y470" s="306"/>
      <c r="Z470" s="306"/>
    </row>
    <row r="471" spans="1:26" ht="15.75" customHeight="1">
      <c r="A471" s="307"/>
      <c r="B471" s="307"/>
      <c r="C471" s="306"/>
      <c r="D471" s="307"/>
      <c r="E471" s="307"/>
      <c r="F471" s="307"/>
      <c r="G471" s="1049"/>
      <c r="H471" s="1049"/>
      <c r="I471" s="306"/>
      <c r="J471" s="306"/>
      <c r="K471" s="306"/>
      <c r="L471" s="306"/>
      <c r="M471" s="306"/>
      <c r="N471" s="306"/>
      <c r="O471" s="306"/>
      <c r="P471" s="306"/>
      <c r="Q471" s="306"/>
      <c r="R471" s="306"/>
      <c r="S471" s="306"/>
      <c r="T471" s="306"/>
      <c r="U471" s="306"/>
      <c r="V471" s="306"/>
      <c r="W471" s="306"/>
      <c r="X471" s="306"/>
      <c r="Y471" s="306"/>
      <c r="Z471" s="306"/>
    </row>
    <row r="472" spans="1:26" ht="15.75" customHeight="1">
      <c r="A472" s="307"/>
      <c r="B472" s="307"/>
      <c r="C472" s="306"/>
      <c r="D472" s="307"/>
      <c r="E472" s="307"/>
      <c r="F472" s="307"/>
      <c r="G472" s="1049"/>
      <c r="H472" s="1049"/>
      <c r="I472" s="306"/>
      <c r="J472" s="306"/>
      <c r="K472" s="306"/>
      <c r="L472" s="306"/>
      <c r="M472" s="306"/>
      <c r="N472" s="306"/>
      <c r="O472" s="306"/>
      <c r="P472" s="306"/>
      <c r="Q472" s="306"/>
      <c r="R472" s="306"/>
      <c r="S472" s="306"/>
      <c r="T472" s="306"/>
      <c r="U472" s="306"/>
      <c r="V472" s="306"/>
      <c r="W472" s="306"/>
      <c r="X472" s="306"/>
      <c r="Y472" s="306"/>
      <c r="Z472" s="306"/>
    </row>
    <row r="473" spans="1:26" ht="15.75" customHeight="1">
      <c r="A473" s="307"/>
      <c r="B473" s="307"/>
      <c r="C473" s="306"/>
      <c r="D473" s="307"/>
      <c r="E473" s="307"/>
      <c r="F473" s="307"/>
      <c r="G473" s="1049"/>
      <c r="H473" s="1049"/>
      <c r="I473" s="306"/>
      <c r="J473" s="306"/>
      <c r="K473" s="306"/>
      <c r="L473" s="306"/>
      <c r="M473" s="306"/>
      <c r="N473" s="306"/>
      <c r="O473" s="306"/>
      <c r="P473" s="306"/>
      <c r="Q473" s="306"/>
      <c r="R473" s="306"/>
      <c r="S473" s="306"/>
      <c r="T473" s="306"/>
      <c r="U473" s="306"/>
      <c r="V473" s="306"/>
      <c r="W473" s="306"/>
      <c r="X473" s="306"/>
      <c r="Y473" s="306"/>
      <c r="Z473" s="306"/>
    </row>
    <row r="474" spans="1:26" ht="15.75" customHeight="1">
      <c r="A474" s="307"/>
      <c r="B474" s="307"/>
      <c r="C474" s="306"/>
      <c r="D474" s="307"/>
      <c r="E474" s="307"/>
      <c r="F474" s="307"/>
      <c r="G474" s="1049"/>
      <c r="H474" s="1049"/>
      <c r="I474" s="306"/>
      <c r="J474" s="306"/>
      <c r="K474" s="306"/>
      <c r="L474" s="306"/>
      <c r="M474" s="306"/>
      <c r="N474" s="306"/>
      <c r="O474" s="306"/>
      <c r="P474" s="306"/>
      <c r="Q474" s="306"/>
      <c r="R474" s="306"/>
      <c r="S474" s="306"/>
      <c r="T474" s="306"/>
      <c r="U474" s="306"/>
      <c r="V474" s="306"/>
      <c r="W474" s="306"/>
      <c r="X474" s="306"/>
      <c r="Y474" s="306"/>
      <c r="Z474" s="306"/>
    </row>
    <row r="475" spans="1:26" ht="15.75" customHeight="1">
      <c r="A475" s="307"/>
      <c r="B475" s="307"/>
      <c r="C475" s="306"/>
      <c r="D475" s="307"/>
      <c r="E475" s="307"/>
      <c r="F475" s="307"/>
      <c r="G475" s="1049"/>
      <c r="H475" s="1049"/>
      <c r="I475" s="306"/>
      <c r="J475" s="306"/>
      <c r="K475" s="306"/>
      <c r="L475" s="306"/>
      <c r="M475" s="306"/>
      <c r="N475" s="306"/>
      <c r="O475" s="306"/>
      <c r="P475" s="306"/>
      <c r="Q475" s="306"/>
      <c r="R475" s="306"/>
      <c r="S475" s="306"/>
      <c r="T475" s="306"/>
      <c r="U475" s="306"/>
      <c r="V475" s="306"/>
      <c r="W475" s="306"/>
      <c r="X475" s="306"/>
      <c r="Y475" s="306"/>
      <c r="Z475" s="306"/>
    </row>
    <row r="476" spans="1:26" ht="15.75" customHeight="1">
      <c r="A476" s="307"/>
      <c r="B476" s="307"/>
      <c r="C476" s="306"/>
      <c r="D476" s="307"/>
      <c r="E476" s="307"/>
      <c r="F476" s="307"/>
      <c r="G476" s="1049"/>
      <c r="H476" s="1049"/>
      <c r="I476" s="306"/>
      <c r="J476" s="306"/>
      <c r="K476" s="306"/>
      <c r="L476" s="306"/>
      <c r="M476" s="306"/>
      <c r="N476" s="306"/>
      <c r="O476" s="306"/>
      <c r="P476" s="306"/>
      <c r="Q476" s="306"/>
      <c r="R476" s="306"/>
      <c r="S476" s="306"/>
      <c r="T476" s="306"/>
      <c r="U476" s="306"/>
      <c r="V476" s="306"/>
      <c r="W476" s="306"/>
      <c r="X476" s="306"/>
      <c r="Y476" s="306"/>
      <c r="Z476" s="306"/>
    </row>
    <row r="477" spans="1:26" ht="15.75" customHeight="1">
      <c r="A477" s="307"/>
      <c r="B477" s="307"/>
      <c r="C477" s="306"/>
      <c r="D477" s="307"/>
      <c r="E477" s="307"/>
      <c r="F477" s="307"/>
      <c r="G477" s="1049"/>
      <c r="H477" s="1049"/>
      <c r="I477" s="306"/>
      <c r="J477" s="306"/>
      <c r="K477" s="306"/>
      <c r="L477" s="306"/>
      <c r="M477" s="306"/>
      <c r="N477" s="306"/>
      <c r="O477" s="306"/>
      <c r="P477" s="306"/>
      <c r="Q477" s="306"/>
      <c r="R477" s="306"/>
      <c r="S477" s="306"/>
      <c r="T477" s="306"/>
      <c r="U477" s="306"/>
      <c r="V477" s="306"/>
      <c r="W477" s="306"/>
      <c r="X477" s="306"/>
      <c r="Y477" s="306"/>
      <c r="Z477" s="306"/>
    </row>
    <row r="478" spans="1:26" ht="15.75" customHeight="1">
      <c r="A478" s="307"/>
      <c r="B478" s="307"/>
      <c r="C478" s="306"/>
      <c r="D478" s="307"/>
      <c r="E478" s="307"/>
      <c r="F478" s="307"/>
      <c r="G478" s="1049"/>
      <c r="H478" s="1049"/>
      <c r="I478" s="306"/>
      <c r="J478" s="306"/>
      <c r="K478" s="306"/>
      <c r="L478" s="306"/>
      <c r="M478" s="306"/>
      <c r="N478" s="306"/>
      <c r="O478" s="306"/>
      <c r="P478" s="306"/>
      <c r="Q478" s="306"/>
      <c r="R478" s="306"/>
      <c r="S478" s="306"/>
      <c r="T478" s="306"/>
      <c r="U478" s="306"/>
      <c r="V478" s="306"/>
      <c r="W478" s="306"/>
      <c r="X478" s="306"/>
      <c r="Y478" s="306"/>
      <c r="Z478" s="306"/>
    </row>
    <row r="479" spans="1:26" ht="15.75" customHeight="1">
      <c r="A479" s="307"/>
      <c r="B479" s="307"/>
      <c r="C479" s="306"/>
      <c r="D479" s="307"/>
      <c r="E479" s="307"/>
      <c r="F479" s="307"/>
      <c r="G479" s="1049"/>
      <c r="H479" s="1049"/>
      <c r="I479" s="306"/>
      <c r="J479" s="306"/>
      <c r="K479" s="306"/>
      <c r="L479" s="306"/>
      <c r="M479" s="306"/>
      <c r="N479" s="306"/>
      <c r="O479" s="306"/>
      <c r="P479" s="306"/>
      <c r="Q479" s="306"/>
      <c r="R479" s="306"/>
      <c r="S479" s="306"/>
      <c r="T479" s="306"/>
      <c r="U479" s="306"/>
      <c r="V479" s="306"/>
      <c r="W479" s="306"/>
      <c r="X479" s="306"/>
      <c r="Y479" s="306"/>
      <c r="Z479" s="306"/>
    </row>
    <row r="480" spans="1:26" ht="15.75" customHeight="1">
      <c r="A480" s="307"/>
      <c r="B480" s="307"/>
      <c r="C480" s="306"/>
      <c r="D480" s="307"/>
      <c r="E480" s="307"/>
      <c r="F480" s="307"/>
      <c r="G480" s="1049"/>
      <c r="H480" s="1049"/>
      <c r="I480" s="306"/>
      <c r="J480" s="306"/>
      <c r="K480" s="306"/>
      <c r="L480" s="306"/>
      <c r="M480" s="306"/>
      <c r="N480" s="306"/>
      <c r="O480" s="306"/>
      <c r="P480" s="306"/>
      <c r="Q480" s="306"/>
      <c r="R480" s="306"/>
      <c r="S480" s="306"/>
      <c r="T480" s="306"/>
      <c r="U480" s="306"/>
      <c r="V480" s="306"/>
      <c r="W480" s="306"/>
      <c r="X480" s="306"/>
      <c r="Y480" s="306"/>
      <c r="Z480" s="306"/>
    </row>
    <row r="481" spans="1:26" ht="15.75" customHeight="1">
      <c r="A481" s="307"/>
      <c r="B481" s="307"/>
      <c r="C481" s="306"/>
      <c r="D481" s="307"/>
      <c r="E481" s="307"/>
      <c r="F481" s="307"/>
      <c r="G481" s="1049"/>
      <c r="H481" s="1049"/>
      <c r="I481" s="306"/>
      <c r="J481" s="306"/>
      <c r="K481" s="306"/>
      <c r="L481" s="306"/>
      <c r="M481" s="306"/>
      <c r="N481" s="306"/>
      <c r="O481" s="306"/>
      <c r="P481" s="306"/>
      <c r="Q481" s="306"/>
      <c r="R481" s="306"/>
      <c r="S481" s="306"/>
      <c r="T481" s="306"/>
      <c r="U481" s="306"/>
      <c r="V481" s="306"/>
      <c r="W481" s="306"/>
      <c r="X481" s="306"/>
      <c r="Y481" s="306"/>
      <c r="Z481" s="306"/>
    </row>
    <row r="482" spans="1:26" ht="15.75" customHeight="1">
      <c r="A482" s="307"/>
      <c r="B482" s="307"/>
      <c r="C482" s="306"/>
      <c r="D482" s="307"/>
      <c r="E482" s="307"/>
      <c r="F482" s="307"/>
      <c r="G482" s="1049"/>
      <c r="H482" s="1049"/>
      <c r="I482" s="306"/>
      <c r="J482" s="306"/>
      <c r="K482" s="306"/>
      <c r="L482" s="306"/>
      <c r="M482" s="306"/>
      <c r="N482" s="306"/>
      <c r="O482" s="306"/>
      <c r="P482" s="306"/>
      <c r="Q482" s="306"/>
      <c r="R482" s="306"/>
      <c r="S482" s="306"/>
      <c r="T482" s="306"/>
      <c r="U482" s="306"/>
      <c r="V482" s="306"/>
      <c r="W482" s="306"/>
      <c r="X482" s="306"/>
      <c r="Y482" s="306"/>
      <c r="Z482" s="306"/>
    </row>
    <row r="483" spans="1:26" ht="15.75" customHeight="1">
      <c r="A483" s="307"/>
      <c r="B483" s="307"/>
      <c r="C483" s="306"/>
      <c r="D483" s="307"/>
      <c r="E483" s="307"/>
      <c r="F483" s="307"/>
      <c r="G483" s="1049"/>
      <c r="H483" s="1049"/>
      <c r="I483" s="306"/>
      <c r="J483" s="306"/>
      <c r="K483" s="306"/>
      <c r="L483" s="306"/>
      <c r="M483" s="306"/>
      <c r="N483" s="306"/>
      <c r="O483" s="306"/>
      <c r="P483" s="306"/>
      <c r="Q483" s="306"/>
      <c r="R483" s="306"/>
      <c r="S483" s="306"/>
      <c r="T483" s="306"/>
      <c r="U483" s="306"/>
      <c r="V483" s="306"/>
      <c r="W483" s="306"/>
      <c r="X483" s="306"/>
      <c r="Y483" s="306"/>
      <c r="Z483" s="306"/>
    </row>
    <row r="484" spans="1:26" ht="15.75" customHeight="1">
      <c r="A484" s="307"/>
      <c r="B484" s="307"/>
      <c r="C484" s="306"/>
      <c r="D484" s="307"/>
      <c r="E484" s="307"/>
      <c r="F484" s="307"/>
      <c r="G484" s="1049"/>
      <c r="H484" s="1049"/>
      <c r="I484" s="306"/>
      <c r="J484" s="306"/>
      <c r="K484" s="306"/>
      <c r="L484" s="306"/>
      <c r="M484" s="306"/>
      <c r="N484" s="306"/>
      <c r="O484" s="306"/>
      <c r="P484" s="306"/>
      <c r="Q484" s="306"/>
      <c r="R484" s="306"/>
      <c r="S484" s="306"/>
      <c r="T484" s="306"/>
      <c r="U484" s="306"/>
      <c r="V484" s="306"/>
      <c r="W484" s="306"/>
      <c r="X484" s="306"/>
      <c r="Y484" s="306"/>
      <c r="Z484" s="306"/>
    </row>
    <row r="485" spans="1:26" ht="15.75" customHeight="1">
      <c r="A485" s="307"/>
      <c r="B485" s="307"/>
      <c r="C485" s="306"/>
      <c r="D485" s="307"/>
      <c r="E485" s="307"/>
      <c r="F485" s="307"/>
      <c r="G485" s="1049"/>
      <c r="H485" s="1049"/>
      <c r="I485" s="306"/>
      <c r="J485" s="306"/>
      <c r="K485" s="306"/>
      <c r="L485" s="306"/>
      <c r="M485" s="306"/>
      <c r="N485" s="306"/>
      <c r="O485" s="306"/>
      <c r="P485" s="306"/>
      <c r="Q485" s="306"/>
      <c r="R485" s="306"/>
      <c r="S485" s="306"/>
      <c r="T485" s="306"/>
      <c r="U485" s="306"/>
      <c r="V485" s="306"/>
      <c r="W485" s="306"/>
      <c r="X485" s="306"/>
      <c r="Y485" s="306"/>
      <c r="Z485" s="306"/>
    </row>
    <row r="486" spans="1:26" ht="15.75" customHeight="1">
      <c r="A486" s="307"/>
      <c r="B486" s="307"/>
      <c r="C486" s="306"/>
      <c r="D486" s="307"/>
      <c r="E486" s="307"/>
      <c r="F486" s="307"/>
      <c r="G486" s="1049"/>
      <c r="H486" s="1049"/>
      <c r="I486" s="306"/>
      <c r="J486" s="306"/>
      <c r="K486" s="306"/>
      <c r="L486" s="306"/>
      <c r="M486" s="306"/>
      <c r="N486" s="306"/>
      <c r="O486" s="306"/>
      <c r="P486" s="306"/>
      <c r="Q486" s="306"/>
      <c r="R486" s="306"/>
      <c r="S486" s="306"/>
      <c r="T486" s="306"/>
      <c r="U486" s="306"/>
      <c r="V486" s="306"/>
      <c r="W486" s="306"/>
      <c r="X486" s="306"/>
      <c r="Y486" s="306"/>
      <c r="Z486" s="306"/>
    </row>
    <row r="487" spans="1:26" ht="15.75" customHeight="1">
      <c r="A487" s="307"/>
      <c r="B487" s="307"/>
      <c r="C487" s="306"/>
      <c r="D487" s="307"/>
      <c r="E487" s="307"/>
      <c r="F487" s="307"/>
      <c r="G487" s="1049"/>
      <c r="H487" s="1049"/>
      <c r="I487" s="306"/>
      <c r="J487" s="306"/>
      <c r="K487" s="306"/>
      <c r="L487" s="306"/>
      <c r="M487" s="306"/>
      <c r="N487" s="306"/>
      <c r="O487" s="306"/>
      <c r="P487" s="306"/>
      <c r="Q487" s="306"/>
      <c r="R487" s="306"/>
      <c r="S487" s="306"/>
      <c r="T487" s="306"/>
      <c r="U487" s="306"/>
      <c r="V487" s="306"/>
      <c r="W487" s="306"/>
      <c r="X487" s="306"/>
      <c r="Y487" s="306"/>
      <c r="Z487" s="306"/>
    </row>
    <row r="488" spans="1:26" ht="15.75" customHeight="1">
      <c r="A488" s="307"/>
      <c r="B488" s="307"/>
      <c r="C488" s="306"/>
      <c r="D488" s="307"/>
      <c r="E488" s="307"/>
      <c r="F488" s="307"/>
      <c r="G488" s="1049"/>
      <c r="H488" s="1049"/>
      <c r="I488" s="306"/>
      <c r="J488" s="306"/>
      <c r="K488" s="306"/>
      <c r="L488" s="306"/>
      <c r="M488" s="306"/>
      <c r="N488" s="306"/>
      <c r="O488" s="306"/>
      <c r="P488" s="306"/>
      <c r="Q488" s="306"/>
      <c r="R488" s="306"/>
      <c r="S488" s="306"/>
      <c r="T488" s="306"/>
      <c r="U488" s="306"/>
      <c r="V488" s="306"/>
      <c r="W488" s="306"/>
      <c r="X488" s="306"/>
      <c r="Y488" s="306"/>
      <c r="Z488" s="306"/>
    </row>
    <row r="489" spans="1:26" ht="15.75" customHeight="1">
      <c r="A489" s="307"/>
      <c r="B489" s="307"/>
      <c r="C489" s="306"/>
      <c r="D489" s="307"/>
      <c r="E489" s="307"/>
      <c r="F489" s="307"/>
      <c r="G489" s="1049"/>
      <c r="H489" s="1049"/>
      <c r="I489" s="306"/>
      <c r="J489" s="306"/>
      <c r="K489" s="306"/>
      <c r="L489" s="306"/>
      <c r="M489" s="306"/>
      <c r="N489" s="306"/>
      <c r="O489" s="306"/>
      <c r="P489" s="306"/>
      <c r="Q489" s="306"/>
      <c r="R489" s="306"/>
      <c r="S489" s="306"/>
      <c r="T489" s="306"/>
      <c r="U489" s="306"/>
      <c r="V489" s="306"/>
      <c r="W489" s="306"/>
      <c r="X489" s="306"/>
      <c r="Y489" s="306"/>
      <c r="Z489" s="306"/>
    </row>
    <row r="490" spans="1:26" ht="15.75" customHeight="1">
      <c r="A490" s="307"/>
      <c r="B490" s="307"/>
      <c r="C490" s="306"/>
      <c r="D490" s="307"/>
      <c r="E490" s="307"/>
      <c r="F490" s="307"/>
      <c r="G490" s="1049"/>
      <c r="H490" s="1049"/>
      <c r="I490" s="306"/>
      <c r="J490" s="306"/>
      <c r="K490" s="306"/>
      <c r="L490" s="306"/>
      <c r="M490" s="306"/>
      <c r="N490" s="306"/>
      <c r="O490" s="306"/>
      <c r="P490" s="306"/>
      <c r="Q490" s="306"/>
      <c r="R490" s="306"/>
      <c r="S490" s="306"/>
      <c r="T490" s="306"/>
      <c r="U490" s="306"/>
      <c r="V490" s="306"/>
      <c r="W490" s="306"/>
      <c r="X490" s="306"/>
      <c r="Y490" s="306"/>
      <c r="Z490" s="306"/>
    </row>
    <row r="491" spans="1:26" ht="15.75" customHeight="1">
      <c r="A491" s="307"/>
      <c r="B491" s="307"/>
      <c r="C491" s="306"/>
      <c r="D491" s="307"/>
      <c r="E491" s="307"/>
      <c r="F491" s="307"/>
      <c r="G491" s="1049"/>
      <c r="H491" s="1049"/>
      <c r="I491" s="306"/>
      <c r="J491" s="306"/>
      <c r="K491" s="306"/>
      <c r="L491" s="306"/>
      <c r="M491" s="306"/>
      <c r="N491" s="306"/>
      <c r="O491" s="306"/>
      <c r="P491" s="306"/>
      <c r="Q491" s="306"/>
      <c r="R491" s="306"/>
      <c r="S491" s="306"/>
      <c r="T491" s="306"/>
      <c r="U491" s="306"/>
      <c r="V491" s="306"/>
      <c r="W491" s="306"/>
      <c r="X491" s="306"/>
      <c r="Y491" s="306"/>
      <c r="Z491" s="306"/>
    </row>
    <row r="492" spans="1:26" ht="15.75" customHeight="1">
      <c r="A492" s="307"/>
      <c r="B492" s="307"/>
      <c r="C492" s="306"/>
      <c r="D492" s="307"/>
      <c r="E492" s="307"/>
      <c r="F492" s="307"/>
      <c r="G492" s="1049"/>
      <c r="H492" s="1049"/>
      <c r="I492" s="306"/>
      <c r="J492" s="306"/>
      <c r="K492" s="306"/>
      <c r="L492" s="306"/>
      <c r="M492" s="306"/>
      <c r="N492" s="306"/>
      <c r="O492" s="306"/>
      <c r="P492" s="306"/>
      <c r="Q492" s="306"/>
      <c r="R492" s="306"/>
      <c r="S492" s="306"/>
      <c r="T492" s="306"/>
      <c r="U492" s="306"/>
      <c r="V492" s="306"/>
      <c r="W492" s="306"/>
      <c r="X492" s="306"/>
      <c r="Y492" s="306"/>
      <c r="Z492" s="306"/>
    </row>
    <row r="493" spans="1:26" ht="15.75" customHeight="1">
      <c r="A493" s="307"/>
      <c r="B493" s="307"/>
      <c r="C493" s="306"/>
      <c r="D493" s="307"/>
      <c r="E493" s="307"/>
      <c r="F493" s="307"/>
      <c r="G493" s="1049"/>
      <c r="H493" s="1049"/>
      <c r="I493" s="306"/>
      <c r="J493" s="306"/>
      <c r="K493" s="306"/>
      <c r="L493" s="306"/>
      <c r="M493" s="306"/>
      <c r="N493" s="306"/>
      <c r="O493" s="306"/>
      <c r="P493" s="306"/>
      <c r="Q493" s="306"/>
      <c r="R493" s="306"/>
      <c r="S493" s="306"/>
      <c r="T493" s="306"/>
      <c r="U493" s="306"/>
      <c r="V493" s="306"/>
      <c r="W493" s="306"/>
      <c r="X493" s="306"/>
      <c r="Y493" s="306"/>
      <c r="Z493" s="306"/>
    </row>
    <row r="494" spans="1:26" ht="15.75" customHeight="1">
      <c r="A494" s="307"/>
      <c r="B494" s="307"/>
      <c r="C494" s="306"/>
      <c r="D494" s="307"/>
      <c r="E494" s="307"/>
      <c r="F494" s="307"/>
      <c r="G494" s="1049"/>
      <c r="H494" s="1049"/>
      <c r="I494" s="306"/>
      <c r="J494" s="306"/>
      <c r="K494" s="306"/>
      <c r="L494" s="306"/>
      <c r="M494" s="306"/>
      <c r="N494" s="306"/>
      <c r="O494" s="306"/>
      <c r="P494" s="306"/>
      <c r="Q494" s="306"/>
      <c r="R494" s="306"/>
      <c r="S494" s="306"/>
      <c r="T494" s="306"/>
      <c r="U494" s="306"/>
      <c r="V494" s="306"/>
      <c r="W494" s="306"/>
      <c r="X494" s="306"/>
      <c r="Y494" s="306"/>
      <c r="Z494" s="306"/>
    </row>
    <row r="495" spans="1:26" ht="15.75" customHeight="1">
      <c r="A495" s="307"/>
      <c r="B495" s="307"/>
      <c r="C495" s="306"/>
      <c r="D495" s="307"/>
      <c r="E495" s="307"/>
      <c r="F495" s="307"/>
      <c r="G495" s="1049"/>
      <c r="H495" s="1049"/>
      <c r="I495" s="306"/>
      <c r="J495" s="306"/>
      <c r="K495" s="306"/>
      <c r="L495" s="306"/>
      <c r="M495" s="306"/>
      <c r="N495" s="306"/>
      <c r="O495" s="306"/>
      <c r="P495" s="306"/>
      <c r="Q495" s="306"/>
      <c r="R495" s="306"/>
      <c r="S495" s="306"/>
      <c r="T495" s="306"/>
      <c r="U495" s="306"/>
      <c r="V495" s="306"/>
      <c r="W495" s="306"/>
      <c r="X495" s="306"/>
      <c r="Y495" s="306"/>
      <c r="Z495" s="306"/>
    </row>
    <row r="496" spans="1:26" ht="15.75" customHeight="1">
      <c r="A496" s="307"/>
      <c r="B496" s="307"/>
      <c r="C496" s="306"/>
      <c r="D496" s="307"/>
      <c r="E496" s="307"/>
      <c r="F496" s="307"/>
      <c r="G496" s="1049"/>
      <c r="H496" s="1049"/>
      <c r="I496" s="306"/>
      <c r="J496" s="306"/>
      <c r="K496" s="306"/>
      <c r="L496" s="306"/>
      <c r="M496" s="306"/>
      <c r="N496" s="306"/>
      <c r="O496" s="306"/>
      <c r="P496" s="306"/>
      <c r="Q496" s="306"/>
      <c r="R496" s="306"/>
      <c r="S496" s="306"/>
      <c r="T496" s="306"/>
      <c r="U496" s="306"/>
      <c r="V496" s="306"/>
      <c r="W496" s="306"/>
      <c r="X496" s="306"/>
      <c r="Y496" s="306"/>
      <c r="Z496" s="306"/>
    </row>
    <row r="497" spans="1:26" ht="15.75" customHeight="1">
      <c r="A497" s="307"/>
      <c r="B497" s="307"/>
      <c r="C497" s="306"/>
      <c r="D497" s="307"/>
      <c r="E497" s="307"/>
      <c r="F497" s="307"/>
      <c r="G497" s="1049"/>
      <c r="H497" s="1049"/>
      <c r="I497" s="306"/>
      <c r="J497" s="306"/>
      <c r="K497" s="306"/>
      <c r="L497" s="306"/>
      <c r="M497" s="306"/>
      <c r="N497" s="306"/>
      <c r="O497" s="306"/>
      <c r="P497" s="306"/>
      <c r="Q497" s="306"/>
      <c r="R497" s="306"/>
      <c r="S497" s="306"/>
      <c r="T497" s="306"/>
      <c r="U497" s="306"/>
      <c r="V497" s="306"/>
      <c r="W497" s="306"/>
      <c r="X497" s="306"/>
      <c r="Y497" s="306"/>
      <c r="Z497" s="306"/>
    </row>
    <row r="498" spans="1:26" ht="15.75" customHeight="1">
      <c r="A498" s="307"/>
      <c r="B498" s="307"/>
      <c r="C498" s="306"/>
      <c r="D498" s="307"/>
      <c r="E498" s="307"/>
      <c r="F498" s="307"/>
      <c r="G498" s="1049"/>
      <c r="H498" s="1049"/>
      <c r="I498" s="306"/>
      <c r="J498" s="306"/>
      <c r="K498" s="306"/>
      <c r="L498" s="306"/>
      <c r="M498" s="306"/>
      <c r="N498" s="306"/>
      <c r="O498" s="306"/>
      <c r="P498" s="306"/>
      <c r="Q498" s="306"/>
      <c r="R498" s="306"/>
      <c r="S498" s="306"/>
      <c r="T498" s="306"/>
      <c r="U498" s="306"/>
      <c r="V498" s="306"/>
      <c r="W498" s="306"/>
      <c r="X498" s="306"/>
      <c r="Y498" s="306"/>
      <c r="Z498" s="306"/>
    </row>
    <row r="499" spans="1:26" ht="15.75" customHeight="1">
      <c r="A499" s="307"/>
      <c r="B499" s="307"/>
      <c r="C499" s="306"/>
      <c r="D499" s="307"/>
      <c r="E499" s="307"/>
      <c r="F499" s="307"/>
      <c r="G499" s="1049"/>
      <c r="H499" s="1049"/>
      <c r="I499" s="306"/>
      <c r="J499" s="306"/>
      <c r="K499" s="306"/>
      <c r="L499" s="306"/>
      <c r="M499" s="306"/>
      <c r="N499" s="306"/>
      <c r="O499" s="306"/>
      <c r="P499" s="306"/>
      <c r="Q499" s="306"/>
      <c r="R499" s="306"/>
      <c r="S499" s="306"/>
      <c r="T499" s="306"/>
      <c r="U499" s="306"/>
      <c r="V499" s="306"/>
      <c r="W499" s="306"/>
      <c r="X499" s="306"/>
      <c r="Y499" s="306"/>
      <c r="Z499" s="306"/>
    </row>
    <row r="500" spans="1:26" ht="15.75" customHeight="1"/>
    <row r="501" spans="1:26" ht="15.75" customHeight="1"/>
    <row r="502" spans="1:26" ht="15.75" customHeight="1"/>
    <row r="503" spans="1:26" ht="15.75" customHeight="1"/>
    <row r="504" spans="1:26" ht="15.75" customHeight="1"/>
    <row r="505" spans="1:26" ht="15.75" customHeight="1"/>
    <row r="506" spans="1:26" ht="15.75" customHeight="1"/>
    <row r="507" spans="1:26" ht="15.75" customHeight="1"/>
    <row r="508" spans="1:26" ht="15.75" customHeight="1"/>
    <row r="509" spans="1:26" ht="15.75" customHeight="1"/>
    <row r="510" spans="1:26" ht="15.75" customHeight="1"/>
    <row r="511" spans="1:26" ht="15.75" customHeight="1"/>
    <row r="512" spans="1:26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I1"/>
    <mergeCell ref="A2:I2"/>
    <mergeCell ref="D5:F5"/>
  </mergeCells>
  <pageMargins left="0.25" right="0.25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Z1000"/>
  <sheetViews>
    <sheetView topLeftCell="A72" workbookViewId="0">
      <selection activeCell="C77" sqref="C77"/>
    </sheetView>
  </sheetViews>
  <sheetFormatPr defaultColWidth="14.42578125" defaultRowHeight="15" customHeight="1"/>
  <cols>
    <col min="1" max="1" width="10" customWidth="1"/>
    <col min="2" max="2" width="22.7109375" customWidth="1"/>
    <col min="3" max="3" width="29.28515625" customWidth="1"/>
    <col min="4" max="4" width="17.28515625" customWidth="1"/>
    <col min="5" max="5" width="15.140625" customWidth="1"/>
    <col min="6" max="6" width="28" customWidth="1"/>
    <col min="7" max="7" width="17.28515625" bestFit="1" customWidth="1"/>
    <col min="8" max="8" width="20.42578125" style="1055" customWidth="1"/>
    <col min="9" max="9" width="49.85546875" customWidth="1"/>
    <col min="10" max="10" width="14" customWidth="1"/>
    <col min="11" max="26" width="10" customWidth="1"/>
  </cols>
  <sheetData>
    <row r="1" spans="1:26" ht="41.25" customHeight="1">
      <c r="A1" s="954" t="s">
        <v>15</v>
      </c>
      <c r="B1" s="890"/>
      <c r="C1" s="890"/>
      <c r="D1" s="890"/>
      <c r="E1" s="890"/>
      <c r="F1" s="890"/>
      <c r="G1" s="890"/>
      <c r="H1" s="890"/>
      <c r="I1" s="890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spans="1:26" ht="41.25" customHeight="1">
      <c r="A2" s="954" t="s">
        <v>1288</v>
      </c>
      <c r="B2" s="890"/>
      <c r="C2" s="890"/>
      <c r="D2" s="890"/>
      <c r="E2" s="890"/>
      <c r="F2" s="890"/>
      <c r="G2" s="890"/>
      <c r="H2" s="890"/>
      <c r="I2" s="890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spans="1:26" ht="41.25" customHeight="1">
      <c r="A3" s="954" t="s">
        <v>16</v>
      </c>
      <c r="B3" s="890"/>
      <c r="C3" s="890"/>
      <c r="D3" s="890"/>
      <c r="E3" s="890"/>
      <c r="F3" s="890"/>
      <c r="G3" s="890"/>
      <c r="H3" s="890"/>
      <c r="I3" s="890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spans="1:26" ht="41.25" customHeight="1">
      <c r="A4" s="439"/>
      <c r="B4" s="439"/>
      <c r="C4" s="439"/>
      <c r="D4" s="439"/>
      <c r="E4" s="439"/>
      <c r="F4" s="439"/>
      <c r="G4" s="439"/>
      <c r="H4" s="1190"/>
      <c r="I4" s="439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spans="1:26" s="1189" customFormat="1" ht="41.25" customHeight="1">
      <c r="A5" s="1185" t="s">
        <v>657</v>
      </c>
      <c r="B5" s="1185" t="s">
        <v>940</v>
      </c>
      <c r="C5" s="1186" t="s">
        <v>4178</v>
      </c>
      <c r="D5" s="1185" t="s">
        <v>4181</v>
      </c>
      <c r="E5" s="1185" t="s">
        <v>4179</v>
      </c>
      <c r="F5" s="1185" t="s">
        <v>4180</v>
      </c>
      <c r="G5" s="1185" t="s">
        <v>8</v>
      </c>
      <c r="H5" s="1191" t="s">
        <v>25</v>
      </c>
      <c r="I5" s="1187"/>
      <c r="J5" s="779"/>
      <c r="K5" s="1188"/>
      <c r="L5" s="1188"/>
      <c r="M5" s="1188"/>
      <c r="N5" s="1188"/>
      <c r="O5" s="1188"/>
      <c r="P5" s="1188"/>
      <c r="Q5" s="1188"/>
      <c r="R5" s="1188"/>
      <c r="S5" s="1188"/>
      <c r="T5" s="1188"/>
      <c r="U5" s="1188"/>
      <c r="V5" s="1188"/>
      <c r="W5" s="1188"/>
      <c r="X5" s="1188"/>
      <c r="Y5" s="1188"/>
      <c r="Z5" s="1188"/>
    </row>
    <row r="6" spans="1:26" ht="41.25" customHeight="1">
      <c r="A6" s="280">
        <v>1</v>
      </c>
      <c r="B6" s="253" t="s">
        <v>1289</v>
      </c>
      <c r="C6" s="440" t="s">
        <v>463</v>
      </c>
      <c r="D6" s="440" t="s">
        <v>1290</v>
      </c>
      <c r="E6" s="441" t="s">
        <v>241</v>
      </c>
      <c r="F6" s="441" t="s">
        <v>1291</v>
      </c>
      <c r="G6" s="441">
        <v>20</v>
      </c>
      <c r="H6" s="1192">
        <v>7000000</v>
      </c>
      <c r="I6" s="440" t="s">
        <v>1292</v>
      </c>
      <c r="J6" s="440" t="s">
        <v>1293</v>
      </c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</row>
    <row r="7" spans="1:26" ht="41.25" customHeight="1">
      <c r="A7" s="280">
        <v>2</v>
      </c>
      <c r="B7" s="442" t="s">
        <v>1294</v>
      </c>
      <c r="C7" s="443" t="s">
        <v>1295</v>
      </c>
      <c r="D7" s="443" t="s">
        <v>1296</v>
      </c>
      <c r="E7" s="444" t="s">
        <v>1297</v>
      </c>
      <c r="F7" s="444" t="s">
        <v>1298</v>
      </c>
      <c r="G7" s="444" t="s">
        <v>1299</v>
      </c>
      <c r="H7" s="1193">
        <v>8000000</v>
      </c>
      <c r="I7" s="443" t="s">
        <v>1300</v>
      </c>
      <c r="J7" s="443" t="s">
        <v>1301</v>
      </c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38.25" customHeight="1">
      <c r="A8" s="280">
        <v>3</v>
      </c>
      <c r="B8" s="442" t="s">
        <v>1294</v>
      </c>
      <c r="C8" s="443" t="s">
        <v>1302</v>
      </c>
      <c r="D8" s="443" t="s">
        <v>1296</v>
      </c>
      <c r="E8" s="444" t="s">
        <v>1297</v>
      </c>
      <c r="F8" s="444" t="s">
        <v>1298</v>
      </c>
      <c r="G8" s="444" t="s">
        <v>1299</v>
      </c>
      <c r="H8" s="1193">
        <v>8000000</v>
      </c>
      <c r="I8" s="443" t="s">
        <v>1300</v>
      </c>
      <c r="J8" s="443" t="s">
        <v>1301</v>
      </c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</row>
    <row r="9" spans="1:26" ht="38.25" customHeight="1">
      <c r="A9" s="280">
        <v>4</v>
      </c>
      <c r="B9" s="442" t="s">
        <v>788</v>
      </c>
      <c r="C9" s="443" t="s">
        <v>1303</v>
      </c>
      <c r="D9" s="443" t="s">
        <v>1290</v>
      </c>
      <c r="E9" s="443" t="s">
        <v>1297</v>
      </c>
      <c r="F9" s="444" t="s">
        <v>1304</v>
      </c>
      <c r="G9" s="445">
        <v>2</v>
      </c>
      <c r="H9" s="1194">
        <v>10000000</v>
      </c>
      <c r="I9" s="443" t="s">
        <v>1305</v>
      </c>
      <c r="J9" s="443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</row>
    <row r="10" spans="1:26" ht="38.25" customHeight="1">
      <c r="A10" s="280">
        <v>5</v>
      </c>
      <c r="B10" s="442" t="s">
        <v>672</v>
      </c>
      <c r="C10" s="443" t="s">
        <v>1306</v>
      </c>
      <c r="D10" s="443" t="s">
        <v>1290</v>
      </c>
      <c r="E10" s="443" t="s">
        <v>1297</v>
      </c>
      <c r="F10" s="444"/>
      <c r="G10" s="444">
        <v>1</v>
      </c>
      <c r="H10" s="1194">
        <v>5000000</v>
      </c>
      <c r="I10" s="443" t="s">
        <v>1307</v>
      </c>
      <c r="J10" s="443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</row>
    <row r="11" spans="1:26" ht="38.25" customHeight="1">
      <c r="A11" s="280">
        <v>6</v>
      </c>
      <c r="B11" s="442" t="s">
        <v>39</v>
      </c>
      <c r="C11" s="443" t="s">
        <v>1308</v>
      </c>
      <c r="D11" s="443" t="s">
        <v>1290</v>
      </c>
      <c r="E11" s="444" t="s">
        <v>1297</v>
      </c>
      <c r="F11" s="443"/>
      <c r="G11" s="446">
        <v>2</v>
      </c>
      <c r="H11" s="1194">
        <v>7500000</v>
      </c>
      <c r="I11" s="443" t="s">
        <v>1309</v>
      </c>
      <c r="J11" s="443" t="s">
        <v>1273</v>
      </c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</row>
    <row r="12" spans="1:26" ht="41.25" customHeight="1">
      <c r="A12" s="280">
        <v>7</v>
      </c>
      <c r="B12" s="442" t="s">
        <v>1310</v>
      </c>
      <c r="C12" s="443" t="s">
        <v>1311</v>
      </c>
      <c r="D12" s="443" t="s">
        <v>1296</v>
      </c>
      <c r="E12" s="447" t="s">
        <v>1297</v>
      </c>
      <c r="F12" s="443"/>
      <c r="G12" s="446">
        <v>2</v>
      </c>
      <c r="H12" s="1194">
        <v>10000000</v>
      </c>
      <c r="I12" s="443" t="s">
        <v>1312</v>
      </c>
      <c r="J12" s="443" t="s">
        <v>1273</v>
      </c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</row>
    <row r="13" spans="1:26" ht="41.25" customHeight="1">
      <c r="A13" s="280">
        <v>8</v>
      </c>
      <c r="B13" s="442" t="s">
        <v>1310</v>
      </c>
      <c r="C13" s="443" t="s">
        <v>1313</v>
      </c>
      <c r="D13" s="443" t="s">
        <v>1296</v>
      </c>
      <c r="E13" s="443" t="s">
        <v>1297</v>
      </c>
      <c r="F13" s="443"/>
      <c r="G13" s="446">
        <v>2</v>
      </c>
      <c r="H13" s="1194">
        <v>10000000</v>
      </c>
      <c r="I13" s="444" t="s">
        <v>1312</v>
      </c>
      <c r="J13" s="444" t="s">
        <v>1273</v>
      </c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</row>
    <row r="14" spans="1:26" ht="41.25" customHeight="1">
      <c r="A14" s="280">
        <v>9</v>
      </c>
      <c r="B14" s="442" t="s">
        <v>701</v>
      </c>
      <c r="C14" s="443" t="s">
        <v>1314</v>
      </c>
      <c r="D14" s="443" t="s">
        <v>13</v>
      </c>
      <c r="E14" s="444" t="s">
        <v>1297</v>
      </c>
      <c r="F14" s="444" t="s">
        <v>1291</v>
      </c>
      <c r="G14" s="444">
        <v>2</v>
      </c>
      <c r="H14" s="1193">
        <v>8000000</v>
      </c>
      <c r="I14" s="443" t="s">
        <v>1315</v>
      </c>
      <c r="J14" s="443" t="s">
        <v>1301</v>
      </c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</row>
    <row r="15" spans="1:26" ht="41.25" customHeight="1">
      <c r="A15" s="280">
        <v>10</v>
      </c>
      <c r="B15" s="442" t="s">
        <v>881</v>
      </c>
      <c r="C15" s="443" t="s">
        <v>1316</v>
      </c>
      <c r="D15" s="443" t="s">
        <v>1290</v>
      </c>
      <c r="E15" s="444" t="s">
        <v>1297</v>
      </c>
      <c r="F15" s="444" t="s">
        <v>1298</v>
      </c>
      <c r="G15" s="444">
        <v>1</v>
      </c>
      <c r="H15" s="1193">
        <v>6000000</v>
      </c>
      <c r="I15" s="443" t="s">
        <v>1317</v>
      </c>
      <c r="J15" s="443" t="s">
        <v>1301</v>
      </c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</row>
    <row r="16" spans="1:26" ht="41.25" customHeight="1">
      <c r="A16" s="280">
        <v>11</v>
      </c>
      <c r="B16" s="442" t="s">
        <v>686</v>
      </c>
      <c r="C16" s="443" t="s">
        <v>1318</v>
      </c>
      <c r="D16" s="443" t="s">
        <v>1319</v>
      </c>
      <c r="E16" s="443" t="s">
        <v>1297</v>
      </c>
      <c r="F16" s="444" t="s">
        <v>1291</v>
      </c>
      <c r="G16" s="444">
        <v>2</v>
      </c>
      <c r="H16" s="1193">
        <v>6000000</v>
      </c>
      <c r="I16" s="443" t="s">
        <v>1320</v>
      </c>
      <c r="J16" s="443" t="s">
        <v>1301</v>
      </c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</row>
    <row r="17" spans="1:26" ht="41.25" customHeight="1">
      <c r="A17" s="280">
        <v>12</v>
      </c>
      <c r="B17" s="442" t="s">
        <v>1217</v>
      </c>
      <c r="C17" s="443" t="s">
        <v>1321</v>
      </c>
      <c r="D17" s="443" t="s">
        <v>1290</v>
      </c>
      <c r="E17" s="444" t="s">
        <v>1297</v>
      </c>
      <c r="F17" s="444" t="s">
        <v>1298</v>
      </c>
      <c r="G17" s="444">
        <v>1</v>
      </c>
      <c r="H17" s="1193">
        <v>6000000</v>
      </c>
      <c r="I17" s="443" t="s">
        <v>1322</v>
      </c>
      <c r="J17" s="443" t="s">
        <v>1301</v>
      </c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 spans="1:26" ht="41.25" customHeight="1">
      <c r="A18" s="280">
        <v>13</v>
      </c>
      <c r="B18" s="442" t="s">
        <v>967</v>
      </c>
      <c r="C18" s="443" t="s">
        <v>1323</v>
      </c>
      <c r="D18" s="443" t="s">
        <v>1323</v>
      </c>
      <c r="E18" s="444" t="s">
        <v>1297</v>
      </c>
      <c r="F18" s="443"/>
      <c r="G18" s="444">
        <v>1</v>
      </c>
      <c r="H18" s="1194">
        <v>6000000</v>
      </c>
      <c r="I18" s="444" t="s">
        <v>1273</v>
      </c>
      <c r="J18" s="443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spans="1:26" ht="41.25" customHeight="1">
      <c r="A19" s="280">
        <v>14</v>
      </c>
      <c r="B19" s="442" t="s">
        <v>1324</v>
      </c>
      <c r="C19" s="443" t="s">
        <v>1325</v>
      </c>
      <c r="D19" s="443" t="s">
        <v>1290</v>
      </c>
      <c r="E19" s="444" t="s">
        <v>241</v>
      </c>
      <c r="F19" s="444" t="s">
        <v>1298</v>
      </c>
      <c r="G19" s="444">
        <v>15</v>
      </c>
      <c r="H19" s="1193">
        <v>5000000</v>
      </c>
      <c r="I19" s="443" t="s">
        <v>1326</v>
      </c>
      <c r="J19" s="443" t="s">
        <v>1293</v>
      </c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</row>
    <row r="20" spans="1:26" ht="41.25" customHeight="1">
      <c r="A20" s="280">
        <v>15</v>
      </c>
      <c r="B20" s="442" t="s">
        <v>1294</v>
      </c>
      <c r="C20" s="443" t="s">
        <v>1327</v>
      </c>
      <c r="D20" s="443" t="s">
        <v>1296</v>
      </c>
      <c r="E20" s="444" t="s">
        <v>1297</v>
      </c>
      <c r="F20" s="444" t="s">
        <v>1298</v>
      </c>
      <c r="G20" s="444" t="s">
        <v>1299</v>
      </c>
      <c r="H20" s="1193">
        <v>5000000</v>
      </c>
      <c r="I20" s="443" t="s">
        <v>1300</v>
      </c>
      <c r="J20" s="443" t="s">
        <v>1301</v>
      </c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</row>
    <row r="21" spans="1:26" ht="41.25" customHeight="1">
      <c r="A21" s="280">
        <v>16</v>
      </c>
      <c r="B21" s="442" t="s">
        <v>1294</v>
      </c>
      <c r="C21" s="443" t="s">
        <v>1328</v>
      </c>
      <c r="D21" s="443" t="s">
        <v>1329</v>
      </c>
      <c r="E21" s="444" t="s">
        <v>1297</v>
      </c>
      <c r="F21" s="444" t="s">
        <v>1291</v>
      </c>
      <c r="G21" s="444">
        <v>3</v>
      </c>
      <c r="H21" s="1193">
        <v>5000000</v>
      </c>
      <c r="I21" s="443" t="s">
        <v>1330</v>
      </c>
      <c r="J21" s="443" t="s">
        <v>1301</v>
      </c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</row>
    <row r="22" spans="1:26" ht="41.25" customHeight="1">
      <c r="A22" s="280">
        <v>17</v>
      </c>
      <c r="B22" s="442" t="s">
        <v>1294</v>
      </c>
      <c r="C22" s="443" t="s">
        <v>1331</v>
      </c>
      <c r="D22" s="443" t="s">
        <v>13</v>
      </c>
      <c r="E22" s="444" t="s">
        <v>241</v>
      </c>
      <c r="F22" s="444" t="s">
        <v>1332</v>
      </c>
      <c r="G22" s="444">
        <v>1</v>
      </c>
      <c r="H22" s="1193">
        <v>800000</v>
      </c>
      <c r="I22" s="443"/>
      <c r="J22" s="443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</row>
    <row r="23" spans="1:26" ht="41.25" customHeight="1">
      <c r="A23" s="280">
        <v>18</v>
      </c>
      <c r="B23" s="442" t="s">
        <v>1333</v>
      </c>
      <c r="C23" s="443" t="s">
        <v>1334</v>
      </c>
      <c r="D23" s="443" t="s">
        <v>1296</v>
      </c>
      <c r="E23" s="444" t="s">
        <v>1297</v>
      </c>
      <c r="F23" s="444" t="s">
        <v>1298</v>
      </c>
      <c r="G23" s="444">
        <v>2</v>
      </c>
      <c r="H23" s="1193">
        <v>5000000</v>
      </c>
      <c r="I23" s="443" t="s">
        <v>1335</v>
      </c>
      <c r="J23" s="443" t="s">
        <v>1301</v>
      </c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</row>
    <row r="24" spans="1:26" ht="41.25" customHeight="1">
      <c r="A24" s="280">
        <v>19</v>
      </c>
      <c r="B24" s="442" t="s">
        <v>1217</v>
      </c>
      <c r="C24" s="443" t="s">
        <v>1336</v>
      </c>
      <c r="D24" s="443" t="s">
        <v>1296</v>
      </c>
      <c r="E24" s="444" t="s">
        <v>1297</v>
      </c>
      <c r="F24" s="444" t="s">
        <v>1298</v>
      </c>
      <c r="G24" s="444">
        <v>2</v>
      </c>
      <c r="H24" s="1193">
        <v>5000000</v>
      </c>
      <c r="I24" s="443" t="s">
        <v>1337</v>
      </c>
      <c r="J24" s="443" t="s">
        <v>1301</v>
      </c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</row>
    <row r="25" spans="1:26" ht="41.25" customHeight="1">
      <c r="A25" s="280">
        <v>20</v>
      </c>
      <c r="B25" s="442" t="s">
        <v>39</v>
      </c>
      <c r="C25" s="444" t="s">
        <v>1338</v>
      </c>
      <c r="D25" s="443" t="s">
        <v>1290</v>
      </c>
      <c r="E25" s="444" t="s">
        <v>1297</v>
      </c>
      <c r="F25" s="443"/>
      <c r="G25" s="446">
        <v>5</v>
      </c>
      <c r="H25" s="1193">
        <v>5000000</v>
      </c>
      <c r="I25" s="444" t="s">
        <v>1339</v>
      </c>
      <c r="J25" s="444" t="s">
        <v>1039</v>
      </c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</row>
    <row r="26" spans="1:26" ht="41.25" customHeight="1">
      <c r="A26" s="280">
        <v>21</v>
      </c>
      <c r="B26" s="442" t="s">
        <v>39</v>
      </c>
      <c r="C26" s="444" t="s">
        <v>1340</v>
      </c>
      <c r="D26" s="443" t="s">
        <v>1290</v>
      </c>
      <c r="E26" s="444" t="s">
        <v>1297</v>
      </c>
      <c r="F26" s="443"/>
      <c r="G26" s="446">
        <v>3</v>
      </c>
      <c r="H26" s="1193">
        <v>5000000</v>
      </c>
      <c r="I26" s="443" t="s">
        <v>1341</v>
      </c>
      <c r="J26" s="444" t="s">
        <v>1039</v>
      </c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 spans="1:26" ht="41.25" customHeight="1">
      <c r="A27" s="280">
        <v>22</v>
      </c>
      <c r="B27" s="442" t="s">
        <v>1342</v>
      </c>
      <c r="C27" s="443" t="s">
        <v>1343</v>
      </c>
      <c r="D27" s="443" t="s">
        <v>1319</v>
      </c>
      <c r="E27" s="444" t="s">
        <v>1297</v>
      </c>
      <c r="F27" s="444" t="s">
        <v>1298</v>
      </c>
      <c r="G27" s="444">
        <v>1</v>
      </c>
      <c r="H27" s="1193">
        <v>4000000</v>
      </c>
      <c r="I27" s="443" t="s">
        <v>1344</v>
      </c>
      <c r="J27" s="443" t="s">
        <v>1293</v>
      </c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</row>
    <row r="28" spans="1:26" ht="41.25" customHeight="1">
      <c r="A28" s="280">
        <v>23</v>
      </c>
      <c r="B28" s="442" t="s">
        <v>676</v>
      </c>
      <c r="C28" s="443" t="s">
        <v>1345</v>
      </c>
      <c r="D28" s="443" t="s">
        <v>1319</v>
      </c>
      <c r="E28" s="444" t="s">
        <v>1297</v>
      </c>
      <c r="F28" s="444" t="s">
        <v>1298</v>
      </c>
      <c r="G28" s="444">
        <v>1</v>
      </c>
      <c r="H28" s="1193">
        <v>4000000</v>
      </c>
      <c r="I28" s="443" t="s">
        <v>1346</v>
      </c>
      <c r="J28" s="443" t="s">
        <v>1293</v>
      </c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</row>
    <row r="29" spans="1:26" ht="41.25" customHeight="1">
      <c r="A29" s="280">
        <v>24</v>
      </c>
      <c r="B29" s="442" t="s">
        <v>1190</v>
      </c>
      <c r="C29" s="443" t="s">
        <v>1347</v>
      </c>
      <c r="D29" s="443" t="s">
        <v>1290</v>
      </c>
      <c r="E29" s="444" t="s">
        <v>241</v>
      </c>
      <c r="F29" s="443"/>
      <c r="G29" s="444">
        <v>17</v>
      </c>
      <c r="H29" s="1194">
        <v>3500000</v>
      </c>
      <c r="I29" s="443" t="s">
        <v>1307</v>
      </c>
      <c r="J29" s="443" t="s">
        <v>1348</v>
      </c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</row>
    <row r="30" spans="1:26" ht="41.25" customHeight="1">
      <c r="A30" s="280">
        <v>25</v>
      </c>
      <c r="B30" s="442" t="s">
        <v>1190</v>
      </c>
      <c r="C30" s="443" t="s">
        <v>1349</v>
      </c>
      <c r="D30" s="443" t="s">
        <v>1290</v>
      </c>
      <c r="E30" s="444" t="s">
        <v>241</v>
      </c>
      <c r="F30" s="443"/>
      <c r="G30" s="444">
        <v>17</v>
      </c>
      <c r="H30" s="1194">
        <v>3500000</v>
      </c>
      <c r="I30" s="443" t="s">
        <v>1307</v>
      </c>
      <c r="J30" s="443" t="s">
        <v>1348</v>
      </c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</row>
    <row r="31" spans="1:26" ht="41.25" customHeight="1">
      <c r="A31" s="280">
        <v>26</v>
      </c>
      <c r="B31" s="442" t="s">
        <v>1190</v>
      </c>
      <c r="C31" s="443" t="s">
        <v>1350</v>
      </c>
      <c r="D31" s="443" t="s">
        <v>1290</v>
      </c>
      <c r="E31" s="444" t="s">
        <v>241</v>
      </c>
      <c r="F31" s="443"/>
      <c r="G31" s="444">
        <v>17</v>
      </c>
      <c r="H31" s="1194">
        <v>3500000</v>
      </c>
      <c r="I31" s="443" t="s">
        <v>1307</v>
      </c>
      <c r="J31" s="443" t="s">
        <v>1348</v>
      </c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</row>
    <row r="32" spans="1:26" ht="41.25" customHeight="1">
      <c r="A32" s="280">
        <v>27</v>
      </c>
      <c r="B32" s="442" t="s">
        <v>1190</v>
      </c>
      <c r="C32" s="443" t="s">
        <v>1351</v>
      </c>
      <c r="D32" s="443" t="s">
        <v>1290</v>
      </c>
      <c r="E32" s="444" t="s">
        <v>241</v>
      </c>
      <c r="F32" s="443"/>
      <c r="G32" s="444">
        <v>17</v>
      </c>
      <c r="H32" s="1194">
        <v>3500000</v>
      </c>
      <c r="I32" s="443" t="s">
        <v>1307</v>
      </c>
      <c r="J32" s="443" t="s">
        <v>1348</v>
      </c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</row>
    <row r="33" spans="1:26" ht="41.25" customHeight="1">
      <c r="A33" s="280">
        <v>28</v>
      </c>
      <c r="B33" s="442" t="s">
        <v>1190</v>
      </c>
      <c r="C33" s="443" t="s">
        <v>1352</v>
      </c>
      <c r="D33" s="443" t="s">
        <v>1290</v>
      </c>
      <c r="E33" s="444" t="s">
        <v>241</v>
      </c>
      <c r="F33" s="443"/>
      <c r="G33" s="444">
        <v>17</v>
      </c>
      <c r="H33" s="1194">
        <v>3500000</v>
      </c>
      <c r="I33" s="443" t="s">
        <v>1307</v>
      </c>
      <c r="J33" s="443" t="s">
        <v>1348</v>
      </c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spans="1:26" ht="41.25" customHeight="1">
      <c r="A34" s="280">
        <v>29</v>
      </c>
      <c r="B34" s="442" t="s">
        <v>1190</v>
      </c>
      <c r="C34" s="443" t="s">
        <v>1353</v>
      </c>
      <c r="D34" s="443" t="s">
        <v>1290</v>
      </c>
      <c r="E34" s="444" t="s">
        <v>241</v>
      </c>
      <c r="F34" s="443"/>
      <c r="G34" s="444">
        <v>17</v>
      </c>
      <c r="H34" s="1194">
        <v>3500000</v>
      </c>
      <c r="I34" s="443" t="s">
        <v>1307</v>
      </c>
      <c r="J34" s="443" t="s">
        <v>1348</v>
      </c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</row>
    <row r="35" spans="1:26" ht="41.25" customHeight="1">
      <c r="A35" s="280">
        <v>30</v>
      </c>
      <c r="B35" s="442" t="s">
        <v>1354</v>
      </c>
      <c r="C35" s="443" t="s">
        <v>1355</v>
      </c>
      <c r="D35" s="443" t="s">
        <v>1290</v>
      </c>
      <c r="E35" s="444" t="s">
        <v>1297</v>
      </c>
      <c r="F35" s="444" t="s">
        <v>1298</v>
      </c>
      <c r="G35" s="444">
        <v>1</v>
      </c>
      <c r="H35" s="1193">
        <v>3000000</v>
      </c>
      <c r="I35" s="443" t="s">
        <v>1356</v>
      </c>
      <c r="J35" s="443" t="s">
        <v>1293</v>
      </c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 spans="1:26" ht="41.25" customHeight="1">
      <c r="A36" s="280">
        <v>31</v>
      </c>
      <c r="B36" s="442" t="s">
        <v>836</v>
      </c>
      <c r="C36" s="443" t="s">
        <v>1357</v>
      </c>
      <c r="D36" s="443" t="s">
        <v>1319</v>
      </c>
      <c r="E36" s="444" t="s">
        <v>1297</v>
      </c>
      <c r="F36" s="444" t="s">
        <v>1298</v>
      </c>
      <c r="G36" s="444">
        <v>1</v>
      </c>
      <c r="H36" s="1193">
        <v>6000000</v>
      </c>
      <c r="I36" s="443" t="s">
        <v>1358</v>
      </c>
      <c r="J36" s="443" t="s">
        <v>1301</v>
      </c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</row>
    <row r="37" spans="1:26" ht="41.25" customHeight="1">
      <c r="A37" s="280">
        <v>32</v>
      </c>
      <c r="B37" s="442" t="s">
        <v>1294</v>
      </c>
      <c r="C37" s="443" t="s">
        <v>1359</v>
      </c>
      <c r="D37" s="443" t="s">
        <v>1296</v>
      </c>
      <c r="E37" s="444" t="s">
        <v>241</v>
      </c>
      <c r="F37" s="444" t="s">
        <v>1298</v>
      </c>
      <c r="G37" s="444" t="s">
        <v>1360</v>
      </c>
      <c r="H37" s="1193">
        <v>3000000</v>
      </c>
      <c r="I37" s="443" t="s">
        <v>1330</v>
      </c>
      <c r="J37" s="443" t="s">
        <v>1301</v>
      </c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 spans="1:26" ht="41.25" customHeight="1">
      <c r="A38" s="280">
        <v>33</v>
      </c>
      <c r="B38" s="442" t="s">
        <v>562</v>
      </c>
      <c r="C38" s="447" t="s">
        <v>1361</v>
      </c>
      <c r="D38" s="443" t="s">
        <v>1290</v>
      </c>
      <c r="E38" s="444" t="s">
        <v>241</v>
      </c>
      <c r="F38" s="443"/>
      <c r="G38" s="444">
        <v>50</v>
      </c>
      <c r="H38" s="1194">
        <v>2680000</v>
      </c>
      <c r="I38" s="443"/>
      <c r="J38" s="443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</row>
    <row r="39" spans="1:26" ht="41.25" customHeight="1">
      <c r="A39" s="280">
        <v>34</v>
      </c>
      <c r="B39" s="442" t="s">
        <v>1043</v>
      </c>
      <c r="C39" s="443" t="s">
        <v>1362</v>
      </c>
      <c r="D39" s="443" t="s">
        <v>1363</v>
      </c>
      <c r="E39" s="444" t="s">
        <v>1297</v>
      </c>
      <c r="F39" s="444" t="s">
        <v>1298</v>
      </c>
      <c r="G39" s="444">
        <v>1</v>
      </c>
      <c r="H39" s="1193">
        <v>2500000</v>
      </c>
      <c r="I39" s="443" t="s">
        <v>1364</v>
      </c>
      <c r="J39" s="443" t="s">
        <v>1301</v>
      </c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 spans="1:26" ht="41.25" customHeight="1">
      <c r="A40" s="280">
        <v>35</v>
      </c>
      <c r="B40" s="442" t="s">
        <v>502</v>
      </c>
      <c r="C40" s="443" t="s">
        <v>1365</v>
      </c>
      <c r="D40" s="443" t="s">
        <v>1319</v>
      </c>
      <c r="E40" s="444" t="s">
        <v>1297</v>
      </c>
      <c r="F40" s="444" t="s">
        <v>1298</v>
      </c>
      <c r="G40" s="444">
        <v>2</v>
      </c>
      <c r="H40" s="1193">
        <v>2500000</v>
      </c>
      <c r="I40" s="443" t="s">
        <v>1366</v>
      </c>
      <c r="J40" s="443" t="s">
        <v>1301</v>
      </c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 spans="1:26" ht="41.25" customHeight="1">
      <c r="A41" s="280">
        <v>36</v>
      </c>
      <c r="B41" s="442" t="s">
        <v>881</v>
      </c>
      <c r="C41" s="443" t="s">
        <v>1367</v>
      </c>
      <c r="D41" s="443" t="s">
        <v>1368</v>
      </c>
      <c r="E41" s="444" t="s">
        <v>1297</v>
      </c>
      <c r="F41" s="444" t="s">
        <v>1291</v>
      </c>
      <c r="G41" s="444">
        <v>1</v>
      </c>
      <c r="H41" s="1193">
        <v>2500000</v>
      </c>
      <c r="I41" s="443" t="s">
        <v>1369</v>
      </c>
      <c r="J41" s="443" t="s">
        <v>1301</v>
      </c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 spans="1:26" ht="41.25" customHeight="1">
      <c r="A42" s="280">
        <v>37</v>
      </c>
      <c r="B42" s="442" t="s">
        <v>881</v>
      </c>
      <c r="C42" s="443" t="s">
        <v>1370</v>
      </c>
      <c r="D42" s="443" t="s">
        <v>1368</v>
      </c>
      <c r="E42" s="444" t="s">
        <v>1297</v>
      </c>
      <c r="F42" s="444" t="s">
        <v>1298</v>
      </c>
      <c r="G42" s="444">
        <v>1</v>
      </c>
      <c r="H42" s="1193">
        <v>2500000</v>
      </c>
      <c r="I42" s="443" t="s">
        <v>1371</v>
      </c>
      <c r="J42" s="443" t="s">
        <v>1293</v>
      </c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 spans="1:26" ht="41.25" customHeight="1">
      <c r="A43" s="280">
        <v>38</v>
      </c>
      <c r="B43" s="442" t="s">
        <v>1261</v>
      </c>
      <c r="C43" s="443" t="s">
        <v>1372</v>
      </c>
      <c r="D43" s="443" t="s">
        <v>1319</v>
      </c>
      <c r="E43" s="444" t="s">
        <v>1297</v>
      </c>
      <c r="F43" s="444" t="s">
        <v>1291</v>
      </c>
      <c r="G43" s="444">
        <v>2</v>
      </c>
      <c r="H43" s="1193">
        <v>2500000</v>
      </c>
      <c r="I43" s="443" t="s">
        <v>1373</v>
      </c>
      <c r="J43" s="443" t="s">
        <v>1293</v>
      </c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 spans="1:26" ht="41.25" customHeight="1">
      <c r="A44" s="280">
        <v>39</v>
      </c>
      <c r="B44" s="442" t="s">
        <v>1374</v>
      </c>
      <c r="C44" s="443" t="s">
        <v>1375</v>
      </c>
      <c r="D44" s="443" t="s">
        <v>1376</v>
      </c>
      <c r="E44" s="444" t="s">
        <v>1297</v>
      </c>
      <c r="F44" s="444" t="s">
        <v>1298</v>
      </c>
      <c r="G44" s="444">
        <v>1</v>
      </c>
      <c r="H44" s="1193">
        <v>2500000</v>
      </c>
      <c r="I44" s="443" t="s">
        <v>1377</v>
      </c>
      <c r="J44" s="443" t="s">
        <v>1301</v>
      </c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 spans="1:26" ht="41.25" customHeight="1">
      <c r="A45" s="280">
        <v>40</v>
      </c>
      <c r="B45" s="442" t="s">
        <v>1378</v>
      </c>
      <c r="C45" s="443" t="s">
        <v>1379</v>
      </c>
      <c r="D45" s="443" t="s">
        <v>1319</v>
      </c>
      <c r="E45" s="444" t="s">
        <v>1297</v>
      </c>
      <c r="F45" s="444" t="s">
        <v>1298</v>
      </c>
      <c r="G45" s="444">
        <v>1</v>
      </c>
      <c r="H45" s="1193">
        <v>2500000</v>
      </c>
      <c r="I45" s="443" t="s">
        <v>1380</v>
      </c>
      <c r="J45" s="443" t="s">
        <v>1301</v>
      </c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 spans="1:26" ht="41.25" customHeight="1">
      <c r="A46" s="280">
        <v>41</v>
      </c>
      <c r="B46" s="442" t="s">
        <v>562</v>
      </c>
      <c r="C46" s="447" t="s">
        <v>1381</v>
      </c>
      <c r="D46" s="443" t="s">
        <v>1290</v>
      </c>
      <c r="E46" s="444" t="s">
        <v>241</v>
      </c>
      <c r="F46" s="443"/>
      <c r="G46" s="444">
        <v>50</v>
      </c>
      <c r="H46" s="1194">
        <v>2364000</v>
      </c>
      <c r="I46" s="443"/>
      <c r="J46" s="443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 spans="1:26" ht="41.25" customHeight="1">
      <c r="A47" s="280">
        <v>42</v>
      </c>
      <c r="B47" s="442" t="s">
        <v>1043</v>
      </c>
      <c r="C47" s="443" t="s">
        <v>1382</v>
      </c>
      <c r="D47" s="443" t="s">
        <v>1290</v>
      </c>
      <c r="E47" s="444" t="s">
        <v>1297</v>
      </c>
      <c r="F47" s="444" t="s">
        <v>1291</v>
      </c>
      <c r="G47" s="444">
        <v>5</v>
      </c>
      <c r="H47" s="1193">
        <v>2000000</v>
      </c>
      <c r="I47" s="443" t="s">
        <v>1383</v>
      </c>
      <c r="J47" s="443" t="s">
        <v>1293</v>
      </c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</row>
    <row r="48" spans="1:26" ht="41.25" customHeight="1">
      <c r="A48" s="280">
        <v>43</v>
      </c>
      <c r="B48" s="442" t="s">
        <v>686</v>
      </c>
      <c r="C48" s="443" t="s">
        <v>1384</v>
      </c>
      <c r="D48" s="443" t="s">
        <v>1385</v>
      </c>
      <c r="E48" s="444" t="s">
        <v>1297</v>
      </c>
      <c r="F48" s="444" t="s">
        <v>1298</v>
      </c>
      <c r="G48" s="444">
        <v>15</v>
      </c>
      <c r="H48" s="1193">
        <v>2000000</v>
      </c>
      <c r="I48" s="443" t="s">
        <v>1386</v>
      </c>
      <c r="J48" s="443" t="s">
        <v>1301</v>
      </c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</row>
    <row r="49" spans="1:26" ht="41.25" customHeight="1">
      <c r="A49" s="280">
        <v>44</v>
      </c>
      <c r="B49" s="442" t="s">
        <v>1261</v>
      </c>
      <c r="C49" s="443" t="s">
        <v>1387</v>
      </c>
      <c r="D49" s="443" t="s">
        <v>1319</v>
      </c>
      <c r="E49" s="444" t="s">
        <v>1297</v>
      </c>
      <c r="F49" s="444" t="s">
        <v>1291</v>
      </c>
      <c r="G49" s="444">
        <v>45</v>
      </c>
      <c r="H49" s="1193">
        <v>2000000</v>
      </c>
      <c r="I49" s="443" t="s">
        <v>1388</v>
      </c>
      <c r="J49" s="443" t="s">
        <v>1301</v>
      </c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</row>
    <row r="50" spans="1:26" ht="41.25" customHeight="1">
      <c r="A50" s="280">
        <v>45</v>
      </c>
      <c r="B50" s="442" t="s">
        <v>1389</v>
      </c>
      <c r="C50" s="443" t="s">
        <v>1390</v>
      </c>
      <c r="D50" s="443" t="s">
        <v>1376</v>
      </c>
      <c r="E50" s="444" t="s">
        <v>1297</v>
      </c>
      <c r="F50" s="444" t="s">
        <v>1298</v>
      </c>
      <c r="G50" s="444">
        <v>1</v>
      </c>
      <c r="H50" s="1193">
        <v>2000000</v>
      </c>
      <c r="I50" s="443" t="s">
        <v>1391</v>
      </c>
      <c r="J50" s="443" t="s">
        <v>1293</v>
      </c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1" spans="1:26" ht="41.25" customHeight="1">
      <c r="A51" s="280">
        <v>46</v>
      </c>
      <c r="B51" s="442" t="s">
        <v>1378</v>
      </c>
      <c r="C51" s="443" t="s">
        <v>1392</v>
      </c>
      <c r="D51" s="443" t="s">
        <v>1393</v>
      </c>
      <c r="E51" s="444" t="s">
        <v>1297</v>
      </c>
      <c r="F51" s="444" t="s">
        <v>1393</v>
      </c>
      <c r="G51" s="444">
        <v>3</v>
      </c>
      <c r="H51" s="1193">
        <v>2000000</v>
      </c>
      <c r="I51" s="443" t="s">
        <v>1394</v>
      </c>
      <c r="J51" s="443" t="s">
        <v>1301</v>
      </c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</row>
    <row r="52" spans="1:26" ht="41.25" customHeight="1">
      <c r="A52" s="280">
        <v>47</v>
      </c>
      <c r="B52" s="442" t="s">
        <v>1294</v>
      </c>
      <c r="C52" s="443" t="s">
        <v>1395</v>
      </c>
      <c r="D52" s="443" t="s">
        <v>1296</v>
      </c>
      <c r="E52" s="444" t="s">
        <v>1297</v>
      </c>
      <c r="F52" s="444" t="s">
        <v>1298</v>
      </c>
      <c r="G52" s="444" t="s">
        <v>1299</v>
      </c>
      <c r="H52" s="1193">
        <v>2000000</v>
      </c>
      <c r="I52" s="443" t="s">
        <v>1300</v>
      </c>
      <c r="J52" s="448" t="s">
        <v>1301</v>
      </c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 spans="1:26" ht="41.25" customHeight="1">
      <c r="A53" s="280">
        <v>48</v>
      </c>
      <c r="B53" s="442" t="s">
        <v>1294</v>
      </c>
      <c r="C53" s="443" t="s">
        <v>1396</v>
      </c>
      <c r="D53" s="443" t="s">
        <v>1290</v>
      </c>
      <c r="E53" s="444" t="s">
        <v>241</v>
      </c>
      <c r="F53" s="444" t="s">
        <v>1291</v>
      </c>
      <c r="G53" s="444" t="s">
        <v>1299</v>
      </c>
      <c r="H53" s="1193">
        <v>2000000</v>
      </c>
      <c r="I53" s="443" t="s">
        <v>1397</v>
      </c>
      <c r="J53" s="440" t="s">
        <v>1293</v>
      </c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</row>
    <row r="54" spans="1:26" ht="41.25" customHeight="1">
      <c r="A54" s="280">
        <v>49</v>
      </c>
      <c r="B54" s="442" t="s">
        <v>1398</v>
      </c>
      <c r="C54" s="449" t="s">
        <v>1399</v>
      </c>
      <c r="D54" s="443" t="s">
        <v>1319</v>
      </c>
      <c r="E54" s="444" t="s">
        <v>1297</v>
      </c>
      <c r="F54" s="444" t="s">
        <v>1298</v>
      </c>
      <c r="G54" s="444">
        <v>1</v>
      </c>
      <c r="H54" s="1193">
        <v>2000000</v>
      </c>
      <c r="I54" s="443" t="s">
        <v>1400</v>
      </c>
      <c r="J54" s="448" t="s">
        <v>1301</v>
      </c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</row>
    <row r="55" spans="1:26" ht="41.25" customHeight="1">
      <c r="A55" s="280">
        <v>50</v>
      </c>
      <c r="B55" s="442" t="s">
        <v>562</v>
      </c>
      <c r="C55" s="447" t="s">
        <v>1401</v>
      </c>
      <c r="D55" s="443" t="s">
        <v>1290</v>
      </c>
      <c r="E55" s="444" t="s">
        <v>241</v>
      </c>
      <c r="F55" s="443"/>
      <c r="G55" s="444">
        <v>50</v>
      </c>
      <c r="H55" s="1194">
        <v>2000000</v>
      </c>
      <c r="I55" s="443"/>
      <c r="J55" s="450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</row>
    <row r="56" spans="1:26" ht="41.25" customHeight="1">
      <c r="A56" s="280">
        <v>51</v>
      </c>
      <c r="B56" s="442" t="s">
        <v>562</v>
      </c>
      <c r="C56" s="447" t="s">
        <v>1402</v>
      </c>
      <c r="D56" s="443" t="s">
        <v>1290</v>
      </c>
      <c r="E56" s="444" t="s">
        <v>241</v>
      </c>
      <c r="F56" s="443"/>
      <c r="G56" s="444">
        <v>50</v>
      </c>
      <c r="H56" s="1194">
        <v>2000000</v>
      </c>
      <c r="I56" s="443"/>
      <c r="J56" s="450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</row>
    <row r="57" spans="1:26" ht="41.25" customHeight="1">
      <c r="A57" s="280">
        <v>52</v>
      </c>
      <c r="B57" s="442" t="s">
        <v>1342</v>
      </c>
      <c r="C57" s="443" t="s">
        <v>1403</v>
      </c>
      <c r="D57" s="443" t="s">
        <v>1290</v>
      </c>
      <c r="E57" s="444" t="s">
        <v>1297</v>
      </c>
      <c r="F57" s="444" t="s">
        <v>1404</v>
      </c>
      <c r="G57" s="444">
        <v>1</v>
      </c>
      <c r="H57" s="1193">
        <v>1500000</v>
      </c>
      <c r="I57" s="443" t="s">
        <v>1405</v>
      </c>
      <c r="J57" s="440" t="s">
        <v>1301</v>
      </c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 spans="1:26" ht="41.25" customHeight="1">
      <c r="A58" s="280">
        <v>53</v>
      </c>
      <c r="B58" s="442" t="s">
        <v>872</v>
      </c>
      <c r="C58" s="443" t="s">
        <v>1406</v>
      </c>
      <c r="D58" s="443" t="s">
        <v>1290</v>
      </c>
      <c r="E58" s="444" t="s">
        <v>1297</v>
      </c>
      <c r="F58" s="444" t="s">
        <v>1298</v>
      </c>
      <c r="G58" s="444">
        <v>1</v>
      </c>
      <c r="H58" s="1193">
        <v>1500000</v>
      </c>
      <c r="I58" s="443" t="s">
        <v>1407</v>
      </c>
      <c r="J58" s="451" t="s">
        <v>1293</v>
      </c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</row>
    <row r="59" spans="1:26" ht="41.25" customHeight="1">
      <c r="A59" s="280">
        <v>54</v>
      </c>
      <c r="B59" s="442" t="s">
        <v>1398</v>
      </c>
      <c r="C59" s="447" t="s">
        <v>1408</v>
      </c>
      <c r="D59" s="443" t="s">
        <v>13</v>
      </c>
      <c r="E59" s="444" t="s">
        <v>1297</v>
      </c>
      <c r="F59" s="444" t="s">
        <v>1298</v>
      </c>
      <c r="G59" s="444">
        <v>1</v>
      </c>
      <c r="H59" s="1193">
        <v>1500000</v>
      </c>
      <c r="I59" s="443" t="s">
        <v>1409</v>
      </c>
      <c r="J59" s="451" t="s">
        <v>1301</v>
      </c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</row>
    <row r="60" spans="1:26" ht="38.25" customHeight="1">
      <c r="A60" s="280">
        <v>55</v>
      </c>
      <c r="B60" s="442" t="s">
        <v>881</v>
      </c>
      <c r="C60" s="443" t="s">
        <v>1410</v>
      </c>
      <c r="D60" s="443" t="s">
        <v>1290</v>
      </c>
      <c r="E60" s="444" t="s">
        <v>241</v>
      </c>
      <c r="F60" s="444" t="s">
        <v>1291</v>
      </c>
      <c r="G60" s="444">
        <v>1</v>
      </c>
      <c r="H60" s="1193">
        <v>1000000</v>
      </c>
      <c r="I60" s="443" t="s">
        <v>1411</v>
      </c>
      <c r="J60" s="451" t="s">
        <v>1301</v>
      </c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</row>
    <row r="61" spans="1:26" ht="38.25" customHeight="1">
      <c r="A61" s="280">
        <v>56</v>
      </c>
      <c r="B61" s="442" t="s">
        <v>1412</v>
      </c>
      <c r="C61" s="443" t="s">
        <v>1413</v>
      </c>
      <c r="D61" s="443" t="s">
        <v>1290</v>
      </c>
      <c r="E61" s="444" t="s">
        <v>1297</v>
      </c>
      <c r="F61" s="444" t="s">
        <v>1298</v>
      </c>
      <c r="G61" s="444">
        <v>1</v>
      </c>
      <c r="H61" s="1193">
        <v>1000000</v>
      </c>
      <c r="I61" s="443" t="s">
        <v>1414</v>
      </c>
      <c r="J61" s="451" t="s">
        <v>1293</v>
      </c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</row>
    <row r="62" spans="1:26" ht="38.25" customHeight="1">
      <c r="A62" s="280">
        <v>57</v>
      </c>
      <c r="B62" s="442" t="s">
        <v>1294</v>
      </c>
      <c r="C62" s="443" t="s">
        <v>1415</v>
      </c>
      <c r="D62" s="443" t="s">
        <v>1296</v>
      </c>
      <c r="E62" s="444" t="s">
        <v>241</v>
      </c>
      <c r="F62" s="444" t="s">
        <v>1304</v>
      </c>
      <c r="G62" s="444" t="s">
        <v>1416</v>
      </c>
      <c r="H62" s="1193">
        <v>1000000</v>
      </c>
      <c r="I62" s="443" t="s">
        <v>1330</v>
      </c>
      <c r="J62" s="450" t="s">
        <v>1301</v>
      </c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</row>
    <row r="63" spans="1:26" ht="38.25" customHeight="1">
      <c r="A63" s="280">
        <v>58</v>
      </c>
      <c r="B63" s="442"/>
      <c r="C63" s="447"/>
      <c r="D63" s="447"/>
      <c r="E63" s="444" t="s">
        <v>241</v>
      </c>
      <c r="F63" s="447" t="s">
        <v>1417</v>
      </c>
      <c r="G63" s="444">
        <v>25</v>
      </c>
      <c r="H63" s="1195">
        <v>625000</v>
      </c>
      <c r="I63" s="447"/>
      <c r="J63" s="452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</row>
    <row r="64" spans="1:26" ht="38.25" customHeight="1">
      <c r="A64" s="280">
        <v>59</v>
      </c>
      <c r="B64" s="442" t="s">
        <v>1043</v>
      </c>
      <c r="C64" s="443" t="s">
        <v>1418</v>
      </c>
      <c r="D64" s="443" t="s">
        <v>1290</v>
      </c>
      <c r="E64" s="444" t="s">
        <v>1297</v>
      </c>
      <c r="F64" s="444" t="s">
        <v>1291</v>
      </c>
      <c r="G64" s="444">
        <v>2</v>
      </c>
      <c r="H64" s="1193">
        <v>500000</v>
      </c>
      <c r="I64" s="443" t="s">
        <v>1419</v>
      </c>
      <c r="J64" s="451" t="s">
        <v>1301</v>
      </c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Y64" s="241"/>
      <c r="Z64" s="241"/>
    </row>
    <row r="65" spans="1:26" ht="38.25" customHeight="1">
      <c r="A65" s="280">
        <v>60</v>
      </c>
      <c r="B65" s="442" t="s">
        <v>502</v>
      </c>
      <c r="C65" s="443" t="s">
        <v>1420</v>
      </c>
      <c r="D65" s="443" t="s">
        <v>1319</v>
      </c>
      <c r="E65" s="444" t="s">
        <v>1297</v>
      </c>
      <c r="F65" s="444" t="s">
        <v>1298</v>
      </c>
      <c r="G65" s="453">
        <v>1</v>
      </c>
      <c r="H65" s="1193">
        <v>500000</v>
      </c>
      <c r="I65" s="443" t="s">
        <v>1421</v>
      </c>
      <c r="J65" s="451" t="s">
        <v>1293</v>
      </c>
      <c r="K65" s="241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</row>
    <row r="66" spans="1:26" ht="38.25" customHeight="1">
      <c r="A66" s="280">
        <v>61</v>
      </c>
      <c r="B66" s="442" t="s">
        <v>502</v>
      </c>
      <c r="C66" s="443" t="s">
        <v>1422</v>
      </c>
      <c r="D66" s="443" t="s">
        <v>1319</v>
      </c>
      <c r="E66" s="444" t="s">
        <v>1297</v>
      </c>
      <c r="F66" s="444" t="s">
        <v>1298</v>
      </c>
      <c r="G66" s="444">
        <v>1</v>
      </c>
      <c r="H66" s="1193">
        <v>500000</v>
      </c>
      <c r="I66" s="443" t="s">
        <v>1423</v>
      </c>
      <c r="J66" s="443" t="s">
        <v>1301</v>
      </c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  <c r="Z66" s="241"/>
    </row>
    <row r="67" spans="1:26" ht="41.25" customHeight="1">
      <c r="A67" s="280">
        <v>62</v>
      </c>
      <c r="B67" s="442" t="s">
        <v>1412</v>
      </c>
      <c r="C67" s="443" t="s">
        <v>1424</v>
      </c>
      <c r="D67" s="443" t="s">
        <v>1290</v>
      </c>
      <c r="E67" s="444" t="s">
        <v>1297</v>
      </c>
      <c r="F67" s="444" t="s">
        <v>1291</v>
      </c>
      <c r="G67" s="444">
        <v>1</v>
      </c>
      <c r="H67" s="1193">
        <v>500000</v>
      </c>
      <c r="I67" s="443" t="s">
        <v>1425</v>
      </c>
      <c r="J67" s="443" t="s">
        <v>1301</v>
      </c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</row>
    <row r="68" spans="1:26" ht="38.25" customHeight="1">
      <c r="A68" s="280">
        <v>63</v>
      </c>
      <c r="B68" s="442" t="s">
        <v>1412</v>
      </c>
      <c r="C68" s="443" t="s">
        <v>1426</v>
      </c>
      <c r="D68" s="443" t="s">
        <v>1296</v>
      </c>
      <c r="E68" s="444" t="s">
        <v>1297</v>
      </c>
      <c r="F68" s="444" t="s">
        <v>1427</v>
      </c>
      <c r="G68" s="444">
        <v>1</v>
      </c>
      <c r="H68" s="1193">
        <v>500000</v>
      </c>
      <c r="I68" s="443" t="s">
        <v>1428</v>
      </c>
      <c r="J68" s="443" t="s">
        <v>1293</v>
      </c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</row>
    <row r="69" spans="1:26" ht="38.25" customHeight="1">
      <c r="A69" s="280">
        <v>64</v>
      </c>
      <c r="B69" s="442" t="s">
        <v>1429</v>
      </c>
      <c r="C69" s="443" t="s">
        <v>1430</v>
      </c>
      <c r="D69" s="443" t="s">
        <v>1393</v>
      </c>
      <c r="E69" s="444" t="s">
        <v>1297</v>
      </c>
      <c r="F69" s="444" t="s">
        <v>1298</v>
      </c>
      <c r="G69" s="444">
        <v>1</v>
      </c>
      <c r="H69" s="1193">
        <v>500000</v>
      </c>
      <c r="I69" s="443" t="s">
        <v>1431</v>
      </c>
      <c r="J69" s="443" t="s">
        <v>1293</v>
      </c>
      <c r="K69" s="241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1"/>
      <c r="Y69" s="241"/>
      <c r="Z69" s="241"/>
    </row>
    <row r="70" spans="1:26" ht="38.25" customHeight="1">
      <c r="A70" s="280">
        <v>65</v>
      </c>
      <c r="B70" s="442" t="s">
        <v>1378</v>
      </c>
      <c r="C70" s="443" t="s">
        <v>1432</v>
      </c>
      <c r="D70" s="443" t="s">
        <v>1296</v>
      </c>
      <c r="E70" s="444" t="s">
        <v>241</v>
      </c>
      <c r="F70" s="444" t="s">
        <v>1291</v>
      </c>
      <c r="G70" s="444">
        <v>20</v>
      </c>
      <c r="H70" s="1193">
        <v>500000</v>
      </c>
      <c r="I70" s="443" t="s">
        <v>1433</v>
      </c>
      <c r="J70" s="443" t="s">
        <v>1301</v>
      </c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</row>
    <row r="71" spans="1:26" ht="41.25" customHeight="1">
      <c r="A71" s="280">
        <v>66</v>
      </c>
      <c r="B71" s="442" t="s">
        <v>672</v>
      </c>
      <c r="C71" s="443" t="s">
        <v>1434</v>
      </c>
      <c r="D71" s="443" t="s">
        <v>1290</v>
      </c>
      <c r="E71" s="443" t="s">
        <v>241</v>
      </c>
      <c r="F71" s="443" t="s">
        <v>1435</v>
      </c>
      <c r="G71" s="444">
        <v>30</v>
      </c>
      <c r="H71" s="1193">
        <v>500000</v>
      </c>
      <c r="I71" s="443" t="s">
        <v>1307</v>
      </c>
      <c r="J71" s="443"/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  <c r="Z71" s="241"/>
    </row>
    <row r="72" spans="1:26" ht="38.25" customHeight="1">
      <c r="A72" s="280">
        <v>67</v>
      </c>
      <c r="B72" s="454" t="s">
        <v>672</v>
      </c>
      <c r="C72" s="443" t="s">
        <v>1436</v>
      </c>
      <c r="D72" s="443" t="s">
        <v>1290</v>
      </c>
      <c r="E72" s="443" t="s">
        <v>241</v>
      </c>
      <c r="F72" s="443" t="s">
        <v>1437</v>
      </c>
      <c r="G72" s="444">
        <v>30</v>
      </c>
      <c r="H72" s="1194">
        <v>300000</v>
      </c>
      <c r="I72" s="443" t="s">
        <v>1307</v>
      </c>
      <c r="J72" s="443"/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</row>
    <row r="73" spans="1:26" ht="38.25" customHeight="1">
      <c r="A73" s="280">
        <v>68</v>
      </c>
      <c r="B73" s="455" t="s">
        <v>883</v>
      </c>
      <c r="C73" s="456" t="s">
        <v>1438</v>
      </c>
      <c r="D73" s="456"/>
      <c r="E73" s="456" t="s">
        <v>1297</v>
      </c>
      <c r="F73" s="456"/>
      <c r="G73" s="457">
        <v>2</v>
      </c>
      <c r="H73" s="1196">
        <v>6000000</v>
      </c>
      <c r="I73" s="456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 spans="1:26" ht="41.25" customHeight="1">
      <c r="A74" s="208"/>
      <c r="B74" s="208"/>
      <c r="C74" s="16"/>
      <c r="D74" s="16"/>
      <c r="E74" s="16"/>
      <c r="F74" s="16"/>
      <c r="G74" s="208"/>
      <c r="H74" s="1091">
        <f>SUM(H6:H73)</f>
        <v>235269000</v>
      </c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spans="1:26" ht="41.25" customHeight="1">
      <c r="A75" s="208"/>
      <c r="B75" s="208"/>
      <c r="C75" s="458"/>
      <c r="D75" s="16"/>
      <c r="E75" s="16"/>
      <c r="F75" s="16"/>
      <c r="G75" s="208"/>
      <c r="H75" s="1091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spans="1:26" ht="41.25" customHeight="1">
      <c r="A76" s="208"/>
      <c r="B76" s="208"/>
      <c r="C76" s="16"/>
      <c r="D76" s="16"/>
      <c r="E76" s="16"/>
      <c r="F76" s="16"/>
      <c r="G76" s="208"/>
      <c r="H76" s="1091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spans="1:26" ht="41.25" customHeight="1">
      <c r="A77" s="208"/>
      <c r="B77" s="208"/>
      <c r="C77" s="16"/>
      <c r="D77" s="16"/>
      <c r="E77" s="16"/>
      <c r="F77" s="16"/>
      <c r="G77" s="208"/>
      <c r="H77" s="1091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spans="1:26" ht="41.25" customHeight="1">
      <c r="A78" s="208"/>
      <c r="B78" s="208"/>
      <c r="C78" s="16"/>
      <c r="D78" s="16"/>
      <c r="E78" s="16"/>
      <c r="F78" s="16"/>
      <c r="G78" s="208"/>
      <c r="H78" s="1091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spans="1:26" ht="41.25" customHeight="1">
      <c r="A79" s="208"/>
      <c r="B79" s="208"/>
      <c r="C79" s="16"/>
      <c r="D79" s="16"/>
      <c r="E79" s="16"/>
      <c r="F79" s="16"/>
      <c r="G79" s="208"/>
      <c r="H79" s="1091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spans="1:26" ht="41.25" customHeight="1">
      <c r="A80" s="208"/>
      <c r="B80" s="208"/>
      <c r="C80" s="16"/>
      <c r="D80" s="16"/>
      <c r="E80" s="16"/>
      <c r="F80" s="16"/>
      <c r="G80" s="208"/>
      <c r="H80" s="1091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spans="1:26" ht="41.25" customHeight="1">
      <c r="A81" s="208"/>
      <c r="B81" s="208"/>
      <c r="C81" s="16"/>
      <c r="D81" s="16"/>
      <c r="E81" s="16"/>
      <c r="F81" s="16"/>
      <c r="G81" s="208"/>
      <c r="H81" s="1091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spans="1:26" ht="41.25" customHeight="1">
      <c r="A82" s="208"/>
      <c r="B82" s="208"/>
      <c r="C82" s="16"/>
      <c r="D82" s="16"/>
      <c r="E82" s="16"/>
      <c r="F82" s="16"/>
      <c r="G82" s="208"/>
      <c r="H82" s="1091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spans="1:26" ht="41.25" customHeight="1">
      <c r="A83" s="208"/>
      <c r="B83" s="208"/>
      <c r="C83" s="16"/>
      <c r="D83" s="16"/>
      <c r="E83" s="16"/>
      <c r="F83" s="16"/>
      <c r="G83" s="208"/>
      <c r="H83" s="1091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spans="1:26" ht="41.25" customHeight="1">
      <c r="A84" s="208"/>
      <c r="B84" s="208"/>
      <c r="C84" s="16"/>
      <c r="D84" s="16"/>
      <c r="E84" s="16"/>
      <c r="F84" s="16"/>
      <c r="G84" s="208"/>
      <c r="H84" s="1091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spans="1:26" ht="41.25" customHeight="1">
      <c r="A85" s="208"/>
      <c r="B85" s="208"/>
      <c r="C85" s="16"/>
      <c r="D85" s="16"/>
      <c r="E85" s="16"/>
      <c r="F85" s="16"/>
      <c r="G85" s="208"/>
      <c r="H85" s="1091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spans="1:26" ht="41.25" customHeight="1">
      <c r="A86" s="208"/>
      <c r="B86" s="208"/>
      <c r="C86" s="16"/>
      <c r="D86" s="16"/>
      <c r="E86" s="16"/>
      <c r="F86" s="16"/>
      <c r="G86" s="208"/>
      <c r="H86" s="1091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spans="1:26" ht="41.25" customHeight="1">
      <c r="A87" s="208"/>
      <c r="B87" s="208"/>
      <c r="C87" s="16"/>
      <c r="D87" s="16"/>
      <c r="E87" s="16"/>
      <c r="F87" s="16"/>
      <c r="G87" s="208"/>
      <c r="H87" s="1091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spans="1:26" ht="41.25" customHeight="1">
      <c r="A88" s="208"/>
      <c r="B88" s="208"/>
      <c r="C88" s="16"/>
      <c r="D88" s="16"/>
      <c r="E88" s="16"/>
      <c r="F88" s="16"/>
      <c r="G88" s="208"/>
      <c r="H88" s="1091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spans="1:26" ht="41.25" customHeight="1">
      <c r="A89" s="208"/>
      <c r="B89" s="208"/>
      <c r="C89" s="16"/>
      <c r="D89" s="16"/>
      <c r="E89" s="16"/>
      <c r="F89" s="16"/>
      <c r="G89" s="208"/>
      <c r="H89" s="1091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spans="1:26" ht="41.25" customHeight="1">
      <c r="A90" s="208"/>
      <c r="B90" s="208"/>
      <c r="C90" s="16"/>
      <c r="D90" s="16"/>
      <c r="E90" s="16"/>
      <c r="F90" s="16"/>
      <c r="G90" s="208"/>
      <c r="H90" s="1091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spans="1:26" ht="41.25" customHeight="1">
      <c r="A91" s="208"/>
      <c r="B91" s="208"/>
      <c r="C91" s="16"/>
      <c r="D91" s="16"/>
      <c r="E91" s="16"/>
      <c r="F91" s="16"/>
      <c r="G91" s="208"/>
      <c r="H91" s="1091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spans="1:26" ht="41.25" customHeight="1">
      <c r="A92" s="208"/>
      <c r="B92" s="208"/>
      <c r="C92" s="16"/>
      <c r="D92" s="16"/>
      <c r="E92" s="16"/>
      <c r="F92" s="16"/>
      <c r="G92" s="208"/>
      <c r="H92" s="1091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spans="1:26" ht="41.25" customHeight="1">
      <c r="A93" s="208"/>
      <c r="B93" s="208"/>
      <c r="C93" s="16"/>
      <c r="D93" s="16"/>
      <c r="E93" s="16"/>
      <c r="F93" s="16"/>
      <c r="G93" s="208"/>
      <c r="H93" s="1091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spans="1:26" ht="41.25" customHeight="1">
      <c r="A94" s="208"/>
      <c r="B94" s="208"/>
      <c r="C94" s="16"/>
      <c r="D94" s="16"/>
      <c r="E94" s="16"/>
      <c r="F94" s="16"/>
      <c r="G94" s="208"/>
      <c r="H94" s="1091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spans="1:26" ht="41.25" customHeight="1">
      <c r="A95" s="208"/>
      <c r="B95" s="208"/>
      <c r="C95" s="16"/>
      <c r="D95" s="16"/>
      <c r="E95" s="16"/>
      <c r="F95" s="16"/>
      <c r="G95" s="208"/>
      <c r="H95" s="1091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spans="1:26" ht="41.25" customHeight="1">
      <c r="A96" s="208"/>
      <c r="B96" s="208"/>
      <c r="C96" s="16"/>
      <c r="D96" s="16"/>
      <c r="E96" s="16"/>
      <c r="F96" s="16"/>
      <c r="G96" s="208"/>
      <c r="H96" s="1091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spans="1:26" ht="41.25" customHeight="1">
      <c r="A97" s="208"/>
      <c r="B97" s="208"/>
      <c r="C97" s="16"/>
      <c r="D97" s="16"/>
      <c r="E97" s="16"/>
      <c r="F97" s="16"/>
      <c r="G97" s="208"/>
      <c r="H97" s="1091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spans="1:26" ht="41.25" customHeight="1">
      <c r="A98" s="208"/>
      <c r="B98" s="208"/>
      <c r="C98" s="16"/>
      <c r="D98" s="16"/>
      <c r="E98" s="16"/>
      <c r="F98" s="16"/>
      <c r="G98" s="208"/>
      <c r="H98" s="1091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spans="1:26" ht="41.25" customHeight="1">
      <c r="A99" s="208"/>
      <c r="B99" s="208"/>
      <c r="C99" s="16"/>
      <c r="D99" s="16"/>
      <c r="E99" s="16"/>
      <c r="F99" s="16"/>
      <c r="G99" s="208"/>
      <c r="H99" s="1091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spans="1:26" ht="41.25" customHeight="1">
      <c r="A100" s="208"/>
      <c r="B100" s="208"/>
      <c r="C100" s="16"/>
      <c r="D100" s="16"/>
      <c r="E100" s="16"/>
      <c r="F100" s="16"/>
      <c r="G100" s="208"/>
      <c r="H100" s="1091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spans="1:26" ht="41.25" customHeight="1">
      <c r="A101" s="208"/>
      <c r="B101" s="208"/>
      <c r="C101" s="16"/>
      <c r="D101" s="16"/>
      <c r="E101" s="16"/>
      <c r="F101" s="16"/>
      <c r="G101" s="208"/>
      <c r="H101" s="1091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spans="1:26" ht="41.25" customHeight="1">
      <c r="A102" s="208"/>
      <c r="B102" s="208"/>
      <c r="C102" s="16"/>
      <c r="D102" s="16"/>
      <c r="E102" s="16"/>
      <c r="F102" s="16"/>
      <c r="G102" s="208"/>
      <c r="H102" s="1091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spans="1:26" ht="41.25" customHeight="1">
      <c r="A103" s="208"/>
      <c r="B103" s="208"/>
      <c r="C103" s="16"/>
      <c r="D103" s="16"/>
      <c r="E103" s="16"/>
      <c r="F103" s="16"/>
      <c r="G103" s="208"/>
      <c r="H103" s="1091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spans="1:26" ht="41.25" customHeight="1">
      <c r="A104" s="208"/>
      <c r="B104" s="208"/>
      <c r="C104" s="16"/>
      <c r="D104" s="16"/>
      <c r="E104" s="16"/>
      <c r="F104" s="16"/>
      <c r="G104" s="208"/>
      <c r="H104" s="1091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spans="1:26" ht="41.25" customHeight="1">
      <c r="A105" s="208"/>
      <c r="B105" s="208"/>
      <c r="C105" s="16"/>
      <c r="D105" s="16"/>
      <c r="E105" s="16"/>
      <c r="F105" s="16"/>
      <c r="G105" s="208"/>
      <c r="H105" s="1091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spans="1:26" ht="41.25" customHeight="1">
      <c r="A106" s="208"/>
      <c r="B106" s="208"/>
      <c r="C106" s="16"/>
      <c r="D106" s="16"/>
      <c r="E106" s="16"/>
      <c r="F106" s="16"/>
      <c r="G106" s="208"/>
      <c r="H106" s="1091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spans="1:26" ht="41.25" customHeight="1">
      <c r="A107" s="208"/>
      <c r="B107" s="208"/>
      <c r="C107" s="16"/>
      <c r="D107" s="16"/>
      <c r="E107" s="16"/>
      <c r="F107" s="16"/>
      <c r="G107" s="208"/>
      <c r="H107" s="1091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spans="1:26" ht="41.25" customHeight="1">
      <c r="A108" s="208"/>
      <c r="B108" s="208"/>
      <c r="C108" s="16"/>
      <c r="D108" s="16"/>
      <c r="E108" s="16"/>
      <c r="F108" s="16"/>
      <c r="G108" s="208"/>
      <c r="H108" s="1091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spans="1:26" ht="41.25" customHeight="1">
      <c r="A109" s="208"/>
      <c r="B109" s="208"/>
      <c r="C109" s="16"/>
      <c r="D109" s="16"/>
      <c r="E109" s="16"/>
      <c r="F109" s="16"/>
      <c r="G109" s="208"/>
      <c r="H109" s="1091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spans="1:26" ht="41.25" customHeight="1">
      <c r="A110" s="208"/>
      <c r="B110" s="208"/>
      <c r="C110" s="16"/>
      <c r="D110" s="16"/>
      <c r="E110" s="16"/>
      <c r="F110" s="16"/>
      <c r="G110" s="208"/>
      <c r="H110" s="1091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spans="1:26" ht="41.25" customHeight="1">
      <c r="A111" s="208"/>
      <c r="B111" s="208"/>
      <c r="C111" s="16"/>
      <c r="D111" s="16"/>
      <c r="E111" s="16"/>
      <c r="F111" s="16"/>
      <c r="G111" s="208"/>
      <c r="H111" s="1091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spans="1:26" ht="41.25" customHeight="1">
      <c r="A112" s="208"/>
      <c r="B112" s="208"/>
      <c r="C112" s="16"/>
      <c r="D112" s="16"/>
      <c r="E112" s="16"/>
      <c r="F112" s="16"/>
      <c r="G112" s="208"/>
      <c r="H112" s="1091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spans="1:26" ht="41.25" customHeight="1">
      <c r="A113" s="208"/>
      <c r="B113" s="208"/>
      <c r="C113" s="16"/>
      <c r="D113" s="16"/>
      <c r="E113" s="16"/>
      <c r="F113" s="16"/>
      <c r="G113" s="208"/>
      <c r="H113" s="1091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spans="1:26" ht="41.25" customHeight="1">
      <c r="A114" s="208"/>
      <c r="B114" s="208"/>
      <c r="C114" s="16"/>
      <c r="D114" s="16"/>
      <c r="E114" s="16"/>
      <c r="F114" s="16"/>
      <c r="G114" s="208"/>
      <c r="H114" s="1091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spans="1:26" ht="41.25" customHeight="1">
      <c r="A115" s="208"/>
      <c r="B115" s="208"/>
      <c r="C115" s="16"/>
      <c r="D115" s="16"/>
      <c r="E115" s="16"/>
      <c r="F115" s="16"/>
      <c r="G115" s="208"/>
      <c r="H115" s="1091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spans="1:26" ht="41.25" customHeight="1">
      <c r="A116" s="208"/>
      <c r="B116" s="208"/>
      <c r="C116" s="16"/>
      <c r="D116" s="16"/>
      <c r="E116" s="16"/>
      <c r="F116" s="16"/>
      <c r="G116" s="208"/>
      <c r="H116" s="1091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spans="1:26" ht="41.25" customHeight="1">
      <c r="A117" s="208"/>
      <c r="B117" s="208"/>
      <c r="C117" s="16"/>
      <c r="D117" s="16"/>
      <c r="E117" s="16"/>
      <c r="F117" s="16"/>
      <c r="G117" s="208"/>
      <c r="H117" s="1091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spans="1:26" ht="41.25" customHeight="1">
      <c r="A118" s="208"/>
      <c r="B118" s="208"/>
      <c r="C118" s="16"/>
      <c r="D118" s="16"/>
      <c r="E118" s="16"/>
      <c r="F118" s="16"/>
      <c r="G118" s="208"/>
      <c r="H118" s="1091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spans="1:26" ht="41.25" customHeight="1">
      <c r="A119" s="208"/>
      <c r="B119" s="208"/>
      <c r="C119" s="16"/>
      <c r="D119" s="16"/>
      <c r="E119" s="16"/>
      <c r="F119" s="16"/>
      <c r="G119" s="208"/>
      <c r="H119" s="1091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spans="1:26" ht="41.25" customHeight="1">
      <c r="A120" s="208"/>
      <c r="B120" s="208"/>
      <c r="C120" s="16"/>
      <c r="D120" s="16"/>
      <c r="E120" s="16"/>
      <c r="F120" s="16"/>
      <c r="G120" s="208"/>
      <c r="H120" s="1091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spans="1:26" ht="41.25" customHeight="1">
      <c r="A121" s="208"/>
      <c r="B121" s="208"/>
      <c r="C121" s="16"/>
      <c r="D121" s="16"/>
      <c r="E121" s="16"/>
      <c r="F121" s="16"/>
      <c r="G121" s="208"/>
      <c r="H121" s="1091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spans="1:26" ht="41.25" customHeight="1">
      <c r="A122" s="208"/>
      <c r="B122" s="208"/>
      <c r="C122" s="16"/>
      <c r="D122" s="16"/>
      <c r="E122" s="16"/>
      <c r="F122" s="16"/>
      <c r="G122" s="208"/>
      <c r="H122" s="1091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spans="1:26" ht="41.25" customHeight="1">
      <c r="A123" s="208"/>
      <c r="B123" s="208"/>
      <c r="C123" s="16"/>
      <c r="D123" s="16"/>
      <c r="E123" s="16"/>
      <c r="F123" s="16"/>
      <c r="G123" s="208"/>
      <c r="H123" s="1091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spans="1:26" ht="41.25" customHeight="1">
      <c r="A124" s="208"/>
      <c r="B124" s="208"/>
      <c r="C124" s="16"/>
      <c r="D124" s="16"/>
      <c r="E124" s="16"/>
      <c r="F124" s="16"/>
      <c r="G124" s="208"/>
      <c r="H124" s="1091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spans="1:26" ht="41.25" customHeight="1">
      <c r="A125" s="208"/>
      <c r="B125" s="208"/>
      <c r="C125" s="16"/>
      <c r="D125" s="16"/>
      <c r="E125" s="16"/>
      <c r="F125" s="16"/>
      <c r="G125" s="208"/>
      <c r="H125" s="1091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spans="1:26" ht="41.25" customHeight="1">
      <c r="A126" s="208"/>
      <c r="B126" s="208"/>
      <c r="C126" s="16"/>
      <c r="D126" s="16"/>
      <c r="E126" s="16"/>
      <c r="F126" s="16"/>
      <c r="G126" s="208"/>
      <c r="H126" s="1091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spans="1:26" ht="41.25" customHeight="1">
      <c r="A127" s="208"/>
      <c r="B127" s="208"/>
      <c r="C127" s="16"/>
      <c r="D127" s="16"/>
      <c r="E127" s="16"/>
      <c r="F127" s="16"/>
      <c r="G127" s="208"/>
      <c r="H127" s="1091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spans="1:26" ht="41.25" customHeight="1">
      <c r="A128" s="208"/>
      <c r="B128" s="208"/>
      <c r="C128" s="16"/>
      <c r="D128" s="16"/>
      <c r="E128" s="16"/>
      <c r="F128" s="16"/>
      <c r="G128" s="208"/>
      <c r="H128" s="1091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spans="1:26" ht="41.25" customHeight="1">
      <c r="A129" s="208"/>
      <c r="B129" s="208"/>
      <c r="C129" s="16"/>
      <c r="D129" s="16"/>
      <c r="E129" s="16"/>
      <c r="F129" s="16"/>
      <c r="G129" s="208"/>
      <c r="H129" s="1091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spans="1:26" ht="41.25" customHeight="1">
      <c r="A130" s="208"/>
      <c r="B130" s="208"/>
      <c r="C130" s="16"/>
      <c r="D130" s="16"/>
      <c r="E130" s="16"/>
      <c r="F130" s="16"/>
      <c r="G130" s="208"/>
      <c r="H130" s="1091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spans="1:26" ht="41.25" customHeight="1">
      <c r="A131" s="208"/>
      <c r="B131" s="208"/>
      <c r="C131" s="16"/>
      <c r="D131" s="16"/>
      <c r="E131" s="16"/>
      <c r="F131" s="16"/>
      <c r="G131" s="208"/>
      <c r="H131" s="1091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spans="1:26" ht="41.25" customHeight="1">
      <c r="A132" s="208"/>
      <c r="B132" s="208"/>
      <c r="C132" s="16"/>
      <c r="D132" s="16"/>
      <c r="E132" s="16"/>
      <c r="F132" s="16"/>
      <c r="G132" s="208"/>
      <c r="H132" s="1091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spans="1:26" ht="41.25" customHeight="1">
      <c r="A133" s="208"/>
      <c r="B133" s="208"/>
      <c r="C133" s="16"/>
      <c r="D133" s="16"/>
      <c r="E133" s="16"/>
      <c r="F133" s="16"/>
      <c r="G133" s="208"/>
      <c r="H133" s="1091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spans="1:26" ht="41.25" customHeight="1">
      <c r="A134" s="208"/>
      <c r="B134" s="208"/>
      <c r="C134" s="16"/>
      <c r="D134" s="16"/>
      <c r="E134" s="16"/>
      <c r="F134" s="16"/>
      <c r="G134" s="208"/>
      <c r="H134" s="1091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spans="1:26" ht="41.25" customHeight="1">
      <c r="A135" s="208"/>
      <c r="B135" s="208"/>
      <c r="C135" s="16"/>
      <c r="D135" s="16"/>
      <c r="E135" s="16"/>
      <c r="F135" s="16"/>
      <c r="G135" s="208"/>
      <c r="H135" s="1091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spans="1:26" ht="41.25" customHeight="1">
      <c r="A136" s="208"/>
      <c r="B136" s="208"/>
      <c r="C136" s="16"/>
      <c r="D136" s="16"/>
      <c r="E136" s="16"/>
      <c r="F136" s="16"/>
      <c r="G136" s="208"/>
      <c r="H136" s="1091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spans="1:26" ht="41.25" customHeight="1">
      <c r="A137" s="208"/>
      <c r="B137" s="208"/>
      <c r="C137" s="16"/>
      <c r="D137" s="16"/>
      <c r="E137" s="16"/>
      <c r="F137" s="16"/>
      <c r="G137" s="208"/>
      <c r="H137" s="1091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spans="1:26" ht="41.25" customHeight="1">
      <c r="A138" s="208"/>
      <c r="B138" s="208"/>
      <c r="C138" s="16"/>
      <c r="D138" s="16"/>
      <c r="E138" s="16"/>
      <c r="F138" s="16"/>
      <c r="G138" s="208"/>
      <c r="H138" s="1091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spans="1:26" ht="41.25" customHeight="1">
      <c r="A139" s="208"/>
      <c r="B139" s="208"/>
      <c r="C139" s="16"/>
      <c r="D139" s="16"/>
      <c r="E139" s="16"/>
      <c r="F139" s="16"/>
      <c r="G139" s="208"/>
      <c r="H139" s="1091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spans="1:26" ht="41.25" customHeight="1">
      <c r="A140" s="208"/>
      <c r="B140" s="208"/>
      <c r="C140" s="16"/>
      <c r="D140" s="16"/>
      <c r="E140" s="16"/>
      <c r="F140" s="16"/>
      <c r="G140" s="208"/>
      <c r="H140" s="1091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spans="1:26" ht="41.25" customHeight="1">
      <c r="A141" s="208"/>
      <c r="B141" s="208"/>
      <c r="C141" s="16"/>
      <c r="D141" s="16"/>
      <c r="E141" s="16"/>
      <c r="F141" s="16"/>
      <c r="G141" s="208"/>
      <c r="H141" s="1091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spans="1:26" ht="41.25" customHeight="1">
      <c r="A142" s="208"/>
      <c r="B142" s="208"/>
      <c r="C142" s="16"/>
      <c r="D142" s="16"/>
      <c r="E142" s="16"/>
      <c r="F142" s="16"/>
      <c r="G142" s="208"/>
      <c r="H142" s="1091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spans="1:26" ht="41.25" customHeight="1">
      <c r="A143" s="208"/>
      <c r="B143" s="208"/>
      <c r="C143" s="16"/>
      <c r="D143" s="16"/>
      <c r="E143" s="16"/>
      <c r="F143" s="16"/>
      <c r="G143" s="208"/>
      <c r="H143" s="1091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spans="1:26" ht="41.25" customHeight="1">
      <c r="A144" s="208"/>
      <c r="B144" s="208"/>
      <c r="C144" s="16"/>
      <c r="D144" s="16"/>
      <c r="E144" s="16"/>
      <c r="F144" s="16"/>
      <c r="G144" s="208"/>
      <c r="H144" s="1091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spans="1:26" ht="41.25" customHeight="1">
      <c r="A145" s="208"/>
      <c r="B145" s="208"/>
      <c r="C145" s="16"/>
      <c r="D145" s="16"/>
      <c r="E145" s="16"/>
      <c r="F145" s="16"/>
      <c r="G145" s="208"/>
      <c r="H145" s="1091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spans="1:26" ht="41.25" customHeight="1">
      <c r="A146" s="208"/>
      <c r="B146" s="208"/>
      <c r="C146" s="16"/>
      <c r="D146" s="16"/>
      <c r="E146" s="16"/>
      <c r="F146" s="16"/>
      <c r="G146" s="208"/>
      <c r="H146" s="1091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spans="1:26" ht="41.25" customHeight="1">
      <c r="A147" s="208"/>
      <c r="B147" s="208"/>
      <c r="C147" s="16"/>
      <c r="D147" s="16"/>
      <c r="E147" s="16"/>
      <c r="F147" s="16"/>
      <c r="G147" s="208"/>
      <c r="H147" s="1091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spans="1:26" ht="41.25" customHeight="1">
      <c r="A148" s="208"/>
      <c r="B148" s="208"/>
      <c r="C148" s="16"/>
      <c r="D148" s="16"/>
      <c r="E148" s="16"/>
      <c r="F148" s="16"/>
      <c r="G148" s="208"/>
      <c r="H148" s="1091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spans="1:26" ht="41.25" customHeight="1">
      <c r="A149" s="208"/>
      <c r="B149" s="208"/>
      <c r="C149" s="16"/>
      <c r="D149" s="16"/>
      <c r="E149" s="16"/>
      <c r="F149" s="16"/>
      <c r="G149" s="208"/>
      <c r="H149" s="1091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spans="1:26" ht="41.25" customHeight="1">
      <c r="A150" s="208"/>
      <c r="B150" s="208"/>
      <c r="C150" s="16"/>
      <c r="D150" s="16"/>
      <c r="E150" s="16"/>
      <c r="F150" s="16"/>
      <c r="G150" s="208"/>
      <c r="H150" s="1091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spans="1:26" ht="41.25" customHeight="1">
      <c r="A151" s="208"/>
      <c r="B151" s="208"/>
      <c r="C151" s="16"/>
      <c r="D151" s="16"/>
      <c r="E151" s="16"/>
      <c r="F151" s="16"/>
      <c r="G151" s="208"/>
      <c r="H151" s="1091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spans="1:26" ht="41.25" customHeight="1">
      <c r="A152" s="208"/>
      <c r="B152" s="208"/>
      <c r="C152" s="16"/>
      <c r="D152" s="16"/>
      <c r="E152" s="16"/>
      <c r="F152" s="16"/>
      <c r="G152" s="208"/>
      <c r="H152" s="1091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spans="1:26" ht="41.25" customHeight="1">
      <c r="A153" s="208"/>
      <c r="B153" s="208"/>
      <c r="C153" s="16"/>
      <c r="D153" s="16"/>
      <c r="E153" s="16"/>
      <c r="F153" s="16"/>
      <c r="G153" s="208"/>
      <c r="H153" s="1091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spans="1:26" ht="41.25" customHeight="1">
      <c r="A154" s="208"/>
      <c r="B154" s="208"/>
      <c r="C154" s="16"/>
      <c r="D154" s="16"/>
      <c r="E154" s="16"/>
      <c r="F154" s="16"/>
      <c r="G154" s="208"/>
      <c r="H154" s="1091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spans="1:26" ht="41.25" customHeight="1">
      <c r="A155" s="208"/>
      <c r="B155" s="208"/>
      <c r="C155" s="16"/>
      <c r="D155" s="16"/>
      <c r="E155" s="16"/>
      <c r="F155" s="16"/>
      <c r="G155" s="208"/>
      <c r="H155" s="1091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spans="1:26" ht="41.25" customHeight="1">
      <c r="A156" s="208"/>
      <c r="B156" s="208"/>
      <c r="C156" s="16"/>
      <c r="D156" s="16"/>
      <c r="E156" s="16"/>
      <c r="F156" s="16"/>
      <c r="G156" s="208"/>
      <c r="H156" s="1091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spans="1:26" ht="41.25" customHeight="1">
      <c r="A157" s="208"/>
      <c r="B157" s="208"/>
      <c r="C157" s="16"/>
      <c r="D157" s="16"/>
      <c r="E157" s="16"/>
      <c r="F157" s="16"/>
      <c r="G157" s="208"/>
      <c r="H157" s="1091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spans="1:26" ht="41.25" customHeight="1">
      <c r="A158" s="208"/>
      <c r="B158" s="208"/>
      <c r="C158" s="16"/>
      <c r="D158" s="16"/>
      <c r="E158" s="16"/>
      <c r="F158" s="16"/>
      <c r="G158" s="208"/>
      <c r="H158" s="1091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spans="1:26" ht="41.25" customHeight="1">
      <c r="A159" s="208"/>
      <c r="B159" s="208"/>
      <c r="C159" s="16"/>
      <c r="D159" s="16"/>
      <c r="E159" s="16"/>
      <c r="F159" s="16"/>
      <c r="G159" s="208"/>
      <c r="H159" s="1091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spans="1:26" ht="41.25" customHeight="1">
      <c r="A160" s="208"/>
      <c r="B160" s="208"/>
      <c r="C160" s="16"/>
      <c r="D160" s="16"/>
      <c r="E160" s="16"/>
      <c r="F160" s="16"/>
      <c r="G160" s="208"/>
      <c r="H160" s="1091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spans="1:26" ht="41.25" customHeight="1">
      <c r="A161" s="208"/>
      <c r="B161" s="208"/>
      <c r="C161" s="16"/>
      <c r="D161" s="16"/>
      <c r="E161" s="16"/>
      <c r="F161" s="16"/>
      <c r="G161" s="208"/>
      <c r="H161" s="1091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spans="1:26" ht="41.25" customHeight="1">
      <c r="A162" s="208"/>
      <c r="B162" s="208"/>
      <c r="C162" s="16"/>
      <c r="D162" s="16"/>
      <c r="E162" s="16"/>
      <c r="F162" s="16"/>
      <c r="G162" s="208"/>
      <c r="H162" s="1091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spans="1:26" ht="41.25" customHeight="1">
      <c r="A163" s="208"/>
      <c r="B163" s="208"/>
      <c r="C163" s="16"/>
      <c r="D163" s="16"/>
      <c r="E163" s="16"/>
      <c r="F163" s="16"/>
      <c r="G163" s="208"/>
      <c r="H163" s="1091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spans="1:26" ht="41.25" customHeight="1">
      <c r="A164" s="208"/>
      <c r="B164" s="208"/>
      <c r="C164" s="16"/>
      <c r="D164" s="16"/>
      <c r="E164" s="16"/>
      <c r="F164" s="16"/>
      <c r="G164" s="208"/>
      <c r="H164" s="1091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spans="1:26" ht="41.25" customHeight="1">
      <c r="A165" s="208"/>
      <c r="B165" s="208"/>
      <c r="C165" s="16"/>
      <c r="D165" s="16"/>
      <c r="E165" s="16"/>
      <c r="F165" s="16"/>
      <c r="G165" s="208"/>
      <c r="H165" s="1091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spans="1:26" ht="41.25" customHeight="1">
      <c r="A166" s="208"/>
      <c r="B166" s="208"/>
      <c r="C166" s="16"/>
      <c r="D166" s="16"/>
      <c r="E166" s="16"/>
      <c r="F166" s="16"/>
      <c r="G166" s="208"/>
      <c r="H166" s="1091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spans="1:26" ht="41.25" customHeight="1">
      <c r="A167" s="208"/>
      <c r="B167" s="208"/>
      <c r="C167" s="16"/>
      <c r="D167" s="16"/>
      <c r="E167" s="16"/>
      <c r="F167" s="16"/>
      <c r="G167" s="208"/>
      <c r="H167" s="1091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spans="1:26" ht="41.25" customHeight="1">
      <c r="A168" s="208"/>
      <c r="B168" s="208"/>
      <c r="C168" s="16"/>
      <c r="D168" s="16"/>
      <c r="E168" s="16"/>
      <c r="F168" s="16"/>
      <c r="G168" s="208"/>
      <c r="H168" s="1091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spans="1:26" ht="41.25" customHeight="1">
      <c r="A169" s="208"/>
      <c r="B169" s="208"/>
      <c r="C169" s="16"/>
      <c r="D169" s="16"/>
      <c r="E169" s="16"/>
      <c r="F169" s="16"/>
      <c r="G169" s="208"/>
      <c r="H169" s="1091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spans="1:26" ht="41.25" customHeight="1">
      <c r="A170" s="208"/>
      <c r="B170" s="208"/>
      <c r="C170" s="16"/>
      <c r="D170" s="16"/>
      <c r="E170" s="16"/>
      <c r="F170" s="16"/>
      <c r="G170" s="208"/>
      <c r="H170" s="1091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spans="1:26" ht="41.25" customHeight="1">
      <c r="A171" s="208"/>
      <c r="B171" s="208"/>
      <c r="C171" s="16"/>
      <c r="D171" s="16"/>
      <c r="E171" s="16"/>
      <c r="F171" s="16"/>
      <c r="G171" s="208"/>
      <c r="H171" s="1091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spans="1:26" ht="41.25" customHeight="1">
      <c r="A172" s="208"/>
      <c r="B172" s="208"/>
      <c r="C172" s="16"/>
      <c r="D172" s="16"/>
      <c r="E172" s="16"/>
      <c r="F172" s="16"/>
      <c r="G172" s="208"/>
      <c r="H172" s="1091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spans="1:26" ht="41.25" customHeight="1">
      <c r="A173" s="208"/>
      <c r="B173" s="208"/>
      <c r="C173" s="16"/>
      <c r="D173" s="16"/>
      <c r="E173" s="16"/>
      <c r="F173" s="16"/>
      <c r="G173" s="208"/>
      <c r="H173" s="1091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spans="1:26" ht="41.25" customHeight="1">
      <c r="A174" s="208"/>
      <c r="B174" s="208"/>
      <c r="C174" s="16"/>
      <c r="D174" s="16"/>
      <c r="E174" s="16"/>
      <c r="F174" s="16"/>
      <c r="G174" s="208"/>
      <c r="H174" s="1091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spans="1:26" ht="41.25" customHeight="1">
      <c r="A175" s="208"/>
      <c r="B175" s="208"/>
      <c r="C175" s="16"/>
      <c r="D175" s="16"/>
      <c r="E175" s="16"/>
      <c r="F175" s="16"/>
      <c r="G175" s="208"/>
      <c r="H175" s="1091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spans="1:26" ht="41.25" customHeight="1">
      <c r="A176" s="208"/>
      <c r="B176" s="208"/>
      <c r="C176" s="16"/>
      <c r="D176" s="16"/>
      <c r="E176" s="16"/>
      <c r="F176" s="16"/>
      <c r="G176" s="208"/>
      <c r="H176" s="1091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spans="1:26" ht="41.25" customHeight="1">
      <c r="A177" s="208"/>
      <c r="B177" s="208"/>
      <c r="C177" s="16"/>
      <c r="D177" s="16"/>
      <c r="E177" s="16"/>
      <c r="F177" s="16"/>
      <c r="G177" s="208"/>
      <c r="H177" s="1091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spans="1:26" ht="41.25" customHeight="1">
      <c r="A178" s="208"/>
      <c r="B178" s="208"/>
      <c r="C178" s="16"/>
      <c r="D178" s="16"/>
      <c r="E178" s="16"/>
      <c r="F178" s="16"/>
      <c r="G178" s="208"/>
      <c r="H178" s="1091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spans="1:26" ht="41.25" customHeight="1">
      <c r="A179" s="208"/>
      <c r="B179" s="208"/>
      <c r="C179" s="16"/>
      <c r="D179" s="16"/>
      <c r="E179" s="16"/>
      <c r="F179" s="16"/>
      <c r="G179" s="208"/>
      <c r="H179" s="1091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spans="1:26" ht="41.25" customHeight="1">
      <c r="A180" s="208"/>
      <c r="B180" s="208"/>
      <c r="C180" s="16"/>
      <c r="D180" s="16"/>
      <c r="E180" s="16"/>
      <c r="F180" s="16"/>
      <c r="G180" s="208"/>
      <c r="H180" s="1091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spans="1:26" ht="41.25" customHeight="1">
      <c r="A181" s="208"/>
      <c r="B181" s="208"/>
      <c r="C181" s="16"/>
      <c r="D181" s="16"/>
      <c r="E181" s="16"/>
      <c r="F181" s="16"/>
      <c r="G181" s="208"/>
      <c r="H181" s="1091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spans="1:26" ht="41.25" customHeight="1">
      <c r="A182" s="208"/>
      <c r="B182" s="208"/>
      <c r="C182" s="16"/>
      <c r="D182" s="16"/>
      <c r="E182" s="16"/>
      <c r="F182" s="16"/>
      <c r="G182" s="208"/>
      <c r="H182" s="1091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spans="1:26" ht="41.25" customHeight="1">
      <c r="A183" s="208"/>
      <c r="B183" s="208"/>
      <c r="C183" s="16"/>
      <c r="D183" s="16"/>
      <c r="E183" s="16"/>
      <c r="F183" s="16"/>
      <c r="G183" s="208"/>
      <c r="H183" s="1091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spans="1:26" ht="41.25" customHeight="1">
      <c r="A184" s="208"/>
      <c r="B184" s="208"/>
      <c r="C184" s="16"/>
      <c r="D184" s="16"/>
      <c r="E184" s="16"/>
      <c r="F184" s="16"/>
      <c r="G184" s="208"/>
      <c r="H184" s="1091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spans="1:26" ht="41.25" customHeight="1">
      <c r="A185" s="208"/>
      <c r="B185" s="208"/>
      <c r="C185" s="16"/>
      <c r="D185" s="16"/>
      <c r="E185" s="16"/>
      <c r="F185" s="16"/>
      <c r="G185" s="208"/>
      <c r="H185" s="1091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spans="1:26" ht="41.25" customHeight="1">
      <c r="A186" s="208"/>
      <c r="B186" s="208"/>
      <c r="C186" s="16"/>
      <c r="D186" s="16"/>
      <c r="E186" s="16"/>
      <c r="F186" s="16"/>
      <c r="G186" s="208"/>
      <c r="H186" s="1091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spans="1:26" ht="41.25" customHeight="1">
      <c r="A187" s="208"/>
      <c r="B187" s="208"/>
      <c r="C187" s="16"/>
      <c r="D187" s="16"/>
      <c r="E187" s="16"/>
      <c r="F187" s="16"/>
      <c r="G187" s="208"/>
      <c r="H187" s="1091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spans="1:26" ht="41.25" customHeight="1">
      <c r="A188" s="208"/>
      <c r="B188" s="208"/>
      <c r="C188" s="16"/>
      <c r="D188" s="16"/>
      <c r="E188" s="16"/>
      <c r="F188" s="16"/>
      <c r="G188" s="208"/>
      <c r="H188" s="1091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spans="1:26" ht="41.25" customHeight="1">
      <c r="A189" s="208"/>
      <c r="B189" s="208"/>
      <c r="C189" s="16"/>
      <c r="D189" s="16"/>
      <c r="E189" s="16"/>
      <c r="F189" s="16"/>
      <c r="G189" s="208"/>
      <c r="H189" s="1091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spans="1:26" ht="41.25" customHeight="1">
      <c r="A190" s="208"/>
      <c r="B190" s="208"/>
      <c r="C190" s="16"/>
      <c r="D190" s="16"/>
      <c r="E190" s="16"/>
      <c r="F190" s="16"/>
      <c r="G190" s="208"/>
      <c r="H190" s="1091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spans="1:26" ht="41.25" customHeight="1">
      <c r="A191" s="208"/>
      <c r="B191" s="208"/>
      <c r="C191" s="16"/>
      <c r="D191" s="16"/>
      <c r="E191" s="16"/>
      <c r="F191" s="16"/>
      <c r="G191" s="208"/>
      <c r="H191" s="1091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spans="1:26" ht="41.25" customHeight="1">
      <c r="A192" s="208"/>
      <c r="B192" s="208"/>
      <c r="C192" s="16"/>
      <c r="D192" s="16"/>
      <c r="E192" s="16"/>
      <c r="F192" s="16"/>
      <c r="G192" s="208"/>
      <c r="H192" s="1091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spans="1:26" ht="41.25" customHeight="1">
      <c r="A193" s="208"/>
      <c r="B193" s="208"/>
      <c r="C193" s="16"/>
      <c r="D193" s="16"/>
      <c r="E193" s="16"/>
      <c r="F193" s="16"/>
      <c r="G193" s="208"/>
      <c r="H193" s="1091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spans="1:26" ht="41.25" customHeight="1">
      <c r="A194" s="208"/>
      <c r="B194" s="208"/>
      <c r="C194" s="16"/>
      <c r="D194" s="16"/>
      <c r="E194" s="16"/>
      <c r="F194" s="16"/>
      <c r="G194" s="208"/>
      <c r="H194" s="1091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spans="1:26" ht="41.25" customHeight="1">
      <c r="A195" s="208"/>
      <c r="B195" s="208"/>
      <c r="C195" s="16"/>
      <c r="D195" s="16"/>
      <c r="E195" s="16"/>
      <c r="F195" s="16"/>
      <c r="G195" s="208"/>
      <c r="H195" s="1091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spans="1:26" ht="41.25" customHeight="1">
      <c r="A196" s="208"/>
      <c r="B196" s="208"/>
      <c r="C196" s="16"/>
      <c r="D196" s="16"/>
      <c r="E196" s="16"/>
      <c r="F196" s="16"/>
      <c r="G196" s="208"/>
      <c r="H196" s="1091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spans="1:26" ht="41.25" customHeight="1">
      <c r="A197" s="208"/>
      <c r="B197" s="208"/>
      <c r="C197" s="16"/>
      <c r="D197" s="16"/>
      <c r="E197" s="16"/>
      <c r="F197" s="16"/>
      <c r="G197" s="208"/>
      <c r="H197" s="1091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spans="1:26" ht="41.25" customHeight="1">
      <c r="A198" s="208"/>
      <c r="B198" s="208"/>
      <c r="C198" s="16"/>
      <c r="D198" s="16"/>
      <c r="E198" s="16"/>
      <c r="F198" s="16"/>
      <c r="G198" s="208"/>
      <c r="H198" s="1091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spans="1:26" ht="41.25" customHeight="1">
      <c r="A199" s="208"/>
      <c r="B199" s="208"/>
      <c r="C199" s="16"/>
      <c r="D199" s="16"/>
      <c r="E199" s="16"/>
      <c r="F199" s="16"/>
      <c r="G199" s="208"/>
      <c r="H199" s="1091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spans="1:26" ht="41.25" customHeight="1">
      <c r="A200" s="208"/>
      <c r="B200" s="208"/>
      <c r="C200" s="16"/>
      <c r="D200" s="16"/>
      <c r="E200" s="16"/>
      <c r="F200" s="16"/>
      <c r="G200" s="208"/>
      <c r="H200" s="1091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spans="1:26" ht="41.25" customHeight="1">
      <c r="A201" s="208"/>
      <c r="B201" s="208"/>
      <c r="C201" s="16"/>
      <c r="D201" s="16"/>
      <c r="E201" s="16"/>
      <c r="F201" s="16"/>
      <c r="G201" s="208"/>
      <c r="H201" s="1091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spans="1:26" ht="41.25" customHeight="1">
      <c r="A202" s="208"/>
      <c r="B202" s="208"/>
      <c r="C202" s="16"/>
      <c r="D202" s="16"/>
      <c r="E202" s="16"/>
      <c r="F202" s="16"/>
      <c r="G202" s="208"/>
      <c r="H202" s="1091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spans="1:26" ht="41.25" customHeight="1">
      <c r="A203" s="208"/>
      <c r="B203" s="208"/>
      <c r="C203" s="16"/>
      <c r="D203" s="16"/>
      <c r="E203" s="16"/>
      <c r="F203" s="16"/>
      <c r="G203" s="208"/>
      <c r="H203" s="1091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spans="1:26" ht="41.25" customHeight="1">
      <c r="A204" s="208"/>
      <c r="B204" s="208"/>
      <c r="C204" s="16"/>
      <c r="D204" s="16"/>
      <c r="E204" s="16"/>
      <c r="F204" s="16"/>
      <c r="G204" s="208"/>
      <c r="H204" s="1091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spans="1:26" ht="41.25" customHeight="1">
      <c r="A205" s="208"/>
      <c r="B205" s="208"/>
      <c r="C205" s="16"/>
      <c r="D205" s="16"/>
      <c r="E205" s="16"/>
      <c r="F205" s="16"/>
      <c r="G205" s="208"/>
      <c r="H205" s="1091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spans="1:26" ht="41.25" customHeight="1">
      <c r="A206" s="208"/>
      <c r="B206" s="208"/>
      <c r="C206" s="16"/>
      <c r="D206" s="16"/>
      <c r="E206" s="16"/>
      <c r="F206" s="16"/>
      <c r="G206" s="208"/>
      <c r="H206" s="1091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spans="1:26" ht="41.25" customHeight="1">
      <c r="A207" s="208"/>
      <c r="B207" s="208"/>
      <c r="C207" s="16"/>
      <c r="D207" s="16"/>
      <c r="E207" s="16"/>
      <c r="F207" s="16"/>
      <c r="G207" s="208"/>
      <c r="H207" s="1091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spans="1:26" ht="41.25" customHeight="1">
      <c r="A208" s="208"/>
      <c r="B208" s="208"/>
      <c r="C208" s="16"/>
      <c r="D208" s="16"/>
      <c r="E208" s="16"/>
      <c r="F208" s="16"/>
      <c r="G208" s="208"/>
      <c r="H208" s="1091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spans="1:26" ht="41.25" customHeight="1">
      <c r="A209" s="208"/>
      <c r="B209" s="208"/>
      <c r="C209" s="16"/>
      <c r="D209" s="16"/>
      <c r="E209" s="16"/>
      <c r="F209" s="16"/>
      <c r="G209" s="208"/>
      <c r="H209" s="1091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spans="1:26" ht="41.25" customHeight="1">
      <c r="A210" s="208"/>
      <c r="B210" s="208"/>
      <c r="C210" s="16"/>
      <c r="D210" s="16"/>
      <c r="E210" s="16"/>
      <c r="F210" s="16"/>
      <c r="G210" s="208"/>
      <c r="H210" s="1091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spans="1:26" ht="41.25" customHeight="1">
      <c r="A211" s="208"/>
      <c r="B211" s="208"/>
      <c r="C211" s="16"/>
      <c r="D211" s="16"/>
      <c r="E211" s="16"/>
      <c r="F211" s="16"/>
      <c r="G211" s="208"/>
      <c r="H211" s="1091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spans="1:26" ht="41.25" customHeight="1">
      <c r="A212" s="208"/>
      <c r="B212" s="208"/>
      <c r="C212" s="16"/>
      <c r="D212" s="16"/>
      <c r="E212" s="16"/>
      <c r="F212" s="16"/>
      <c r="G212" s="208"/>
      <c r="H212" s="1091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spans="1:26" ht="41.25" customHeight="1">
      <c r="A213" s="208"/>
      <c r="B213" s="208"/>
      <c r="C213" s="16"/>
      <c r="D213" s="16"/>
      <c r="E213" s="16"/>
      <c r="F213" s="16"/>
      <c r="G213" s="208"/>
      <c r="H213" s="1091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spans="1:26" ht="41.25" customHeight="1">
      <c r="A214" s="208"/>
      <c r="B214" s="208"/>
      <c r="C214" s="16"/>
      <c r="D214" s="16"/>
      <c r="E214" s="16"/>
      <c r="F214" s="16"/>
      <c r="G214" s="208"/>
      <c r="H214" s="1091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spans="1:26" ht="41.25" customHeight="1">
      <c r="A215" s="208"/>
      <c r="B215" s="208"/>
      <c r="C215" s="16"/>
      <c r="D215" s="16"/>
      <c r="E215" s="16"/>
      <c r="F215" s="16"/>
      <c r="G215" s="208"/>
      <c r="H215" s="1091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spans="1:26" ht="41.25" customHeight="1">
      <c r="A216" s="208"/>
      <c r="B216" s="208"/>
      <c r="C216" s="16"/>
      <c r="D216" s="16"/>
      <c r="E216" s="16"/>
      <c r="F216" s="16"/>
      <c r="G216" s="208"/>
      <c r="H216" s="1091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spans="1:26" ht="41.25" customHeight="1">
      <c r="A217" s="208"/>
      <c r="B217" s="208"/>
      <c r="C217" s="16"/>
      <c r="D217" s="16"/>
      <c r="E217" s="16"/>
      <c r="F217" s="16"/>
      <c r="G217" s="208"/>
      <c r="H217" s="1091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spans="1:26" ht="41.25" customHeight="1">
      <c r="A218" s="208"/>
      <c r="B218" s="208"/>
      <c r="C218" s="16"/>
      <c r="D218" s="16"/>
      <c r="E218" s="16"/>
      <c r="F218" s="16"/>
      <c r="G218" s="208"/>
      <c r="H218" s="1091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spans="1:26" ht="41.25" customHeight="1">
      <c r="A219" s="208"/>
      <c r="B219" s="208"/>
      <c r="C219" s="16"/>
      <c r="D219" s="16"/>
      <c r="E219" s="16"/>
      <c r="F219" s="16"/>
      <c r="G219" s="208"/>
      <c r="H219" s="1091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spans="1:26" ht="41.25" customHeight="1">
      <c r="A220" s="208"/>
      <c r="B220" s="208"/>
      <c r="C220" s="16"/>
      <c r="D220" s="16"/>
      <c r="E220" s="16"/>
      <c r="F220" s="16"/>
      <c r="G220" s="208"/>
      <c r="H220" s="1091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spans="1:26" ht="41.25" customHeight="1">
      <c r="A221" s="208"/>
      <c r="B221" s="208"/>
      <c r="C221" s="16"/>
      <c r="D221" s="16"/>
      <c r="E221" s="16"/>
      <c r="F221" s="16"/>
      <c r="G221" s="208"/>
      <c r="H221" s="1091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spans="1:26" ht="41.25" customHeight="1">
      <c r="A222" s="208"/>
      <c r="B222" s="208"/>
      <c r="C222" s="16"/>
      <c r="D222" s="16"/>
      <c r="E222" s="16"/>
      <c r="F222" s="16"/>
      <c r="G222" s="208"/>
      <c r="H222" s="1091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spans="1:26" ht="41.25" customHeight="1">
      <c r="A223" s="208"/>
      <c r="B223" s="208"/>
      <c r="C223" s="16"/>
      <c r="D223" s="16"/>
      <c r="E223" s="16"/>
      <c r="F223" s="16"/>
      <c r="G223" s="208"/>
      <c r="H223" s="1091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spans="1:26" ht="41.25" customHeight="1">
      <c r="A224" s="208"/>
      <c r="B224" s="208"/>
      <c r="C224" s="16"/>
      <c r="D224" s="16"/>
      <c r="E224" s="16"/>
      <c r="F224" s="16"/>
      <c r="G224" s="208"/>
      <c r="H224" s="1091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spans="1:26" ht="41.25" customHeight="1">
      <c r="A225" s="208"/>
      <c r="B225" s="208"/>
      <c r="C225" s="16"/>
      <c r="D225" s="16"/>
      <c r="E225" s="16"/>
      <c r="F225" s="16"/>
      <c r="G225" s="208"/>
      <c r="H225" s="1091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spans="1:26" ht="41.25" customHeight="1">
      <c r="A226" s="208"/>
      <c r="B226" s="208"/>
      <c r="C226" s="16"/>
      <c r="D226" s="16"/>
      <c r="E226" s="16"/>
      <c r="F226" s="16"/>
      <c r="G226" s="208"/>
      <c r="H226" s="1091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spans="1:26" ht="41.25" customHeight="1">
      <c r="A227" s="208"/>
      <c r="B227" s="208"/>
      <c r="C227" s="16"/>
      <c r="D227" s="16"/>
      <c r="E227" s="16"/>
      <c r="F227" s="16"/>
      <c r="G227" s="208"/>
      <c r="H227" s="1091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spans="1:26" ht="41.25" customHeight="1">
      <c r="A228" s="208"/>
      <c r="B228" s="208"/>
      <c r="C228" s="16"/>
      <c r="D228" s="16"/>
      <c r="E228" s="16"/>
      <c r="F228" s="16"/>
      <c r="G228" s="208"/>
      <c r="H228" s="1091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spans="1:26" ht="41.25" customHeight="1">
      <c r="A229" s="208"/>
      <c r="B229" s="208"/>
      <c r="C229" s="16"/>
      <c r="D229" s="16"/>
      <c r="E229" s="16"/>
      <c r="F229" s="16"/>
      <c r="G229" s="208"/>
      <c r="H229" s="1091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spans="1:26" ht="41.25" customHeight="1">
      <c r="A230" s="208"/>
      <c r="B230" s="208"/>
      <c r="C230" s="16"/>
      <c r="D230" s="16"/>
      <c r="E230" s="16"/>
      <c r="F230" s="16"/>
      <c r="G230" s="208"/>
      <c r="H230" s="1091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spans="1:26" ht="41.25" customHeight="1">
      <c r="A231" s="208"/>
      <c r="B231" s="208"/>
      <c r="C231" s="16"/>
      <c r="D231" s="16"/>
      <c r="E231" s="16"/>
      <c r="F231" s="16"/>
      <c r="G231" s="208"/>
      <c r="H231" s="1091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spans="1:26" ht="41.25" customHeight="1">
      <c r="A232" s="208"/>
      <c r="B232" s="208"/>
      <c r="C232" s="16"/>
      <c r="D232" s="16"/>
      <c r="E232" s="16"/>
      <c r="F232" s="16"/>
      <c r="G232" s="208"/>
      <c r="H232" s="1091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spans="1:26" ht="41.25" customHeight="1">
      <c r="A233" s="208"/>
      <c r="B233" s="208"/>
      <c r="C233" s="16"/>
      <c r="D233" s="16"/>
      <c r="E233" s="16"/>
      <c r="F233" s="16"/>
      <c r="G233" s="208"/>
      <c r="H233" s="1091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spans="1:26" ht="41.25" customHeight="1">
      <c r="A234" s="208"/>
      <c r="B234" s="208"/>
      <c r="C234" s="16"/>
      <c r="D234" s="16"/>
      <c r="E234" s="16"/>
      <c r="F234" s="16"/>
      <c r="G234" s="208"/>
      <c r="H234" s="1091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spans="1:26" ht="41.25" customHeight="1">
      <c r="A235" s="208"/>
      <c r="B235" s="208"/>
      <c r="C235" s="16"/>
      <c r="D235" s="16"/>
      <c r="E235" s="16"/>
      <c r="F235" s="16"/>
      <c r="G235" s="208"/>
      <c r="H235" s="1091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spans="1:26" ht="41.25" customHeight="1">
      <c r="A236" s="208"/>
      <c r="B236" s="208"/>
      <c r="C236" s="16"/>
      <c r="D236" s="16"/>
      <c r="E236" s="16"/>
      <c r="F236" s="16"/>
      <c r="G236" s="208"/>
      <c r="H236" s="1091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spans="1:26" ht="41.25" customHeight="1">
      <c r="A237" s="208"/>
      <c r="B237" s="208"/>
      <c r="C237" s="16"/>
      <c r="D237" s="16"/>
      <c r="E237" s="16"/>
      <c r="F237" s="16"/>
      <c r="G237" s="208"/>
      <c r="H237" s="1091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spans="1:26" ht="41.25" customHeight="1">
      <c r="A238" s="208"/>
      <c r="B238" s="208"/>
      <c r="C238" s="16"/>
      <c r="D238" s="16"/>
      <c r="E238" s="16"/>
      <c r="F238" s="16"/>
      <c r="G238" s="208"/>
      <c r="H238" s="1091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spans="1:26" ht="41.25" customHeight="1">
      <c r="A239" s="208"/>
      <c r="B239" s="208"/>
      <c r="C239" s="16"/>
      <c r="D239" s="16"/>
      <c r="E239" s="16"/>
      <c r="F239" s="16"/>
      <c r="G239" s="208"/>
      <c r="H239" s="1091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spans="1:26" ht="41.25" customHeight="1">
      <c r="A240" s="208"/>
      <c r="B240" s="208"/>
      <c r="C240" s="16"/>
      <c r="D240" s="16"/>
      <c r="E240" s="16"/>
      <c r="F240" s="16"/>
      <c r="G240" s="208"/>
      <c r="H240" s="1091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spans="1:26" ht="41.25" customHeight="1">
      <c r="A241" s="208"/>
      <c r="B241" s="208"/>
      <c r="C241" s="16"/>
      <c r="D241" s="16"/>
      <c r="E241" s="16"/>
      <c r="F241" s="16"/>
      <c r="G241" s="208"/>
      <c r="H241" s="1091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spans="1:26" ht="41.25" customHeight="1">
      <c r="A242" s="208"/>
      <c r="B242" s="208"/>
      <c r="C242" s="16"/>
      <c r="D242" s="16"/>
      <c r="E242" s="16"/>
      <c r="F242" s="16"/>
      <c r="G242" s="208"/>
      <c r="H242" s="1091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spans="1:26" ht="41.25" customHeight="1">
      <c r="A243" s="208"/>
      <c r="B243" s="208"/>
      <c r="C243" s="16"/>
      <c r="D243" s="16"/>
      <c r="E243" s="16"/>
      <c r="F243" s="16"/>
      <c r="G243" s="208"/>
      <c r="H243" s="1091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spans="1:26" ht="41.25" customHeight="1">
      <c r="A244" s="208"/>
      <c r="B244" s="208"/>
      <c r="C244" s="16"/>
      <c r="D244" s="16"/>
      <c r="E244" s="16"/>
      <c r="F244" s="16"/>
      <c r="G244" s="208"/>
      <c r="H244" s="1091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spans="1:26" ht="41.25" customHeight="1">
      <c r="A245" s="208"/>
      <c r="B245" s="208"/>
      <c r="C245" s="16"/>
      <c r="D245" s="16"/>
      <c r="E245" s="16"/>
      <c r="F245" s="16"/>
      <c r="G245" s="208"/>
      <c r="H245" s="1091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spans="1:26" ht="41.25" customHeight="1">
      <c r="A246" s="208"/>
      <c r="B246" s="208"/>
      <c r="C246" s="16"/>
      <c r="D246" s="16"/>
      <c r="E246" s="16"/>
      <c r="F246" s="16"/>
      <c r="G246" s="208"/>
      <c r="H246" s="1091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spans="1:26" ht="41.25" customHeight="1">
      <c r="A247" s="208"/>
      <c r="B247" s="208"/>
      <c r="C247" s="16"/>
      <c r="D247" s="16"/>
      <c r="E247" s="16"/>
      <c r="F247" s="16"/>
      <c r="G247" s="208"/>
      <c r="H247" s="1091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spans="1:26" ht="41.25" customHeight="1">
      <c r="A248" s="208"/>
      <c r="B248" s="208"/>
      <c r="C248" s="16"/>
      <c r="D248" s="16"/>
      <c r="E248" s="16"/>
      <c r="F248" s="16"/>
      <c r="G248" s="208"/>
      <c r="H248" s="1091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spans="1:26" ht="41.25" customHeight="1">
      <c r="A249" s="208"/>
      <c r="B249" s="208"/>
      <c r="C249" s="16"/>
      <c r="D249" s="16"/>
      <c r="E249" s="16"/>
      <c r="F249" s="16"/>
      <c r="G249" s="208"/>
      <c r="H249" s="1091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spans="1:26" ht="41.25" customHeight="1">
      <c r="A250" s="208"/>
      <c r="B250" s="208"/>
      <c r="C250" s="16"/>
      <c r="D250" s="16"/>
      <c r="E250" s="16"/>
      <c r="F250" s="16"/>
      <c r="G250" s="208"/>
      <c r="H250" s="1091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spans="1:26" ht="41.25" customHeight="1">
      <c r="A251" s="208"/>
      <c r="B251" s="208"/>
      <c r="C251" s="16"/>
      <c r="D251" s="16"/>
      <c r="E251" s="16"/>
      <c r="F251" s="16"/>
      <c r="G251" s="208"/>
      <c r="H251" s="1091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spans="1:26" ht="41.25" customHeight="1">
      <c r="A252" s="208"/>
      <c r="B252" s="208"/>
      <c r="C252" s="16"/>
      <c r="D252" s="16"/>
      <c r="E252" s="16"/>
      <c r="F252" s="16"/>
      <c r="G252" s="208"/>
      <c r="H252" s="1091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spans="1:26" ht="41.25" customHeight="1">
      <c r="A253" s="208"/>
      <c r="B253" s="208"/>
      <c r="C253" s="16"/>
      <c r="D253" s="16"/>
      <c r="E253" s="16"/>
      <c r="F253" s="16"/>
      <c r="G253" s="208"/>
      <c r="H253" s="1091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spans="1:26" ht="41.25" customHeight="1">
      <c r="A254" s="208"/>
      <c r="B254" s="208"/>
      <c r="C254" s="16"/>
      <c r="D254" s="16"/>
      <c r="E254" s="16"/>
      <c r="F254" s="16"/>
      <c r="G254" s="208"/>
      <c r="H254" s="1091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spans="1:26" ht="41.25" customHeight="1">
      <c r="A255" s="208"/>
      <c r="B255" s="208"/>
      <c r="C255" s="16"/>
      <c r="D255" s="16"/>
      <c r="E255" s="16"/>
      <c r="F255" s="16"/>
      <c r="G255" s="208"/>
      <c r="H255" s="1091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spans="1:26" ht="41.25" customHeight="1">
      <c r="A256" s="208"/>
      <c r="B256" s="208"/>
      <c r="C256" s="16"/>
      <c r="D256" s="16"/>
      <c r="E256" s="16"/>
      <c r="F256" s="16"/>
      <c r="G256" s="208"/>
      <c r="H256" s="1091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spans="1:26" ht="41.25" customHeight="1">
      <c r="A257" s="208"/>
      <c r="B257" s="208"/>
      <c r="C257" s="16"/>
      <c r="D257" s="16"/>
      <c r="E257" s="16"/>
      <c r="F257" s="16"/>
      <c r="G257" s="208"/>
      <c r="H257" s="1091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spans="1:26" ht="41.25" customHeight="1">
      <c r="A258" s="208"/>
      <c r="B258" s="208"/>
      <c r="C258" s="16"/>
      <c r="D258" s="16"/>
      <c r="E258" s="16"/>
      <c r="F258" s="16"/>
      <c r="G258" s="208"/>
      <c r="H258" s="1091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spans="1:26" ht="41.25" customHeight="1">
      <c r="A259" s="208"/>
      <c r="B259" s="208"/>
      <c r="C259" s="16"/>
      <c r="D259" s="16"/>
      <c r="E259" s="16"/>
      <c r="F259" s="16"/>
      <c r="G259" s="208"/>
      <c r="H259" s="1091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spans="1:26" ht="41.25" customHeight="1">
      <c r="A260" s="208"/>
      <c r="B260" s="208"/>
      <c r="C260" s="16"/>
      <c r="D260" s="16"/>
      <c r="E260" s="16"/>
      <c r="F260" s="16"/>
      <c r="G260" s="208"/>
      <c r="H260" s="1091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spans="1:26" ht="41.25" customHeight="1">
      <c r="A261" s="208"/>
      <c r="B261" s="208"/>
      <c r="C261" s="16"/>
      <c r="D261" s="16"/>
      <c r="E261" s="16"/>
      <c r="F261" s="16"/>
      <c r="G261" s="208"/>
      <c r="H261" s="1091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spans="1:26" ht="41.25" customHeight="1">
      <c r="A262" s="208"/>
      <c r="B262" s="208"/>
      <c r="C262" s="16"/>
      <c r="D262" s="16"/>
      <c r="E262" s="16"/>
      <c r="F262" s="16"/>
      <c r="G262" s="208"/>
      <c r="H262" s="1091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spans="1:26" ht="41.25" customHeight="1">
      <c r="A263" s="208"/>
      <c r="B263" s="208"/>
      <c r="C263" s="16"/>
      <c r="D263" s="16"/>
      <c r="E263" s="16"/>
      <c r="F263" s="16"/>
      <c r="G263" s="208"/>
      <c r="H263" s="1091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spans="1:26" ht="41.25" customHeight="1">
      <c r="A264" s="208"/>
      <c r="B264" s="208"/>
      <c r="C264" s="16"/>
      <c r="D264" s="16"/>
      <c r="E264" s="16"/>
      <c r="F264" s="16"/>
      <c r="G264" s="208"/>
      <c r="H264" s="1091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spans="1:26" ht="41.25" customHeight="1">
      <c r="A265" s="208"/>
      <c r="B265" s="208"/>
      <c r="C265" s="16"/>
      <c r="D265" s="16"/>
      <c r="E265" s="16"/>
      <c r="F265" s="16"/>
      <c r="G265" s="208"/>
      <c r="H265" s="1091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spans="1:26" ht="41.25" customHeight="1">
      <c r="A266" s="208"/>
      <c r="B266" s="208"/>
      <c r="C266" s="16"/>
      <c r="D266" s="16"/>
      <c r="E266" s="16"/>
      <c r="F266" s="16"/>
      <c r="G266" s="208"/>
      <c r="H266" s="1091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spans="1:26" ht="41.25" customHeight="1">
      <c r="A267" s="208"/>
      <c r="B267" s="208"/>
      <c r="C267" s="16"/>
      <c r="D267" s="16"/>
      <c r="E267" s="16"/>
      <c r="F267" s="16"/>
      <c r="G267" s="208"/>
      <c r="H267" s="1091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spans="1:26" ht="41.25" customHeight="1">
      <c r="A268" s="208"/>
      <c r="B268" s="208"/>
      <c r="C268" s="16"/>
      <c r="D268" s="16"/>
      <c r="E268" s="16"/>
      <c r="F268" s="16"/>
      <c r="G268" s="208"/>
      <c r="H268" s="1091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spans="1:26" ht="41.25" customHeight="1">
      <c r="A269" s="208"/>
      <c r="B269" s="208"/>
      <c r="C269" s="16"/>
      <c r="D269" s="16"/>
      <c r="E269" s="16"/>
      <c r="F269" s="16"/>
      <c r="G269" s="208"/>
      <c r="H269" s="1091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spans="1:26" ht="41.25" customHeight="1">
      <c r="A270" s="208"/>
      <c r="B270" s="208"/>
      <c r="C270" s="16"/>
      <c r="D270" s="16"/>
      <c r="E270" s="16"/>
      <c r="F270" s="16"/>
      <c r="G270" s="208"/>
      <c r="H270" s="1091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spans="1:26" ht="41.25" customHeight="1">
      <c r="A271" s="208"/>
      <c r="B271" s="208"/>
      <c r="C271" s="16"/>
      <c r="D271" s="16"/>
      <c r="E271" s="16"/>
      <c r="F271" s="16"/>
      <c r="G271" s="208"/>
      <c r="H271" s="1091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spans="1:26" ht="41.25" customHeight="1">
      <c r="A272" s="208"/>
      <c r="B272" s="208"/>
      <c r="C272" s="16"/>
      <c r="D272" s="16"/>
      <c r="E272" s="16"/>
      <c r="F272" s="16"/>
      <c r="G272" s="208"/>
      <c r="H272" s="1091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spans="1:26" ht="41.25" customHeight="1">
      <c r="A273" s="208"/>
      <c r="B273" s="208"/>
      <c r="C273" s="16"/>
      <c r="D273" s="16"/>
      <c r="E273" s="16"/>
      <c r="F273" s="16"/>
      <c r="G273" s="208"/>
      <c r="H273" s="1091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spans="1:26" ht="41.25" customHeight="1">
      <c r="A274" s="208"/>
      <c r="B274" s="208"/>
      <c r="C274" s="16"/>
      <c r="D274" s="16"/>
      <c r="E274" s="16"/>
      <c r="F274" s="16"/>
      <c r="G274" s="208"/>
      <c r="H274" s="1091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spans="1:26" ht="15.75" customHeight="1">
      <c r="A275" s="16"/>
      <c r="B275" s="16"/>
      <c r="C275" s="16"/>
      <c r="D275" s="16"/>
      <c r="E275" s="16"/>
      <c r="F275" s="16"/>
      <c r="G275" s="16"/>
      <c r="H275" s="1092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spans="1:26" ht="15.75" customHeight="1">
      <c r="A276" s="16"/>
      <c r="B276" s="16"/>
      <c r="C276" s="16"/>
      <c r="D276" s="16"/>
      <c r="E276" s="16"/>
      <c r="F276" s="16"/>
      <c r="G276" s="16"/>
      <c r="H276" s="1092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spans="1:26" ht="15.75" customHeight="1">
      <c r="A277" s="16"/>
      <c r="B277" s="16"/>
      <c r="C277" s="16"/>
      <c r="D277" s="16"/>
      <c r="E277" s="16"/>
      <c r="F277" s="16"/>
      <c r="G277" s="16"/>
      <c r="H277" s="1092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spans="1:26" ht="15.75" customHeight="1">
      <c r="A278" s="16"/>
      <c r="B278" s="16"/>
      <c r="C278" s="16"/>
      <c r="D278" s="16"/>
      <c r="E278" s="16"/>
      <c r="F278" s="16"/>
      <c r="G278" s="16"/>
      <c r="H278" s="1092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spans="1:26" ht="15.75" customHeight="1">
      <c r="A279" s="16"/>
      <c r="B279" s="16"/>
      <c r="C279" s="16"/>
      <c r="D279" s="16"/>
      <c r="E279" s="16"/>
      <c r="F279" s="16"/>
      <c r="G279" s="16"/>
      <c r="H279" s="1092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spans="1:26" ht="15.75" customHeight="1">
      <c r="A280" s="16"/>
      <c r="B280" s="16"/>
      <c r="C280" s="16"/>
      <c r="D280" s="16"/>
      <c r="E280" s="16"/>
      <c r="F280" s="16"/>
      <c r="G280" s="16"/>
      <c r="H280" s="1092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spans="1:26" ht="15.75" customHeight="1">
      <c r="A281" s="16"/>
      <c r="B281" s="16"/>
      <c r="C281" s="16"/>
      <c r="D281" s="16"/>
      <c r="E281" s="16"/>
      <c r="F281" s="16"/>
      <c r="G281" s="16"/>
      <c r="H281" s="1092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spans="1:26" ht="15.75" customHeight="1">
      <c r="A282" s="16"/>
      <c r="B282" s="16"/>
      <c r="C282" s="16"/>
      <c r="D282" s="16"/>
      <c r="E282" s="16"/>
      <c r="F282" s="16"/>
      <c r="G282" s="16"/>
      <c r="H282" s="1092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spans="1:26" ht="15.75" customHeight="1">
      <c r="A283" s="16"/>
      <c r="B283" s="16"/>
      <c r="C283" s="16"/>
      <c r="D283" s="16"/>
      <c r="E283" s="16"/>
      <c r="F283" s="16"/>
      <c r="G283" s="16"/>
      <c r="H283" s="1092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spans="1:26" ht="15.75" customHeight="1">
      <c r="A284" s="16"/>
      <c r="B284" s="16"/>
      <c r="C284" s="16"/>
      <c r="D284" s="16"/>
      <c r="E284" s="16"/>
      <c r="F284" s="16"/>
      <c r="G284" s="16"/>
      <c r="H284" s="1092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spans="1:26" ht="15.75" customHeight="1">
      <c r="A285" s="16"/>
      <c r="B285" s="16"/>
      <c r="C285" s="16"/>
      <c r="D285" s="16"/>
      <c r="E285" s="16"/>
      <c r="F285" s="16"/>
      <c r="G285" s="16"/>
      <c r="H285" s="1092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spans="1:26" ht="15.75" customHeight="1">
      <c r="A286" s="16"/>
      <c r="B286" s="16"/>
      <c r="C286" s="16"/>
      <c r="D286" s="16"/>
      <c r="E286" s="16"/>
      <c r="F286" s="16"/>
      <c r="G286" s="16"/>
      <c r="H286" s="1092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spans="1:26" ht="15.75" customHeight="1">
      <c r="A287" s="16"/>
      <c r="B287" s="16"/>
      <c r="C287" s="16"/>
      <c r="D287" s="16"/>
      <c r="E287" s="16"/>
      <c r="F287" s="16"/>
      <c r="G287" s="16"/>
      <c r="H287" s="1092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spans="1:26" ht="15.75" customHeight="1">
      <c r="A288" s="16"/>
      <c r="B288" s="16"/>
      <c r="C288" s="16"/>
      <c r="D288" s="16"/>
      <c r="E288" s="16"/>
      <c r="F288" s="16"/>
      <c r="G288" s="16"/>
      <c r="H288" s="1092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spans="1:26" ht="15.75" customHeight="1">
      <c r="A289" s="16"/>
      <c r="B289" s="16"/>
      <c r="C289" s="16"/>
      <c r="D289" s="16"/>
      <c r="E289" s="16"/>
      <c r="F289" s="16"/>
      <c r="G289" s="16"/>
      <c r="H289" s="1092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spans="1:26" ht="15.75" customHeight="1">
      <c r="A290" s="16"/>
      <c r="B290" s="16"/>
      <c r="C290" s="16"/>
      <c r="D290" s="16"/>
      <c r="E290" s="16"/>
      <c r="F290" s="16"/>
      <c r="G290" s="16"/>
      <c r="H290" s="1092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spans="1:26" ht="15.75" customHeight="1">
      <c r="A291" s="16"/>
      <c r="B291" s="16"/>
      <c r="C291" s="16"/>
      <c r="D291" s="16"/>
      <c r="E291" s="16"/>
      <c r="F291" s="16"/>
      <c r="G291" s="16"/>
      <c r="H291" s="1092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spans="1:26" ht="15.75" customHeight="1">
      <c r="A292" s="16"/>
      <c r="B292" s="16"/>
      <c r="C292" s="16"/>
      <c r="D292" s="16"/>
      <c r="E292" s="16"/>
      <c r="F292" s="16"/>
      <c r="G292" s="16"/>
      <c r="H292" s="1092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spans="1:26" ht="15.75" customHeight="1">
      <c r="A293" s="16"/>
      <c r="B293" s="16"/>
      <c r="C293" s="16"/>
      <c r="D293" s="16"/>
      <c r="E293" s="16"/>
      <c r="F293" s="16"/>
      <c r="G293" s="16"/>
      <c r="H293" s="1092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spans="1:26" ht="15.75" customHeight="1">
      <c r="A294" s="16"/>
      <c r="B294" s="16"/>
      <c r="C294" s="16"/>
      <c r="D294" s="16"/>
      <c r="E294" s="16"/>
      <c r="F294" s="16"/>
      <c r="G294" s="16"/>
      <c r="H294" s="1092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spans="1:26" ht="15.75" customHeight="1">
      <c r="A295" s="16"/>
      <c r="B295" s="16"/>
      <c r="C295" s="16"/>
      <c r="D295" s="16"/>
      <c r="E295" s="16"/>
      <c r="F295" s="16"/>
      <c r="G295" s="16"/>
      <c r="H295" s="1092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spans="1:26" ht="15.75" customHeight="1">
      <c r="A296" s="16"/>
      <c r="B296" s="16"/>
      <c r="C296" s="16"/>
      <c r="D296" s="16"/>
      <c r="E296" s="16"/>
      <c r="F296" s="16"/>
      <c r="G296" s="16"/>
      <c r="H296" s="1092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spans="1:26" ht="15.75" customHeight="1">
      <c r="A297" s="16"/>
      <c r="B297" s="16"/>
      <c r="C297" s="16"/>
      <c r="D297" s="16"/>
      <c r="E297" s="16"/>
      <c r="F297" s="16"/>
      <c r="G297" s="16"/>
      <c r="H297" s="1092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spans="1:26" ht="15.75" customHeight="1">
      <c r="A298" s="16"/>
      <c r="B298" s="16"/>
      <c r="C298" s="16"/>
      <c r="D298" s="16"/>
      <c r="E298" s="16"/>
      <c r="F298" s="16"/>
      <c r="G298" s="16"/>
      <c r="H298" s="1092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spans="1:26" ht="15.75" customHeight="1">
      <c r="A299" s="16"/>
      <c r="B299" s="16"/>
      <c r="C299" s="16"/>
      <c r="D299" s="16"/>
      <c r="E299" s="16"/>
      <c r="F299" s="16"/>
      <c r="G299" s="16"/>
      <c r="H299" s="1092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spans="1:26" ht="15.75" customHeight="1">
      <c r="A300" s="16"/>
      <c r="B300" s="16"/>
      <c r="C300" s="16"/>
      <c r="D300" s="16"/>
      <c r="E300" s="16"/>
      <c r="F300" s="16"/>
      <c r="G300" s="16"/>
      <c r="H300" s="1092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spans="1:26" ht="15.75" customHeight="1">
      <c r="A301" s="16"/>
      <c r="B301" s="16"/>
      <c r="C301" s="16"/>
      <c r="D301" s="16"/>
      <c r="E301" s="16"/>
      <c r="F301" s="16"/>
      <c r="G301" s="16"/>
      <c r="H301" s="1092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spans="1:26" ht="15.75" customHeight="1">
      <c r="A302" s="16"/>
      <c r="B302" s="16"/>
      <c r="C302" s="16"/>
      <c r="D302" s="16"/>
      <c r="E302" s="16"/>
      <c r="F302" s="16"/>
      <c r="G302" s="16"/>
      <c r="H302" s="1092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spans="1:26" ht="15.75" customHeight="1">
      <c r="A303" s="16"/>
      <c r="B303" s="16"/>
      <c r="C303" s="16"/>
      <c r="D303" s="16"/>
      <c r="E303" s="16"/>
      <c r="F303" s="16"/>
      <c r="G303" s="16"/>
      <c r="H303" s="1092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spans="1:26" ht="15.75" customHeight="1">
      <c r="A304" s="16"/>
      <c r="B304" s="16"/>
      <c r="C304" s="16"/>
      <c r="D304" s="16"/>
      <c r="E304" s="16"/>
      <c r="F304" s="16"/>
      <c r="G304" s="16"/>
      <c r="H304" s="1092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spans="1:26" ht="15.75" customHeight="1">
      <c r="A305" s="16"/>
      <c r="B305" s="16"/>
      <c r="C305" s="16"/>
      <c r="D305" s="16"/>
      <c r="E305" s="16"/>
      <c r="F305" s="16"/>
      <c r="G305" s="16"/>
      <c r="H305" s="1092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spans="1:26" ht="15.75" customHeight="1">
      <c r="A306" s="16"/>
      <c r="B306" s="16"/>
      <c r="C306" s="16"/>
      <c r="D306" s="16"/>
      <c r="E306" s="16"/>
      <c r="F306" s="16"/>
      <c r="G306" s="16"/>
      <c r="H306" s="1092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spans="1:26" ht="15.75" customHeight="1">
      <c r="A307" s="16"/>
      <c r="B307" s="16"/>
      <c r="C307" s="16"/>
      <c r="D307" s="16"/>
      <c r="E307" s="16"/>
      <c r="F307" s="16"/>
      <c r="G307" s="16"/>
      <c r="H307" s="1092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spans="1:26" ht="15.75" customHeight="1">
      <c r="A308" s="16"/>
      <c r="B308" s="16"/>
      <c r="C308" s="16"/>
      <c r="D308" s="16"/>
      <c r="E308" s="16"/>
      <c r="F308" s="16"/>
      <c r="G308" s="16"/>
      <c r="H308" s="1092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spans="1:26" ht="15.75" customHeight="1">
      <c r="A309" s="16"/>
      <c r="B309" s="16"/>
      <c r="C309" s="16"/>
      <c r="D309" s="16"/>
      <c r="E309" s="16"/>
      <c r="F309" s="16"/>
      <c r="G309" s="16"/>
      <c r="H309" s="1092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spans="1:26" ht="15.75" customHeight="1">
      <c r="A310" s="16"/>
      <c r="B310" s="16"/>
      <c r="C310" s="16"/>
      <c r="D310" s="16"/>
      <c r="E310" s="16"/>
      <c r="F310" s="16"/>
      <c r="G310" s="16"/>
      <c r="H310" s="1092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spans="1:26" ht="15.75" customHeight="1">
      <c r="A311" s="16"/>
      <c r="B311" s="16"/>
      <c r="C311" s="16"/>
      <c r="D311" s="16"/>
      <c r="E311" s="16"/>
      <c r="F311" s="16"/>
      <c r="G311" s="16"/>
      <c r="H311" s="1092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spans="1:26" ht="15.75" customHeight="1">
      <c r="A312" s="16"/>
      <c r="B312" s="16"/>
      <c r="C312" s="16"/>
      <c r="D312" s="16"/>
      <c r="E312" s="16"/>
      <c r="F312" s="16"/>
      <c r="G312" s="16"/>
      <c r="H312" s="1092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spans="1:26" ht="15.75" customHeight="1">
      <c r="A313" s="16"/>
      <c r="B313" s="16"/>
      <c r="C313" s="16"/>
      <c r="D313" s="16"/>
      <c r="E313" s="16"/>
      <c r="F313" s="16"/>
      <c r="G313" s="16"/>
      <c r="H313" s="1092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spans="1:26" ht="15.75" customHeight="1">
      <c r="A314" s="16"/>
      <c r="B314" s="16"/>
      <c r="C314" s="16"/>
      <c r="D314" s="16"/>
      <c r="E314" s="16"/>
      <c r="F314" s="16"/>
      <c r="G314" s="16"/>
      <c r="H314" s="1092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spans="1:26" ht="15.75" customHeight="1">
      <c r="A315" s="16"/>
      <c r="B315" s="16"/>
      <c r="C315" s="16"/>
      <c r="D315" s="16"/>
      <c r="E315" s="16"/>
      <c r="F315" s="16"/>
      <c r="G315" s="16"/>
      <c r="H315" s="1092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spans="1:26" ht="15.75" customHeight="1">
      <c r="A316" s="16"/>
      <c r="B316" s="16"/>
      <c r="C316" s="16"/>
      <c r="D316" s="16"/>
      <c r="E316" s="16"/>
      <c r="F316" s="16"/>
      <c r="G316" s="16"/>
      <c r="H316" s="1092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spans="1:26" ht="15.75" customHeight="1">
      <c r="A317" s="16"/>
      <c r="B317" s="16"/>
      <c r="C317" s="16"/>
      <c r="D317" s="16"/>
      <c r="E317" s="16"/>
      <c r="F317" s="16"/>
      <c r="G317" s="16"/>
      <c r="H317" s="1092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spans="1:26" ht="15.75" customHeight="1">
      <c r="A318" s="16"/>
      <c r="B318" s="16"/>
      <c r="C318" s="16"/>
      <c r="D318" s="16"/>
      <c r="E318" s="16"/>
      <c r="F318" s="16"/>
      <c r="G318" s="16"/>
      <c r="H318" s="1092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spans="1:26" ht="15.75" customHeight="1">
      <c r="A319" s="16"/>
      <c r="B319" s="16"/>
      <c r="C319" s="16"/>
      <c r="D319" s="16"/>
      <c r="E319" s="16"/>
      <c r="F319" s="16"/>
      <c r="G319" s="16"/>
      <c r="H319" s="1092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spans="1:26" ht="15.75" customHeight="1">
      <c r="A320" s="16"/>
      <c r="B320" s="16"/>
      <c r="C320" s="16"/>
      <c r="D320" s="16"/>
      <c r="E320" s="16"/>
      <c r="F320" s="16"/>
      <c r="G320" s="16"/>
      <c r="H320" s="1092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spans="1:26" ht="15.75" customHeight="1">
      <c r="A321" s="16"/>
      <c r="B321" s="16"/>
      <c r="C321" s="16"/>
      <c r="D321" s="16"/>
      <c r="E321" s="16"/>
      <c r="F321" s="16"/>
      <c r="G321" s="16"/>
      <c r="H321" s="1092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spans="1:26" ht="15.75" customHeight="1">
      <c r="A322" s="16"/>
      <c r="B322" s="16"/>
      <c r="C322" s="16"/>
      <c r="D322" s="16"/>
      <c r="E322" s="16"/>
      <c r="F322" s="16"/>
      <c r="G322" s="16"/>
      <c r="H322" s="1092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spans="1:26" ht="15.75" customHeight="1">
      <c r="A323" s="16"/>
      <c r="B323" s="16"/>
      <c r="C323" s="16"/>
      <c r="D323" s="16"/>
      <c r="E323" s="16"/>
      <c r="F323" s="16"/>
      <c r="G323" s="16"/>
      <c r="H323" s="1092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spans="1:26" ht="15.75" customHeight="1">
      <c r="A324" s="16"/>
      <c r="B324" s="16"/>
      <c r="C324" s="16"/>
      <c r="D324" s="16"/>
      <c r="E324" s="16"/>
      <c r="F324" s="16"/>
      <c r="G324" s="16"/>
      <c r="H324" s="1092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spans="1:26" ht="15.75" customHeight="1">
      <c r="A325" s="16"/>
      <c r="B325" s="16"/>
      <c r="C325" s="16"/>
      <c r="D325" s="16"/>
      <c r="E325" s="16"/>
      <c r="F325" s="16"/>
      <c r="G325" s="16"/>
      <c r="H325" s="1092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spans="1:26" ht="15.75" customHeight="1">
      <c r="A326" s="16"/>
      <c r="B326" s="16"/>
      <c r="C326" s="16"/>
      <c r="D326" s="16"/>
      <c r="E326" s="16"/>
      <c r="F326" s="16"/>
      <c r="G326" s="16"/>
      <c r="H326" s="1092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spans="1:26" ht="15.75" customHeight="1">
      <c r="A327" s="16"/>
      <c r="B327" s="16"/>
      <c r="C327" s="16"/>
      <c r="D327" s="16"/>
      <c r="E327" s="16"/>
      <c r="F327" s="16"/>
      <c r="G327" s="16"/>
      <c r="H327" s="1092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spans="1:26" ht="15.75" customHeight="1">
      <c r="A328" s="16"/>
      <c r="B328" s="16"/>
      <c r="C328" s="16"/>
      <c r="D328" s="16"/>
      <c r="E328" s="16"/>
      <c r="F328" s="16"/>
      <c r="G328" s="16"/>
      <c r="H328" s="1092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spans="1:26" ht="15.75" customHeight="1">
      <c r="A329" s="16"/>
      <c r="B329" s="16"/>
      <c r="C329" s="16"/>
      <c r="D329" s="16"/>
      <c r="E329" s="16"/>
      <c r="F329" s="16"/>
      <c r="G329" s="16"/>
      <c r="H329" s="1092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spans="1:26" ht="15.75" customHeight="1">
      <c r="A330" s="16"/>
      <c r="B330" s="16"/>
      <c r="C330" s="16"/>
      <c r="D330" s="16"/>
      <c r="E330" s="16"/>
      <c r="F330" s="16"/>
      <c r="G330" s="16"/>
      <c r="H330" s="1092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spans="1:26" ht="15.75" customHeight="1">
      <c r="A331" s="16"/>
      <c r="B331" s="16"/>
      <c r="C331" s="16"/>
      <c r="D331" s="16"/>
      <c r="E331" s="16"/>
      <c r="F331" s="16"/>
      <c r="G331" s="16"/>
      <c r="H331" s="1092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spans="1:26" ht="15.75" customHeight="1">
      <c r="A332" s="16"/>
      <c r="B332" s="16"/>
      <c r="C332" s="16"/>
      <c r="D332" s="16"/>
      <c r="E332" s="16"/>
      <c r="F332" s="16"/>
      <c r="G332" s="16"/>
      <c r="H332" s="1092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spans="1:26" ht="15.75" customHeight="1">
      <c r="A333" s="16"/>
      <c r="B333" s="16"/>
      <c r="C333" s="16"/>
      <c r="D333" s="16"/>
      <c r="E333" s="16"/>
      <c r="F333" s="16"/>
      <c r="G333" s="16"/>
      <c r="H333" s="1092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spans="1:26" ht="15.75" customHeight="1">
      <c r="A334" s="16"/>
      <c r="B334" s="16"/>
      <c r="C334" s="16"/>
      <c r="D334" s="16"/>
      <c r="E334" s="16"/>
      <c r="F334" s="16"/>
      <c r="G334" s="16"/>
      <c r="H334" s="1092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spans="1:26" ht="15.75" customHeight="1">
      <c r="A335" s="16"/>
      <c r="B335" s="16"/>
      <c r="C335" s="16"/>
      <c r="D335" s="16"/>
      <c r="E335" s="16"/>
      <c r="F335" s="16"/>
      <c r="G335" s="16"/>
      <c r="H335" s="1092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spans="1:26" ht="15.75" customHeight="1">
      <c r="A336" s="16"/>
      <c r="B336" s="16"/>
      <c r="C336" s="16"/>
      <c r="D336" s="16"/>
      <c r="E336" s="16"/>
      <c r="F336" s="16"/>
      <c r="G336" s="16"/>
      <c r="H336" s="1092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spans="1:26" ht="15.75" customHeight="1">
      <c r="A337" s="16"/>
      <c r="B337" s="16"/>
      <c r="C337" s="16"/>
      <c r="D337" s="16"/>
      <c r="E337" s="16"/>
      <c r="F337" s="16"/>
      <c r="G337" s="16"/>
      <c r="H337" s="1092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spans="1:26" ht="15.75" customHeight="1">
      <c r="A338" s="16"/>
      <c r="B338" s="16"/>
      <c r="C338" s="16"/>
      <c r="D338" s="16"/>
      <c r="E338" s="16"/>
      <c r="F338" s="16"/>
      <c r="G338" s="16"/>
      <c r="H338" s="1092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spans="1:26" ht="15.75" customHeight="1">
      <c r="A339" s="16"/>
      <c r="B339" s="16"/>
      <c r="C339" s="16"/>
      <c r="D339" s="16"/>
      <c r="E339" s="16"/>
      <c r="F339" s="16"/>
      <c r="G339" s="16"/>
      <c r="H339" s="1092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spans="1:26" ht="15.75" customHeight="1">
      <c r="A340" s="16"/>
      <c r="B340" s="16"/>
      <c r="C340" s="16"/>
      <c r="D340" s="16"/>
      <c r="E340" s="16"/>
      <c r="F340" s="16"/>
      <c r="G340" s="16"/>
      <c r="H340" s="1092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spans="1:26" ht="15.75" customHeight="1">
      <c r="A341" s="16"/>
      <c r="B341" s="16"/>
      <c r="C341" s="16"/>
      <c r="D341" s="16"/>
      <c r="E341" s="16"/>
      <c r="F341" s="16"/>
      <c r="G341" s="16"/>
      <c r="H341" s="1092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spans="1:26" ht="15.75" customHeight="1">
      <c r="A342" s="16"/>
      <c r="B342" s="16"/>
      <c r="C342" s="16"/>
      <c r="D342" s="16"/>
      <c r="E342" s="16"/>
      <c r="F342" s="16"/>
      <c r="G342" s="16"/>
      <c r="H342" s="1092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spans="1:26" ht="15.75" customHeight="1">
      <c r="A343" s="16"/>
      <c r="B343" s="16"/>
      <c r="C343" s="16"/>
      <c r="D343" s="16"/>
      <c r="E343" s="16"/>
      <c r="F343" s="16"/>
      <c r="G343" s="16"/>
      <c r="H343" s="1092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spans="1:26" ht="15.75" customHeight="1">
      <c r="A344" s="16"/>
      <c r="B344" s="16"/>
      <c r="C344" s="16"/>
      <c r="D344" s="16"/>
      <c r="E344" s="16"/>
      <c r="F344" s="16"/>
      <c r="G344" s="16"/>
      <c r="H344" s="1092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spans="1:26" ht="15.75" customHeight="1">
      <c r="A345" s="16"/>
      <c r="B345" s="16"/>
      <c r="C345" s="16"/>
      <c r="D345" s="16"/>
      <c r="E345" s="16"/>
      <c r="F345" s="16"/>
      <c r="G345" s="16"/>
      <c r="H345" s="1092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spans="1:26" ht="15.75" customHeight="1">
      <c r="A346" s="16"/>
      <c r="B346" s="16"/>
      <c r="C346" s="16"/>
      <c r="D346" s="16"/>
      <c r="E346" s="16"/>
      <c r="F346" s="16"/>
      <c r="G346" s="16"/>
      <c r="H346" s="1092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spans="1:26" ht="15.75" customHeight="1">
      <c r="A347" s="16"/>
      <c r="B347" s="16"/>
      <c r="C347" s="16"/>
      <c r="D347" s="16"/>
      <c r="E347" s="16"/>
      <c r="F347" s="16"/>
      <c r="G347" s="16"/>
      <c r="H347" s="1092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spans="1:26" ht="15.75" customHeight="1">
      <c r="A348" s="16"/>
      <c r="B348" s="16"/>
      <c r="C348" s="16"/>
      <c r="D348" s="16"/>
      <c r="E348" s="16"/>
      <c r="F348" s="16"/>
      <c r="G348" s="16"/>
      <c r="H348" s="1092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spans="1:26" ht="15.75" customHeight="1">
      <c r="A349" s="16"/>
      <c r="B349" s="16"/>
      <c r="C349" s="16"/>
      <c r="D349" s="16"/>
      <c r="E349" s="16"/>
      <c r="F349" s="16"/>
      <c r="G349" s="16"/>
      <c r="H349" s="1092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spans="1:26" ht="15.75" customHeight="1">
      <c r="A350" s="16"/>
      <c r="B350" s="16"/>
      <c r="C350" s="16"/>
      <c r="D350" s="16"/>
      <c r="E350" s="16"/>
      <c r="F350" s="16"/>
      <c r="G350" s="16"/>
      <c r="H350" s="1092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spans="1:26" ht="15.75" customHeight="1">
      <c r="A351" s="16"/>
      <c r="B351" s="16"/>
      <c r="C351" s="16"/>
      <c r="D351" s="16"/>
      <c r="E351" s="16"/>
      <c r="F351" s="16"/>
      <c r="G351" s="16"/>
      <c r="H351" s="1092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spans="1:26" ht="15.75" customHeight="1">
      <c r="A352" s="16"/>
      <c r="B352" s="16"/>
      <c r="C352" s="16"/>
      <c r="D352" s="16"/>
      <c r="E352" s="16"/>
      <c r="F352" s="16"/>
      <c r="G352" s="16"/>
      <c r="H352" s="1092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spans="1:26" ht="15.75" customHeight="1">
      <c r="A353" s="16"/>
      <c r="B353" s="16"/>
      <c r="C353" s="16"/>
      <c r="D353" s="16"/>
      <c r="E353" s="16"/>
      <c r="F353" s="16"/>
      <c r="G353" s="16"/>
      <c r="H353" s="1092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spans="1:26" ht="15.75" customHeight="1">
      <c r="A354" s="16"/>
      <c r="B354" s="16"/>
      <c r="C354" s="16"/>
      <c r="D354" s="16"/>
      <c r="E354" s="16"/>
      <c r="F354" s="16"/>
      <c r="G354" s="16"/>
      <c r="H354" s="1092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spans="1:26" ht="15.75" customHeight="1">
      <c r="A355" s="16"/>
      <c r="B355" s="16"/>
      <c r="C355" s="16"/>
      <c r="D355" s="16"/>
      <c r="E355" s="16"/>
      <c r="F355" s="16"/>
      <c r="G355" s="16"/>
      <c r="H355" s="1092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spans="1:26" ht="15.75" customHeight="1">
      <c r="A356" s="16"/>
      <c r="B356" s="16"/>
      <c r="C356" s="16"/>
      <c r="D356" s="16"/>
      <c r="E356" s="16"/>
      <c r="F356" s="16"/>
      <c r="G356" s="16"/>
      <c r="H356" s="1092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spans="1:26" ht="15.75" customHeight="1">
      <c r="A357" s="16"/>
      <c r="B357" s="16"/>
      <c r="C357" s="16"/>
      <c r="D357" s="16"/>
      <c r="E357" s="16"/>
      <c r="F357" s="16"/>
      <c r="G357" s="16"/>
      <c r="H357" s="1092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spans="1:26" ht="15.75" customHeight="1">
      <c r="A358" s="16"/>
      <c r="B358" s="16"/>
      <c r="C358" s="16"/>
      <c r="D358" s="16"/>
      <c r="E358" s="16"/>
      <c r="F358" s="16"/>
      <c r="G358" s="16"/>
      <c r="H358" s="1092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spans="1:26" ht="15.75" customHeight="1">
      <c r="A359" s="16"/>
      <c r="B359" s="16"/>
      <c r="C359" s="16"/>
      <c r="D359" s="16"/>
      <c r="E359" s="16"/>
      <c r="F359" s="16"/>
      <c r="G359" s="16"/>
      <c r="H359" s="1092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spans="1:26" ht="15.75" customHeight="1">
      <c r="A360" s="16"/>
      <c r="B360" s="16"/>
      <c r="C360" s="16"/>
      <c r="D360" s="16"/>
      <c r="E360" s="16"/>
      <c r="F360" s="16"/>
      <c r="G360" s="16"/>
      <c r="H360" s="1092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spans="1:26" ht="15.75" customHeight="1">
      <c r="A361" s="16"/>
      <c r="B361" s="16"/>
      <c r="C361" s="16"/>
      <c r="D361" s="16"/>
      <c r="E361" s="16"/>
      <c r="F361" s="16"/>
      <c r="G361" s="16"/>
      <c r="H361" s="1092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spans="1:26" ht="15.75" customHeight="1">
      <c r="A362" s="16"/>
      <c r="B362" s="16"/>
      <c r="C362" s="16"/>
      <c r="D362" s="16"/>
      <c r="E362" s="16"/>
      <c r="F362" s="16"/>
      <c r="G362" s="16"/>
      <c r="H362" s="1092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spans="1:26" ht="15.75" customHeight="1">
      <c r="A363" s="16"/>
      <c r="B363" s="16"/>
      <c r="C363" s="16"/>
      <c r="D363" s="16"/>
      <c r="E363" s="16"/>
      <c r="F363" s="16"/>
      <c r="G363" s="16"/>
      <c r="H363" s="1092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spans="1:26" ht="15.75" customHeight="1">
      <c r="A364" s="16"/>
      <c r="B364" s="16"/>
      <c r="C364" s="16"/>
      <c r="D364" s="16"/>
      <c r="E364" s="16"/>
      <c r="F364" s="16"/>
      <c r="G364" s="16"/>
      <c r="H364" s="1092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spans="1:26" ht="15.75" customHeight="1">
      <c r="A365" s="16"/>
      <c r="B365" s="16"/>
      <c r="C365" s="16"/>
      <c r="D365" s="16"/>
      <c r="E365" s="16"/>
      <c r="F365" s="16"/>
      <c r="G365" s="16"/>
      <c r="H365" s="1092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spans="1:26" ht="15.75" customHeight="1">
      <c r="A366" s="16"/>
      <c r="B366" s="16"/>
      <c r="C366" s="16"/>
      <c r="D366" s="16"/>
      <c r="E366" s="16"/>
      <c r="F366" s="16"/>
      <c r="G366" s="16"/>
      <c r="H366" s="1092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spans="1:26" ht="15.75" customHeight="1">
      <c r="A367" s="16"/>
      <c r="B367" s="16"/>
      <c r="C367" s="16"/>
      <c r="D367" s="16"/>
      <c r="E367" s="16"/>
      <c r="F367" s="16"/>
      <c r="G367" s="16"/>
      <c r="H367" s="1092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spans="1:26" ht="15.75" customHeight="1">
      <c r="A368" s="16"/>
      <c r="B368" s="16"/>
      <c r="C368" s="16"/>
      <c r="D368" s="16"/>
      <c r="E368" s="16"/>
      <c r="F368" s="16"/>
      <c r="G368" s="16"/>
      <c r="H368" s="1092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spans="1:26" ht="15.75" customHeight="1">
      <c r="A369" s="16"/>
      <c r="B369" s="16"/>
      <c r="C369" s="16"/>
      <c r="D369" s="16"/>
      <c r="E369" s="16"/>
      <c r="F369" s="16"/>
      <c r="G369" s="16"/>
      <c r="H369" s="1092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spans="1:26" ht="15.75" customHeight="1">
      <c r="A370" s="16"/>
      <c r="B370" s="16"/>
      <c r="C370" s="16"/>
      <c r="D370" s="16"/>
      <c r="E370" s="16"/>
      <c r="F370" s="16"/>
      <c r="G370" s="16"/>
      <c r="H370" s="1092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spans="1:26" ht="15.75" customHeight="1">
      <c r="A371" s="16"/>
      <c r="B371" s="16"/>
      <c r="C371" s="16"/>
      <c r="D371" s="16"/>
      <c r="E371" s="16"/>
      <c r="F371" s="16"/>
      <c r="G371" s="16"/>
      <c r="H371" s="1092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spans="1:26" ht="15.75" customHeight="1">
      <c r="A372" s="16"/>
      <c r="B372" s="16"/>
      <c r="C372" s="16"/>
      <c r="D372" s="16"/>
      <c r="E372" s="16"/>
      <c r="F372" s="16"/>
      <c r="G372" s="16"/>
      <c r="H372" s="1092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spans="1:26" ht="15.75" customHeight="1">
      <c r="A373" s="16"/>
      <c r="B373" s="16"/>
      <c r="C373" s="16"/>
      <c r="D373" s="16"/>
      <c r="E373" s="16"/>
      <c r="F373" s="16"/>
      <c r="G373" s="16"/>
      <c r="H373" s="1092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spans="1:26" ht="15.75" customHeight="1">
      <c r="A374" s="16"/>
      <c r="B374" s="16"/>
      <c r="C374" s="16"/>
      <c r="D374" s="16"/>
      <c r="E374" s="16"/>
      <c r="F374" s="16"/>
      <c r="G374" s="16"/>
      <c r="H374" s="1092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spans="1:26" ht="15.75" customHeight="1">
      <c r="A375" s="16"/>
      <c r="B375" s="16"/>
      <c r="C375" s="16"/>
      <c r="D375" s="16"/>
      <c r="E375" s="16"/>
      <c r="F375" s="16"/>
      <c r="G375" s="16"/>
      <c r="H375" s="1092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spans="1:26" ht="15.75" customHeight="1">
      <c r="A376" s="16"/>
      <c r="B376" s="16"/>
      <c r="C376" s="16"/>
      <c r="D376" s="16"/>
      <c r="E376" s="16"/>
      <c r="F376" s="16"/>
      <c r="G376" s="16"/>
      <c r="H376" s="1092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spans="1:26" ht="15.75" customHeight="1">
      <c r="A377" s="16"/>
      <c r="B377" s="16"/>
      <c r="C377" s="16"/>
      <c r="D377" s="16"/>
      <c r="E377" s="16"/>
      <c r="F377" s="16"/>
      <c r="G377" s="16"/>
      <c r="H377" s="1092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spans="1:26" ht="15.75" customHeight="1">
      <c r="A378" s="16"/>
      <c r="B378" s="16"/>
      <c r="C378" s="16"/>
      <c r="D378" s="16"/>
      <c r="E378" s="16"/>
      <c r="F378" s="16"/>
      <c r="G378" s="16"/>
      <c r="H378" s="1092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spans="1:26" ht="15.75" customHeight="1">
      <c r="A379" s="16"/>
      <c r="B379" s="16"/>
      <c r="C379" s="16"/>
      <c r="D379" s="16"/>
      <c r="E379" s="16"/>
      <c r="F379" s="16"/>
      <c r="G379" s="16"/>
      <c r="H379" s="1092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spans="1:26" ht="15.75" customHeight="1">
      <c r="A380" s="16"/>
      <c r="B380" s="16"/>
      <c r="C380" s="16"/>
      <c r="D380" s="16"/>
      <c r="E380" s="16"/>
      <c r="F380" s="16"/>
      <c r="G380" s="16"/>
      <c r="H380" s="1092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spans="1:26" ht="15.75" customHeight="1">
      <c r="A381" s="16"/>
      <c r="B381" s="16"/>
      <c r="C381" s="16"/>
      <c r="D381" s="16"/>
      <c r="E381" s="16"/>
      <c r="F381" s="16"/>
      <c r="G381" s="16"/>
      <c r="H381" s="1092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spans="1:26" ht="15.75" customHeight="1">
      <c r="A382" s="16"/>
      <c r="B382" s="16"/>
      <c r="C382" s="16"/>
      <c r="D382" s="16"/>
      <c r="E382" s="16"/>
      <c r="F382" s="16"/>
      <c r="G382" s="16"/>
      <c r="H382" s="1092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spans="1:26" ht="15.75" customHeight="1">
      <c r="A383" s="16"/>
      <c r="B383" s="16"/>
      <c r="C383" s="16"/>
      <c r="D383" s="16"/>
      <c r="E383" s="16"/>
      <c r="F383" s="16"/>
      <c r="G383" s="16"/>
      <c r="H383" s="1092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spans="1:26" ht="15.75" customHeight="1">
      <c r="A384" s="16"/>
      <c r="B384" s="16"/>
      <c r="C384" s="16"/>
      <c r="D384" s="16"/>
      <c r="E384" s="16"/>
      <c r="F384" s="16"/>
      <c r="G384" s="16"/>
      <c r="H384" s="1092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spans="1:26" ht="15.75" customHeight="1">
      <c r="A385" s="16"/>
      <c r="B385" s="16"/>
      <c r="C385" s="16"/>
      <c r="D385" s="16"/>
      <c r="E385" s="16"/>
      <c r="F385" s="16"/>
      <c r="G385" s="16"/>
      <c r="H385" s="1092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spans="1:26" ht="15.75" customHeight="1">
      <c r="A386" s="16"/>
      <c r="B386" s="16"/>
      <c r="C386" s="16"/>
      <c r="D386" s="16"/>
      <c r="E386" s="16"/>
      <c r="F386" s="16"/>
      <c r="G386" s="16"/>
      <c r="H386" s="1092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spans="1:26" ht="15.75" customHeight="1">
      <c r="A387" s="16"/>
      <c r="B387" s="16"/>
      <c r="C387" s="16"/>
      <c r="D387" s="16"/>
      <c r="E387" s="16"/>
      <c r="F387" s="16"/>
      <c r="G387" s="16"/>
      <c r="H387" s="1092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spans="1:26" ht="15.75" customHeight="1">
      <c r="A388" s="16"/>
      <c r="B388" s="16"/>
      <c r="C388" s="16"/>
      <c r="D388" s="16"/>
      <c r="E388" s="16"/>
      <c r="F388" s="16"/>
      <c r="G388" s="16"/>
      <c r="H388" s="1092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spans="1:26" ht="15.75" customHeight="1">
      <c r="A389" s="16"/>
      <c r="B389" s="16"/>
      <c r="C389" s="16"/>
      <c r="D389" s="16"/>
      <c r="E389" s="16"/>
      <c r="F389" s="16"/>
      <c r="G389" s="16"/>
      <c r="H389" s="1092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spans="1:26" ht="15.75" customHeight="1">
      <c r="A390" s="16"/>
      <c r="B390" s="16"/>
      <c r="C390" s="16"/>
      <c r="D390" s="16"/>
      <c r="E390" s="16"/>
      <c r="F390" s="16"/>
      <c r="G390" s="16"/>
      <c r="H390" s="1092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spans="1:26" ht="15.75" customHeight="1">
      <c r="A391" s="16"/>
      <c r="B391" s="16"/>
      <c r="C391" s="16"/>
      <c r="D391" s="16"/>
      <c r="E391" s="16"/>
      <c r="F391" s="16"/>
      <c r="G391" s="16"/>
      <c r="H391" s="1092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spans="1:26" ht="15.75" customHeight="1">
      <c r="A392" s="16"/>
      <c r="B392" s="16"/>
      <c r="C392" s="16"/>
      <c r="D392" s="16"/>
      <c r="E392" s="16"/>
      <c r="F392" s="16"/>
      <c r="G392" s="16"/>
      <c r="H392" s="1092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spans="1:26" ht="15.75" customHeight="1">
      <c r="A393" s="16"/>
      <c r="B393" s="16"/>
      <c r="C393" s="16"/>
      <c r="D393" s="16"/>
      <c r="E393" s="16"/>
      <c r="F393" s="16"/>
      <c r="G393" s="16"/>
      <c r="H393" s="1092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spans="1:26" ht="15.75" customHeight="1">
      <c r="A394" s="16"/>
      <c r="B394" s="16"/>
      <c r="C394" s="16"/>
      <c r="D394" s="16"/>
      <c r="E394" s="16"/>
      <c r="F394" s="16"/>
      <c r="G394" s="16"/>
      <c r="H394" s="1092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spans="1:26" ht="15.75" customHeight="1">
      <c r="A395" s="16"/>
      <c r="B395" s="16"/>
      <c r="C395" s="16"/>
      <c r="D395" s="16"/>
      <c r="E395" s="16"/>
      <c r="F395" s="16"/>
      <c r="G395" s="16"/>
      <c r="H395" s="1092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spans="1:26" ht="15.75" customHeight="1">
      <c r="A396" s="16"/>
      <c r="B396" s="16"/>
      <c r="C396" s="16"/>
      <c r="D396" s="16"/>
      <c r="E396" s="16"/>
      <c r="F396" s="16"/>
      <c r="G396" s="16"/>
      <c r="H396" s="1092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spans="1:26" ht="15.75" customHeight="1">
      <c r="A397" s="16"/>
      <c r="B397" s="16"/>
      <c r="C397" s="16"/>
      <c r="D397" s="16"/>
      <c r="E397" s="16"/>
      <c r="F397" s="16"/>
      <c r="G397" s="16"/>
      <c r="H397" s="1092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spans="1:26" ht="15.75" customHeight="1">
      <c r="A398" s="16"/>
      <c r="B398" s="16"/>
      <c r="C398" s="16"/>
      <c r="D398" s="16"/>
      <c r="E398" s="16"/>
      <c r="F398" s="16"/>
      <c r="G398" s="16"/>
      <c r="H398" s="1092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spans="1:26" ht="15.75" customHeight="1">
      <c r="A399" s="16"/>
      <c r="B399" s="16"/>
      <c r="C399" s="16"/>
      <c r="D399" s="16"/>
      <c r="E399" s="16"/>
      <c r="F399" s="16"/>
      <c r="G399" s="16"/>
      <c r="H399" s="1092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spans="1:26" ht="15.75" customHeight="1">
      <c r="A400" s="16"/>
      <c r="B400" s="16"/>
      <c r="C400" s="16"/>
      <c r="D400" s="16"/>
      <c r="E400" s="16"/>
      <c r="F400" s="16"/>
      <c r="G400" s="16"/>
      <c r="H400" s="1092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spans="1:26" ht="15.75" customHeight="1">
      <c r="A401" s="16"/>
      <c r="B401" s="16"/>
      <c r="C401" s="16"/>
      <c r="D401" s="16"/>
      <c r="E401" s="16"/>
      <c r="F401" s="16"/>
      <c r="G401" s="16"/>
      <c r="H401" s="1092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spans="1:26" ht="15.75" customHeight="1">
      <c r="A402" s="16"/>
      <c r="B402" s="16"/>
      <c r="C402" s="16"/>
      <c r="D402" s="16"/>
      <c r="E402" s="16"/>
      <c r="F402" s="16"/>
      <c r="G402" s="16"/>
      <c r="H402" s="1092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spans="1:26" ht="15.75" customHeight="1">
      <c r="A403" s="16"/>
      <c r="B403" s="16"/>
      <c r="C403" s="16"/>
      <c r="D403" s="16"/>
      <c r="E403" s="16"/>
      <c r="F403" s="16"/>
      <c r="G403" s="16"/>
      <c r="H403" s="1092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spans="1:26" ht="15.75" customHeight="1">
      <c r="A404" s="16"/>
      <c r="B404" s="16"/>
      <c r="C404" s="16"/>
      <c r="D404" s="16"/>
      <c r="E404" s="16"/>
      <c r="F404" s="16"/>
      <c r="G404" s="16"/>
      <c r="H404" s="1092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spans="1:26" ht="15.75" customHeight="1">
      <c r="A405" s="16"/>
      <c r="B405" s="16"/>
      <c r="C405" s="16"/>
      <c r="D405" s="16"/>
      <c r="E405" s="16"/>
      <c r="F405" s="16"/>
      <c r="G405" s="16"/>
      <c r="H405" s="1092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spans="1:26" ht="15.75" customHeight="1">
      <c r="A406" s="16"/>
      <c r="B406" s="16"/>
      <c r="C406" s="16"/>
      <c r="D406" s="16"/>
      <c r="E406" s="16"/>
      <c r="F406" s="16"/>
      <c r="G406" s="16"/>
      <c r="H406" s="1092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spans="1:26" ht="15.75" customHeight="1">
      <c r="A407" s="16"/>
      <c r="B407" s="16"/>
      <c r="C407" s="16"/>
      <c r="D407" s="16"/>
      <c r="E407" s="16"/>
      <c r="F407" s="16"/>
      <c r="G407" s="16"/>
      <c r="H407" s="1092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spans="1:26" ht="15.75" customHeight="1">
      <c r="A408" s="16"/>
      <c r="B408" s="16"/>
      <c r="C408" s="16"/>
      <c r="D408" s="16"/>
      <c r="E408" s="16"/>
      <c r="F408" s="16"/>
      <c r="G408" s="16"/>
      <c r="H408" s="1092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spans="1:26" ht="15.75" customHeight="1">
      <c r="A409" s="16"/>
      <c r="B409" s="16"/>
      <c r="C409" s="16"/>
      <c r="D409" s="16"/>
      <c r="E409" s="16"/>
      <c r="F409" s="16"/>
      <c r="G409" s="16"/>
      <c r="H409" s="1092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spans="1:26" ht="15.75" customHeight="1">
      <c r="A410" s="16"/>
      <c r="B410" s="16"/>
      <c r="C410" s="16"/>
      <c r="D410" s="16"/>
      <c r="E410" s="16"/>
      <c r="F410" s="16"/>
      <c r="G410" s="16"/>
      <c r="H410" s="1092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spans="1:26" ht="15.75" customHeight="1">
      <c r="A411" s="16"/>
      <c r="B411" s="16"/>
      <c r="C411" s="16"/>
      <c r="D411" s="16"/>
      <c r="E411" s="16"/>
      <c r="F411" s="16"/>
      <c r="G411" s="16"/>
      <c r="H411" s="1092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spans="1:26" ht="15.75" customHeight="1">
      <c r="A412" s="16"/>
      <c r="B412" s="16"/>
      <c r="C412" s="16"/>
      <c r="D412" s="16"/>
      <c r="E412" s="16"/>
      <c r="F412" s="16"/>
      <c r="G412" s="16"/>
      <c r="H412" s="1092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spans="1:26" ht="15.75" customHeight="1">
      <c r="A413" s="16"/>
      <c r="B413" s="16"/>
      <c r="C413" s="16"/>
      <c r="D413" s="16"/>
      <c r="E413" s="16"/>
      <c r="F413" s="16"/>
      <c r="G413" s="16"/>
      <c r="H413" s="1092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spans="1:26" ht="15.75" customHeight="1">
      <c r="A414" s="16"/>
      <c r="B414" s="16"/>
      <c r="C414" s="16"/>
      <c r="D414" s="16"/>
      <c r="E414" s="16"/>
      <c r="F414" s="16"/>
      <c r="G414" s="16"/>
      <c r="H414" s="1092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spans="1:26" ht="15.75" customHeight="1">
      <c r="A415" s="16"/>
      <c r="B415" s="16"/>
      <c r="C415" s="16"/>
      <c r="D415" s="16"/>
      <c r="E415" s="16"/>
      <c r="F415" s="16"/>
      <c r="G415" s="16"/>
      <c r="H415" s="1092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spans="1:26" ht="15.75" customHeight="1">
      <c r="A416" s="16"/>
      <c r="B416" s="16"/>
      <c r="C416" s="16"/>
      <c r="D416" s="16"/>
      <c r="E416" s="16"/>
      <c r="F416" s="16"/>
      <c r="G416" s="16"/>
      <c r="H416" s="1092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spans="1:26" ht="15.75" customHeight="1">
      <c r="A417" s="16"/>
      <c r="B417" s="16"/>
      <c r="C417" s="16"/>
      <c r="D417" s="16"/>
      <c r="E417" s="16"/>
      <c r="F417" s="16"/>
      <c r="G417" s="16"/>
      <c r="H417" s="1092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spans="1:26" ht="15.75" customHeight="1">
      <c r="A418" s="16"/>
      <c r="B418" s="16"/>
      <c r="C418" s="16"/>
      <c r="D418" s="16"/>
      <c r="E418" s="16"/>
      <c r="F418" s="16"/>
      <c r="G418" s="16"/>
      <c r="H418" s="1092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spans="1:26" ht="15.75" customHeight="1">
      <c r="A419" s="16"/>
      <c r="B419" s="16"/>
      <c r="C419" s="16"/>
      <c r="D419" s="16"/>
      <c r="E419" s="16"/>
      <c r="F419" s="16"/>
      <c r="G419" s="16"/>
      <c r="H419" s="1092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spans="1:26" ht="15.75" customHeight="1">
      <c r="A420" s="16"/>
      <c r="B420" s="16"/>
      <c r="C420" s="16"/>
      <c r="D420" s="16"/>
      <c r="E420" s="16"/>
      <c r="F420" s="16"/>
      <c r="G420" s="16"/>
      <c r="H420" s="1092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spans="1:26" ht="15.75" customHeight="1">
      <c r="A421" s="16"/>
      <c r="B421" s="16"/>
      <c r="C421" s="16"/>
      <c r="D421" s="16"/>
      <c r="E421" s="16"/>
      <c r="F421" s="16"/>
      <c r="G421" s="16"/>
      <c r="H421" s="1092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spans="1:26" ht="15.75" customHeight="1">
      <c r="A422" s="16"/>
      <c r="B422" s="16"/>
      <c r="C422" s="16"/>
      <c r="D422" s="16"/>
      <c r="E422" s="16"/>
      <c r="F422" s="16"/>
      <c r="G422" s="16"/>
      <c r="H422" s="1092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spans="1:26" ht="15.75" customHeight="1">
      <c r="A423" s="16"/>
      <c r="B423" s="16"/>
      <c r="C423" s="16"/>
      <c r="D423" s="16"/>
      <c r="E423" s="16"/>
      <c r="F423" s="16"/>
      <c r="G423" s="16"/>
      <c r="H423" s="1092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spans="1:26" ht="15.75" customHeight="1">
      <c r="A424" s="16"/>
      <c r="B424" s="16"/>
      <c r="C424" s="16"/>
      <c r="D424" s="16"/>
      <c r="E424" s="16"/>
      <c r="F424" s="16"/>
      <c r="G424" s="16"/>
      <c r="H424" s="1092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spans="1:26" ht="15.75" customHeight="1">
      <c r="A425" s="16"/>
      <c r="B425" s="16"/>
      <c r="C425" s="16"/>
      <c r="D425" s="16"/>
      <c r="E425" s="16"/>
      <c r="F425" s="16"/>
      <c r="G425" s="16"/>
      <c r="H425" s="1092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spans="1:26" ht="15.75" customHeight="1">
      <c r="A426" s="16"/>
      <c r="B426" s="16"/>
      <c r="C426" s="16"/>
      <c r="D426" s="16"/>
      <c r="E426" s="16"/>
      <c r="F426" s="16"/>
      <c r="G426" s="16"/>
      <c r="H426" s="1092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spans="1:26" ht="15.75" customHeight="1">
      <c r="A427" s="16"/>
      <c r="B427" s="16"/>
      <c r="C427" s="16"/>
      <c r="D427" s="16"/>
      <c r="E427" s="16"/>
      <c r="F427" s="16"/>
      <c r="G427" s="16"/>
      <c r="H427" s="1092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spans="1:26" ht="15.75" customHeight="1">
      <c r="A428" s="16"/>
      <c r="B428" s="16"/>
      <c r="C428" s="16"/>
      <c r="D428" s="16"/>
      <c r="E428" s="16"/>
      <c r="F428" s="16"/>
      <c r="G428" s="16"/>
      <c r="H428" s="1092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spans="1:26" ht="15.75" customHeight="1">
      <c r="A429" s="16"/>
      <c r="B429" s="16"/>
      <c r="C429" s="16"/>
      <c r="D429" s="16"/>
      <c r="E429" s="16"/>
      <c r="F429" s="16"/>
      <c r="G429" s="16"/>
      <c r="H429" s="1092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spans="1:26" ht="15.75" customHeight="1">
      <c r="A430" s="16"/>
      <c r="B430" s="16"/>
      <c r="C430" s="16"/>
      <c r="D430" s="16"/>
      <c r="E430" s="16"/>
      <c r="F430" s="16"/>
      <c r="G430" s="16"/>
      <c r="H430" s="1092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spans="1:26" ht="15.75" customHeight="1">
      <c r="A431" s="16"/>
      <c r="B431" s="16"/>
      <c r="C431" s="16"/>
      <c r="D431" s="16"/>
      <c r="E431" s="16"/>
      <c r="F431" s="16"/>
      <c r="G431" s="16"/>
      <c r="H431" s="1092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spans="1:26" ht="15.75" customHeight="1">
      <c r="A432" s="16"/>
      <c r="B432" s="16"/>
      <c r="C432" s="16"/>
      <c r="D432" s="16"/>
      <c r="E432" s="16"/>
      <c r="F432" s="16"/>
      <c r="G432" s="16"/>
      <c r="H432" s="1092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spans="1:26" ht="15.75" customHeight="1">
      <c r="A433" s="16"/>
      <c r="B433" s="16"/>
      <c r="C433" s="16"/>
      <c r="D433" s="16"/>
      <c r="E433" s="16"/>
      <c r="F433" s="16"/>
      <c r="G433" s="16"/>
      <c r="H433" s="1092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spans="1:26" ht="15.75" customHeight="1">
      <c r="A434" s="16"/>
      <c r="B434" s="16"/>
      <c r="C434" s="16"/>
      <c r="D434" s="16"/>
      <c r="E434" s="16"/>
      <c r="F434" s="16"/>
      <c r="G434" s="16"/>
      <c r="H434" s="1092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spans="1:26" ht="15.75" customHeight="1">
      <c r="A435" s="16"/>
      <c r="B435" s="16"/>
      <c r="C435" s="16"/>
      <c r="D435" s="16"/>
      <c r="E435" s="16"/>
      <c r="F435" s="16"/>
      <c r="G435" s="16"/>
      <c r="H435" s="1092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spans="1:26" ht="15.75" customHeight="1">
      <c r="A436" s="16"/>
      <c r="B436" s="16"/>
      <c r="C436" s="16"/>
      <c r="D436" s="16"/>
      <c r="E436" s="16"/>
      <c r="F436" s="16"/>
      <c r="G436" s="16"/>
      <c r="H436" s="1092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spans="1:26" ht="15.75" customHeight="1">
      <c r="A437" s="16"/>
      <c r="B437" s="16"/>
      <c r="C437" s="16"/>
      <c r="D437" s="16"/>
      <c r="E437" s="16"/>
      <c r="F437" s="16"/>
      <c r="G437" s="16"/>
      <c r="H437" s="1092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spans="1:26" ht="15.75" customHeight="1">
      <c r="A438" s="16"/>
      <c r="B438" s="16"/>
      <c r="C438" s="16"/>
      <c r="D438" s="16"/>
      <c r="E438" s="16"/>
      <c r="F438" s="16"/>
      <c r="G438" s="16"/>
      <c r="H438" s="1092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spans="1:26" ht="15.75" customHeight="1">
      <c r="A439" s="16"/>
      <c r="B439" s="16"/>
      <c r="C439" s="16"/>
      <c r="D439" s="16"/>
      <c r="E439" s="16"/>
      <c r="F439" s="16"/>
      <c r="G439" s="16"/>
      <c r="H439" s="1092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spans="1:26" ht="15.75" customHeight="1">
      <c r="A440" s="16"/>
      <c r="B440" s="16"/>
      <c r="C440" s="16"/>
      <c r="D440" s="16"/>
      <c r="E440" s="16"/>
      <c r="F440" s="16"/>
      <c r="G440" s="16"/>
      <c r="H440" s="1092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spans="1:26" ht="15.75" customHeight="1">
      <c r="A441" s="16"/>
      <c r="B441" s="16"/>
      <c r="C441" s="16"/>
      <c r="D441" s="16"/>
      <c r="E441" s="16"/>
      <c r="F441" s="16"/>
      <c r="G441" s="16"/>
      <c r="H441" s="1092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spans="1:26" ht="15.75" customHeight="1">
      <c r="A442" s="16"/>
      <c r="B442" s="16"/>
      <c r="C442" s="16"/>
      <c r="D442" s="16"/>
      <c r="E442" s="16"/>
      <c r="F442" s="16"/>
      <c r="G442" s="16"/>
      <c r="H442" s="1092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spans="1:26" ht="15.75" customHeight="1">
      <c r="A443" s="16"/>
      <c r="B443" s="16"/>
      <c r="C443" s="16"/>
      <c r="D443" s="16"/>
      <c r="E443" s="16"/>
      <c r="F443" s="16"/>
      <c r="G443" s="16"/>
      <c r="H443" s="1092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spans="1:26" ht="15.75" customHeight="1">
      <c r="A444" s="16"/>
      <c r="B444" s="16"/>
      <c r="C444" s="16"/>
      <c r="D444" s="16"/>
      <c r="E444" s="16"/>
      <c r="F444" s="16"/>
      <c r="G444" s="16"/>
      <c r="H444" s="1092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spans="1:26" ht="15.75" customHeight="1">
      <c r="A445" s="16"/>
      <c r="B445" s="16"/>
      <c r="C445" s="16"/>
      <c r="D445" s="16"/>
      <c r="E445" s="16"/>
      <c r="F445" s="16"/>
      <c r="G445" s="16"/>
      <c r="H445" s="1092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spans="1:26" ht="15.75" customHeight="1">
      <c r="A446" s="16"/>
      <c r="B446" s="16"/>
      <c r="C446" s="16"/>
      <c r="D446" s="16"/>
      <c r="E446" s="16"/>
      <c r="F446" s="16"/>
      <c r="G446" s="16"/>
      <c r="H446" s="1092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spans="1:26" ht="15.75" customHeight="1">
      <c r="A447" s="16"/>
      <c r="B447" s="16"/>
      <c r="C447" s="16"/>
      <c r="D447" s="16"/>
      <c r="E447" s="16"/>
      <c r="F447" s="16"/>
      <c r="G447" s="16"/>
      <c r="H447" s="1092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spans="1:26" ht="15.75" customHeight="1">
      <c r="A448" s="16"/>
      <c r="B448" s="16"/>
      <c r="C448" s="16"/>
      <c r="D448" s="16"/>
      <c r="E448" s="16"/>
      <c r="F448" s="16"/>
      <c r="G448" s="16"/>
      <c r="H448" s="1092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spans="1:26" ht="15.75" customHeight="1">
      <c r="A449" s="16"/>
      <c r="B449" s="16"/>
      <c r="C449" s="16"/>
      <c r="D449" s="16"/>
      <c r="E449" s="16"/>
      <c r="F449" s="16"/>
      <c r="G449" s="16"/>
      <c r="H449" s="1092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spans="1:26" ht="15.75" customHeight="1">
      <c r="A450" s="16"/>
      <c r="B450" s="16"/>
      <c r="C450" s="16"/>
      <c r="D450" s="16"/>
      <c r="E450" s="16"/>
      <c r="F450" s="16"/>
      <c r="G450" s="16"/>
      <c r="H450" s="1092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spans="1:26" ht="15.75" customHeight="1">
      <c r="A451" s="16"/>
      <c r="B451" s="16"/>
      <c r="C451" s="16"/>
      <c r="D451" s="16"/>
      <c r="E451" s="16"/>
      <c r="F451" s="16"/>
      <c r="G451" s="16"/>
      <c r="H451" s="1092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spans="1:26" ht="15.75" customHeight="1">
      <c r="A452" s="16"/>
      <c r="B452" s="16"/>
      <c r="C452" s="16"/>
      <c r="D452" s="16"/>
      <c r="E452" s="16"/>
      <c r="F452" s="16"/>
      <c r="G452" s="16"/>
      <c r="H452" s="1092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spans="1:26" ht="15.75" customHeight="1">
      <c r="A453" s="16"/>
      <c r="B453" s="16"/>
      <c r="C453" s="16"/>
      <c r="D453" s="16"/>
      <c r="E453" s="16"/>
      <c r="F453" s="16"/>
      <c r="G453" s="16"/>
      <c r="H453" s="1092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spans="1:26" ht="15.75" customHeight="1">
      <c r="A454" s="16"/>
      <c r="B454" s="16"/>
      <c r="C454" s="16"/>
      <c r="D454" s="16"/>
      <c r="E454" s="16"/>
      <c r="F454" s="16"/>
      <c r="G454" s="16"/>
      <c r="H454" s="1092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spans="1:26" ht="15.75" customHeight="1">
      <c r="A455" s="16"/>
      <c r="B455" s="16"/>
      <c r="C455" s="16"/>
      <c r="D455" s="16"/>
      <c r="E455" s="16"/>
      <c r="F455" s="16"/>
      <c r="G455" s="16"/>
      <c r="H455" s="1092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spans="1:26" ht="15.75" customHeight="1">
      <c r="A456" s="16"/>
      <c r="B456" s="16"/>
      <c r="C456" s="16"/>
      <c r="D456" s="16"/>
      <c r="E456" s="16"/>
      <c r="F456" s="16"/>
      <c r="G456" s="16"/>
      <c r="H456" s="1092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spans="1:26" ht="15.75" customHeight="1">
      <c r="A457" s="16"/>
      <c r="B457" s="16"/>
      <c r="C457" s="16"/>
      <c r="D457" s="16"/>
      <c r="E457" s="16"/>
      <c r="F457" s="16"/>
      <c r="G457" s="16"/>
      <c r="H457" s="1092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spans="1:26" ht="15.75" customHeight="1">
      <c r="A458" s="16"/>
      <c r="B458" s="16"/>
      <c r="C458" s="16"/>
      <c r="D458" s="16"/>
      <c r="E458" s="16"/>
      <c r="F458" s="16"/>
      <c r="G458" s="16"/>
      <c r="H458" s="1092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spans="1:26" ht="15.75" customHeight="1">
      <c r="A459" s="16"/>
      <c r="B459" s="16"/>
      <c r="C459" s="16"/>
      <c r="D459" s="16"/>
      <c r="E459" s="16"/>
      <c r="F459" s="16"/>
      <c r="G459" s="16"/>
      <c r="H459" s="1092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spans="1:26" ht="15.75" customHeight="1">
      <c r="A460" s="16"/>
      <c r="B460" s="16"/>
      <c r="C460" s="16"/>
      <c r="D460" s="16"/>
      <c r="E460" s="16"/>
      <c r="F460" s="16"/>
      <c r="G460" s="16"/>
      <c r="H460" s="1092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spans="1:26" ht="15.75" customHeight="1">
      <c r="A461" s="16"/>
      <c r="B461" s="16"/>
      <c r="C461" s="16"/>
      <c r="D461" s="16"/>
      <c r="E461" s="16"/>
      <c r="F461" s="16"/>
      <c r="G461" s="16"/>
      <c r="H461" s="1092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spans="1:26" ht="15.75" customHeight="1">
      <c r="A462" s="16"/>
      <c r="B462" s="16"/>
      <c r="C462" s="16"/>
      <c r="D462" s="16"/>
      <c r="E462" s="16"/>
      <c r="F462" s="16"/>
      <c r="G462" s="16"/>
      <c r="H462" s="1092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spans="1:26" ht="15.75" customHeight="1">
      <c r="A463" s="16"/>
      <c r="B463" s="16"/>
      <c r="C463" s="16"/>
      <c r="D463" s="16"/>
      <c r="E463" s="16"/>
      <c r="F463" s="16"/>
      <c r="G463" s="16"/>
      <c r="H463" s="1092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spans="1:26" ht="15.75" customHeight="1">
      <c r="A464" s="16"/>
      <c r="B464" s="16"/>
      <c r="C464" s="16"/>
      <c r="D464" s="16"/>
      <c r="E464" s="16"/>
      <c r="F464" s="16"/>
      <c r="G464" s="16"/>
      <c r="H464" s="1092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spans="1:26" ht="15.75" customHeight="1">
      <c r="A465" s="16"/>
      <c r="B465" s="16"/>
      <c r="C465" s="16"/>
      <c r="D465" s="16"/>
      <c r="E465" s="16"/>
      <c r="F465" s="16"/>
      <c r="G465" s="16"/>
      <c r="H465" s="1092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spans="1:26" ht="15.75" customHeight="1">
      <c r="A466" s="16"/>
      <c r="B466" s="16"/>
      <c r="C466" s="16"/>
      <c r="D466" s="16"/>
      <c r="E466" s="16"/>
      <c r="F466" s="16"/>
      <c r="G466" s="16"/>
      <c r="H466" s="1092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spans="1:26" ht="15.75" customHeight="1">
      <c r="A467" s="16"/>
      <c r="B467" s="16"/>
      <c r="C467" s="16"/>
      <c r="D467" s="16"/>
      <c r="E467" s="16"/>
      <c r="F467" s="16"/>
      <c r="G467" s="16"/>
      <c r="H467" s="1092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spans="1:26" ht="15.75" customHeight="1">
      <c r="A468" s="16"/>
      <c r="B468" s="16"/>
      <c r="C468" s="16"/>
      <c r="D468" s="16"/>
      <c r="E468" s="16"/>
      <c r="F468" s="16"/>
      <c r="G468" s="16"/>
      <c r="H468" s="1092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spans="1:26" ht="15.75" customHeight="1">
      <c r="A469" s="16"/>
      <c r="B469" s="16"/>
      <c r="C469" s="16"/>
      <c r="D469" s="16"/>
      <c r="E469" s="16"/>
      <c r="F469" s="16"/>
      <c r="G469" s="16"/>
      <c r="H469" s="1092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spans="1:26" ht="15.75" customHeight="1">
      <c r="A470" s="16"/>
      <c r="B470" s="16"/>
      <c r="C470" s="16"/>
      <c r="D470" s="16"/>
      <c r="E470" s="16"/>
      <c r="F470" s="16"/>
      <c r="G470" s="16"/>
      <c r="H470" s="1092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spans="1:26" ht="15.75" customHeight="1">
      <c r="A471" s="16"/>
      <c r="B471" s="16"/>
      <c r="C471" s="16"/>
      <c r="D471" s="16"/>
      <c r="E471" s="16"/>
      <c r="F471" s="16"/>
      <c r="G471" s="16"/>
      <c r="H471" s="1092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spans="1:26" ht="15.75" customHeight="1">
      <c r="A472" s="16"/>
      <c r="B472" s="16"/>
      <c r="C472" s="16"/>
      <c r="D472" s="16"/>
      <c r="E472" s="16"/>
      <c r="F472" s="16"/>
      <c r="G472" s="16"/>
      <c r="H472" s="1092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spans="1:26" ht="15.75" customHeight="1">
      <c r="A473" s="16"/>
      <c r="B473" s="16"/>
      <c r="C473" s="16"/>
      <c r="D473" s="16"/>
      <c r="E473" s="16"/>
      <c r="F473" s="16"/>
      <c r="G473" s="16"/>
      <c r="H473" s="1092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spans="1:26" ht="15.75" customHeight="1">
      <c r="A474" s="16"/>
      <c r="B474" s="16"/>
      <c r="C474" s="16"/>
      <c r="D474" s="16"/>
      <c r="E474" s="16"/>
      <c r="F474" s="16"/>
      <c r="G474" s="16"/>
      <c r="H474" s="1092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spans="1:26" ht="15.75" customHeight="1">
      <c r="A475" s="16"/>
      <c r="B475" s="16"/>
      <c r="C475" s="16"/>
      <c r="D475" s="16"/>
      <c r="E475" s="16"/>
      <c r="F475" s="16"/>
      <c r="G475" s="16"/>
      <c r="H475" s="1092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spans="1:26" ht="15.75" customHeight="1">
      <c r="A476" s="16"/>
      <c r="B476" s="16"/>
      <c r="C476" s="16"/>
      <c r="D476" s="16"/>
      <c r="E476" s="16"/>
      <c r="F476" s="16"/>
      <c r="G476" s="16"/>
      <c r="H476" s="1092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spans="1:26" ht="15.75" customHeight="1">
      <c r="A477" s="16"/>
      <c r="B477" s="16"/>
      <c r="C477" s="16"/>
      <c r="D477" s="16"/>
      <c r="E477" s="16"/>
      <c r="F477" s="16"/>
      <c r="G477" s="16"/>
      <c r="H477" s="1092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spans="1:26" ht="15.75" customHeight="1">
      <c r="A478" s="16"/>
      <c r="B478" s="16"/>
      <c r="C478" s="16"/>
      <c r="D478" s="16"/>
      <c r="E478" s="16"/>
      <c r="F478" s="16"/>
      <c r="G478" s="16"/>
      <c r="H478" s="1092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spans="1:26" ht="15.75" customHeight="1">
      <c r="A479" s="16"/>
      <c r="B479" s="16"/>
      <c r="C479" s="16"/>
      <c r="D479" s="16"/>
      <c r="E479" s="16"/>
      <c r="F479" s="16"/>
      <c r="G479" s="16"/>
      <c r="H479" s="1092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spans="1:26" ht="15.75" customHeight="1">
      <c r="A480" s="16"/>
      <c r="B480" s="16"/>
      <c r="C480" s="16"/>
      <c r="D480" s="16"/>
      <c r="E480" s="16"/>
      <c r="F480" s="16"/>
      <c r="G480" s="16"/>
      <c r="H480" s="1092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spans="1:26" ht="15.75" customHeight="1">
      <c r="A481" s="16"/>
      <c r="B481" s="16"/>
      <c r="C481" s="16"/>
      <c r="D481" s="16"/>
      <c r="E481" s="16"/>
      <c r="F481" s="16"/>
      <c r="G481" s="16"/>
      <c r="H481" s="1092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spans="1:26" ht="15.75" customHeight="1">
      <c r="A482" s="16"/>
      <c r="B482" s="16"/>
      <c r="C482" s="16"/>
      <c r="D482" s="16"/>
      <c r="E482" s="16"/>
      <c r="F482" s="16"/>
      <c r="G482" s="16"/>
      <c r="H482" s="1092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spans="1:26" ht="15.75" customHeight="1">
      <c r="A483" s="16"/>
      <c r="B483" s="16"/>
      <c r="C483" s="16"/>
      <c r="D483" s="16"/>
      <c r="E483" s="16"/>
      <c r="F483" s="16"/>
      <c r="G483" s="16"/>
      <c r="H483" s="1092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spans="1:26" ht="15.75" customHeight="1">
      <c r="A484" s="16"/>
      <c r="B484" s="16"/>
      <c r="C484" s="16"/>
      <c r="D484" s="16"/>
      <c r="E484" s="16"/>
      <c r="F484" s="16"/>
      <c r="G484" s="16"/>
      <c r="H484" s="1092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spans="1:26" ht="15.75" customHeight="1">
      <c r="A485" s="16"/>
      <c r="B485" s="16"/>
      <c r="C485" s="16"/>
      <c r="D485" s="16"/>
      <c r="E485" s="16"/>
      <c r="F485" s="16"/>
      <c r="G485" s="16"/>
      <c r="H485" s="1092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spans="1:26" ht="15.75" customHeight="1">
      <c r="A486" s="16"/>
      <c r="B486" s="16"/>
      <c r="C486" s="16"/>
      <c r="D486" s="16"/>
      <c r="E486" s="16"/>
      <c r="F486" s="16"/>
      <c r="G486" s="16"/>
      <c r="H486" s="1092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spans="1:26" ht="15.75" customHeight="1">
      <c r="A487" s="16"/>
      <c r="B487" s="16"/>
      <c r="C487" s="16"/>
      <c r="D487" s="16"/>
      <c r="E487" s="16"/>
      <c r="F487" s="16"/>
      <c r="G487" s="16"/>
      <c r="H487" s="1092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spans="1:26" ht="15.75" customHeight="1">
      <c r="A488" s="16"/>
      <c r="B488" s="16"/>
      <c r="C488" s="16"/>
      <c r="D488" s="16"/>
      <c r="E488" s="16"/>
      <c r="F488" s="16"/>
      <c r="G488" s="16"/>
      <c r="H488" s="1092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spans="1:26" ht="15.75" customHeight="1">
      <c r="A489" s="16"/>
      <c r="B489" s="16"/>
      <c r="C489" s="16"/>
      <c r="D489" s="16"/>
      <c r="E489" s="16"/>
      <c r="F489" s="16"/>
      <c r="G489" s="16"/>
      <c r="H489" s="1092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spans="1:26" ht="15.75" customHeight="1">
      <c r="A490" s="16"/>
      <c r="B490" s="16"/>
      <c r="C490" s="16"/>
      <c r="D490" s="16"/>
      <c r="E490" s="16"/>
      <c r="F490" s="16"/>
      <c r="G490" s="16"/>
      <c r="H490" s="1092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spans="1:26" ht="15.75" customHeight="1">
      <c r="A491" s="16"/>
      <c r="B491" s="16"/>
      <c r="C491" s="16"/>
      <c r="D491" s="16"/>
      <c r="E491" s="16"/>
      <c r="F491" s="16"/>
      <c r="G491" s="16"/>
      <c r="H491" s="1092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spans="1:26" ht="15.75" customHeight="1">
      <c r="A492" s="16"/>
      <c r="B492" s="16"/>
      <c r="C492" s="16"/>
      <c r="D492" s="16"/>
      <c r="E492" s="16"/>
      <c r="F492" s="16"/>
      <c r="G492" s="16"/>
      <c r="H492" s="1092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spans="1:26" ht="15.75" customHeight="1">
      <c r="A493" s="16"/>
      <c r="B493" s="16"/>
      <c r="C493" s="16"/>
      <c r="D493" s="16"/>
      <c r="E493" s="16"/>
      <c r="F493" s="16"/>
      <c r="G493" s="16"/>
      <c r="H493" s="1092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spans="1:26" ht="15.75" customHeight="1">
      <c r="A494" s="16"/>
      <c r="B494" s="16"/>
      <c r="C494" s="16"/>
      <c r="D494" s="16"/>
      <c r="E494" s="16"/>
      <c r="F494" s="16"/>
      <c r="G494" s="16"/>
      <c r="H494" s="1092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spans="1:26" ht="15.75" customHeight="1">
      <c r="A495" s="16"/>
      <c r="B495" s="16"/>
      <c r="C495" s="16"/>
      <c r="D495" s="16"/>
      <c r="E495" s="16"/>
      <c r="F495" s="16"/>
      <c r="G495" s="16"/>
      <c r="H495" s="1092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spans="1:26" ht="15.75" customHeight="1">
      <c r="A496" s="16"/>
      <c r="B496" s="16"/>
      <c r="C496" s="16"/>
      <c r="D496" s="16"/>
      <c r="E496" s="16"/>
      <c r="F496" s="16"/>
      <c r="G496" s="16"/>
      <c r="H496" s="1092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spans="1:26" ht="15.75" customHeight="1">
      <c r="A497" s="16"/>
      <c r="B497" s="16"/>
      <c r="C497" s="16"/>
      <c r="D497" s="16"/>
      <c r="E497" s="16"/>
      <c r="F497" s="16"/>
      <c r="G497" s="16"/>
      <c r="H497" s="1092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spans="1:26" ht="15.75" customHeight="1">
      <c r="A498" s="16"/>
      <c r="B498" s="16"/>
      <c r="C498" s="16"/>
      <c r="D498" s="16"/>
      <c r="E498" s="16"/>
      <c r="F498" s="16"/>
      <c r="G498" s="16"/>
      <c r="H498" s="1092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spans="1:26" ht="15.75" customHeight="1">
      <c r="A499" s="16"/>
      <c r="B499" s="16"/>
      <c r="C499" s="16"/>
      <c r="D499" s="16"/>
      <c r="E499" s="16"/>
      <c r="F499" s="16"/>
      <c r="G499" s="16"/>
      <c r="H499" s="1092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spans="1:26" ht="15.75" customHeight="1">
      <c r="A500" s="16"/>
      <c r="B500" s="16"/>
      <c r="C500" s="16"/>
      <c r="D500" s="16"/>
      <c r="E500" s="16"/>
      <c r="F500" s="16"/>
      <c r="G500" s="16"/>
      <c r="H500" s="1092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spans="1:26" ht="15.75" customHeight="1">
      <c r="A501" s="16"/>
      <c r="B501" s="16"/>
      <c r="C501" s="16"/>
      <c r="D501" s="16"/>
      <c r="E501" s="16"/>
      <c r="F501" s="16"/>
      <c r="G501" s="16"/>
      <c r="H501" s="1092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spans="1:26" ht="15.75" customHeight="1">
      <c r="A502" s="16"/>
      <c r="B502" s="16"/>
      <c r="C502" s="16"/>
      <c r="D502" s="16"/>
      <c r="E502" s="16"/>
      <c r="F502" s="16"/>
      <c r="G502" s="16"/>
      <c r="H502" s="1092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spans="1:26" ht="15.75" customHeight="1">
      <c r="A503" s="16"/>
      <c r="B503" s="16"/>
      <c r="C503" s="16"/>
      <c r="D503" s="16"/>
      <c r="E503" s="16"/>
      <c r="F503" s="16"/>
      <c r="G503" s="16"/>
      <c r="H503" s="1092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spans="1:26" ht="15.75" customHeight="1">
      <c r="A504" s="16"/>
      <c r="B504" s="16"/>
      <c r="C504" s="16"/>
      <c r="D504" s="16"/>
      <c r="E504" s="16"/>
      <c r="F504" s="16"/>
      <c r="G504" s="16"/>
      <c r="H504" s="1092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spans="1:26" ht="15.75" customHeight="1">
      <c r="A505" s="16"/>
      <c r="B505" s="16"/>
      <c r="C505" s="16"/>
      <c r="D505" s="16"/>
      <c r="E505" s="16"/>
      <c r="F505" s="16"/>
      <c r="G505" s="16"/>
      <c r="H505" s="1092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spans="1:26" ht="15.75" customHeight="1">
      <c r="A506" s="16"/>
      <c r="B506" s="16"/>
      <c r="C506" s="16"/>
      <c r="D506" s="16"/>
      <c r="E506" s="16"/>
      <c r="F506" s="16"/>
      <c r="G506" s="16"/>
      <c r="H506" s="1092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spans="1:26" ht="15.75" customHeight="1">
      <c r="A507" s="16"/>
      <c r="B507" s="16"/>
      <c r="C507" s="16"/>
      <c r="D507" s="16"/>
      <c r="E507" s="16"/>
      <c r="F507" s="16"/>
      <c r="G507" s="16"/>
      <c r="H507" s="1092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spans="1:26" ht="15.75" customHeight="1">
      <c r="A508" s="16"/>
      <c r="B508" s="16"/>
      <c r="C508" s="16"/>
      <c r="D508" s="16"/>
      <c r="E508" s="16"/>
      <c r="F508" s="16"/>
      <c r="G508" s="16"/>
      <c r="H508" s="1092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spans="1:26" ht="15.75" customHeight="1">
      <c r="A509" s="16"/>
      <c r="B509" s="16"/>
      <c r="C509" s="16"/>
      <c r="D509" s="16"/>
      <c r="E509" s="16"/>
      <c r="F509" s="16"/>
      <c r="G509" s="16"/>
      <c r="H509" s="1092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spans="1:26" ht="15.75" customHeight="1">
      <c r="A510" s="16"/>
      <c r="B510" s="16"/>
      <c r="C510" s="16"/>
      <c r="D510" s="16"/>
      <c r="E510" s="16"/>
      <c r="F510" s="16"/>
      <c r="G510" s="16"/>
      <c r="H510" s="1092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spans="1:26" ht="15.75" customHeight="1">
      <c r="A511" s="16"/>
      <c r="B511" s="16"/>
      <c r="C511" s="16"/>
      <c r="D511" s="16"/>
      <c r="E511" s="16"/>
      <c r="F511" s="16"/>
      <c r="G511" s="16"/>
      <c r="H511" s="1092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spans="1:26" ht="15.75" customHeight="1">
      <c r="A512" s="16"/>
      <c r="B512" s="16"/>
      <c r="C512" s="16"/>
      <c r="D512" s="16"/>
      <c r="E512" s="16"/>
      <c r="F512" s="16"/>
      <c r="G512" s="16"/>
      <c r="H512" s="1092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spans="1:26" ht="15.75" customHeight="1">
      <c r="A513" s="16"/>
      <c r="B513" s="16"/>
      <c r="C513" s="16"/>
      <c r="D513" s="16"/>
      <c r="E513" s="16"/>
      <c r="F513" s="16"/>
      <c r="G513" s="16"/>
      <c r="H513" s="1092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spans="1:26" ht="15.75" customHeight="1">
      <c r="A514" s="16"/>
      <c r="B514" s="16"/>
      <c r="C514" s="16"/>
      <c r="D514" s="16"/>
      <c r="E514" s="16"/>
      <c r="F514" s="16"/>
      <c r="G514" s="16"/>
      <c r="H514" s="1092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spans="1:26" ht="15.75" customHeight="1">
      <c r="A515" s="16"/>
      <c r="B515" s="16"/>
      <c r="C515" s="16"/>
      <c r="D515" s="16"/>
      <c r="E515" s="16"/>
      <c r="F515" s="16"/>
      <c r="G515" s="16"/>
      <c r="H515" s="1092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spans="1:26" ht="15.75" customHeight="1">
      <c r="A516" s="16"/>
      <c r="B516" s="16"/>
      <c r="C516" s="16"/>
      <c r="D516" s="16"/>
      <c r="E516" s="16"/>
      <c r="F516" s="16"/>
      <c r="G516" s="16"/>
      <c r="H516" s="1092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spans="1:26" ht="15.75" customHeight="1">
      <c r="A517" s="16"/>
      <c r="B517" s="16"/>
      <c r="C517" s="16"/>
      <c r="D517" s="16"/>
      <c r="E517" s="16"/>
      <c r="F517" s="16"/>
      <c r="G517" s="16"/>
      <c r="H517" s="1092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spans="1:26" ht="15.75" customHeight="1">
      <c r="A518" s="16"/>
      <c r="B518" s="16"/>
      <c r="C518" s="16"/>
      <c r="D518" s="16"/>
      <c r="E518" s="16"/>
      <c r="F518" s="16"/>
      <c r="G518" s="16"/>
      <c r="H518" s="1092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spans="1:26" ht="15.75" customHeight="1">
      <c r="A519" s="16"/>
      <c r="B519" s="16"/>
      <c r="C519" s="16"/>
      <c r="D519" s="16"/>
      <c r="E519" s="16"/>
      <c r="F519" s="16"/>
      <c r="G519" s="16"/>
      <c r="H519" s="1092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spans="1:26" ht="15.75" customHeight="1">
      <c r="A520" s="16"/>
      <c r="B520" s="16"/>
      <c r="C520" s="16"/>
      <c r="D520" s="16"/>
      <c r="E520" s="16"/>
      <c r="F520" s="16"/>
      <c r="G520" s="16"/>
      <c r="H520" s="1092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spans="1:26" ht="15.75" customHeight="1">
      <c r="A521" s="16"/>
      <c r="B521" s="16"/>
      <c r="C521" s="16"/>
      <c r="D521" s="16"/>
      <c r="E521" s="16"/>
      <c r="F521" s="16"/>
      <c r="G521" s="16"/>
      <c r="H521" s="1092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spans="1:26" ht="15.75" customHeight="1">
      <c r="A522" s="16"/>
      <c r="B522" s="16"/>
      <c r="C522" s="16"/>
      <c r="D522" s="16"/>
      <c r="E522" s="16"/>
      <c r="F522" s="16"/>
      <c r="G522" s="16"/>
      <c r="H522" s="1092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spans="1:26" ht="15.75" customHeight="1">
      <c r="A523" s="16"/>
      <c r="B523" s="16"/>
      <c r="C523" s="16"/>
      <c r="D523" s="16"/>
      <c r="E523" s="16"/>
      <c r="F523" s="16"/>
      <c r="G523" s="16"/>
      <c r="H523" s="1092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spans="1:26" ht="15.75" customHeight="1">
      <c r="A524" s="16"/>
      <c r="B524" s="16"/>
      <c r="C524" s="16"/>
      <c r="D524" s="16"/>
      <c r="E524" s="16"/>
      <c r="F524" s="16"/>
      <c r="G524" s="16"/>
      <c r="H524" s="1092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spans="1:26" ht="15.75" customHeight="1">
      <c r="A525" s="16"/>
      <c r="B525" s="16"/>
      <c r="C525" s="16"/>
      <c r="D525" s="16"/>
      <c r="E525" s="16"/>
      <c r="F525" s="16"/>
      <c r="G525" s="16"/>
      <c r="H525" s="1092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spans="1:26" ht="15.75" customHeight="1">
      <c r="A526" s="16"/>
      <c r="B526" s="16"/>
      <c r="C526" s="16"/>
      <c r="D526" s="16"/>
      <c r="E526" s="16"/>
      <c r="F526" s="16"/>
      <c r="G526" s="16"/>
      <c r="H526" s="1092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spans="1:26" ht="15.75" customHeight="1">
      <c r="A527" s="16"/>
      <c r="B527" s="16"/>
      <c r="C527" s="16"/>
      <c r="D527" s="16"/>
      <c r="E527" s="16"/>
      <c r="F527" s="16"/>
      <c r="G527" s="16"/>
      <c r="H527" s="1092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spans="1:26" ht="15.75" customHeight="1">
      <c r="A528" s="16"/>
      <c r="B528" s="16"/>
      <c r="C528" s="16"/>
      <c r="D528" s="16"/>
      <c r="E528" s="16"/>
      <c r="F528" s="16"/>
      <c r="G528" s="16"/>
      <c r="H528" s="1092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spans="1:26" ht="15.75" customHeight="1">
      <c r="A529" s="16"/>
      <c r="B529" s="16"/>
      <c r="C529" s="16"/>
      <c r="D529" s="16"/>
      <c r="E529" s="16"/>
      <c r="F529" s="16"/>
      <c r="G529" s="16"/>
      <c r="H529" s="1092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spans="1:26" ht="15.75" customHeight="1">
      <c r="A530" s="16"/>
      <c r="B530" s="16"/>
      <c r="C530" s="16"/>
      <c r="D530" s="16"/>
      <c r="E530" s="16"/>
      <c r="F530" s="16"/>
      <c r="G530" s="16"/>
      <c r="H530" s="1092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spans="1:26" ht="15.75" customHeight="1">
      <c r="A531" s="16"/>
      <c r="B531" s="16"/>
      <c r="C531" s="16"/>
      <c r="D531" s="16"/>
      <c r="E531" s="16"/>
      <c r="F531" s="16"/>
      <c r="G531" s="16"/>
      <c r="H531" s="1092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spans="1:26" ht="15.75" customHeight="1">
      <c r="A532" s="16"/>
      <c r="B532" s="16"/>
      <c r="C532" s="16"/>
      <c r="D532" s="16"/>
      <c r="E532" s="16"/>
      <c r="F532" s="16"/>
      <c r="G532" s="16"/>
      <c r="H532" s="1092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spans="1:26" ht="15.75" customHeight="1">
      <c r="A533" s="16"/>
      <c r="B533" s="16"/>
      <c r="C533" s="16"/>
      <c r="D533" s="16"/>
      <c r="E533" s="16"/>
      <c r="F533" s="16"/>
      <c r="G533" s="16"/>
      <c r="H533" s="1092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spans="1:26" ht="15.75" customHeight="1">
      <c r="A534" s="16"/>
      <c r="B534" s="16"/>
      <c r="C534" s="16"/>
      <c r="D534" s="16"/>
      <c r="E534" s="16"/>
      <c r="F534" s="16"/>
      <c r="G534" s="16"/>
      <c r="H534" s="1092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spans="1:26" ht="15.75" customHeight="1">
      <c r="A535" s="16"/>
      <c r="B535" s="16"/>
      <c r="C535" s="16"/>
      <c r="D535" s="16"/>
      <c r="E535" s="16"/>
      <c r="F535" s="16"/>
      <c r="G535" s="16"/>
      <c r="H535" s="1092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spans="1:26" ht="15.75" customHeight="1">
      <c r="A536" s="16"/>
      <c r="B536" s="16"/>
      <c r="C536" s="16"/>
      <c r="D536" s="16"/>
      <c r="E536" s="16"/>
      <c r="F536" s="16"/>
      <c r="G536" s="16"/>
      <c r="H536" s="1092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spans="1:26" ht="15.75" customHeight="1">
      <c r="A537" s="16"/>
      <c r="B537" s="16"/>
      <c r="C537" s="16"/>
      <c r="D537" s="16"/>
      <c r="E537" s="16"/>
      <c r="F537" s="16"/>
      <c r="G537" s="16"/>
      <c r="H537" s="1092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spans="1:26" ht="15.75" customHeight="1">
      <c r="A538" s="16"/>
      <c r="B538" s="16"/>
      <c r="C538" s="16"/>
      <c r="D538" s="16"/>
      <c r="E538" s="16"/>
      <c r="F538" s="16"/>
      <c r="G538" s="16"/>
      <c r="H538" s="1092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spans="1:26" ht="15.75" customHeight="1">
      <c r="A539" s="16"/>
      <c r="B539" s="16"/>
      <c r="C539" s="16"/>
      <c r="D539" s="16"/>
      <c r="E539" s="16"/>
      <c r="F539" s="16"/>
      <c r="G539" s="16"/>
      <c r="H539" s="1092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spans="1:26" ht="15.75" customHeight="1">
      <c r="A540" s="16"/>
      <c r="B540" s="16"/>
      <c r="C540" s="16"/>
      <c r="D540" s="16"/>
      <c r="E540" s="16"/>
      <c r="F540" s="16"/>
      <c r="G540" s="16"/>
      <c r="H540" s="1092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spans="1:26" ht="15.75" customHeight="1">
      <c r="A541" s="16"/>
      <c r="B541" s="16"/>
      <c r="C541" s="16"/>
      <c r="D541" s="16"/>
      <c r="E541" s="16"/>
      <c r="F541" s="16"/>
      <c r="G541" s="16"/>
      <c r="H541" s="1092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spans="1:26" ht="15.75" customHeight="1">
      <c r="A542" s="16"/>
      <c r="B542" s="16"/>
      <c r="C542" s="16"/>
      <c r="D542" s="16"/>
      <c r="E542" s="16"/>
      <c r="F542" s="16"/>
      <c r="G542" s="16"/>
      <c r="H542" s="1092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spans="1:26" ht="15.75" customHeight="1">
      <c r="A543" s="16"/>
      <c r="B543" s="16"/>
      <c r="C543" s="16"/>
      <c r="D543" s="16"/>
      <c r="E543" s="16"/>
      <c r="F543" s="16"/>
      <c r="G543" s="16"/>
      <c r="H543" s="1092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spans="1:26" ht="15.75" customHeight="1">
      <c r="A544" s="16"/>
      <c r="B544" s="16"/>
      <c r="C544" s="16"/>
      <c r="D544" s="16"/>
      <c r="E544" s="16"/>
      <c r="F544" s="16"/>
      <c r="G544" s="16"/>
      <c r="H544" s="1092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spans="1:26" ht="15.75" customHeight="1">
      <c r="A545" s="16"/>
      <c r="B545" s="16"/>
      <c r="C545" s="16"/>
      <c r="D545" s="16"/>
      <c r="E545" s="16"/>
      <c r="F545" s="16"/>
      <c r="G545" s="16"/>
      <c r="H545" s="1092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spans="1:26" ht="15.75" customHeight="1">
      <c r="A546" s="16"/>
      <c r="B546" s="16"/>
      <c r="C546" s="16"/>
      <c r="D546" s="16"/>
      <c r="E546" s="16"/>
      <c r="F546" s="16"/>
      <c r="G546" s="16"/>
      <c r="H546" s="1092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spans="1:26" ht="15.75" customHeight="1">
      <c r="A547" s="16"/>
      <c r="B547" s="16"/>
      <c r="C547" s="16"/>
      <c r="D547" s="16"/>
      <c r="E547" s="16"/>
      <c r="F547" s="16"/>
      <c r="G547" s="16"/>
      <c r="H547" s="1092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spans="1:26" ht="15.75" customHeight="1">
      <c r="A548" s="16"/>
      <c r="B548" s="16"/>
      <c r="C548" s="16"/>
      <c r="D548" s="16"/>
      <c r="E548" s="16"/>
      <c r="F548" s="16"/>
      <c r="G548" s="16"/>
      <c r="H548" s="1092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spans="1:26" ht="15.75" customHeight="1">
      <c r="A549" s="16"/>
      <c r="B549" s="16"/>
      <c r="C549" s="16"/>
      <c r="D549" s="16"/>
      <c r="E549" s="16"/>
      <c r="F549" s="16"/>
      <c r="G549" s="16"/>
      <c r="H549" s="1092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spans="1:26" ht="15.75" customHeight="1">
      <c r="A550" s="16"/>
      <c r="B550" s="16"/>
      <c r="C550" s="16"/>
      <c r="D550" s="16"/>
      <c r="E550" s="16"/>
      <c r="F550" s="16"/>
      <c r="G550" s="16"/>
      <c r="H550" s="1092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spans="1:26" ht="15.75" customHeight="1">
      <c r="A551" s="16"/>
      <c r="B551" s="16"/>
      <c r="C551" s="16"/>
      <c r="D551" s="16"/>
      <c r="E551" s="16"/>
      <c r="F551" s="16"/>
      <c r="G551" s="16"/>
      <c r="H551" s="1092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spans="1:26" ht="15.75" customHeight="1">
      <c r="A552" s="16"/>
      <c r="B552" s="16"/>
      <c r="C552" s="16"/>
      <c r="D552" s="16"/>
      <c r="E552" s="16"/>
      <c r="F552" s="16"/>
      <c r="G552" s="16"/>
      <c r="H552" s="1092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spans="1:26" ht="15.75" customHeight="1">
      <c r="A553" s="16"/>
      <c r="B553" s="16"/>
      <c r="C553" s="16"/>
      <c r="D553" s="16"/>
      <c r="E553" s="16"/>
      <c r="F553" s="16"/>
      <c r="G553" s="16"/>
      <c r="H553" s="1092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spans="1:26" ht="15.75" customHeight="1">
      <c r="A554" s="16"/>
      <c r="B554" s="16"/>
      <c r="C554" s="16"/>
      <c r="D554" s="16"/>
      <c r="E554" s="16"/>
      <c r="F554" s="16"/>
      <c r="G554" s="16"/>
      <c r="H554" s="1092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spans="1:26" ht="15.75" customHeight="1">
      <c r="A555" s="16"/>
      <c r="B555" s="16"/>
      <c r="C555" s="16"/>
      <c r="D555" s="16"/>
      <c r="E555" s="16"/>
      <c r="F555" s="16"/>
      <c r="G555" s="16"/>
      <c r="H555" s="1092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spans="1:26" ht="15.75" customHeight="1">
      <c r="A556" s="16"/>
      <c r="B556" s="16"/>
      <c r="C556" s="16"/>
      <c r="D556" s="16"/>
      <c r="E556" s="16"/>
      <c r="F556" s="16"/>
      <c r="G556" s="16"/>
      <c r="H556" s="1092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spans="1:26" ht="15.75" customHeight="1">
      <c r="A557" s="16"/>
      <c r="B557" s="16"/>
      <c r="C557" s="16"/>
      <c r="D557" s="16"/>
      <c r="E557" s="16"/>
      <c r="F557" s="16"/>
      <c r="G557" s="16"/>
      <c r="H557" s="1092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spans="1:26" ht="15.75" customHeight="1">
      <c r="A558" s="16"/>
      <c r="B558" s="16"/>
      <c r="C558" s="16"/>
      <c r="D558" s="16"/>
      <c r="E558" s="16"/>
      <c r="F558" s="16"/>
      <c r="G558" s="16"/>
      <c r="H558" s="1092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spans="1:26" ht="15.75" customHeight="1">
      <c r="A559" s="16"/>
      <c r="B559" s="16"/>
      <c r="C559" s="16"/>
      <c r="D559" s="16"/>
      <c r="E559" s="16"/>
      <c r="F559" s="16"/>
      <c r="G559" s="16"/>
      <c r="H559" s="1092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spans="1:26" ht="15.75" customHeight="1">
      <c r="A560" s="16"/>
      <c r="B560" s="16"/>
      <c r="C560" s="16"/>
      <c r="D560" s="16"/>
      <c r="E560" s="16"/>
      <c r="F560" s="16"/>
      <c r="G560" s="16"/>
      <c r="H560" s="1092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spans="1:26" ht="15.75" customHeight="1">
      <c r="A561" s="16"/>
      <c r="B561" s="16"/>
      <c r="C561" s="16"/>
      <c r="D561" s="16"/>
      <c r="E561" s="16"/>
      <c r="F561" s="16"/>
      <c r="G561" s="16"/>
      <c r="H561" s="1092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spans="1:26" ht="15.75" customHeight="1">
      <c r="A562" s="16"/>
      <c r="B562" s="16"/>
      <c r="C562" s="16"/>
      <c r="D562" s="16"/>
      <c r="E562" s="16"/>
      <c r="F562" s="16"/>
      <c r="G562" s="16"/>
      <c r="H562" s="1092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spans="1:26" ht="15.75" customHeight="1">
      <c r="A563" s="16"/>
      <c r="B563" s="16"/>
      <c r="C563" s="16"/>
      <c r="D563" s="16"/>
      <c r="E563" s="16"/>
      <c r="F563" s="16"/>
      <c r="G563" s="16"/>
      <c r="H563" s="1092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spans="1:26" ht="15.75" customHeight="1">
      <c r="A564" s="16"/>
      <c r="B564" s="16"/>
      <c r="C564" s="16"/>
      <c r="D564" s="16"/>
      <c r="E564" s="16"/>
      <c r="F564" s="16"/>
      <c r="G564" s="16"/>
      <c r="H564" s="1092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spans="1:26" ht="15.75" customHeight="1">
      <c r="A565" s="16"/>
      <c r="B565" s="16"/>
      <c r="C565" s="16"/>
      <c r="D565" s="16"/>
      <c r="E565" s="16"/>
      <c r="F565" s="16"/>
      <c r="G565" s="16"/>
      <c r="H565" s="1092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spans="1:26" ht="15.75" customHeight="1">
      <c r="A566" s="16"/>
      <c r="B566" s="16"/>
      <c r="C566" s="16"/>
      <c r="D566" s="16"/>
      <c r="E566" s="16"/>
      <c r="F566" s="16"/>
      <c r="G566" s="16"/>
      <c r="H566" s="1092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spans="1:26" ht="15.75" customHeight="1">
      <c r="A567" s="16"/>
      <c r="B567" s="16"/>
      <c r="C567" s="16"/>
      <c r="D567" s="16"/>
      <c r="E567" s="16"/>
      <c r="F567" s="16"/>
      <c r="G567" s="16"/>
      <c r="H567" s="1092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spans="1:26" ht="15.75" customHeight="1">
      <c r="A568" s="16"/>
      <c r="B568" s="16"/>
      <c r="C568" s="16"/>
      <c r="D568" s="16"/>
      <c r="E568" s="16"/>
      <c r="F568" s="16"/>
      <c r="G568" s="16"/>
      <c r="H568" s="1092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spans="1:26" ht="15.75" customHeight="1">
      <c r="A569" s="16"/>
      <c r="B569" s="16"/>
      <c r="C569" s="16"/>
      <c r="D569" s="16"/>
      <c r="E569" s="16"/>
      <c r="F569" s="16"/>
      <c r="G569" s="16"/>
      <c r="H569" s="1092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spans="1:26" ht="15.75" customHeight="1">
      <c r="A570" s="16"/>
      <c r="B570" s="16"/>
      <c r="C570" s="16"/>
      <c r="D570" s="16"/>
      <c r="E570" s="16"/>
      <c r="F570" s="16"/>
      <c r="G570" s="16"/>
      <c r="H570" s="1092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spans="1:26" ht="15.75" customHeight="1">
      <c r="A571" s="16"/>
      <c r="B571" s="16"/>
      <c r="C571" s="16"/>
      <c r="D571" s="16"/>
      <c r="E571" s="16"/>
      <c r="F571" s="16"/>
      <c r="G571" s="16"/>
      <c r="H571" s="1092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spans="1:26" ht="15.75" customHeight="1">
      <c r="A572" s="16"/>
      <c r="B572" s="16"/>
      <c r="C572" s="16"/>
      <c r="D572" s="16"/>
      <c r="E572" s="16"/>
      <c r="F572" s="16"/>
      <c r="G572" s="16"/>
      <c r="H572" s="1092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spans="1:26" ht="15.75" customHeight="1">
      <c r="A573" s="16"/>
      <c r="B573" s="16"/>
      <c r="C573" s="16"/>
      <c r="D573" s="16"/>
      <c r="E573" s="16"/>
      <c r="F573" s="16"/>
      <c r="G573" s="16"/>
      <c r="H573" s="1092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spans="1:26" ht="15.75" customHeight="1">
      <c r="A574" s="16"/>
      <c r="B574" s="16"/>
      <c r="C574" s="16"/>
      <c r="D574" s="16"/>
      <c r="E574" s="16"/>
      <c r="F574" s="16"/>
      <c r="G574" s="16"/>
      <c r="H574" s="1092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spans="1:26" ht="15.75" customHeight="1">
      <c r="A575" s="16"/>
      <c r="B575" s="16"/>
      <c r="C575" s="16"/>
      <c r="D575" s="16"/>
      <c r="E575" s="16"/>
      <c r="F575" s="16"/>
      <c r="G575" s="16"/>
      <c r="H575" s="1092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spans="1:26" ht="15.75" customHeight="1">
      <c r="A576" s="16"/>
      <c r="B576" s="16"/>
      <c r="C576" s="16"/>
      <c r="D576" s="16"/>
      <c r="E576" s="16"/>
      <c r="F576" s="16"/>
      <c r="G576" s="16"/>
      <c r="H576" s="1092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spans="1:26" ht="15.75" customHeight="1">
      <c r="A577" s="16"/>
      <c r="B577" s="16"/>
      <c r="C577" s="16"/>
      <c r="D577" s="16"/>
      <c r="E577" s="16"/>
      <c r="F577" s="16"/>
      <c r="G577" s="16"/>
      <c r="H577" s="1092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spans="1:26" ht="15.75" customHeight="1">
      <c r="A578" s="16"/>
      <c r="B578" s="16"/>
      <c r="C578" s="16"/>
      <c r="D578" s="16"/>
      <c r="E578" s="16"/>
      <c r="F578" s="16"/>
      <c r="G578" s="16"/>
      <c r="H578" s="1092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spans="1:26" ht="15.75" customHeight="1">
      <c r="A579" s="16"/>
      <c r="B579" s="16"/>
      <c r="C579" s="16"/>
      <c r="D579" s="16"/>
      <c r="E579" s="16"/>
      <c r="F579" s="16"/>
      <c r="G579" s="16"/>
      <c r="H579" s="1092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spans="1:26" ht="15.75" customHeight="1">
      <c r="A580" s="16"/>
      <c r="B580" s="16"/>
      <c r="C580" s="16"/>
      <c r="D580" s="16"/>
      <c r="E580" s="16"/>
      <c r="F580" s="16"/>
      <c r="G580" s="16"/>
      <c r="H580" s="1092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spans="1:26" ht="15.75" customHeight="1">
      <c r="A581" s="16"/>
      <c r="B581" s="16"/>
      <c r="C581" s="16"/>
      <c r="D581" s="16"/>
      <c r="E581" s="16"/>
      <c r="F581" s="16"/>
      <c r="G581" s="16"/>
      <c r="H581" s="1092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spans="1:26" ht="15.75" customHeight="1">
      <c r="A582" s="16"/>
      <c r="B582" s="16"/>
      <c r="C582" s="16"/>
      <c r="D582" s="16"/>
      <c r="E582" s="16"/>
      <c r="F582" s="16"/>
      <c r="G582" s="16"/>
      <c r="H582" s="1092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spans="1:26" ht="15.75" customHeight="1">
      <c r="A583" s="16"/>
      <c r="B583" s="16"/>
      <c r="C583" s="16"/>
      <c r="D583" s="16"/>
      <c r="E583" s="16"/>
      <c r="F583" s="16"/>
      <c r="G583" s="16"/>
      <c r="H583" s="1092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spans="1:26" ht="15.75" customHeight="1">
      <c r="A584" s="16"/>
      <c r="B584" s="16"/>
      <c r="C584" s="16"/>
      <c r="D584" s="16"/>
      <c r="E584" s="16"/>
      <c r="F584" s="16"/>
      <c r="G584" s="16"/>
      <c r="H584" s="1092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spans="1:26" ht="15.75" customHeight="1">
      <c r="A585" s="16"/>
      <c r="B585" s="16"/>
      <c r="C585" s="16"/>
      <c r="D585" s="16"/>
      <c r="E585" s="16"/>
      <c r="F585" s="16"/>
      <c r="G585" s="16"/>
      <c r="H585" s="1092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spans="1:26" ht="15.75" customHeight="1">
      <c r="A586" s="16"/>
      <c r="B586" s="16"/>
      <c r="C586" s="16"/>
      <c r="D586" s="16"/>
      <c r="E586" s="16"/>
      <c r="F586" s="16"/>
      <c r="G586" s="16"/>
      <c r="H586" s="1092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spans="1:26" ht="15.75" customHeight="1">
      <c r="A587" s="16"/>
      <c r="B587" s="16"/>
      <c r="C587" s="16"/>
      <c r="D587" s="16"/>
      <c r="E587" s="16"/>
      <c r="F587" s="16"/>
      <c r="G587" s="16"/>
      <c r="H587" s="1092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spans="1:26" ht="15.75" customHeight="1">
      <c r="A588" s="16"/>
      <c r="B588" s="16"/>
      <c r="C588" s="16"/>
      <c r="D588" s="16"/>
      <c r="E588" s="16"/>
      <c r="F588" s="16"/>
      <c r="G588" s="16"/>
      <c r="H588" s="1092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spans="1:26" ht="15.75" customHeight="1">
      <c r="A589" s="16"/>
      <c r="B589" s="16"/>
      <c r="C589" s="16"/>
      <c r="D589" s="16"/>
      <c r="E589" s="16"/>
      <c r="F589" s="16"/>
      <c r="G589" s="16"/>
      <c r="H589" s="1092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spans="1:26" ht="15.75" customHeight="1">
      <c r="A590" s="16"/>
      <c r="B590" s="16"/>
      <c r="C590" s="16"/>
      <c r="D590" s="16"/>
      <c r="E590" s="16"/>
      <c r="F590" s="16"/>
      <c r="G590" s="16"/>
      <c r="H590" s="1092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spans="1:26" ht="15.75" customHeight="1">
      <c r="A591" s="16"/>
      <c r="B591" s="16"/>
      <c r="C591" s="16"/>
      <c r="D591" s="16"/>
      <c r="E591" s="16"/>
      <c r="F591" s="16"/>
      <c r="G591" s="16"/>
      <c r="H591" s="1092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spans="1:26" ht="15.75" customHeight="1">
      <c r="A592" s="16"/>
      <c r="B592" s="16"/>
      <c r="C592" s="16"/>
      <c r="D592" s="16"/>
      <c r="E592" s="16"/>
      <c r="F592" s="16"/>
      <c r="G592" s="16"/>
      <c r="H592" s="1092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spans="1:26" ht="15.75" customHeight="1">
      <c r="A593" s="16"/>
      <c r="B593" s="16"/>
      <c r="C593" s="16"/>
      <c r="D593" s="16"/>
      <c r="E593" s="16"/>
      <c r="F593" s="16"/>
      <c r="G593" s="16"/>
      <c r="H593" s="1092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spans="1:26" ht="15.75" customHeight="1">
      <c r="A594" s="16"/>
      <c r="B594" s="16"/>
      <c r="C594" s="16"/>
      <c r="D594" s="16"/>
      <c r="E594" s="16"/>
      <c r="F594" s="16"/>
      <c r="G594" s="16"/>
      <c r="H594" s="1092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spans="1:26" ht="15.75" customHeight="1">
      <c r="A595" s="16"/>
      <c r="B595" s="16"/>
      <c r="C595" s="16"/>
      <c r="D595" s="16"/>
      <c r="E595" s="16"/>
      <c r="F595" s="16"/>
      <c r="G595" s="16"/>
      <c r="H595" s="1092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spans="1:26" ht="15.75" customHeight="1">
      <c r="A596" s="16"/>
      <c r="B596" s="16"/>
      <c r="C596" s="16"/>
      <c r="D596" s="16"/>
      <c r="E596" s="16"/>
      <c r="F596" s="16"/>
      <c r="G596" s="16"/>
      <c r="H596" s="1092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spans="1:26" ht="15.75" customHeight="1">
      <c r="A597" s="16"/>
      <c r="B597" s="16"/>
      <c r="C597" s="16"/>
      <c r="D597" s="16"/>
      <c r="E597" s="16"/>
      <c r="F597" s="16"/>
      <c r="G597" s="16"/>
      <c r="H597" s="1092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spans="1:26" ht="15.75" customHeight="1">
      <c r="A598" s="16"/>
      <c r="B598" s="16"/>
      <c r="C598" s="16"/>
      <c r="D598" s="16"/>
      <c r="E598" s="16"/>
      <c r="F598" s="16"/>
      <c r="G598" s="16"/>
      <c r="H598" s="1092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spans="1:26" ht="15.75" customHeight="1">
      <c r="A599" s="16"/>
      <c r="B599" s="16"/>
      <c r="C599" s="16"/>
      <c r="D599" s="16"/>
      <c r="E599" s="16"/>
      <c r="F599" s="16"/>
      <c r="G599" s="16"/>
      <c r="H599" s="1092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spans="1:26" ht="15.75" customHeight="1">
      <c r="A600" s="16"/>
      <c r="B600" s="16"/>
      <c r="C600" s="16"/>
      <c r="D600" s="16"/>
      <c r="E600" s="16"/>
      <c r="F600" s="16"/>
      <c r="G600" s="16"/>
      <c r="H600" s="1092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spans="1:26" ht="15.75" customHeight="1">
      <c r="A601" s="16"/>
      <c r="B601" s="16"/>
      <c r="C601" s="16"/>
      <c r="D601" s="16"/>
      <c r="E601" s="16"/>
      <c r="F601" s="16"/>
      <c r="G601" s="16"/>
      <c r="H601" s="1092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spans="1:26" ht="15.75" customHeight="1">
      <c r="A602" s="16"/>
      <c r="B602" s="16"/>
      <c r="C602" s="16"/>
      <c r="D602" s="16"/>
      <c r="E602" s="16"/>
      <c r="F602" s="16"/>
      <c r="G602" s="16"/>
      <c r="H602" s="1092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spans="1:26" ht="15.75" customHeight="1">
      <c r="A603" s="16"/>
      <c r="B603" s="16"/>
      <c r="C603" s="16"/>
      <c r="D603" s="16"/>
      <c r="E603" s="16"/>
      <c r="F603" s="16"/>
      <c r="G603" s="16"/>
      <c r="H603" s="1092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spans="1:26" ht="15.75" customHeight="1">
      <c r="A604" s="16"/>
      <c r="B604" s="16"/>
      <c r="C604" s="16"/>
      <c r="D604" s="16"/>
      <c r="E604" s="16"/>
      <c r="F604" s="16"/>
      <c r="G604" s="16"/>
      <c r="H604" s="1092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spans="1:26" ht="15.75" customHeight="1">
      <c r="A605" s="16"/>
      <c r="B605" s="16"/>
      <c r="C605" s="16"/>
      <c r="D605" s="16"/>
      <c r="E605" s="16"/>
      <c r="F605" s="16"/>
      <c r="G605" s="16"/>
      <c r="H605" s="1092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spans="1:26" ht="15.75" customHeight="1">
      <c r="A606" s="16"/>
      <c r="B606" s="16"/>
      <c r="C606" s="16"/>
      <c r="D606" s="16"/>
      <c r="E606" s="16"/>
      <c r="F606" s="16"/>
      <c r="G606" s="16"/>
      <c r="H606" s="1092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spans="1:26" ht="15.75" customHeight="1">
      <c r="A607" s="16"/>
      <c r="B607" s="16"/>
      <c r="C607" s="16"/>
      <c r="D607" s="16"/>
      <c r="E607" s="16"/>
      <c r="F607" s="16"/>
      <c r="G607" s="16"/>
      <c r="H607" s="1092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spans="1:26" ht="15.75" customHeight="1">
      <c r="A608" s="16"/>
      <c r="B608" s="16"/>
      <c r="C608" s="16"/>
      <c r="D608" s="16"/>
      <c r="E608" s="16"/>
      <c r="F608" s="16"/>
      <c r="G608" s="16"/>
      <c r="H608" s="1092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spans="1:26" ht="15.75" customHeight="1">
      <c r="A609" s="16"/>
      <c r="B609" s="16"/>
      <c r="C609" s="16"/>
      <c r="D609" s="16"/>
      <c r="E609" s="16"/>
      <c r="F609" s="16"/>
      <c r="G609" s="16"/>
      <c r="H609" s="1092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spans="1:26" ht="15.75" customHeight="1">
      <c r="A610" s="16"/>
      <c r="B610" s="16"/>
      <c r="C610" s="16"/>
      <c r="D610" s="16"/>
      <c r="E610" s="16"/>
      <c r="F610" s="16"/>
      <c r="G610" s="16"/>
      <c r="H610" s="1092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spans="1:26" ht="15.75" customHeight="1">
      <c r="A611" s="16"/>
      <c r="B611" s="16"/>
      <c r="C611" s="16"/>
      <c r="D611" s="16"/>
      <c r="E611" s="16"/>
      <c r="F611" s="16"/>
      <c r="G611" s="16"/>
      <c r="H611" s="1092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spans="1:26" ht="15.75" customHeight="1">
      <c r="A612" s="16"/>
      <c r="B612" s="16"/>
      <c r="C612" s="16"/>
      <c r="D612" s="16"/>
      <c r="E612" s="16"/>
      <c r="F612" s="16"/>
      <c r="G612" s="16"/>
      <c r="H612" s="1092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spans="1:26" ht="15.75" customHeight="1">
      <c r="A613" s="16"/>
      <c r="B613" s="16"/>
      <c r="C613" s="16"/>
      <c r="D613" s="16"/>
      <c r="E613" s="16"/>
      <c r="F613" s="16"/>
      <c r="G613" s="16"/>
      <c r="H613" s="1092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spans="1:26" ht="15.75" customHeight="1">
      <c r="A614" s="16"/>
      <c r="B614" s="16"/>
      <c r="C614" s="16"/>
      <c r="D614" s="16"/>
      <c r="E614" s="16"/>
      <c r="F614" s="16"/>
      <c r="G614" s="16"/>
      <c r="H614" s="1092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spans="1:26" ht="15.75" customHeight="1">
      <c r="A615" s="16"/>
      <c r="B615" s="16"/>
      <c r="C615" s="16"/>
      <c r="D615" s="16"/>
      <c r="E615" s="16"/>
      <c r="F615" s="16"/>
      <c r="G615" s="16"/>
      <c r="H615" s="1092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spans="1:26" ht="15.75" customHeight="1">
      <c r="A616" s="16"/>
      <c r="B616" s="16"/>
      <c r="C616" s="16"/>
      <c r="D616" s="16"/>
      <c r="E616" s="16"/>
      <c r="F616" s="16"/>
      <c r="G616" s="16"/>
      <c r="H616" s="1092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spans="1:26" ht="15.75" customHeight="1">
      <c r="A617" s="16"/>
      <c r="B617" s="16"/>
      <c r="C617" s="16"/>
      <c r="D617" s="16"/>
      <c r="E617" s="16"/>
      <c r="F617" s="16"/>
      <c r="G617" s="16"/>
      <c r="H617" s="1092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spans="1:26" ht="15.75" customHeight="1">
      <c r="A618" s="16"/>
      <c r="B618" s="16"/>
      <c r="C618" s="16"/>
      <c r="D618" s="16"/>
      <c r="E618" s="16"/>
      <c r="F618" s="16"/>
      <c r="G618" s="16"/>
      <c r="H618" s="1092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spans="1:26" ht="15.75" customHeight="1">
      <c r="A619" s="16"/>
      <c r="B619" s="16"/>
      <c r="C619" s="16"/>
      <c r="D619" s="16"/>
      <c r="E619" s="16"/>
      <c r="F619" s="16"/>
      <c r="G619" s="16"/>
      <c r="H619" s="1092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spans="1:26" ht="15.75" customHeight="1">
      <c r="A620" s="16"/>
      <c r="B620" s="16"/>
      <c r="C620" s="16"/>
      <c r="D620" s="16"/>
      <c r="E620" s="16"/>
      <c r="F620" s="16"/>
      <c r="G620" s="16"/>
      <c r="H620" s="1092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spans="1:26" ht="15.75" customHeight="1">
      <c r="A621" s="16"/>
      <c r="B621" s="16"/>
      <c r="C621" s="16"/>
      <c r="D621" s="16"/>
      <c r="E621" s="16"/>
      <c r="F621" s="16"/>
      <c r="G621" s="16"/>
      <c r="H621" s="1092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spans="1:26" ht="15.75" customHeight="1">
      <c r="A622" s="16"/>
      <c r="B622" s="16"/>
      <c r="C622" s="16"/>
      <c r="D622" s="16"/>
      <c r="E622" s="16"/>
      <c r="F622" s="16"/>
      <c r="G622" s="16"/>
      <c r="H622" s="1092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spans="1:26" ht="15.75" customHeight="1">
      <c r="A623" s="16"/>
      <c r="B623" s="16"/>
      <c r="C623" s="16"/>
      <c r="D623" s="16"/>
      <c r="E623" s="16"/>
      <c r="F623" s="16"/>
      <c r="G623" s="16"/>
      <c r="H623" s="1092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spans="1:26" ht="15.75" customHeight="1">
      <c r="A624" s="16"/>
      <c r="B624" s="16"/>
      <c r="C624" s="16"/>
      <c r="D624" s="16"/>
      <c r="E624" s="16"/>
      <c r="F624" s="16"/>
      <c r="G624" s="16"/>
      <c r="H624" s="1092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spans="1:26" ht="15.75" customHeight="1">
      <c r="A625" s="16"/>
      <c r="B625" s="16"/>
      <c r="C625" s="16"/>
      <c r="D625" s="16"/>
      <c r="E625" s="16"/>
      <c r="F625" s="16"/>
      <c r="G625" s="16"/>
      <c r="H625" s="1092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spans="1:26" ht="15.75" customHeight="1">
      <c r="A626" s="16"/>
      <c r="B626" s="16"/>
      <c r="C626" s="16"/>
      <c r="D626" s="16"/>
      <c r="E626" s="16"/>
      <c r="F626" s="16"/>
      <c r="G626" s="16"/>
      <c r="H626" s="1092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spans="1:26" ht="15.75" customHeight="1">
      <c r="A627" s="16"/>
      <c r="B627" s="16"/>
      <c r="C627" s="16"/>
      <c r="D627" s="16"/>
      <c r="E627" s="16"/>
      <c r="F627" s="16"/>
      <c r="G627" s="16"/>
      <c r="H627" s="1092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spans="1:26" ht="15.75" customHeight="1">
      <c r="A628" s="16"/>
      <c r="B628" s="16"/>
      <c r="C628" s="16"/>
      <c r="D628" s="16"/>
      <c r="E628" s="16"/>
      <c r="F628" s="16"/>
      <c r="G628" s="16"/>
      <c r="H628" s="1092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spans="1:26" ht="15.75" customHeight="1">
      <c r="A629" s="16"/>
      <c r="B629" s="16"/>
      <c r="C629" s="16"/>
      <c r="D629" s="16"/>
      <c r="E629" s="16"/>
      <c r="F629" s="16"/>
      <c r="G629" s="16"/>
      <c r="H629" s="1092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spans="1:26" ht="15.75" customHeight="1">
      <c r="A630" s="16"/>
      <c r="B630" s="16"/>
      <c r="C630" s="16"/>
      <c r="D630" s="16"/>
      <c r="E630" s="16"/>
      <c r="F630" s="16"/>
      <c r="G630" s="16"/>
      <c r="H630" s="1092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spans="1:26" ht="15.75" customHeight="1">
      <c r="A631" s="16"/>
      <c r="B631" s="16"/>
      <c r="C631" s="16"/>
      <c r="D631" s="16"/>
      <c r="E631" s="16"/>
      <c r="F631" s="16"/>
      <c r="G631" s="16"/>
      <c r="H631" s="1092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spans="1:26" ht="15.75" customHeight="1">
      <c r="A632" s="16"/>
      <c r="B632" s="16"/>
      <c r="C632" s="16"/>
      <c r="D632" s="16"/>
      <c r="E632" s="16"/>
      <c r="F632" s="16"/>
      <c r="G632" s="16"/>
      <c r="H632" s="1092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spans="1:26" ht="15.75" customHeight="1">
      <c r="A633" s="16"/>
      <c r="B633" s="16"/>
      <c r="C633" s="16"/>
      <c r="D633" s="16"/>
      <c r="E633" s="16"/>
      <c r="F633" s="16"/>
      <c r="G633" s="16"/>
      <c r="H633" s="1092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spans="1:26" ht="15.75" customHeight="1">
      <c r="A634" s="16"/>
      <c r="B634" s="16"/>
      <c r="C634" s="16"/>
      <c r="D634" s="16"/>
      <c r="E634" s="16"/>
      <c r="F634" s="16"/>
      <c r="G634" s="16"/>
      <c r="H634" s="1092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spans="1:26" ht="15.75" customHeight="1">
      <c r="A635" s="16"/>
      <c r="B635" s="16"/>
      <c r="C635" s="16"/>
      <c r="D635" s="16"/>
      <c r="E635" s="16"/>
      <c r="F635" s="16"/>
      <c r="G635" s="16"/>
      <c r="H635" s="1092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spans="1:26" ht="15.75" customHeight="1">
      <c r="A636" s="16"/>
      <c r="B636" s="16"/>
      <c r="C636" s="16"/>
      <c r="D636" s="16"/>
      <c r="E636" s="16"/>
      <c r="F636" s="16"/>
      <c r="G636" s="16"/>
      <c r="H636" s="1092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spans="1:26" ht="15.75" customHeight="1">
      <c r="A637" s="16"/>
      <c r="B637" s="16"/>
      <c r="C637" s="16"/>
      <c r="D637" s="16"/>
      <c r="E637" s="16"/>
      <c r="F637" s="16"/>
      <c r="G637" s="16"/>
      <c r="H637" s="1092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spans="1:26" ht="15.75" customHeight="1">
      <c r="A638" s="16"/>
      <c r="B638" s="16"/>
      <c r="C638" s="16"/>
      <c r="D638" s="16"/>
      <c r="E638" s="16"/>
      <c r="F638" s="16"/>
      <c r="G638" s="16"/>
      <c r="H638" s="1092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spans="1:26" ht="15.75" customHeight="1">
      <c r="A639" s="16"/>
      <c r="B639" s="16"/>
      <c r="C639" s="16"/>
      <c r="D639" s="16"/>
      <c r="E639" s="16"/>
      <c r="F639" s="16"/>
      <c r="G639" s="16"/>
      <c r="H639" s="1092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spans="1:26" ht="15.75" customHeight="1">
      <c r="A640" s="16"/>
      <c r="B640" s="16"/>
      <c r="C640" s="16"/>
      <c r="D640" s="16"/>
      <c r="E640" s="16"/>
      <c r="F640" s="16"/>
      <c r="G640" s="16"/>
      <c r="H640" s="1092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spans="1:26" ht="15.75" customHeight="1">
      <c r="A641" s="16"/>
      <c r="B641" s="16"/>
      <c r="C641" s="16"/>
      <c r="D641" s="16"/>
      <c r="E641" s="16"/>
      <c r="F641" s="16"/>
      <c r="G641" s="16"/>
      <c r="H641" s="1092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spans="1:26" ht="15.75" customHeight="1">
      <c r="A642" s="16"/>
      <c r="B642" s="16"/>
      <c r="C642" s="16"/>
      <c r="D642" s="16"/>
      <c r="E642" s="16"/>
      <c r="F642" s="16"/>
      <c r="G642" s="16"/>
      <c r="H642" s="1092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spans="1:26" ht="15.75" customHeight="1">
      <c r="A643" s="16"/>
      <c r="B643" s="16"/>
      <c r="C643" s="16"/>
      <c r="D643" s="16"/>
      <c r="E643" s="16"/>
      <c r="F643" s="16"/>
      <c r="G643" s="16"/>
      <c r="H643" s="1092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spans="1:26" ht="15.75" customHeight="1">
      <c r="A644" s="16"/>
      <c r="B644" s="16"/>
      <c r="C644" s="16"/>
      <c r="D644" s="16"/>
      <c r="E644" s="16"/>
      <c r="F644" s="16"/>
      <c r="G644" s="16"/>
      <c r="H644" s="1092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spans="1:26" ht="15.75" customHeight="1">
      <c r="A645" s="16"/>
      <c r="B645" s="16"/>
      <c r="C645" s="16"/>
      <c r="D645" s="16"/>
      <c r="E645" s="16"/>
      <c r="F645" s="16"/>
      <c r="G645" s="16"/>
      <c r="H645" s="1092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spans="1:26" ht="15.75" customHeight="1">
      <c r="A646" s="16"/>
      <c r="B646" s="16"/>
      <c r="C646" s="16"/>
      <c r="D646" s="16"/>
      <c r="E646" s="16"/>
      <c r="F646" s="16"/>
      <c r="G646" s="16"/>
      <c r="H646" s="1092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spans="1:26" ht="15.75" customHeight="1">
      <c r="A647" s="16"/>
      <c r="B647" s="16"/>
      <c r="C647" s="16"/>
      <c r="D647" s="16"/>
      <c r="E647" s="16"/>
      <c r="F647" s="16"/>
      <c r="G647" s="16"/>
      <c r="H647" s="1092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spans="1:26" ht="15.75" customHeight="1">
      <c r="A648" s="16"/>
      <c r="B648" s="16"/>
      <c r="C648" s="16"/>
      <c r="D648" s="16"/>
      <c r="E648" s="16"/>
      <c r="F648" s="16"/>
      <c r="G648" s="16"/>
      <c r="H648" s="1092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spans="1:26" ht="15.75" customHeight="1">
      <c r="A649" s="16"/>
      <c r="B649" s="16"/>
      <c r="C649" s="16"/>
      <c r="D649" s="16"/>
      <c r="E649" s="16"/>
      <c r="F649" s="16"/>
      <c r="G649" s="16"/>
      <c r="H649" s="1092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spans="1:26" ht="15.75" customHeight="1">
      <c r="A650" s="16"/>
      <c r="B650" s="16"/>
      <c r="C650" s="16"/>
      <c r="D650" s="16"/>
      <c r="E650" s="16"/>
      <c r="F650" s="16"/>
      <c r="G650" s="16"/>
      <c r="H650" s="1092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spans="1:26" ht="15.75" customHeight="1">
      <c r="A651" s="16"/>
      <c r="B651" s="16"/>
      <c r="C651" s="16"/>
      <c r="D651" s="16"/>
      <c r="E651" s="16"/>
      <c r="F651" s="16"/>
      <c r="G651" s="16"/>
      <c r="H651" s="1092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spans="1:26" ht="15.75" customHeight="1">
      <c r="A652" s="16"/>
      <c r="B652" s="16"/>
      <c r="C652" s="16"/>
      <c r="D652" s="16"/>
      <c r="E652" s="16"/>
      <c r="F652" s="16"/>
      <c r="G652" s="16"/>
      <c r="H652" s="1092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spans="1:26" ht="15.75" customHeight="1">
      <c r="A653" s="16"/>
      <c r="B653" s="16"/>
      <c r="C653" s="16"/>
      <c r="D653" s="16"/>
      <c r="E653" s="16"/>
      <c r="F653" s="16"/>
      <c r="G653" s="16"/>
      <c r="H653" s="1092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spans="1:26" ht="15.75" customHeight="1">
      <c r="A654" s="16"/>
      <c r="B654" s="16"/>
      <c r="C654" s="16"/>
      <c r="D654" s="16"/>
      <c r="E654" s="16"/>
      <c r="F654" s="16"/>
      <c r="G654" s="16"/>
      <c r="H654" s="1092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spans="1:26" ht="15.75" customHeight="1">
      <c r="A655" s="16"/>
      <c r="B655" s="16"/>
      <c r="C655" s="16"/>
      <c r="D655" s="16"/>
      <c r="E655" s="16"/>
      <c r="F655" s="16"/>
      <c r="G655" s="16"/>
      <c r="H655" s="1092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spans="1:26" ht="15.75" customHeight="1">
      <c r="A656" s="16"/>
      <c r="B656" s="16"/>
      <c r="C656" s="16"/>
      <c r="D656" s="16"/>
      <c r="E656" s="16"/>
      <c r="F656" s="16"/>
      <c r="G656" s="16"/>
      <c r="H656" s="1092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spans="1:26" ht="15.75" customHeight="1">
      <c r="A657" s="16"/>
      <c r="B657" s="16"/>
      <c r="C657" s="16"/>
      <c r="D657" s="16"/>
      <c r="E657" s="16"/>
      <c r="F657" s="16"/>
      <c r="G657" s="16"/>
      <c r="H657" s="1092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spans="1:26" ht="15.75" customHeight="1">
      <c r="A658" s="16"/>
      <c r="B658" s="16"/>
      <c r="C658" s="16"/>
      <c r="D658" s="16"/>
      <c r="E658" s="16"/>
      <c r="F658" s="16"/>
      <c r="G658" s="16"/>
      <c r="H658" s="1092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spans="1:26" ht="15.75" customHeight="1">
      <c r="A659" s="16"/>
      <c r="B659" s="16"/>
      <c r="C659" s="16"/>
      <c r="D659" s="16"/>
      <c r="E659" s="16"/>
      <c r="F659" s="16"/>
      <c r="G659" s="16"/>
      <c r="H659" s="1092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spans="1:26" ht="15.75" customHeight="1">
      <c r="A660" s="16"/>
      <c r="B660" s="16"/>
      <c r="C660" s="16"/>
      <c r="D660" s="16"/>
      <c r="E660" s="16"/>
      <c r="F660" s="16"/>
      <c r="G660" s="16"/>
      <c r="H660" s="1092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spans="1:26" ht="15.75" customHeight="1">
      <c r="A661" s="16"/>
      <c r="B661" s="16"/>
      <c r="C661" s="16"/>
      <c r="D661" s="16"/>
      <c r="E661" s="16"/>
      <c r="F661" s="16"/>
      <c r="G661" s="16"/>
      <c r="H661" s="1092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spans="1:26" ht="15.75" customHeight="1">
      <c r="A662" s="16"/>
      <c r="B662" s="16"/>
      <c r="C662" s="16"/>
      <c r="D662" s="16"/>
      <c r="E662" s="16"/>
      <c r="F662" s="16"/>
      <c r="G662" s="16"/>
      <c r="H662" s="1092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spans="1:26" ht="15.75" customHeight="1">
      <c r="A663" s="16"/>
      <c r="B663" s="16"/>
      <c r="C663" s="16"/>
      <c r="D663" s="16"/>
      <c r="E663" s="16"/>
      <c r="F663" s="16"/>
      <c r="G663" s="16"/>
      <c r="H663" s="1092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spans="1:26" ht="15.75" customHeight="1">
      <c r="A664" s="16"/>
      <c r="B664" s="16"/>
      <c r="C664" s="16"/>
      <c r="D664" s="16"/>
      <c r="E664" s="16"/>
      <c r="F664" s="16"/>
      <c r="G664" s="16"/>
      <c r="H664" s="1092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spans="1:26" ht="15.75" customHeight="1">
      <c r="A665" s="16"/>
      <c r="B665" s="16"/>
      <c r="C665" s="16"/>
      <c r="D665" s="16"/>
      <c r="E665" s="16"/>
      <c r="F665" s="16"/>
      <c r="G665" s="16"/>
      <c r="H665" s="1092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spans="1:26" ht="15.75" customHeight="1">
      <c r="A666" s="16"/>
      <c r="B666" s="16"/>
      <c r="C666" s="16"/>
      <c r="D666" s="16"/>
      <c r="E666" s="16"/>
      <c r="F666" s="16"/>
      <c r="G666" s="16"/>
      <c r="H666" s="1092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spans="1:26" ht="15.75" customHeight="1">
      <c r="A667" s="16"/>
      <c r="B667" s="16"/>
      <c r="C667" s="16"/>
      <c r="D667" s="16"/>
      <c r="E667" s="16"/>
      <c r="F667" s="16"/>
      <c r="G667" s="16"/>
      <c r="H667" s="1092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spans="1:26" ht="15.75" customHeight="1">
      <c r="A668" s="16"/>
      <c r="B668" s="16"/>
      <c r="C668" s="16"/>
      <c r="D668" s="16"/>
      <c r="E668" s="16"/>
      <c r="F668" s="16"/>
      <c r="G668" s="16"/>
      <c r="H668" s="1092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spans="1:26" ht="15.75" customHeight="1">
      <c r="A669" s="16"/>
      <c r="B669" s="16"/>
      <c r="C669" s="16"/>
      <c r="D669" s="16"/>
      <c r="E669" s="16"/>
      <c r="F669" s="16"/>
      <c r="G669" s="16"/>
      <c r="H669" s="1092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spans="1:26" ht="15.75" customHeight="1">
      <c r="A670" s="16"/>
      <c r="B670" s="16"/>
      <c r="C670" s="16"/>
      <c r="D670" s="16"/>
      <c r="E670" s="16"/>
      <c r="F670" s="16"/>
      <c r="G670" s="16"/>
      <c r="H670" s="1092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spans="1:26" ht="15.75" customHeight="1">
      <c r="A671" s="16"/>
      <c r="B671" s="16"/>
      <c r="C671" s="16"/>
      <c r="D671" s="16"/>
      <c r="E671" s="16"/>
      <c r="F671" s="16"/>
      <c r="G671" s="16"/>
      <c r="H671" s="1092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spans="1:26" ht="15.75" customHeight="1">
      <c r="A672" s="16"/>
      <c r="B672" s="16"/>
      <c r="C672" s="16"/>
      <c r="D672" s="16"/>
      <c r="E672" s="16"/>
      <c r="F672" s="16"/>
      <c r="G672" s="16"/>
      <c r="H672" s="1092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spans="1:26" ht="15.75" customHeight="1">
      <c r="A673" s="16"/>
      <c r="B673" s="16"/>
      <c r="C673" s="16"/>
      <c r="D673" s="16"/>
      <c r="E673" s="16"/>
      <c r="F673" s="16"/>
      <c r="G673" s="16"/>
      <c r="H673" s="1092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spans="1:26" ht="15.75" customHeight="1">
      <c r="A674" s="16"/>
      <c r="B674" s="16"/>
      <c r="C674" s="16"/>
      <c r="D674" s="16"/>
      <c r="E674" s="16"/>
      <c r="F674" s="16"/>
      <c r="G674" s="16"/>
      <c r="H674" s="1092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spans="1:26" ht="15.75" customHeight="1">
      <c r="A675" s="16"/>
      <c r="B675" s="16"/>
      <c r="C675" s="16"/>
      <c r="D675" s="16"/>
      <c r="E675" s="16"/>
      <c r="F675" s="16"/>
      <c r="G675" s="16"/>
      <c r="H675" s="1092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spans="1:26" ht="15.75" customHeight="1">
      <c r="A676" s="16"/>
      <c r="B676" s="16"/>
      <c r="C676" s="16"/>
      <c r="D676" s="16"/>
      <c r="E676" s="16"/>
      <c r="F676" s="16"/>
      <c r="G676" s="16"/>
      <c r="H676" s="1092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spans="1:26" ht="15.75" customHeight="1">
      <c r="A677" s="16"/>
      <c r="B677" s="16"/>
      <c r="C677" s="16"/>
      <c r="D677" s="16"/>
      <c r="E677" s="16"/>
      <c r="F677" s="16"/>
      <c r="G677" s="16"/>
      <c r="H677" s="1092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spans="1:26" ht="15.75" customHeight="1">
      <c r="A678" s="16"/>
      <c r="B678" s="16"/>
      <c r="C678" s="16"/>
      <c r="D678" s="16"/>
      <c r="E678" s="16"/>
      <c r="F678" s="16"/>
      <c r="G678" s="16"/>
      <c r="H678" s="1092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spans="1:26" ht="15.75" customHeight="1">
      <c r="A679" s="16"/>
      <c r="B679" s="16"/>
      <c r="C679" s="16"/>
      <c r="D679" s="16"/>
      <c r="E679" s="16"/>
      <c r="F679" s="16"/>
      <c r="G679" s="16"/>
      <c r="H679" s="1092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spans="1:26" ht="15.75" customHeight="1">
      <c r="A680" s="16"/>
      <c r="B680" s="16"/>
      <c r="C680" s="16"/>
      <c r="D680" s="16"/>
      <c r="E680" s="16"/>
      <c r="F680" s="16"/>
      <c r="G680" s="16"/>
      <c r="H680" s="1092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spans="1:26" ht="15.75" customHeight="1">
      <c r="A681" s="16"/>
      <c r="B681" s="16"/>
      <c r="C681" s="16"/>
      <c r="D681" s="16"/>
      <c r="E681" s="16"/>
      <c r="F681" s="16"/>
      <c r="G681" s="16"/>
      <c r="H681" s="1092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spans="1:26" ht="15.75" customHeight="1">
      <c r="A682" s="16"/>
      <c r="B682" s="16"/>
      <c r="C682" s="16"/>
      <c r="D682" s="16"/>
      <c r="E682" s="16"/>
      <c r="F682" s="16"/>
      <c r="G682" s="16"/>
      <c r="H682" s="1092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spans="1:26" ht="15.75" customHeight="1">
      <c r="A683" s="16"/>
      <c r="B683" s="16"/>
      <c r="C683" s="16"/>
      <c r="D683" s="16"/>
      <c r="E683" s="16"/>
      <c r="F683" s="16"/>
      <c r="G683" s="16"/>
      <c r="H683" s="1092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spans="1:26" ht="15.75" customHeight="1">
      <c r="A684" s="16"/>
      <c r="B684" s="16"/>
      <c r="C684" s="16"/>
      <c r="D684" s="16"/>
      <c r="E684" s="16"/>
      <c r="F684" s="16"/>
      <c r="G684" s="16"/>
      <c r="H684" s="1092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spans="1:26" ht="15.75" customHeight="1">
      <c r="A685" s="16"/>
      <c r="B685" s="16"/>
      <c r="C685" s="16"/>
      <c r="D685" s="16"/>
      <c r="E685" s="16"/>
      <c r="F685" s="16"/>
      <c r="G685" s="16"/>
      <c r="H685" s="1092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spans="1:26" ht="15.75" customHeight="1">
      <c r="A686" s="16"/>
      <c r="B686" s="16"/>
      <c r="C686" s="16"/>
      <c r="D686" s="16"/>
      <c r="E686" s="16"/>
      <c r="F686" s="16"/>
      <c r="G686" s="16"/>
      <c r="H686" s="1092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spans="1:26" ht="15.75" customHeight="1">
      <c r="A687" s="16"/>
      <c r="B687" s="16"/>
      <c r="C687" s="16"/>
      <c r="D687" s="16"/>
      <c r="E687" s="16"/>
      <c r="F687" s="16"/>
      <c r="G687" s="16"/>
      <c r="H687" s="1092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spans="1:26" ht="15.75" customHeight="1">
      <c r="A688" s="16"/>
      <c r="B688" s="16"/>
      <c r="C688" s="16"/>
      <c r="D688" s="16"/>
      <c r="E688" s="16"/>
      <c r="F688" s="16"/>
      <c r="G688" s="16"/>
      <c r="H688" s="1092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spans="1:26" ht="15.75" customHeight="1">
      <c r="A689" s="16"/>
      <c r="B689" s="16"/>
      <c r="C689" s="16"/>
      <c r="D689" s="16"/>
      <c r="E689" s="16"/>
      <c r="F689" s="16"/>
      <c r="G689" s="16"/>
      <c r="H689" s="1092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spans="1:26" ht="15.75" customHeight="1">
      <c r="A690" s="16"/>
      <c r="B690" s="16"/>
      <c r="C690" s="16"/>
      <c r="D690" s="16"/>
      <c r="E690" s="16"/>
      <c r="F690" s="16"/>
      <c r="G690" s="16"/>
      <c r="H690" s="1092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spans="1:26" ht="15.75" customHeight="1">
      <c r="A691" s="16"/>
      <c r="B691" s="16"/>
      <c r="C691" s="16"/>
      <c r="D691" s="16"/>
      <c r="E691" s="16"/>
      <c r="F691" s="16"/>
      <c r="G691" s="16"/>
      <c r="H691" s="1092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spans="1:26" ht="15.75" customHeight="1">
      <c r="A692" s="16"/>
      <c r="B692" s="16"/>
      <c r="C692" s="16"/>
      <c r="D692" s="16"/>
      <c r="E692" s="16"/>
      <c r="F692" s="16"/>
      <c r="G692" s="16"/>
      <c r="H692" s="1092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spans="1:26" ht="15.75" customHeight="1">
      <c r="A693" s="16"/>
      <c r="B693" s="16"/>
      <c r="C693" s="16"/>
      <c r="D693" s="16"/>
      <c r="E693" s="16"/>
      <c r="F693" s="16"/>
      <c r="G693" s="16"/>
      <c r="H693" s="1092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spans="1:26" ht="15.75" customHeight="1">
      <c r="A694" s="16"/>
      <c r="B694" s="16"/>
      <c r="C694" s="16"/>
      <c r="D694" s="16"/>
      <c r="E694" s="16"/>
      <c r="F694" s="16"/>
      <c r="G694" s="16"/>
      <c r="H694" s="1092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spans="1:26" ht="15.75" customHeight="1">
      <c r="A695" s="16"/>
      <c r="B695" s="16"/>
      <c r="C695" s="16"/>
      <c r="D695" s="16"/>
      <c r="E695" s="16"/>
      <c r="F695" s="16"/>
      <c r="G695" s="16"/>
      <c r="H695" s="1092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spans="1:26" ht="15.75" customHeight="1">
      <c r="A696" s="16"/>
      <c r="B696" s="16"/>
      <c r="C696" s="16"/>
      <c r="D696" s="16"/>
      <c r="E696" s="16"/>
      <c r="F696" s="16"/>
      <c r="G696" s="16"/>
      <c r="H696" s="1092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spans="1:26" ht="15.75" customHeight="1">
      <c r="A697" s="16"/>
      <c r="B697" s="16"/>
      <c r="C697" s="16"/>
      <c r="D697" s="16"/>
      <c r="E697" s="16"/>
      <c r="F697" s="16"/>
      <c r="G697" s="16"/>
      <c r="H697" s="1092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spans="1:26" ht="15.75" customHeight="1">
      <c r="A698" s="16"/>
      <c r="B698" s="16"/>
      <c r="C698" s="16"/>
      <c r="D698" s="16"/>
      <c r="E698" s="16"/>
      <c r="F698" s="16"/>
      <c r="G698" s="16"/>
      <c r="H698" s="1092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spans="1:26" ht="15.75" customHeight="1">
      <c r="A699" s="16"/>
      <c r="B699" s="16"/>
      <c r="C699" s="16"/>
      <c r="D699" s="16"/>
      <c r="E699" s="16"/>
      <c r="F699" s="16"/>
      <c r="G699" s="16"/>
      <c r="H699" s="1092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spans="1:26" ht="15.75" customHeight="1">
      <c r="A700" s="16"/>
      <c r="B700" s="16"/>
      <c r="C700" s="16"/>
      <c r="D700" s="16"/>
      <c r="E700" s="16"/>
      <c r="F700" s="16"/>
      <c r="G700" s="16"/>
      <c r="H700" s="1092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spans="1:26" ht="15.75" customHeight="1">
      <c r="A701" s="16"/>
      <c r="B701" s="16"/>
      <c r="C701" s="16"/>
      <c r="D701" s="16"/>
      <c r="E701" s="16"/>
      <c r="F701" s="16"/>
      <c r="G701" s="16"/>
      <c r="H701" s="1092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spans="1:26" ht="15.75" customHeight="1">
      <c r="A702" s="16"/>
      <c r="B702" s="16"/>
      <c r="C702" s="16"/>
      <c r="D702" s="16"/>
      <c r="E702" s="16"/>
      <c r="F702" s="16"/>
      <c r="G702" s="16"/>
      <c r="H702" s="1092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spans="1:26" ht="15.75" customHeight="1">
      <c r="A703" s="16"/>
      <c r="B703" s="16"/>
      <c r="C703" s="16"/>
      <c r="D703" s="16"/>
      <c r="E703" s="16"/>
      <c r="F703" s="16"/>
      <c r="G703" s="16"/>
      <c r="H703" s="1092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spans="1:26" ht="15.75" customHeight="1">
      <c r="A704" s="16"/>
      <c r="B704" s="16"/>
      <c r="C704" s="16"/>
      <c r="D704" s="16"/>
      <c r="E704" s="16"/>
      <c r="F704" s="16"/>
      <c r="G704" s="16"/>
      <c r="H704" s="1092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spans="1:26" ht="15.75" customHeight="1">
      <c r="A705" s="16"/>
      <c r="B705" s="16"/>
      <c r="C705" s="16"/>
      <c r="D705" s="16"/>
      <c r="E705" s="16"/>
      <c r="F705" s="16"/>
      <c r="G705" s="16"/>
      <c r="H705" s="1092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spans="1:26" ht="15.75" customHeight="1">
      <c r="A706" s="16"/>
      <c r="B706" s="16"/>
      <c r="C706" s="16"/>
      <c r="D706" s="16"/>
      <c r="E706" s="16"/>
      <c r="F706" s="16"/>
      <c r="G706" s="16"/>
      <c r="H706" s="1092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spans="1:26" ht="15.75" customHeight="1">
      <c r="A707" s="16"/>
      <c r="B707" s="16"/>
      <c r="C707" s="16"/>
      <c r="D707" s="16"/>
      <c r="E707" s="16"/>
      <c r="F707" s="16"/>
      <c r="G707" s="16"/>
      <c r="H707" s="1092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spans="1:26" ht="15.75" customHeight="1">
      <c r="A708" s="16"/>
      <c r="B708" s="16"/>
      <c r="C708" s="16"/>
      <c r="D708" s="16"/>
      <c r="E708" s="16"/>
      <c r="F708" s="16"/>
      <c r="G708" s="16"/>
      <c r="H708" s="1092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spans="1:26" ht="15.75" customHeight="1">
      <c r="A709" s="16"/>
      <c r="B709" s="16"/>
      <c r="C709" s="16"/>
      <c r="D709" s="16"/>
      <c r="E709" s="16"/>
      <c r="F709" s="16"/>
      <c r="G709" s="16"/>
      <c r="H709" s="1092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spans="1:26" ht="15.75" customHeight="1">
      <c r="A710" s="16"/>
      <c r="B710" s="16"/>
      <c r="C710" s="16"/>
      <c r="D710" s="16"/>
      <c r="E710" s="16"/>
      <c r="F710" s="16"/>
      <c r="G710" s="16"/>
      <c r="H710" s="1092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spans="1:26" ht="15.75" customHeight="1">
      <c r="A711" s="16"/>
      <c r="B711" s="16"/>
      <c r="C711" s="16"/>
      <c r="D711" s="16"/>
      <c r="E711" s="16"/>
      <c r="F711" s="16"/>
      <c r="G711" s="16"/>
      <c r="H711" s="1092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spans="1:26" ht="15.75" customHeight="1">
      <c r="A712" s="16"/>
      <c r="B712" s="16"/>
      <c r="C712" s="16"/>
      <c r="D712" s="16"/>
      <c r="E712" s="16"/>
      <c r="F712" s="16"/>
      <c r="G712" s="16"/>
      <c r="H712" s="1092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spans="1:26" ht="15.75" customHeight="1">
      <c r="A713" s="16"/>
      <c r="B713" s="16"/>
      <c r="C713" s="16"/>
      <c r="D713" s="16"/>
      <c r="E713" s="16"/>
      <c r="F713" s="16"/>
      <c r="G713" s="16"/>
      <c r="H713" s="1092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spans="1:26" ht="15.75" customHeight="1">
      <c r="A714" s="16"/>
      <c r="B714" s="16"/>
      <c r="C714" s="16"/>
      <c r="D714" s="16"/>
      <c r="E714" s="16"/>
      <c r="F714" s="16"/>
      <c r="G714" s="16"/>
      <c r="H714" s="1092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spans="1:26" ht="15.75" customHeight="1">
      <c r="A715" s="16"/>
      <c r="B715" s="16"/>
      <c r="C715" s="16"/>
      <c r="D715" s="16"/>
      <c r="E715" s="16"/>
      <c r="F715" s="16"/>
      <c r="G715" s="16"/>
      <c r="H715" s="1092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spans="1:26" ht="15.75" customHeight="1">
      <c r="A716" s="16"/>
      <c r="B716" s="16"/>
      <c r="C716" s="16"/>
      <c r="D716" s="16"/>
      <c r="E716" s="16"/>
      <c r="F716" s="16"/>
      <c r="G716" s="16"/>
      <c r="H716" s="1092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spans="1:26" ht="15.75" customHeight="1">
      <c r="A717" s="16"/>
      <c r="B717" s="16"/>
      <c r="C717" s="16"/>
      <c r="D717" s="16"/>
      <c r="E717" s="16"/>
      <c r="F717" s="16"/>
      <c r="G717" s="16"/>
      <c r="H717" s="1092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spans="1:26" ht="15.75" customHeight="1">
      <c r="A718" s="16"/>
      <c r="B718" s="16"/>
      <c r="C718" s="16"/>
      <c r="D718" s="16"/>
      <c r="E718" s="16"/>
      <c r="F718" s="16"/>
      <c r="G718" s="16"/>
      <c r="H718" s="1092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spans="1:26" ht="15.75" customHeight="1">
      <c r="A719" s="16"/>
      <c r="B719" s="16"/>
      <c r="C719" s="16"/>
      <c r="D719" s="16"/>
      <c r="E719" s="16"/>
      <c r="F719" s="16"/>
      <c r="G719" s="16"/>
      <c r="H719" s="1092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spans="1:26" ht="15.75" customHeight="1">
      <c r="A720" s="16"/>
      <c r="B720" s="16"/>
      <c r="C720" s="16"/>
      <c r="D720" s="16"/>
      <c r="E720" s="16"/>
      <c r="F720" s="16"/>
      <c r="G720" s="16"/>
      <c r="H720" s="1092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spans="1:26" ht="15.75" customHeight="1">
      <c r="A721" s="16"/>
      <c r="B721" s="16"/>
      <c r="C721" s="16"/>
      <c r="D721" s="16"/>
      <c r="E721" s="16"/>
      <c r="F721" s="16"/>
      <c r="G721" s="16"/>
      <c r="H721" s="1092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spans="1:26" ht="15.75" customHeight="1">
      <c r="A722" s="16"/>
      <c r="B722" s="16"/>
      <c r="C722" s="16"/>
      <c r="D722" s="16"/>
      <c r="E722" s="16"/>
      <c r="F722" s="16"/>
      <c r="G722" s="16"/>
      <c r="H722" s="1092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spans="1:26" ht="15.75" customHeight="1">
      <c r="A723" s="16"/>
      <c r="B723" s="16"/>
      <c r="C723" s="16"/>
      <c r="D723" s="16"/>
      <c r="E723" s="16"/>
      <c r="F723" s="16"/>
      <c r="G723" s="16"/>
      <c r="H723" s="1092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spans="1:26" ht="15.75" customHeight="1">
      <c r="A724" s="16"/>
      <c r="B724" s="16"/>
      <c r="C724" s="16"/>
      <c r="D724" s="16"/>
      <c r="E724" s="16"/>
      <c r="F724" s="16"/>
      <c r="G724" s="16"/>
      <c r="H724" s="1092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spans="1:26" ht="15.75" customHeight="1">
      <c r="A725" s="16"/>
      <c r="B725" s="16"/>
      <c r="C725" s="16"/>
      <c r="D725" s="16"/>
      <c r="E725" s="16"/>
      <c r="F725" s="16"/>
      <c r="G725" s="16"/>
      <c r="H725" s="1092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spans="1:26" ht="15.75" customHeight="1">
      <c r="A726" s="16"/>
      <c r="B726" s="16"/>
      <c r="C726" s="16"/>
      <c r="D726" s="16"/>
      <c r="E726" s="16"/>
      <c r="F726" s="16"/>
      <c r="G726" s="16"/>
      <c r="H726" s="1092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spans="1:26" ht="15.75" customHeight="1">
      <c r="A727" s="16"/>
      <c r="B727" s="16"/>
      <c r="C727" s="16"/>
      <c r="D727" s="16"/>
      <c r="E727" s="16"/>
      <c r="F727" s="16"/>
      <c r="G727" s="16"/>
      <c r="H727" s="1092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spans="1:26" ht="15.75" customHeight="1">
      <c r="A728" s="16"/>
      <c r="B728" s="16"/>
      <c r="C728" s="16"/>
      <c r="D728" s="16"/>
      <c r="E728" s="16"/>
      <c r="F728" s="16"/>
      <c r="G728" s="16"/>
      <c r="H728" s="1092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spans="1:26" ht="15.75" customHeight="1">
      <c r="A729" s="16"/>
      <c r="B729" s="16"/>
      <c r="C729" s="16"/>
      <c r="D729" s="16"/>
      <c r="E729" s="16"/>
      <c r="F729" s="16"/>
      <c r="G729" s="16"/>
      <c r="H729" s="1092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spans="1:26" ht="15.75" customHeight="1">
      <c r="A730" s="16"/>
      <c r="B730" s="16"/>
      <c r="C730" s="16"/>
      <c r="D730" s="16"/>
      <c r="E730" s="16"/>
      <c r="F730" s="16"/>
      <c r="G730" s="16"/>
      <c r="H730" s="1092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spans="1:26" ht="15.75" customHeight="1">
      <c r="A731" s="16"/>
      <c r="B731" s="16"/>
      <c r="C731" s="16"/>
      <c r="D731" s="16"/>
      <c r="E731" s="16"/>
      <c r="F731" s="16"/>
      <c r="G731" s="16"/>
      <c r="H731" s="1092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spans="1:26" ht="15.75" customHeight="1">
      <c r="A732" s="16"/>
      <c r="B732" s="16"/>
      <c r="C732" s="16"/>
      <c r="D732" s="16"/>
      <c r="E732" s="16"/>
      <c r="F732" s="16"/>
      <c r="G732" s="16"/>
      <c r="H732" s="1092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spans="1:26" ht="15.75" customHeight="1">
      <c r="A733" s="16"/>
      <c r="B733" s="16"/>
      <c r="C733" s="16"/>
      <c r="D733" s="16"/>
      <c r="E733" s="16"/>
      <c r="F733" s="16"/>
      <c r="G733" s="16"/>
      <c r="H733" s="1092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spans="1:26" ht="15.75" customHeight="1">
      <c r="A734" s="16"/>
      <c r="B734" s="16"/>
      <c r="C734" s="16"/>
      <c r="D734" s="16"/>
      <c r="E734" s="16"/>
      <c r="F734" s="16"/>
      <c r="G734" s="16"/>
      <c r="H734" s="1092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spans="1:26" ht="15.75" customHeight="1">
      <c r="A735" s="16"/>
      <c r="B735" s="16"/>
      <c r="C735" s="16"/>
      <c r="D735" s="16"/>
      <c r="E735" s="16"/>
      <c r="F735" s="16"/>
      <c r="G735" s="16"/>
      <c r="H735" s="1092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spans="1:26" ht="15.75" customHeight="1">
      <c r="A736" s="16"/>
      <c r="B736" s="16"/>
      <c r="C736" s="16"/>
      <c r="D736" s="16"/>
      <c r="E736" s="16"/>
      <c r="F736" s="16"/>
      <c r="G736" s="16"/>
      <c r="H736" s="1092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spans="1:26" ht="15.75" customHeight="1">
      <c r="A737" s="16"/>
      <c r="B737" s="16"/>
      <c r="C737" s="16"/>
      <c r="D737" s="16"/>
      <c r="E737" s="16"/>
      <c r="F737" s="16"/>
      <c r="G737" s="16"/>
      <c r="H737" s="1092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spans="1:26" ht="15.75" customHeight="1">
      <c r="A738" s="16"/>
      <c r="B738" s="16"/>
      <c r="C738" s="16"/>
      <c r="D738" s="16"/>
      <c r="E738" s="16"/>
      <c r="F738" s="16"/>
      <c r="G738" s="16"/>
      <c r="H738" s="1092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spans="1:26" ht="15.75" customHeight="1">
      <c r="A739" s="16"/>
      <c r="B739" s="16"/>
      <c r="C739" s="16"/>
      <c r="D739" s="16"/>
      <c r="E739" s="16"/>
      <c r="F739" s="16"/>
      <c r="G739" s="16"/>
      <c r="H739" s="1092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spans="1:26" ht="15.75" customHeight="1">
      <c r="A740" s="16"/>
      <c r="B740" s="16"/>
      <c r="C740" s="16"/>
      <c r="D740" s="16"/>
      <c r="E740" s="16"/>
      <c r="F740" s="16"/>
      <c r="G740" s="16"/>
      <c r="H740" s="1092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spans="1:26" ht="15.75" customHeight="1">
      <c r="A741" s="16"/>
      <c r="B741" s="16"/>
      <c r="C741" s="16"/>
      <c r="D741" s="16"/>
      <c r="E741" s="16"/>
      <c r="F741" s="16"/>
      <c r="G741" s="16"/>
      <c r="H741" s="1092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spans="1:26" ht="15.75" customHeight="1">
      <c r="A742" s="16"/>
      <c r="B742" s="16"/>
      <c r="C742" s="16"/>
      <c r="D742" s="16"/>
      <c r="E742" s="16"/>
      <c r="F742" s="16"/>
      <c r="G742" s="16"/>
      <c r="H742" s="1092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spans="1:26" ht="15.75" customHeight="1">
      <c r="A743" s="16"/>
      <c r="B743" s="16"/>
      <c r="C743" s="16"/>
      <c r="D743" s="16"/>
      <c r="E743" s="16"/>
      <c r="F743" s="16"/>
      <c r="G743" s="16"/>
      <c r="H743" s="1092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spans="1:26" ht="15.75" customHeight="1">
      <c r="A744" s="16"/>
      <c r="B744" s="16"/>
      <c r="C744" s="16"/>
      <c r="D744" s="16"/>
      <c r="E744" s="16"/>
      <c r="F744" s="16"/>
      <c r="G744" s="16"/>
      <c r="H744" s="1092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spans="1:26" ht="15.75" customHeight="1">
      <c r="A745" s="16"/>
      <c r="B745" s="16"/>
      <c r="C745" s="16"/>
      <c r="D745" s="16"/>
      <c r="E745" s="16"/>
      <c r="F745" s="16"/>
      <c r="G745" s="16"/>
      <c r="H745" s="1092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spans="1:26" ht="15.75" customHeight="1">
      <c r="A746" s="16"/>
      <c r="B746" s="16"/>
      <c r="C746" s="16"/>
      <c r="D746" s="16"/>
      <c r="E746" s="16"/>
      <c r="F746" s="16"/>
      <c r="G746" s="16"/>
      <c r="H746" s="1092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spans="1:26" ht="15.75" customHeight="1">
      <c r="A747" s="16"/>
      <c r="B747" s="16"/>
      <c r="C747" s="16"/>
      <c r="D747" s="16"/>
      <c r="E747" s="16"/>
      <c r="F747" s="16"/>
      <c r="G747" s="16"/>
      <c r="H747" s="1092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spans="1:26" ht="15.75" customHeight="1">
      <c r="A748" s="16"/>
      <c r="B748" s="16"/>
      <c r="C748" s="16"/>
      <c r="D748" s="16"/>
      <c r="E748" s="16"/>
      <c r="F748" s="16"/>
      <c r="G748" s="16"/>
      <c r="H748" s="1092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spans="1:26" ht="15.75" customHeight="1">
      <c r="A749" s="16"/>
      <c r="B749" s="16"/>
      <c r="C749" s="16"/>
      <c r="D749" s="16"/>
      <c r="E749" s="16"/>
      <c r="F749" s="16"/>
      <c r="G749" s="16"/>
      <c r="H749" s="1092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spans="1:26" ht="15.75" customHeight="1">
      <c r="A750" s="16"/>
      <c r="B750" s="16"/>
      <c r="C750" s="16"/>
      <c r="D750" s="16"/>
      <c r="E750" s="16"/>
      <c r="F750" s="16"/>
      <c r="G750" s="16"/>
      <c r="H750" s="1092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spans="1:26" ht="15.75" customHeight="1">
      <c r="A751" s="16"/>
      <c r="B751" s="16"/>
      <c r="C751" s="16"/>
      <c r="D751" s="16"/>
      <c r="E751" s="16"/>
      <c r="F751" s="16"/>
      <c r="G751" s="16"/>
      <c r="H751" s="1092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spans="1:26" ht="15.75" customHeight="1">
      <c r="A752" s="16"/>
      <c r="B752" s="16"/>
      <c r="C752" s="16"/>
      <c r="D752" s="16"/>
      <c r="E752" s="16"/>
      <c r="F752" s="16"/>
      <c r="G752" s="16"/>
      <c r="H752" s="1092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spans="1:26" ht="15.75" customHeight="1">
      <c r="A753" s="16"/>
      <c r="B753" s="16"/>
      <c r="C753" s="16"/>
      <c r="D753" s="16"/>
      <c r="E753" s="16"/>
      <c r="F753" s="16"/>
      <c r="G753" s="16"/>
      <c r="H753" s="1092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spans="1:26" ht="15.75" customHeight="1">
      <c r="A754" s="16"/>
      <c r="B754" s="16"/>
      <c r="C754" s="16"/>
      <c r="D754" s="16"/>
      <c r="E754" s="16"/>
      <c r="F754" s="16"/>
      <c r="G754" s="16"/>
      <c r="H754" s="1092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spans="1:26" ht="15.75" customHeight="1">
      <c r="A755" s="16"/>
      <c r="B755" s="16"/>
      <c r="C755" s="16"/>
      <c r="D755" s="16"/>
      <c r="E755" s="16"/>
      <c r="F755" s="16"/>
      <c r="G755" s="16"/>
      <c r="H755" s="1092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spans="1:26" ht="15.75" customHeight="1">
      <c r="A756" s="16"/>
      <c r="B756" s="16"/>
      <c r="C756" s="16"/>
      <c r="D756" s="16"/>
      <c r="E756" s="16"/>
      <c r="F756" s="16"/>
      <c r="G756" s="16"/>
      <c r="H756" s="1092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spans="1:26" ht="15.75" customHeight="1">
      <c r="A757" s="16"/>
      <c r="B757" s="16"/>
      <c r="C757" s="16"/>
      <c r="D757" s="16"/>
      <c r="E757" s="16"/>
      <c r="F757" s="16"/>
      <c r="G757" s="16"/>
      <c r="H757" s="1092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spans="1:26" ht="15.75" customHeight="1">
      <c r="A758" s="16"/>
      <c r="B758" s="16"/>
      <c r="C758" s="16"/>
      <c r="D758" s="16"/>
      <c r="E758" s="16"/>
      <c r="F758" s="16"/>
      <c r="G758" s="16"/>
      <c r="H758" s="1092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spans="1:26" ht="15.75" customHeight="1">
      <c r="A759" s="16"/>
      <c r="B759" s="16"/>
      <c r="C759" s="16"/>
      <c r="D759" s="16"/>
      <c r="E759" s="16"/>
      <c r="F759" s="16"/>
      <c r="G759" s="16"/>
      <c r="H759" s="1092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spans="1:26" ht="15.75" customHeight="1">
      <c r="A760" s="16"/>
      <c r="B760" s="16"/>
      <c r="C760" s="16"/>
      <c r="D760" s="16"/>
      <c r="E760" s="16"/>
      <c r="F760" s="16"/>
      <c r="G760" s="16"/>
      <c r="H760" s="1092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spans="1:26" ht="15.75" customHeight="1">
      <c r="A761" s="16"/>
      <c r="B761" s="16"/>
      <c r="C761" s="16"/>
      <c r="D761" s="16"/>
      <c r="E761" s="16"/>
      <c r="F761" s="16"/>
      <c r="G761" s="16"/>
      <c r="H761" s="1092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spans="1:26" ht="15.75" customHeight="1">
      <c r="A762" s="16"/>
      <c r="B762" s="16"/>
      <c r="C762" s="16"/>
      <c r="D762" s="16"/>
      <c r="E762" s="16"/>
      <c r="F762" s="16"/>
      <c r="G762" s="16"/>
      <c r="H762" s="1092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spans="1:26" ht="15.75" customHeight="1">
      <c r="A763" s="16"/>
      <c r="B763" s="16"/>
      <c r="C763" s="16"/>
      <c r="D763" s="16"/>
      <c r="E763" s="16"/>
      <c r="F763" s="16"/>
      <c r="G763" s="16"/>
      <c r="H763" s="1092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spans="1:26" ht="15.75" customHeight="1">
      <c r="A764" s="16"/>
      <c r="B764" s="16"/>
      <c r="C764" s="16"/>
      <c r="D764" s="16"/>
      <c r="E764" s="16"/>
      <c r="F764" s="16"/>
      <c r="G764" s="16"/>
      <c r="H764" s="1092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spans="1:26" ht="15.75" customHeight="1">
      <c r="A765" s="16"/>
      <c r="B765" s="16"/>
      <c r="C765" s="16"/>
      <c r="D765" s="16"/>
      <c r="E765" s="16"/>
      <c r="F765" s="16"/>
      <c r="G765" s="16"/>
      <c r="H765" s="1092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spans="1:26" ht="15.75" customHeight="1">
      <c r="A766" s="16"/>
      <c r="B766" s="16"/>
      <c r="C766" s="16"/>
      <c r="D766" s="16"/>
      <c r="E766" s="16"/>
      <c r="F766" s="16"/>
      <c r="G766" s="16"/>
      <c r="H766" s="1092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spans="1:26" ht="15.75" customHeight="1">
      <c r="A767" s="16"/>
      <c r="B767" s="16"/>
      <c r="C767" s="16"/>
      <c r="D767" s="16"/>
      <c r="E767" s="16"/>
      <c r="F767" s="16"/>
      <c r="G767" s="16"/>
      <c r="H767" s="1092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spans="1:26" ht="15.75" customHeight="1">
      <c r="A768" s="16"/>
      <c r="B768" s="16"/>
      <c r="C768" s="16"/>
      <c r="D768" s="16"/>
      <c r="E768" s="16"/>
      <c r="F768" s="16"/>
      <c r="G768" s="16"/>
      <c r="H768" s="1092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spans="1:26" ht="15.75" customHeight="1">
      <c r="A769" s="16"/>
      <c r="B769" s="16"/>
      <c r="C769" s="16"/>
      <c r="D769" s="16"/>
      <c r="E769" s="16"/>
      <c r="F769" s="16"/>
      <c r="G769" s="16"/>
      <c r="H769" s="1092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spans="1:26" ht="15.75" customHeight="1">
      <c r="A770" s="16"/>
      <c r="B770" s="16"/>
      <c r="C770" s="16"/>
      <c r="D770" s="16"/>
      <c r="E770" s="16"/>
      <c r="F770" s="16"/>
      <c r="G770" s="16"/>
      <c r="H770" s="1092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spans="1:26" ht="15.75" customHeight="1">
      <c r="A771" s="16"/>
      <c r="B771" s="16"/>
      <c r="C771" s="16"/>
      <c r="D771" s="16"/>
      <c r="E771" s="16"/>
      <c r="F771" s="16"/>
      <c r="G771" s="16"/>
      <c r="H771" s="1092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spans="1:26" ht="15.75" customHeight="1">
      <c r="A772" s="16"/>
      <c r="B772" s="16"/>
      <c r="C772" s="16"/>
      <c r="D772" s="16"/>
      <c r="E772" s="16"/>
      <c r="F772" s="16"/>
      <c r="G772" s="16"/>
      <c r="H772" s="1092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spans="1:26" ht="15.75" customHeight="1">
      <c r="A773" s="16"/>
      <c r="B773" s="16"/>
      <c r="C773" s="16"/>
      <c r="D773" s="16"/>
      <c r="E773" s="16"/>
      <c r="F773" s="16"/>
      <c r="G773" s="16"/>
      <c r="H773" s="1092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spans="1:26" ht="15.75" customHeight="1">
      <c r="A774" s="16"/>
      <c r="B774" s="16"/>
      <c r="C774" s="16"/>
      <c r="D774" s="16"/>
      <c r="E774" s="16"/>
      <c r="F774" s="16"/>
      <c r="G774" s="16"/>
      <c r="H774" s="1092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spans="1:26" ht="15.75" customHeight="1">
      <c r="A775" s="16"/>
      <c r="B775" s="16"/>
      <c r="C775" s="16"/>
      <c r="D775" s="16"/>
      <c r="E775" s="16"/>
      <c r="F775" s="16"/>
      <c r="G775" s="16"/>
      <c r="H775" s="1092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spans="1:26" ht="15.75" customHeight="1">
      <c r="A776" s="16"/>
      <c r="B776" s="16"/>
      <c r="C776" s="16"/>
      <c r="D776" s="16"/>
      <c r="E776" s="16"/>
      <c r="F776" s="16"/>
      <c r="G776" s="16"/>
      <c r="H776" s="1092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spans="1:26" ht="15.75" customHeight="1">
      <c r="A777" s="16"/>
      <c r="B777" s="16"/>
      <c r="C777" s="16"/>
      <c r="D777" s="16"/>
      <c r="E777" s="16"/>
      <c r="F777" s="16"/>
      <c r="G777" s="16"/>
      <c r="H777" s="1092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spans="1:26" ht="15.75" customHeight="1">
      <c r="A778" s="16"/>
      <c r="B778" s="16"/>
      <c r="C778" s="16"/>
      <c r="D778" s="16"/>
      <c r="E778" s="16"/>
      <c r="F778" s="16"/>
      <c r="G778" s="16"/>
      <c r="H778" s="1092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spans="1:26" ht="15.75" customHeight="1">
      <c r="A779" s="16"/>
      <c r="B779" s="16"/>
      <c r="C779" s="16"/>
      <c r="D779" s="16"/>
      <c r="E779" s="16"/>
      <c r="F779" s="16"/>
      <c r="G779" s="16"/>
      <c r="H779" s="1092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spans="1:26" ht="15.75" customHeight="1">
      <c r="A780" s="16"/>
      <c r="B780" s="16"/>
      <c r="C780" s="16"/>
      <c r="D780" s="16"/>
      <c r="E780" s="16"/>
      <c r="F780" s="16"/>
      <c r="G780" s="16"/>
      <c r="H780" s="1092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spans="1:26" ht="15.75" customHeight="1">
      <c r="A781" s="16"/>
      <c r="B781" s="16"/>
      <c r="C781" s="16"/>
      <c r="D781" s="16"/>
      <c r="E781" s="16"/>
      <c r="F781" s="16"/>
      <c r="G781" s="16"/>
      <c r="H781" s="1092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spans="1:26" ht="15.75" customHeight="1">
      <c r="A782" s="16"/>
      <c r="B782" s="16"/>
      <c r="C782" s="16"/>
      <c r="D782" s="16"/>
      <c r="E782" s="16"/>
      <c r="F782" s="16"/>
      <c r="G782" s="16"/>
      <c r="H782" s="1092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spans="1:26" ht="15.75" customHeight="1">
      <c r="A783" s="16"/>
      <c r="B783" s="16"/>
      <c r="C783" s="16"/>
      <c r="D783" s="16"/>
      <c r="E783" s="16"/>
      <c r="F783" s="16"/>
      <c r="G783" s="16"/>
      <c r="H783" s="1092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spans="1:26" ht="15.75" customHeight="1">
      <c r="A784" s="16"/>
      <c r="B784" s="16"/>
      <c r="C784" s="16"/>
      <c r="D784" s="16"/>
      <c r="E784" s="16"/>
      <c r="F784" s="16"/>
      <c r="G784" s="16"/>
      <c r="H784" s="1092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spans="1:26" ht="15.75" customHeight="1">
      <c r="A785" s="16"/>
      <c r="B785" s="16"/>
      <c r="C785" s="16"/>
      <c r="D785" s="16"/>
      <c r="E785" s="16"/>
      <c r="F785" s="16"/>
      <c r="G785" s="16"/>
      <c r="H785" s="1092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spans="1:26" ht="15.75" customHeight="1">
      <c r="A786" s="16"/>
      <c r="B786" s="16"/>
      <c r="C786" s="16"/>
      <c r="D786" s="16"/>
      <c r="E786" s="16"/>
      <c r="F786" s="16"/>
      <c r="G786" s="16"/>
      <c r="H786" s="1092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spans="1:26" ht="15.75" customHeight="1">
      <c r="A787" s="16"/>
      <c r="B787" s="16"/>
      <c r="C787" s="16"/>
      <c r="D787" s="16"/>
      <c r="E787" s="16"/>
      <c r="F787" s="16"/>
      <c r="G787" s="16"/>
      <c r="H787" s="1092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spans="1:26" ht="15.75" customHeight="1">
      <c r="A788" s="16"/>
      <c r="B788" s="16"/>
      <c r="C788" s="16"/>
      <c r="D788" s="16"/>
      <c r="E788" s="16"/>
      <c r="F788" s="16"/>
      <c r="G788" s="16"/>
      <c r="H788" s="1092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spans="1:26" ht="15.75" customHeight="1">
      <c r="A789" s="16"/>
      <c r="B789" s="16"/>
      <c r="C789" s="16"/>
      <c r="D789" s="16"/>
      <c r="E789" s="16"/>
      <c r="F789" s="16"/>
      <c r="G789" s="16"/>
      <c r="H789" s="1092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spans="1:26" ht="15.75" customHeight="1">
      <c r="A790" s="16"/>
      <c r="B790" s="16"/>
      <c r="C790" s="16"/>
      <c r="D790" s="16"/>
      <c r="E790" s="16"/>
      <c r="F790" s="16"/>
      <c r="G790" s="16"/>
      <c r="H790" s="1092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spans="1:26" ht="15.75" customHeight="1">
      <c r="A791" s="16"/>
      <c r="B791" s="16"/>
      <c r="C791" s="16"/>
      <c r="D791" s="16"/>
      <c r="E791" s="16"/>
      <c r="F791" s="16"/>
      <c r="G791" s="16"/>
      <c r="H791" s="1092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spans="1:26" ht="15.75" customHeight="1">
      <c r="A792" s="16"/>
      <c r="B792" s="16"/>
      <c r="C792" s="16"/>
      <c r="D792" s="16"/>
      <c r="E792" s="16"/>
      <c r="F792" s="16"/>
      <c r="G792" s="16"/>
      <c r="H792" s="1092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spans="1:26" ht="15.75" customHeight="1">
      <c r="A793" s="16"/>
      <c r="B793" s="16"/>
      <c r="C793" s="16"/>
      <c r="D793" s="16"/>
      <c r="E793" s="16"/>
      <c r="F793" s="16"/>
      <c r="G793" s="16"/>
      <c r="H793" s="1092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spans="1:26" ht="15.75" customHeight="1">
      <c r="A794" s="16"/>
      <c r="B794" s="16"/>
      <c r="C794" s="16"/>
      <c r="D794" s="16"/>
      <c r="E794" s="16"/>
      <c r="F794" s="16"/>
      <c r="G794" s="16"/>
      <c r="H794" s="1092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spans="1:26" ht="15.75" customHeight="1">
      <c r="A795" s="16"/>
      <c r="B795" s="16"/>
      <c r="C795" s="16"/>
      <c r="D795" s="16"/>
      <c r="E795" s="16"/>
      <c r="F795" s="16"/>
      <c r="G795" s="16"/>
      <c r="H795" s="1092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spans="1:26" ht="15.75" customHeight="1">
      <c r="A796" s="16"/>
      <c r="B796" s="16"/>
      <c r="C796" s="16"/>
      <c r="D796" s="16"/>
      <c r="E796" s="16"/>
      <c r="F796" s="16"/>
      <c r="G796" s="16"/>
      <c r="H796" s="1092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spans="1:26" ht="15.75" customHeight="1">
      <c r="A797" s="16"/>
      <c r="B797" s="16"/>
      <c r="C797" s="16"/>
      <c r="D797" s="16"/>
      <c r="E797" s="16"/>
      <c r="F797" s="16"/>
      <c r="G797" s="16"/>
      <c r="H797" s="1092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spans="1:26" ht="15.75" customHeight="1">
      <c r="A798" s="16"/>
      <c r="B798" s="16"/>
      <c r="C798" s="16"/>
      <c r="D798" s="16"/>
      <c r="E798" s="16"/>
      <c r="F798" s="16"/>
      <c r="G798" s="16"/>
      <c r="H798" s="1092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spans="1:26" ht="15.75" customHeight="1">
      <c r="A799" s="16"/>
      <c r="B799" s="16"/>
      <c r="C799" s="16"/>
      <c r="D799" s="16"/>
      <c r="E799" s="16"/>
      <c r="F799" s="16"/>
      <c r="G799" s="16"/>
      <c r="H799" s="1092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spans="1:26" ht="15.75" customHeight="1">
      <c r="A800" s="16"/>
      <c r="B800" s="16"/>
      <c r="C800" s="16"/>
      <c r="D800" s="16"/>
      <c r="E800" s="16"/>
      <c r="F800" s="16"/>
      <c r="G800" s="16"/>
      <c r="H800" s="1092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spans="1:26" ht="15.75" customHeight="1">
      <c r="A801" s="16"/>
      <c r="B801" s="16"/>
      <c r="C801" s="16"/>
      <c r="D801" s="16"/>
      <c r="E801" s="16"/>
      <c r="F801" s="16"/>
      <c r="G801" s="16"/>
      <c r="H801" s="1092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spans="1:26" ht="15.75" customHeight="1">
      <c r="A802" s="16"/>
      <c r="B802" s="16"/>
      <c r="C802" s="16"/>
      <c r="D802" s="16"/>
      <c r="E802" s="16"/>
      <c r="F802" s="16"/>
      <c r="G802" s="16"/>
      <c r="H802" s="1092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spans="1:26" ht="15.75" customHeight="1">
      <c r="A803" s="16"/>
      <c r="B803" s="16"/>
      <c r="C803" s="16"/>
      <c r="D803" s="16"/>
      <c r="E803" s="16"/>
      <c r="F803" s="16"/>
      <c r="G803" s="16"/>
      <c r="H803" s="1092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spans="1:26" ht="15.75" customHeight="1">
      <c r="A804" s="16"/>
      <c r="B804" s="16"/>
      <c r="C804" s="16"/>
      <c r="D804" s="16"/>
      <c r="E804" s="16"/>
      <c r="F804" s="16"/>
      <c r="G804" s="16"/>
      <c r="H804" s="1092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spans="1:26" ht="15.75" customHeight="1">
      <c r="A805" s="16"/>
      <c r="B805" s="16"/>
      <c r="C805" s="16"/>
      <c r="D805" s="16"/>
      <c r="E805" s="16"/>
      <c r="F805" s="16"/>
      <c r="G805" s="16"/>
      <c r="H805" s="1092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spans="1:26" ht="15.75" customHeight="1">
      <c r="A806" s="16"/>
      <c r="B806" s="16"/>
      <c r="C806" s="16"/>
      <c r="D806" s="16"/>
      <c r="E806" s="16"/>
      <c r="F806" s="16"/>
      <c r="G806" s="16"/>
      <c r="H806" s="1092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spans="1:26" ht="15.75" customHeight="1">
      <c r="A807" s="16"/>
      <c r="B807" s="16"/>
      <c r="C807" s="16"/>
      <c r="D807" s="16"/>
      <c r="E807" s="16"/>
      <c r="F807" s="16"/>
      <c r="G807" s="16"/>
      <c r="H807" s="1092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spans="1:26" ht="15.75" customHeight="1">
      <c r="A808" s="16"/>
      <c r="B808" s="16"/>
      <c r="C808" s="16"/>
      <c r="D808" s="16"/>
      <c r="E808" s="16"/>
      <c r="F808" s="16"/>
      <c r="G808" s="16"/>
      <c r="H808" s="1092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spans="1:26" ht="15.75" customHeight="1">
      <c r="A809" s="16"/>
      <c r="B809" s="16"/>
      <c r="C809" s="16"/>
      <c r="D809" s="16"/>
      <c r="E809" s="16"/>
      <c r="F809" s="16"/>
      <c r="G809" s="16"/>
      <c r="H809" s="1092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spans="1:26" ht="15.75" customHeight="1">
      <c r="A810" s="16"/>
      <c r="B810" s="16"/>
      <c r="C810" s="16"/>
      <c r="D810" s="16"/>
      <c r="E810" s="16"/>
      <c r="F810" s="16"/>
      <c r="G810" s="16"/>
      <c r="H810" s="1092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spans="1:26" ht="15.75" customHeight="1">
      <c r="A811" s="16"/>
      <c r="B811" s="16"/>
      <c r="C811" s="16"/>
      <c r="D811" s="16"/>
      <c r="E811" s="16"/>
      <c r="F811" s="16"/>
      <c r="G811" s="16"/>
      <c r="H811" s="1092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spans="1:26" ht="15.75" customHeight="1">
      <c r="A812" s="16"/>
      <c r="B812" s="16"/>
      <c r="C812" s="16"/>
      <c r="D812" s="16"/>
      <c r="E812" s="16"/>
      <c r="F812" s="16"/>
      <c r="G812" s="16"/>
      <c r="H812" s="1092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spans="1:26" ht="15.75" customHeight="1">
      <c r="A813" s="16"/>
      <c r="B813" s="16"/>
      <c r="C813" s="16"/>
      <c r="D813" s="16"/>
      <c r="E813" s="16"/>
      <c r="F813" s="16"/>
      <c r="G813" s="16"/>
      <c r="H813" s="1092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spans="1:26" ht="15.75" customHeight="1">
      <c r="A814" s="16"/>
      <c r="B814" s="16"/>
      <c r="C814" s="16"/>
      <c r="D814" s="16"/>
      <c r="E814" s="16"/>
      <c r="F814" s="16"/>
      <c r="G814" s="16"/>
      <c r="H814" s="1092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spans="1:26" ht="15.75" customHeight="1">
      <c r="A815" s="16"/>
      <c r="B815" s="16"/>
      <c r="C815" s="16"/>
      <c r="D815" s="16"/>
      <c r="E815" s="16"/>
      <c r="F815" s="16"/>
      <c r="G815" s="16"/>
      <c r="H815" s="1092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spans="1:26" ht="15.75" customHeight="1">
      <c r="A816" s="16"/>
      <c r="B816" s="16"/>
      <c r="C816" s="16"/>
      <c r="D816" s="16"/>
      <c r="E816" s="16"/>
      <c r="F816" s="16"/>
      <c r="G816" s="16"/>
      <c r="H816" s="1092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spans="1:26" ht="15.75" customHeight="1">
      <c r="A817" s="16"/>
      <c r="B817" s="16"/>
      <c r="C817" s="16"/>
      <c r="D817" s="16"/>
      <c r="E817" s="16"/>
      <c r="F817" s="16"/>
      <c r="G817" s="16"/>
      <c r="H817" s="1092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spans="1:26" ht="15.75" customHeight="1">
      <c r="A818" s="16"/>
      <c r="B818" s="16"/>
      <c r="C818" s="16"/>
      <c r="D818" s="16"/>
      <c r="E818" s="16"/>
      <c r="F818" s="16"/>
      <c r="G818" s="16"/>
      <c r="H818" s="1092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spans="1:26" ht="15.75" customHeight="1">
      <c r="A819" s="16"/>
      <c r="B819" s="16"/>
      <c r="C819" s="16"/>
      <c r="D819" s="16"/>
      <c r="E819" s="16"/>
      <c r="F819" s="16"/>
      <c r="G819" s="16"/>
      <c r="H819" s="1092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spans="1:26" ht="15.75" customHeight="1">
      <c r="A820" s="16"/>
      <c r="B820" s="16"/>
      <c r="C820" s="16"/>
      <c r="D820" s="16"/>
      <c r="E820" s="16"/>
      <c r="F820" s="16"/>
      <c r="G820" s="16"/>
      <c r="H820" s="1092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spans="1:26" ht="15.75" customHeight="1">
      <c r="A821" s="16"/>
      <c r="B821" s="16"/>
      <c r="C821" s="16"/>
      <c r="D821" s="16"/>
      <c r="E821" s="16"/>
      <c r="F821" s="16"/>
      <c r="G821" s="16"/>
      <c r="H821" s="1092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spans="1:26" ht="15.75" customHeight="1">
      <c r="A822" s="16"/>
      <c r="B822" s="16"/>
      <c r="C822" s="16"/>
      <c r="D822" s="16"/>
      <c r="E822" s="16"/>
      <c r="F822" s="16"/>
      <c r="G822" s="16"/>
      <c r="H822" s="1092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spans="1:26" ht="15.75" customHeight="1">
      <c r="A823" s="16"/>
      <c r="B823" s="16"/>
      <c r="C823" s="16"/>
      <c r="D823" s="16"/>
      <c r="E823" s="16"/>
      <c r="F823" s="16"/>
      <c r="G823" s="16"/>
      <c r="H823" s="1092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spans="1:26" ht="15.75" customHeight="1">
      <c r="A824" s="16"/>
      <c r="B824" s="16"/>
      <c r="C824" s="16"/>
      <c r="D824" s="16"/>
      <c r="E824" s="16"/>
      <c r="F824" s="16"/>
      <c r="G824" s="16"/>
      <c r="H824" s="1092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spans="1:26" ht="15.75" customHeight="1">
      <c r="A825" s="16"/>
      <c r="B825" s="16"/>
      <c r="C825" s="16"/>
      <c r="D825" s="16"/>
      <c r="E825" s="16"/>
      <c r="F825" s="16"/>
      <c r="G825" s="16"/>
      <c r="H825" s="1092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spans="1:26" ht="15.75" customHeight="1">
      <c r="A826" s="16"/>
      <c r="B826" s="16"/>
      <c r="C826" s="16"/>
      <c r="D826" s="16"/>
      <c r="E826" s="16"/>
      <c r="F826" s="16"/>
      <c r="G826" s="16"/>
      <c r="H826" s="1092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spans="1:26" ht="15.75" customHeight="1">
      <c r="A827" s="16"/>
      <c r="B827" s="16"/>
      <c r="C827" s="16"/>
      <c r="D827" s="16"/>
      <c r="E827" s="16"/>
      <c r="F827" s="16"/>
      <c r="G827" s="16"/>
      <c r="H827" s="1092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spans="1:26" ht="15.75" customHeight="1">
      <c r="A828" s="16"/>
      <c r="B828" s="16"/>
      <c r="C828" s="16"/>
      <c r="D828" s="16"/>
      <c r="E828" s="16"/>
      <c r="F828" s="16"/>
      <c r="G828" s="16"/>
      <c r="H828" s="1092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spans="1:26" ht="15.75" customHeight="1">
      <c r="A829" s="16"/>
      <c r="B829" s="16"/>
      <c r="C829" s="16"/>
      <c r="D829" s="16"/>
      <c r="E829" s="16"/>
      <c r="F829" s="16"/>
      <c r="G829" s="16"/>
      <c r="H829" s="1092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spans="1:26" ht="15.75" customHeight="1">
      <c r="A830" s="16"/>
      <c r="B830" s="16"/>
      <c r="C830" s="16"/>
      <c r="D830" s="16"/>
      <c r="E830" s="16"/>
      <c r="F830" s="16"/>
      <c r="G830" s="16"/>
      <c r="H830" s="1092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spans="1:26" ht="15.75" customHeight="1">
      <c r="A831" s="16"/>
      <c r="B831" s="16"/>
      <c r="C831" s="16"/>
      <c r="D831" s="16"/>
      <c r="E831" s="16"/>
      <c r="F831" s="16"/>
      <c r="G831" s="16"/>
      <c r="H831" s="1092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spans="1:26" ht="15.75" customHeight="1">
      <c r="A832" s="16"/>
      <c r="B832" s="16"/>
      <c r="C832" s="16"/>
      <c r="D832" s="16"/>
      <c r="E832" s="16"/>
      <c r="F832" s="16"/>
      <c r="G832" s="16"/>
      <c r="H832" s="1092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spans="1:26" ht="15.75" customHeight="1">
      <c r="A833" s="16"/>
      <c r="B833" s="16"/>
      <c r="C833" s="16"/>
      <c r="D833" s="16"/>
      <c r="E833" s="16"/>
      <c r="F833" s="16"/>
      <c r="G833" s="16"/>
      <c r="H833" s="1092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spans="1:26" ht="15.75" customHeight="1">
      <c r="A834" s="16"/>
      <c r="B834" s="16"/>
      <c r="C834" s="16"/>
      <c r="D834" s="16"/>
      <c r="E834" s="16"/>
      <c r="F834" s="16"/>
      <c r="G834" s="16"/>
      <c r="H834" s="1092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spans="1:26" ht="15.75" customHeight="1">
      <c r="A835" s="16"/>
      <c r="B835" s="16"/>
      <c r="C835" s="16"/>
      <c r="D835" s="16"/>
      <c r="E835" s="16"/>
      <c r="F835" s="16"/>
      <c r="G835" s="16"/>
      <c r="H835" s="1092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spans="1:26" ht="15.75" customHeight="1">
      <c r="A836" s="16"/>
      <c r="B836" s="16"/>
      <c r="C836" s="16"/>
      <c r="D836" s="16"/>
      <c r="E836" s="16"/>
      <c r="F836" s="16"/>
      <c r="G836" s="16"/>
      <c r="H836" s="1092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spans="1:26" ht="15.75" customHeight="1">
      <c r="A837" s="16"/>
      <c r="B837" s="16"/>
      <c r="C837" s="16"/>
      <c r="D837" s="16"/>
      <c r="E837" s="16"/>
      <c r="F837" s="16"/>
      <c r="G837" s="16"/>
      <c r="H837" s="1092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spans="1:26" ht="15.75" customHeight="1">
      <c r="A838" s="16"/>
      <c r="B838" s="16"/>
      <c r="C838" s="16"/>
      <c r="D838" s="16"/>
      <c r="E838" s="16"/>
      <c r="F838" s="16"/>
      <c r="G838" s="16"/>
      <c r="H838" s="1092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spans="1:26" ht="15.75" customHeight="1">
      <c r="A839" s="16"/>
      <c r="B839" s="16"/>
      <c r="C839" s="16"/>
      <c r="D839" s="16"/>
      <c r="E839" s="16"/>
      <c r="F839" s="16"/>
      <c r="G839" s="16"/>
      <c r="H839" s="1092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spans="1:26" ht="15.75" customHeight="1">
      <c r="A840" s="16"/>
      <c r="B840" s="16"/>
      <c r="C840" s="16"/>
      <c r="D840" s="16"/>
      <c r="E840" s="16"/>
      <c r="F840" s="16"/>
      <c r="G840" s="16"/>
      <c r="H840" s="1092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spans="1:26" ht="15.75" customHeight="1">
      <c r="A841" s="16"/>
      <c r="B841" s="16"/>
      <c r="C841" s="16"/>
      <c r="D841" s="16"/>
      <c r="E841" s="16"/>
      <c r="F841" s="16"/>
      <c r="G841" s="16"/>
      <c r="H841" s="1092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spans="1:26" ht="15.75" customHeight="1">
      <c r="A842" s="16"/>
      <c r="B842" s="16"/>
      <c r="C842" s="16"/>
      <c r="D842" s="16"/>
      <c r="E842" s="16"/>
      <c r="F842" s="16"/>
      <c r="G842" s="16"/>
      <c r="H842" s="1092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spans="1:26" ht="15.75" customHeight="1">
      <c r="A843" s="16"/>
      <c r="B843" s="16"/>
      <c r="C843" s="16"/>
      <c r="D843" s="16"/>
      <c r="E843" s="16"/>
      <c r="F843" s="16"/>
      <c r="G843" s="16"/>
      <c r="H843" s="1092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spans="1:26" ht="15.75" customHeight="1">
      <c r="A844" s="16"/>
      <c r="B844" s="16"/>
      <c r="C844" s="16"/>
      <c r="D844" s="16"/>
      <c r="E844" s="16"/>
      <c r="F844" s="16"/>
      <c r="G844" s="16"/>
      <c r="H844" s="1092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spans="1:26" ht="15.75" customHeight="1">
      <c r="A845" s="16"/>
      <c r="B845" s="16"/>
      <c r="C845" s="16"/>
      <c r="D845" s="16"/>
      <c r="E845" s="16"/>
      <c r="F845" s="16"/>
      <c r="G845" s="16"/>
      <c r="H845" s="1092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spans="1:26" ht="15.75" customHeight="1">
      <c r="A846" s="16"/>
      <c r="B846" s="16"/>
      <c r="C846" s="16"/>
      <c r="D846" s="16"/>
      <c r="E846" s="16"/>
      <c r="F846" s="16"/>
      <c r="G846" s="16"/>
      <c r="H846" s="1092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spans="1:26" ht="15.75" customHeight="1">
      <c r="A847" s="16"/>
      <c r="B847" s="16"/>
      <c r="C847" s="16"/>
      <c r="D847" s="16"/>
      <c r="E847" s="16"/>
      <c r="F847" s="16"/>
      <c r="G847" s="16"/>
      <c r="H847" s="1092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spans="1:26" ht="15.75" customHeight="1">
      <c r="A848" s="16"/>
      <c r="B848" s="16"/>
      <c r="C848" s="16"/>
      <c r="D848" s="16"/>
      <c r="E848" s="16"/>
      <c r="F848" s="16"/>
      <c r="G848" s="16"/>
      <c r="H848" s="1092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spans="1:26" ht="15.75" customHeight="1">
      <c r="A849" s="16"/>
      <c r="B849" s="16"/>
      <c r="C849" s="16"/>
      <c r="D849" s="16"/>
      <c r="E849" s="16"/>
      <c r="F849" s="16"/>
      <c r="G849" s="16"/>
      <c r="H849" s="1092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spans="1:26" ht="15.75" customHeight="1">
      <c r="A850" s="16"/>
      <c r="B850" s="16"/>
      <c r="C850" s="16"/>
      <c r="D850" s="16"/>
      <c r="E850" s="16"/>
      <c r="F850" s="16"/>
      <c r="G850" s="16"/>
      <c r="H850" s="1092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spans="1:26" ht="15.75" customHeight="1">
      <c r="A851" s="16"/>
      <c r="B851" s="16"/>
      <c r="C851" s="16"/>
      <c r="D851" s="16"/>
      <c r="E851" s="16"/>
      <c r="F851" s="16"/>
      <c r="G851" s="16"/>
      <c r="H851" s="1092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spans="1:26" ht="15.75" customHeight="1">
      <c r="A852" s="16"/>
      <c r="B852" s="16"/>
      <c r="C852" s="16"/>
      <c r="D852" s="16"/>
      <c r="E852" s="16"/>
      <c r="F852" s="16"/>
      <c r="G852" s="16"/>
      <c r="H852" s="1092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spans="1:26" ht="15.75" customHeight="1">
      <c r="A853" s="16"/>
      <c r="B853" s="16"/>
      <c r="C853" s="16"/>
      <c r="D853" s="16"/>
      <c r="E853" s="16"/>
      <c r="F853" s="16"/>
      <c r="G853" s="16"/>
      <c r="H853" s="1092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spans="1:26" ht="15.75" customHeight="1">
      <c r="A854" s="16"/>
      <c r="B854" s="16"/>
      <c r="C854" s="16"/>
      <c r="D854" s="16"/>
      <c r="E854" s="16"/>
      <c r="F854" s="16"/>
      <c r="G854" s="16"/>
      <c r="H854" s="1092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spans="1:26" ht="15.75" customHeight="1">
      <c r="A855" s="16"/>
      <c r="B855" s="16"/>
      <c r="C855" s="16"/>
      <c r="D855" s="16"/>
      <c r="E855" s="16"/>
      <c r="F855" s="16"/>
      <c r="G855" s="16"/>
      <c r="H855" s="1092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spans="1:26" ht="15.75" customHeight="1">
      <c r="A856" s="16"/>
      <c r="B856" s="16"/>
      <c r="C856" s="16"/>
      <c r="D856" s="16"/>
      <c r="E856" s="16"/>
      <c r="F856" s="16"/>
      <c r="G856" s="16"/>
      <c r="H856" s="1092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spans="1:26" ht="15.75" customHeight="1">
      <c r="A857" s="16"/>
      <c r="B857" s="16"/>
      <c r="C857" s="16"/>
      <c r="D857" s="16"/>
      <c r="E857" s="16"/>
      <c r="F857" s="16"/>
      <c r="G857" s="16"/>
      <c r="H857" s="1092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spans="1:26" ht="15.75" customHeight="1">
      <c r="A858" s="16"/>
      <c r="B858" s="16"/>
      <c r="C858" s="16"/>
      <c r="D858" s="16"/>
      <c r="E858" s="16"/>
      <c r="F858" s="16"/>
      <c r="G858" s="16"/>
      <c r="H858" s="1092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spans="1:26" ht="15.75" customHeight="1">
      <c r="A859" s="16"/>
      <c r="B859" s="16"/>
      <c r="C859" s="16"/>
      <c r="D859" s="16"/>
      <c r="E859" s="16"/>
      <c r="F859" s="16"/>
      <c r="G859" s="16"/>
      <c r="H859" s="1092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spans="1:26" ht="15.75" customHeight="1">
      <c r="A860" s="16"/>
      <c r="B860" s="16"/>
      <c r="C860" s="16"/>
      <c r="D860" s="16"/>
      <c r="E860" s="16"/>
      <c r="F860" s="16"/>
      <c r="G860" s="16"/>
      <c r="H860" s="1092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spans="1:26" ht="15.75" customHeight="1">
      <c r="A861" s="16"/>
      <c r="B861" s="16"/>
      <c r="C861" s="16"/>
      <c r="D861" s="16"/>
      <c r="E861" s="16"/>
      <c r="F861" s="16"/>
      <c r="G861" s="16"/>
      <c r="H861" s="1092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spans="1:26" ht="15.75" customHeight="1">
      <c r="A862" s="16"/>
      <c r="B862" s="16"/>
      <c r="C862" s="16"/>
      <c r="D862" s="16"/>
      <c r="E862" s="16"/>
      <c r="F862" s="16"/>
      <c r="G862" s="16"/>
      <c r="H862" s="1092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spans="1:26" ht="15.75" customHeight="1">
      <c r="A863" s="16"/>
      <c r="B863" s="16"/>
      <c r="C863" s="16"/>
      <c r="D863" s="16"/>
      <c r="E863" s="16"/>
      <c r="F863" s="16"/>
      <c r="G863" s="16"/>
      <c r="H863" s="1092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spans="1:26" ht="15.75" customHeight="1">
      <c r="A864" s="16"/>
      <c r="B864" s="16"/>
      <c r="C864" s="16"/>
      <c r="D864" s="16"/>
      <c r="E864" s="16"/>
      <c r="F864" s="16"/>
      <c r="G864" s="16"/>
      <c r="H864" s="1092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spans="1:26" ht="15.75" customHeight="1">
      <c r="A865" s="16"/>
      <c r="B865" s="16"/>
      <c r="C865" s="16"/>
      <c r="D865" s="16"/>
      <c r="E865" s="16"/>
      <c r="F865" s="16"/>
      <c r="G865" s="16"/>
      <c r="H865" s="1092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spans="1:26" ht="15.75" customHeight="1">
      <c r="A866" s="16"/>
      <c r="B866" s="16"/>
      <c r="C866" s="16"/>
      <c r="D866" s="16"/>
      <c r="E866" s="16"/>
      <c r="F866" s="16"/>
      <c r="G866" s="16"/>
      <c r="H866" s="1092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spans="1:26" ht="15.75" customHeight="1">
      <c r="A867" s="16"/>
      <c r="B867" s="16"/>
      <c r="C867" s="16"/>
      <c r="D867" s="16"/>
      <c r="E867" s="16"/>
      <c r="F867" s="16"/>
      <c r="G867" s="16"/>
      <c r="H867" s="1092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spans="1:26" ht="15.75" customHeight="1">
      <c r="A868" s="16"/>
      <c r="B868" s="16"/>
      <c r="C868" s="16"/>
      <c r="D868" s="16"/>
      <c r="E868" s="16"/>
      <c r="F868" s="16"/>
      <c r="G868" s="16"/>
      <c r="H868" s="1092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spans="1:26" ht="15.75" customHeight="1">
      <c r="A869" s="16"/>
      <c r="B869" s="16"/>
      <c r="C869" s="16"/>
      <c r="D869" s="16"/>
      <c r="E869" s="16"/>
      <c r="F869" s="16"/>
      <c r="G869" s="16"/>
      <c r="H869" s="1092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spans="1:26" ht="15.75" customHeight="1">
      <c r="A870" s="16"/>
      <c r="B870" s="16"/>
      <c r="C870" s="16"/>
      <c r="D870" s="16"/>
      <c r="E870" s="16"/>
      <c r="F870" s="16"/>
      <c r="G870" s="16"/>
      <c r="H870" s="1092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spans="1:26" ht="15.75" customHeight="1">
      <c r="A871" s="16"/>
      <c r="B871" s="16"/>
      <c r="C871" s="16"/>
      <c r="D871" s="16"/>
      <c r="E871" s="16"/>
      <c r="F871" s="16"/>
      <c r="G871" s="16"/>
      <c r="H871" s="1092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spans="1:26" ht="15.75" customHeight="1">
      <c r="A872" s="16"/>
      <c r="B872" s="16"/>
      <c r="C872" s="16"/>
      <c r="D872" s="16"/>
      <c r="E872" s="16"/>
      <c r="F872" s="16"/>
      <c r="G872" s="16"/>
      <c r="H872" s="1092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spans="1:26" ht="15.75" customHeight="1">
      <c r="A873" s="16"/>
      <c r="B873" s="16"/>
      <c r="C873" s="16"/>
      <c r="D873" s="16"/>
      <c r="E873" s="16"/>
      <c r="F873" s="16"/>
      <c r="G873" s="16"/>
      <c r="H873" s="1092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spans="1:26" ht="15.75" customHeight="1">
      <c r="A874" s="16"/>
      <c r="B874" s="16"/>
      <c r="C874" s="16"/>
      <c r="D874" s="16"/>
      <c r="E874" s="16"/>
      <c r="F874" s="16"/>
      <c r="G874" s="16"/>
      <c r="H874" s="1092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spans="1:26" ht="15.75" customHeight="1">
      <c r="A875" s="16"/>
      <c r="B875" s="16"/>
      <c r="C875" s="16"/>
      <c r="D875" s="16"/>
      <c r="E875" s="16"/>
      <c r="F875" s="16"/>
      <c r="G875" s="16"/>
      <c r="H875" s="1092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spans="1:26" ht="15.75" customHeight="1">
      <c r="A876" s="16"/>
      <c r="B876" s="16"/>
      <c r="C876" s="16"/>
      <c r="D876" s="16"/>
      <c r="E876" s="16"/>
      <c r="F876" s="16"/>
      <c r="G876" s="16"/>
      <c r="H876" s="1092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spans="1:26" ht="15.75" customHeight="1">
      <c r="A877" s="16"/>
      <c r="B877" s="16"/>
      <c r="C877" s="16"/>
      <c r="D877" s="16"/>
      <c r="E877" s="16"/>
      <c r="F877" s="16"/>
      <c r="G877" s="16"/>
      <c r="H877" s="1092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spans="1:26" ht="15.75" customHeight="1">
      <c r="A878" s="16"/>
      <c r="B878" s="16"/>
      <c r="C878" s="16"/>
      <c r="D878" s="16"/>
      <c r="E878" s="16"/>
      <c r="F878" s="16"/>
      <c r="G878" s="16"/>
      <c r="H878" s="1092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spans="1:26" ht="15.75" customHeight="1">
      <c r="A879" s="16"/>
      <c r="B879" s="16"/>
      <c r="C879" s="16"/>
      <c r="D879" s="16"/>
      <c r="E879" s="16"/>
      <c r="F879" s="16"/>
      <c r="G879" s="16"/>
      <c r="H879" s="1092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spans="1:26" ht="15.75" customHeight="1">
      <c r="A880" s="16"/>
      <c r="B880" s="16"/>
      <c r="C880" s="16"/>
      <c r="D880" s="16"/>
      <c r="E880" s="16"/>
      <c r="F880" s="16"/>
      <c r="G880" s="16"/>
      <c r="H880" s="1092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spans="1:26" ht="15.75" customHeight="1">
      <c r="A881" s="16"/>
      <c r="B881" s="16"/>
      <c r="C881" s="16"/>
      <c r="D881" s="16"/>
      <c r="E881" s="16"/>
      <c r="F881" s="16"/>
      <c r="G881" s="16"/>
      <c r="H881" s="1092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spans="1:26" ht="15.75" customHeight="1">
      <c r="A882" s="16"/>
      <c r="B882" s="16"/>
      <c r="C882" s="16"/>
      <c r="D882" s="16"/>
      <c r="E882" s="16"/>
      <c r="F882" s="16"/>
      <c r="G882" s="16"/>
      <c r="H882" s="1092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spans="1:26" ht="15.75" customHeight="1">
      <c r="A883" s="16"/>
      <c r="B883" s="16"/>
      <c r="C883" s="16"/>
      <c r="D883" s="16"/>
      <c r="E883" s="16"/>
      <c r="F883" s="16"/>
      <c r="G883" s="16"/>
      <c r="H883" s="1092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spans="1:26" ht="15.75" customHeight="1">
      <c r="A884" s="16"/>
      <c r="B884" s="16"/>
      <c r="C884" s="16"/>
      <c r="D884" s="16"/>
      <c r="E884" s="16"/>
      <c r="F884" s="16"/>
      <c r="G884" s="16"/>
      <c r="H884" s="1092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spans="1:26" ht="15.75" customHeight="1">
      <c r="A885" s="16"/>
      <c r="B885" s="16"/>
      <c r="C885" s="16"/>
      <c r="D885" s="16"/>
      <c r="E885" s="16"/>
      <c r="F885" s="16"/>
      <c r="G885" s="16"/>
      <c r="H885" s="1092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spans="1:26" ht="15.75" customHeight="1">
      <c r="A886" s="16"/>
      <c r="B886" s="16"/>
      <c r="C886" s="16"/>
      <c r="D886" s="16"/>
      <c r="E886" s="16"/>
      <c r="F886" s="16"/>
      <c r="G886" s="16"/>
      <c r="H886" s="1092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spans="1:26" ht="15.75" customHeight="1">
      <c r="A887" s="16"/>
      <c r="B887" s="16"/>
      <c r="C887" s="16"/>
      <c r="D887" s="16"/>
      <c r="E887" s="16"/>
      <c r="F887" s="16"/>
      <c r="G887" s="16"/>
      <c r="H887" s="1092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spans="1:26" ht="15.75" customHeight="1">
      <c r="A888" s="16"/>
      <c r="B888" s="16"/>
      <c r="C888" s="16"/>
      <c r="D888" s="16"/>
      <c r="E888" s="16"/>
      <c r="F888" s="16"/>
      <c r="G888" s="16"/>
      <c r="H888" s="1092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spans="1:26" ht="15.75" customHeight="1">
      <c r="A889" s="16"/>
      <c r="B889" s="16"/>
      <c r="C889" s="16"/>
      <c r="D889" s="16"/>
      <c r="E889" s="16"/>
      <c r="F889" s="16"/>
      <c r="G889" s="16"/>
      <c r="H889" s="1092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spans="1:26" ht="15.75" customHeight="1">
      <c r="A890" s="16"/>
      <c r="B890" s="16"/>
      <c r="C890" s="16"/>
      <c r="D890" s="16"/>
      <c r="E890" s="16"/>
      <c r="F890" s="16"/>
      <c r="G890" s="16"/>
      <c r="H890" s="1092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spans="1:26" ht="15.75" customHeight="1">
      <c r="A891" s="16"/>
      <c r="B891" s="16"/>
      <c r="C891" s="16"/>
      <c r="D891" s="16"/>
      <c r="E891" s="16"/>
      <c r="F891" s="16"/>
      <c r="G891" s="16"/>
      <c r="H891" s="1092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spans="1:26" ht="15.75" customHeight="1">
      <c r="A892" s="16"/>
      <c r="B892" s="16"/>
      <c r="C892" s="16"/>
      <c r="D892" s="16"/>
      <c r="E892" s="16"/>
      <c r="F892" s="16"/>
      <c r="G892" s="16"/>
      <c r="H892" s="1092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spans="1:26" ht="15.75" customHeight="1">
      <c r="A893" s="16"/>
      <c r="B893" s="16"/>
      <c r="C893" s="16"/>
      <c r="D893" s="16"/>
      <c r="E893" s="16"/>
      <c r="F893" s="16"/>
      <c r="G893" s="16"/>
      <c r="H893" s="1092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spans="1:26" ht="15.75" customHeight="1">
      <c r="A894" s="16"/>
      <c r="B894" s="16"/>
      <c r="C894" s="16"/>
      <c r="D894" s="16"/>
      <c r="E894" s="16"/>
      <c r="F894" s="16"/>
      <c r="G894" s="16"/>
      <c r="H894" s="1092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spans="1:26" ht="15.75" customHeight="1">
      <c r="A895" s="16"/>
      <c r="B895" s="16"/>
      <c r="C895" s="16"/>
      <c r="D895" s="16"/>
      <c r="E895" s="16"/>
      <c r="F895" s="16"/>
      <c r="G895" s="16"/>
      <c r="H895" s="1092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spans="1:26" ht="15.75" customHeight="1">
      <c r="A896" s="16"/>
      <c r="B896" s="16"/>
      <c r="C896" s="16"/>
      <c r="D896" s="16"/>
      <c r="E896" s="16"/>
      <c r="F896" s="16"/>
      <c r="G896" s="16"/>
      <c r="H896" s="1092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spans="1:26" ht="15.75" customHeight="1">
      <c r="A897" s="16"/>
      <c r="B897" s="16"/>
      <c r="C897" s="16"/>
      <c r="D897" s="16"/>
      <c r="E897" s="16"/>
      <c r="F897" s="16"/>
      <c r="G897" s="16"/>
      <c r="H897" s="1092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spans="1:26" ht="15.75" customHeight="1">
      <c r="A898" s="16"/>
      <c r="B898" s="16"/>
      <c r="C898" s="16"/>
      <c r="D898" s="16"/>
      <c r="E898" s="16"/>
      <c r="F898" s="16"/>
      <c r="G898" s="16"/>
      <c r="H898" s="1092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spans="1:26" ht="15.75" customHeight="1">
      <c r="A899" s="16"/>
      <c r="B899" s="16"/>
      <c r="C899" s="16"/>
      <c r="D899" s="16"/>
      <c r="E899" s="16"/>
      <c r="F899" s="16"/>
      <c r="G899" s="16"/>
      <c r="H899" s="1092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spans="1:26" ht="15.75" customHeight="1">
      <c r="A900" s="16"/>
      <c r="B900" s="16"/>
      <c r="C900" s="16"/>
      <c r="D900" s="16"/>
      <c r="E900" s="16"/>
      <c r="F900" s="16"/>
      <c r="G900" s="16"/>
      <c r="H900" s="1092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spans="1:26" ht="15.75" customHeight="1">
      <c r="A901" s="16"/>
      <c r="B901" s="16"/>
      <c r="C901" s="16"/>
      <c r="D901" s="16"/>
      <c r="E901" s="16"/>
      <c r="F901" s="16"/>
      <c r="G901" s="16"/>
      <c r="H901" s="1092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spans="1:26" ht="15.75" customHeight="1">
      <c r="A902" s="16"/>
      <c r="B902" s="16"/>
      <c r="C902" s="16"/>
      <c r="D902" s="16"/>
      <c r="E902" s="16"/>
      <c r="F902" s="16"/>
      <c r="G902" s="16"/>
      <c r="H902" s="1092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spans="1:26" ht="15.75" customHeight="1">
      <c r="A903" s="16"/>
      <c r="B903" s="16"/>
      <c r="C903" s="16"/>
      <c r="D903" s="16"/>
      <c r="E903" s="16"/>
      <c r="F903" s="16"/>
      <c r="G903" s="16"/>
      <c r="H903" s="1092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spans="1:26" ht="15.75" customHeight="1">
      <c r="A904" s="16"/>
      <c r="B904" s="16"/>
      <c r="C904" s="16"/>
      <c r="D904" s="16"/>
      <c r="E904" s="16"/>
      <c r="F904" s="16"/>
      <c r="G904" s="16"/>
      <c r="H904" s="1092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spans="1:26" ht="15.75" customHeight="1">
      <c r="A905" s="16"/>
      <c r="B905" s="16"/>
      <c r="C905" s="16"/>
      <c r="D905" s="16"/>
      <c r="E905" s="16"/>
      <c r="F905" s="16"/>
      <c r="G905" s="16"/>
      <c r="H905" s="1092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spans="1:26" ht="15.75" customHeight="1">
      <c r="A906" s="16"/>
      <c r="B906" s="16"/>
      <c r="C906" s="16"/>
      <c r="D906" s="16"/>
      <c r="E906" s="16"/>
      <c r="F906" s="16"/>
      <c r="G906" s="16"/>
      <c r="H906" s="1092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spans="1:26" ht="15.75" customHeight="1">
      <c r="A907" s="16"/>
      <c r="B907" s="16"/>
      <c r="C907" s="16"/>
      <c r="D907" s="16"/>
      <c r="E907" s="16"/>
      <c r="F907" s="16"/>
      <c r="G907" s="16"/>
      <c r="H907" s="1092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spans="1:26" ht="15.75" customHeight="1">
      <c r="A908" s="16"/>
      <c r="B908" s="16"/>
      <c r="C908" s="16"/>
      <c r="D908" s="16"/>
      <c r="E908" s="16"/>
      <c r="F908" s="16"/>
      <c r="G908" s="16"/>
      <c r="H908" s="1092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spans="1:26" ht="15.75" customHeight="1">
      <c r="A909" s="16"/>
      <c r="B909" s="16"/>
      <c r="C909" s="16"/>
      <c r="D909" s="16"/>
      <c r="E909" s="16"/>
      <c r="F909" s="16"/>
      <c r="G909" s="16"/>
      <c r="H909" s="1092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spans="1:26" ht="15.75" customHeight="1">
      <c r="A910" s="16"/>
      <c r="B910" s="16"/>
      <c r="C910" s="16"/>
      <c r="D910" s="16"/>
      <c r="E910" s="16"/>
      <c r="F910" s="16"/>
      <c r="G910" s="16"/>
      <c r="H910" s="1092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spans="1:26" ht="15.75" customHeight="1">
      <c r="A911" s="16"/>
      <c r="B911" s="16"/>
      <c r="C911" s="16"/>
      <c r="D911" s="16"/>
      <c r="E911" s="16"/>
      <c r="F911" s="16"/>
      <c r="G911" s="16"/>
      <c r="H911" s="1092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spans="1:26" ht="15.75" customHeight="1">
      <c r="A912" s="16"/>
      <c r="B912" s="16"/>
      <c r="C912" s="16"/>
      <c r="D912" s="16"/>
      <c r="E912" s="16"/>
      <c r="F912" s="16"/>
      <c r="G912" s="16"/>
      <c r="H912" s="1092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spans="1:26" ht="15.75" customHeight="1">
      <c r="A913" s="16"/>
      <c r="B913" s="16"/>
      <c r="C913" s="16"/>
      <c r="D913" s="16"/>
      <c r="E913" s="16"/>
      <c r="F913" s="16"/>
      <c r="G913" s="16"/>
      <c r="H913" s="1092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spans="1:26" ht="15.75" customHeight="1">
      <c r="A914" s="16"/>
      <c r="B914" s="16"/>
      <c r="C914" s="16"/>
      <c r="D914" s="16"/>
      <c r="E914" s="16"/>
      <c r="F914" s="16"/>
      <c r="G914" s="16"/>
      <c r="H914" s="1092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spans="1:26" ht="15.75" customHeight="1">
      <c r="A915" s="16"/>
      <c r="B915" s="16"/>
      <c r="C915" s="16"/>
      <c r="D915" s="16"/>
      <c r="E915" s="16"/>
      <c r="F915" s="16"/>
      <c r="G915" s="16"/>
      <c r="H915" s="1092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spans="1:26" ht="15.75" customHeight="1">
      <c r="A916" s="16"/>
      <c r="B916" s="16"/>
      <c r="C916" s="16"/>
      <c r="D916" s="16"/>
      <c r="E916" s="16"/>
      <c r="F916" s="16"/>
      <c r="G916" s="16"/>
      <c r="H916" s="1092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spans="1:26" ht="15.75" customHeight="1">
      <c r="A917" s="16"/>
      <c r="B917" s="16"/>
      <c r="C917" s="16"/>
      <c r="D917" s="16"/>
      <c r="E917" s="16"/>
      <c r="F917" s="16"/>
      <c r="G917" s="16"/>
      <c r="H917" s="1092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spans="1:26" ht="15.75" customHeight="1">
      <c r="A918" s="16"/>
      <c r="B918" s="16"/>
      <c r="C918" s="16"/>
      <c r="D918" s="16"/>
      <c r="E918" s="16"/>
      <c r="F918" s="16"/>
      <c r="G918" s="16"/>
      <c r="H918" s="1092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spans="1:26" ht="15.75" customHeight="1">
      <c r="A919" s="16"/>
      <c r="B919" s="16"/>
      <c r="C919" s="16"/>
      <c r="D919" s="16"/>
      <c r="E919" s="16"/>
      <c r="F919" s="16"/>
      <c r="G919" s="16"/>
      <c r="H919" s="1092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spans="1:26" ht="15.75" customHeight="1">
      <c r="A920" s="16"/>
      <c r="B920" s="16"/>
      <c r="C920" s="16"/>
      <c r="D920" s="16"/>
      <c r="E920" s="16"/>
      <c r="F920" s="16"/>
      <c r="G920" s="16"/>
      <c r="H920" s="1092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spans="1:26" ht="15.75" customHeight="1">
      <c r="A921" s="16"/>
      <c r="B921" s="16"/>
      <c r="C921" s="16"/>
      <c r="D921" s="16"/>
      <c r="E921" s="16"/>
      <c r="F921" s="16"/>
      <c r="G921" s="16"/>
      <c r="H921" s="1092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spans="1:26" ht="15.75" customHeight="1">
      <c r="A922" s="16"/>
      <c r="B922" s="16"/>
      <c r="C922" s="16"/>
      <c r="D922" s="16"/>
      <c r="E922" s="16"/>
      <c r="F922" s="16"/>
      <c r="G922" s="16"/>
      <c r="H922" s="1092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spans="1:26" ht="15.75" customHeight="1">
      <c r="A923" s="16"/>
      <c r="B923" s="16"/>
      <c r="C923" s="16"/>
      <c r="D923" s="16"/>
      <c r="E923" s="16"/>
      <c r="F923" s="16"/>
      <c r="G923" s="16"/>
      <c r="H923" s="1092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spans="1:26" ht="15.75" customHeight="1">
      <c r="A924" s="16"/>
      <c r="B924" s="16"/>
      <c r="C924" s="16"/>
      <c r="D924" s="16"/>
      <c r="E924" s="16"/>
      <c r="F924" s="16"/>
      <c r="G924" s="16"/>
      <c r="H924" s="1092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spans="1:26" ht="15.75" customHeight="1">
      <c r="A925" s="16"/>
      <c r="B925" s="16"/>
      <c r="C925" s="16"/>
      <c r="D925" s="16"/>
      <c r="E925" s="16"/>
      <c r="F925" s="16"/>
      <c r="G925" s="16"/>
      <c r="H925" s="1092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spans="1:26" ht="15.75" customHeight="1">
      <c r="A926" s="16"/>
      <c r="B926" s="16"/>
      <c r="C926" s="16"/>
      <c r="D926" s="16"/>
      <c r="E926" s="16"/>
      <c r="F926" s="16"/>
      <c r="G926" s="16"/>
      <c r="H926" s="1092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spans="1:26" ht="15.75" customHeight="1">
      <c r="A927" s="16"/>
      <c r="B927" s="16"/>
      <c r="C927" s="16"/>
      <c r="D927" s="16"/>
      <c r="E927" s="16"/>
      <c r="F927" s="16"/>
      <c r="G927" s="16"/>
      <c r="H927" s="1092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spans="1:26" ht="15.75" customHeight="1">
      <c r="A928" s="16"/>
      <c r="B928" s="16"/>
      <c r="C928" s="16"/>
      <c r="D928" s="16"/>
      <c r="E928" s="16"/>
      <c r="F928" s="16"/>
      <c r="G928" s="16"/>
      <c r="H928" s="1092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spans="1:26" ht="15.75" customHeight="1">
      <c r="A929" s="16"/>
      <c r="B929" s="16"/>
      <c r="C929" s="16"/>
      <c r="D929" s="16"/>
      <c r="E929" s="16"/>
      <c r="F929" s="16"/>
      <c r="G929" s="16"/>
      <c r="H929" s="1092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spans="1:26" ht="15.75" customHeight="1">
      <c r="A930" s="16"/>
      <c r="B930" s="16"/>
      <c r="C930" s="16"/>
      <c r="D930" s="16"/>
      <c r="E930" s="16"/>
      <c r="F930" s="16"/>
      <c r="G930" s="16"/>
      <c r="H930" s="1092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spans="1:26" ht="15.75" customHeight="1">
      <c r="A931" s="16"/>
      <c r="B931" s="16"/>
      <c r="C931" s="16"/>
      <c r="D931" s="16"/>
      <c r="E931" s="16"/>
      <c r="F931" s="16"/>
      <c r="G931" s="16"/>
      <c r="H931" s="1092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spans="1:26" ht="15.75" customHeight="1">
      <c r="A932" s="16"/>
      <c r="B932" s="16"/>
      <c r="C932" s="16"/>
      <c r="D932" s="16"/>
      <c r="E932" s="16"/>
      <c r="F932" s="16"/>
      <c r="G932" s="16"/>
      <c r="H932" s="1092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spans="1:26" ht="15.75" customHeight="1">
      <c r="A933" s="16"/>
      <c r="B933" s="16"/>
      <c r="C933" s="16"/>
      <c r="D933" s="16"/>
      <c r="E933" s="16"/>
      <c r="F933" s="16"/>
      <c r="G933" s="16"/>
      <c r="H933" s="1092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spans="1:26" ht="15.75" customHeight="1">
      <c r="A934" s="16"/>
      <c r="B934" s="16"/>
      <c r="C934" s="16"/>
      <c r="D934" s="16"/>
      <c r="E934" s="16"/>
      <c r="F934" s="16"/>
      <c r="G934" s="16"/>
      <c r="H934" s="1092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spans="1:26" ht="15.75" customHeight="1">
      <c r="A935" s="16"/>
      <c r="B935" s="16"/>
      <c r="C935" s="16"/>
      <c r="D935" s="16"/>
      <c r="E935" s="16"/>
      <c r="F935" s="16"/>
      <c r="G935" s="16"/>
      <c r="H935" s="1092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spans="1:26" ht="15.75" customHeight="1">
      <c r="A936" s="16"/>
      <c r="B936" s="16"/>
      <c r="C936" s="16"/>
      <c r="D936" s="16"/>
      <c r="E936" s="16"/>
      <c r="F936" s="16"/>
      <c r="G936" s="16"/>
      <c r="H936" s="1092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spans="1:26" ht="15.75" customHeight="1">
      <c r="A937" s="16"/>
      <c r="B937" s="16"/>
      <c r="C937" s="16"/>
      <c r="D937" s="16"/>
      <c r="E937" s="16"/>
      <c r="F937" s="16"/>
      <c r="G937" s="16"/>
      <c r="H937" s="1092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spans="1:26" ht="15.75" customHeight="1">
      <c r="A938" s="16"/>
      <c r="B938" s="16"/>
      <c r="C938" s="16"/>
      <c r="D938" s="16"/>
      <c r="E938" s="16"/>
      <c r="F938" s="16"/>
      <c r="G938" s="16"/>
      <c r="H938" s="1092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spans="1:26" ht="15.75" customHeight="1">
      <c r="A939" s="16"/>
      <c r="B939" s="16"/>
      <c r="C939" s="16"/>
      <c r="D939" s="16"/>
      <c r="E939" s="16"/>
      <c r="F939" s="16"/>
      <c r="G939" s="16"/>
      <c r="H939" s="1092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spans="1:26" ht="15.75" customHeight="1">
      <c r="A940" s="16"/>
      <c r="B940" s="16"/>
      <c r="C940" s="16"/>
      <c r="D940" s="16"/>
      <c r="E940" s="16"/>
      <c r="F940" s="16"/>
      <c r="G940" s="16"/>
      <c r="H940" s="1092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spans="1:26" ht="15.75" customHeight="1">
      <c r="A941" s="16"/>
      <c r="B941" s="16"/>
      <c r="C941" s="16"/>
      <c r="D941" s="16"/>
      <c r="E941" s="16"/>
      <c r="F941" s="16"/>
      <c r="G941" s="16"/>
      <c r="H941" s="1092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spans="1:26" ht="15.75" customHeight="1">
      <c r="A942" s="16"/>
      <c r="B942" s="16"/>
      <c r="C942" s="16"/>
      <c r="D942" s="16"/>
      <c r="E942" s="16"/>
      <c r="F942" s="16"/>
      <c r="G942" s="16"/>
      <c r="H942" s="1092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spans="1:26" ht="15.75" customHeight="1">
      <c r="A943" s="16"/>
      <c r="B943" s="16"/>
      <c r="C943" s="16"/>
      <c r="D943" s="16"/>
      <c r="E943" s="16"/>
      <c r="F943" s="16"/>
      <c r="G943" s="16"/>
      <c r="H943" s="1092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spans="1:26" ht="15.75" customHeight="1">
      <c r="A944" s="16"/>
      <c r="B944" s="16"/>
      <c r="C944" s="16"/>
      <c r="D944" s="16"/>
      <c r="E944" s="16"/>
      <c r="F944" s="16"/>
      <c r="G944" s="16"/>
      <c r="H944" s="1092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spans="1:26" ht="15.75" customHeight="1">
      <c r="A945" s="16"/>
      <c r="B945" s="16"/>
      <c r="C945" s="16"/>
      <c r="D945" s="16"/>
      <c r="E945" s="16"/>
      <c r="F945" s="16"/>
      <c r="G945" s="16"/>
      <c r="H945" s="1092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spans="1:26" ht="15.75" customHeight="1">
      <c r="A946" s="16"/>
      <c r="B946" s="16"/>
      <c r="C946" s="16"/>
      <c r="D946" s="16"/>
      <c r="E946" s="16"/>
      <c r="F946" s="16"/>
      <c r="G946" s="16"/>
      <c r="H946" s="1092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spans="1:26" ht="15.75" customHeight="1">
      <c r="A947" s="16"/>
      <c r="B947" s="16"/>
      <c r="C947" s="16"/>
      <c r="D947" s="16"/>
      <c r="E947" s="16"/>
      <c r="F947" s="16"/>
      <c r="G947" s="16"/>
      <c r="H947" s="1092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spans="1:26" ht="15.75" customHeight="1">
      <c r="A948" s="16"/>
      <c r="B948" s="16"/>
      <c r="C948" s="16"/>
      <c r="D948" s="16"/>
      <c r="E948" s="16"/>
      <c r="F948" s="16"/>
      <c r="G948" s="16"/>
      <c r="H948" s="1092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spans="1:26" ht="15.75" customHeight="1">
      <c r="A949" s="16"/>
      <c r="B949" s="16"/>
      <c r="C949" s="16"/>
      <c r="D949" s="16"/>
      <c r="E949" s="16"/>
      <c r="F949" s="16"/>
      <c r="G949" s="16"/>
      <c r="H949" s="1092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spans="1:26" ht="15.75" customHeight="1">
      <c r="A950" s="16"/>
      <c r="B950" s="16"/>
      <c r="C950" s="16"/>
      <c r="D950" s="16"/>
      <c r="E950" s="16"/>
      <c r="F950" s="16"/>
      <c r="G950" s="16"/>
      <c r="H950" s="1092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spans="1:26" ht="15.75" customHeight="1">
      <c r="A951" s="16"/>
      <c r="B951" s="16"/>
      <c r="C951" s="16"/>
      <c r="D951" s="16"/>
      <c r="E951" s="16"/>
      <c r="F951" s="16"/>
      <c r="G951" s="16"/>
      <c r="H951" s="1092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spans="1:26" ht="15.75" customHeight="1">
      <c r="A952" s="16"/>
      <c r="B952" s="16"/>
      <c r="C952" s="16"/>
      <c r="D952" s="16"/>
      <c r="E952" s="16"/>
      <c r="F952" s="16"/>
      <c r="G952" s="16"/>
      <c r="H952" s="1092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spans="1:26" ht="15.75" customHeight="1">
      <c r="A953" s="16"/>
      <c r="B953" s="16"/>
      <c r="C953" s="16"/>
      <c r="D953" s="16"/>
      <c r="E953" s="16"/>
      <c r="F953" s="16"/>
      <c r="G953" s="16"/>
      <c r="H953" s="1092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spans="1:26" ht="15.75" customHeight="1">
      <c r="A954" s="16"/>
      <c r="B954" s="16"/>
      <c r="C954" s="16"/>
      <c r="D954" s="16"/>
      <c r="E954" s="16"/>
      <c r="F954" s="16"/>
      <c r="G954" s="16"/>
      <c r="H954" s="1092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spans="1:26" ht="15.75" customHeight="1">
      <c r="A955" s="16"/>
      <c r="B955" s="16"/>
      <c r="C955" s="16"/>
      <c r="D955" s="16"/>
      <c r="E955" s="16"/>
      <c r="F955" s="16"/>
      <c r="G955" s="16"/>
      <c r="H955" s="1092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spans="1:26" ht="15.75" customHeight="1">
      <c r="A956" s="16"/>
      <c r="B956" s="16"/>
      <c r="C956" s="16"/>
      <c r="D956" s="16"/>
      <c r="E956" s="16"/>
      <c r="F956" s="16"/>
      <c r="G956" s="16"/>
      <c r="H956" s="1092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spans="1:26" ht="15.75" customHeight="1">
      <c r="A957" s="16"/>
      <c r="B957" s="16"/>
      <c r="C957" s="16"/>
      <c r="D957" s="16"/>
      <c r="E957" s="16"/>
      <c r="F957" s="16"/>
      <c r="G957" s="16"/>
      <c r="H957" s="1092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spans="1:26" ht="15.75" customHeight="1">
      <c r="A958" s="16"/>
      <c r="B958" s="16"/>
      <c r="C958" s="16"/>
      <c r="D958" s="16"/>
      <c r="E958" s="16"/>
      <c r="F958" s="16"/>
      <c r="G958" s="16"/>
      <c r="H958" s="1092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spans="1:26" ht="15.75" customHeight="1">
      <c r="A959" s="16"/>
      <c r="B959" s="16"/>
      <c r="C959" s="16"/>
      <c r="D959" s="16"/>
      <c r="E959" s="16"/>
      <c r="F959" s="16"/>
      <c r="G959" s="16"/>
      <c r="H959" s="1092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spans="1:26" ht="15.75" customHeight="1">
      <c r="A960" s="16"/>
      <c r="B960" s="16"/>
      <c r="C960" s="16"/>
      <c r="D960" s="16"/>
      <c r="E960" s="16"/>
      <c r="F960" s="16"/>
      <c r="G960" s="16"/>
      <c r="H960" s="1092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spans="1:26" ht="15.75" customHeight="1">
      <c r="A961" s="16"/>
      <c r="B961" s="16"/>
      <c r="C961" s="16"/>
      <c r="D961" s="16"/>
      <c r="E961" s="16"/>
      <c r="F961" s="16"/>
      <c r="G961" s="16"/>
      <c r="H961" s="1092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spans="1:26" ht="15.75" customHeight="1">
      <c r="A962" s="16"/>
      <c r="B962" s="16"/>
      <c r="C962" s="16"/>
      <c r="D962" s="16"/>
      <c r="E962" s="16"/>
      <c r="F962" s="16"/>
      <c r="G962" s="16"/>
      <c r="H962" s="1092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spans="1:26" ht="15.75" customHeight="1">
      <c r="A963" s="16"/>
      <c r="B963" s="16"/>
      <c r="C963" s="16"/>
      <c r="D963" s="16"/>
      <c r="E963" s="16"/>
      <c r="F963" s="16"/>
      <c r="G963" s="16"/>
      <c r="H963" s="1092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spans="1:26" ht="15.75" customHeight="1">
      <c r="A964" s="16"/>
      <c r="B964" s="16"/>
      <c r="C964" s="16"/>
      <c r="D964" s="16"/>
      <c r="E964" s="16"/>
      <c r="F964" s="16"/>
      <c r="G964" s="16"/>
      <c r="H964" s="1092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spans="1:26" ht="15.75" customHeight="1">
      <c r="A965" s="16"/>
      <c r="B965" s="16"/>
      <c r="C965" s="16"/>
      <c r="D965" s="16"/>
      <c r="E965" s="16"/>
      <c r="F965" s="16"/>
      <c r="G965" s="16"/>
      <c r="H965" s="1092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spans="1:26" ht="15.75" customHeight="1">
      <c r="A966" s="16"/>
      <c r="B966" s="16"/>
      <c r="C966" s="16"/>
      <c r="D966" s="16"/>
      <c r="E966" s="16"/>
      <c r="F966" s="16"/>
      <c r="G966" s="16"/>
      <c r="H966" s="1092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spans="1:26" ht="15.75" customHeight="1">
      <c r="A967" s="16"/>
      <c r="B967" s="16"/>
      <c r="C967" s="16"/>
      <c r="D967" s="16"/>
      <c r="E967" s="16"/>
      <c r="F967" s="16"/>
      <c r="G967" s="16"/>
      <c r="H967" s="1092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spans="1:26" ht="15.75" customHeight="1">
      <c r="A968" s="16"/>
      <c r="B968" s="16"/>
      <c r="C968" s="16"/>
      <c r="D968" s="16"/>
      <c r="E968" s="16"/>
      <c r="F968" s="16"/>
      <c r="G968" s="16"/>
      <c r="H968" s="1092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spans="1:26" ht="15.75" customHeight="1">
      <c r="A969" s="16"/>
      <c r="B969" s="16"/>
      <c r="C969" s="16"/>
      <c r="D969" s="16"/>
      <c r="E969" s="16"/>
      <c r="F969" s="16"/>
      <c r="G969" s="16"/>
      <c r="H969" s="1092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spans="1:26" ht="15.75" customHeight="1">
      <c r="A970" s="16"/>
      <c r="B970" s="16"/>
      <c r="C970" s="16"/>
      <c r="D970" s="16"/>
      <c r="E970" s="16"/>
      <c r="F970" s="16"/>
      <c r="G970" s="16"/>
      <c r="H970" s="1092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spans="1:26" ht="15.75" customHeight="1">
      <c r="A971" s="16"/>
      <c r="B971" s="16"/>
      <c r="C971" s="16"/>
      <c r="D971" s="16"/>
      <c r="E971" s="16"/>
      <c r="F971" s="16"/>
      <c r="G971" s="16"/>
      <c r="H971" s="1092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spans="1:26" ht="15.75" customHeight="1">
      <c r="A972" s="16"/>
      <c r="B972" s="16"/>
      <c r="C972" s="16"/>
      <c r="D972" s="16"/>
      <c r="E972" s="16"/>
      <c r="F972" s="16"/>
      <c r="G972" s="16"/>
      <c r="H972" s="1092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spans="1:26" ht="15.75" customHeight="1">
      <c r="A973" s="16"/>
      <c r="B973" s="16"/>
      <c r="C973" s="16"/>
      <c r="D973" s="16"/>
      <c r="E973" s="16"/>
      <c r="F973" s="16"/>
      <c r="G973" s="16"/>
      <c r="H973" s="1092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spans="1:26" ht="15.75" customHeight="1">
      <c r="A974" s="16"/>
      <c r="B974" s="16"/>
      <c r="C974" s="16"/>
      <c r="D974" s="16"/>
      <c r="E974" s="16"/>
      <c r="F974" s="16"/>
      <c r="G974" s="16"/>
      <c r="H974" s="1092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spans="1:26" ht="15.75" customHeight="1">
      <c r="A975" s="16"/>
      <c r="B975" s="16"/>
      <c r="C975" s="16"/>
      <c r="D975" s="16"/>
      <c r="E975" s="16"/>
      <c r="F975" s="16"/>
      <c r="G975" s="16"/>
      <c r="H975" s="1092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spans="1:26" ht="15.75" customHeight="1">
      <c r="A976" s="16"/>
      <c r="B976" s="16"/>
      <c r="C976" s="16"/>
      <c r="D976" s="16"/>
      <c r="E976" s="16"/>
      <c r="F976" s="16"/>
      <c r="G976" s="16"/>
      <c r="H976" s="1092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spans="1:26" ht="15.75" customHeight="1">
      <c r="A977" s="16"/>
      <c r="B977" s="16"/>
      <c r="C977" s="16"/>
      <c r="D977" s="16"/>
      <c r="E977" s="16"/>
      <c r="F977" s="16"/>
      <c r="G977" s="16"/>
      <c r="H977" s="1092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spans="1:26" ht="15.75" customHeight="1">
      <c r="A978" s="16"/>
      <c r="B978" s="16"/>
      <c r="C978" s="16"/>
      <c r="D978" s="16"/>
      <c r="E978" s="16"/>
      <c r="F978" s="16"/>
      <c r="G978" s="16"/>
      <c r="H978" s="1092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spans="1:26" ht="15.75" customHeight="1">
      <c r="A979" s="16"/>
      <c r="B979" s="16"/>
      <c r="C979" s="16"/>
      <c r="D979" s="16"/>
      <c r="E979" s="16"/>
      <c r="F979" s="16"/>
      <c r="G979" s="16"/>
      <c r="H979" s="1092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spans="1:26" ht="15.75" customHeight="1">
      <c r="A980" s="16"/>
      <c r="B980" s="16"/>
      <c r="C980" s="16"/>
      <c r="D980" s="16"/>
      <c r="E980" s="16"/>
      <c r="F980" s="16"/>
      <c r="G980" s="16"/>
      <c r="H980" s="1092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spans="1:26" ht="15.75" customHeight="1">
      <c r="A981" s="16"/>
      <c r="B981" s="16"/>
      <c r="C981" s="16"/>
      <c r="D981" s="16"/>
      <c r="E981" s="16"/>
      <c r="F981" s="16"/>
      <c r="G981" s="16"/>
      <c r="H981" s="1092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spans="1:26" ht="15.75" customHeight="1">
      <c r="A982" s="16"/>
      <c r="B982" s="16"/>
      <c r="C982" s="16"/>
      <c r="D982" s="16"/>
      <c r="E982" s="16"/>
      <c r="F982" s="16"/>
      <c r="G982" s="16"/>
      <c r="H982" s="1092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spans="1:26" ht="15.75" customHeight="1">
      <c r="A983" s="16"/>
      <c r="B983" s="16"/>
      <c r="C983" s="16"/>
      <c r="D983" s="16"/>
      <c r="E983" s="16"/>
      <c r="F983" s="16"/>
      <c r="G983" s="16"/>
      <c r="H983" s="1092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spans="1:26" ht="15.75" customHeight="1">
      <c r="A984" s="16"/>
      <c r="B984" s="16"/>
      <c r="C984" s="16"/>
      <c r="D984" s="16"/>
      <c r="E984" s="16"/>
      <c r="F984" s="16"/>
      <c r="G984" s="16"/>
      <c r="H984" s="1092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spans="1:26" ht="15.75" customHeight="1">
      <c r="A985" s="16"/>
      <c r="B985" s="16"/>
      <c r="C985" s="16"/>
      <c r="D985" s="16"/>
      <c r="E985" s="16"/>
      <c r="F985" s="16"/>
      <c r="G985" s="16"/>
      <c r="H985" s="1092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spans="1:26" ht="15.75" customHeight="1">
      <c r="A986" s="16"/>
      <c r="B986" s="16"/>
      <c r="C986" s="16"/>
      <c r="D986" s="16"/>
      <c r="E986" s="16"/>
      <c r="F986" s="16"/>
      <c r="G986" s="16"/>
      <c r="H986" s="1092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spans="1:26" ht="15.75" customHeight="1">
      <c r="A987" s="16"/>
      <c r="B987" s="16"/>
      <c r="C987" s="16"/>
      <c r="D987" s="16"/>
      <c r="E987" s="16"/>
      <c r="F987" s="16"/>
      <c r="G987" s="16"/>
      <c r="H987" s="1092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spans="1:26" ht="15.75" customHeight="1">
      <c r="A988" s="16"/>
      <c r="B988" s="16"/>
      <c r="C988" s="16"/>
      <c r="D988" s="16"/>
      <c r="E988" s="16"/>
      <c r="F988" s="16"/>
      <c r="G988" s="16"/>
      <c r="H988" s="1092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spans="1:26" ht="15.75" customHeight="1">
      <c r="A989" s="16"/>
      <c r="B989" s="16"/>
      <c r="C989" s="16"/>
      <c r="D989" s="16"/>
      <c r="E989" s="16"/>
      <c r="F989" s="16"/>
      <c r="G989" s="16"/>
      <c r="H989" s="1092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spans="1:26" ht="15.75" customHeight="1">
      <c r="A990" s="16"/>
      <c r="B990" s="16"/>
      <c r="C990" s="16"/>
      <c r="D990" s="16"/>
      <c r="E990" s="16"/>
      <c r="F990" s="16"/>
      <c r="G990" s="16"/>
      <c r="H990" s="1092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spans="1:26" ht="15.75" customHeight="1">
      <c r="A991" s="16"/>
      <c r="B991" s="16"/>
      <c r="C991" s="16"/>
      <c r="D991" s="16"/>
      <c r="E991" s="16"/>
      <c r="F991" s="16"/>
      <c r="G991" s="16"/>
      <c r="H991" s="1092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spans="1:26" ht="15.75" customHeight="1">
      <c r="A992" s="16"/>
      <c r="B992" s="16"/>
      <c r="C992" s="16"/>
      <c r="D992" s="16"/>
      <c r="E992" s="16"/>
      <c r="F992" s="16"/>
      <c r="G992" s="16"/>
      <c r="H992" s="1092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spans="1:26" ht="15.75" customHeight="1">
      <c r="A993" s="16"/>
      <c r="B993" s="16"/>
      <c r="C993" s="16"/>
      <c r="D993" s="16"/>
      <c r="E993" s="16"/>
      <c r="F993" s="16"/>
      <c r="G993" s="16"/>
      <c r="H993" s="1092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spans="1:26" ht="15.75" customHeight="1">
      <c r="A994" s="16"/>
      <c r="B994" s="16"/>
      <c r="C994" s="16"/>
      <c r="D994" s="16"/>
      <c r="E994" s="16"/>
      <c r="F994" s="16"/>
      <c r="G994" s="16"/>
      <c r="H994" s="1092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spans="1:26" ht="15.75" customHeight="1">
      <c r="A995" s="16"/>
      <c r="B995" s="16"/>
      <c r="C995" s="16"/>
      <c r="D995" s="16"/>
      <c r="E995" s="16"/>
      <c r="F995" s="16"/>
      <c r="G995" s="16"/>
      <c r="H995" s="1092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spans="1:26" ht="15.75" customHeight="1">
      <c r="A996" s="16"/>
      <c r="B996" s="16"/>
      <c r="C996" s="16"/>
      <c r="D996" s="16"/>
      <c r="E996" s="16"/>
      <c r="F996" s="16"/>
      <c r="G996" s="16"/>
      <c r="H996" s="1092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spans="1:26" ht="15.75" customHeight="1">
      <c r="A997" s="16"/>
      <c r="B997" s="16"/>
      <c r="C997" s="16"/>
      <c r="D997" s="16"/>
      <c r="E997" s="16"/>
      <c r="F997" s="16"/>
      <c r="G997" s="16"/>
      <c r="H997" s="1092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spans="1:26" ht="15.75" customHeight="1">
      <c r="A998" s="16"/>
      <c r="B998" s="16"/>
      <c r="C998" s="16"/>
      <c r="D998" s="16"/>
      <c r="E998" s="16"/>
      <c r="F998" s="16"/>
      <c r="G998" s="16"/>
      <c r="H998" s="1092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spans="1:26" ht="15.75" customHeight="1">
      <c r="A999" s="16"/>
      <c r="B999" s="16"/>
      <c r="C999" s="16"/>
      <c r="D999" s="16"/>
      <c r="E999" s="16"/>
      <c r="F999" s="16"/>
      <c r="G999" s="16"/>
      <c r="H999" s="1092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spans="1:26" ht="15.75" customHeight="1">
      <c r="A1000" s="16"/>
      <c r="B1000" s="16"/>
      <c r="C1000" s="16"/>
      <c r="D1000" s="16"/>
      <c r="E1000" s="16"/>
      <c r="F1000" s="16"/>
      <c r="G1000" s="16"/>
      <c r="H1000" s="1092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mergeCells count="3">
    <mergeCell ref="A1:I1"/>
    <mergeCell ref="A2:I2"/>
    <mergeCell ref="A3:I3"/>
  </mergeCells>
  <dataValidations count="3">
    <dataValidation type="list" allowBlank="1" showErrorMessage="1" sqref="J6:J25" xr:uid="{00000000-0002-0000-0800-000000000000}">
      <formula1>"Primer,Secondary"</formula1>
    </dataValidation>
    <dataValidation type="list" allowBlank="1" showErrorMessage="1" sqref="D6:D26" xr:uid="{00000000-0002-0000-0800-000001000000}">
      <formula1>"Pelatihan Teknis,Pelatihan Manajerial,Workshoo,Workshop,Magang,Workshop/Seminar,Studi Banding,Pelatihan,Workshop Triase IGD,Workshop,Seminar/Workshop"</formula1>
    </dataValidation>
    <dataValidation type="list" allowBlank="1" showErrorMessage="1" sqref="E6:E25" xr:uid="{00000000-0002-0000-0800-000002000000}">
      <formula1>"EHT/IHT,EHT,IHT"</formula1>
    </dataValidation>
  </dataValidations>
  <pageMargins left="0.7" right="0.7" top="0.75" bottom="0.75" header="0" footer="0"/>
  <pageSetup paperSize="9" fitToWidth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Z1000"/>
  <sheetViews>
    <sheetView topLeftCell="A260" workbookViewId="0">
      <selection activeCell="D278" sqref="D278"/>
    </sheetView>
  </sheetViews>
  <sheetFormatPr defaultColWidth="14.42578125" defaultRowHeight="15" customHeight="1"/>
  <cols>
    <col min="1" max="1" width="4.28515625" customWidth="1"/>
    <col min="2" max="2" width="18" customWidth="1"/>
    <col min="3" max="3" width="63" customWidth="1"/>
    <col min="4" max="4" width="8.7109375" customWidth="1"/>
    <col min="5" max="5" width="15.7109375" style="1055" customWidth="1"/>
    <col min="6" max="6" width="17.42578125" style="1055" customWidth="1"/>
    <col min="7" max="7" width="29.5703125" customWidth="1"/>
    <col min="8" max="8" width="18" customWidth="1"/>
  </cols>
  <sheetData>
    <row r="2" spans="1:26" ht="63">
      <c r="A2" s="528" t="s">
        <v>657</v>
      </c>
      <c r="B2" s="1197" t="s">
        <v>940</v>
      </c>
      <c r="C2" s="528" t="s">
        <v>1439</v>
      </c>
      <c r="D2" s="528" t="s">
        <v>1440</v>
      </c>
      <c r="E2" s="1198" t="s">
        <v>661</v>
      </c>
      <c r="F2" s="1198" t="s">
        <v>1441</v>
      </c>
      <c r="G2" s="529" t="s">
        <v>1442</v>
      </c>
      <c r="H2" s="528" t="s">
        <v>664</v>
      </c>
    </row>
    <row r="3" spans="1:26">
      <c r="A3" s="459">
        <v>1</v>
      </c>
      <c r="B3" s="459" t="s">
        <v>651</v>
      </c>
      <c r="C3" s="460" t="s">
        <v>1443</v>
      </c>
      <c r="D3" s="236">
        <v>1</v>
      </c>
      <c r="E3" s="1199">
        <v>2660000</v>
      </c>
      <c r="F3" s="1199">
        <f t="shared" ref="F3:F56" si="0">SUM(E3*D3)</f>
        <v>2660000</v>
      </c>
      <c r="G3" s="462"/>
      <c r="H3" s="463" t="s">
        <v>690</v>
      </c>
      <c r="I3" s="241"/>
      <c r="J3" s="241"/>
      <c r="K3" s="241"/>
      <c r="L3" s="241"/>
      <c r="M3" s="241"/>
      <c r="N3" s="241"/>
      <c r="O3" s="241"/>
      <c r="P3" s="241"/>
      <c r="Q3" s="241"/>
      <c r="R3" s="241"/>
      <c r="S3" s="241"/>
      <c r="T3" s="241"/>
      <c r="U3" s="241"/>
      <c r="V3" s="241"/>
      <c r="W3" s="241"/>
      <c r="X3" s="241"/>
      <c r="Y3" s="241"/>
      <c r="Z3" s="241"/>
    </row>
    <row r="4" spans="1:26">
      <c r="A4" s="464">
        <v>2</v>
      </c>
      <c r="B4" s="459" t="s">
        <v>651</v>
      </c>
      <c r="C4" s="465" t="s">
        <v>1444</v>
      </c>
      <c r="D4" s="464">
        <v>1</v>
      </c>
      <c r="E4" s="1200">
        <v>2500000</v>
      </c>
      <c r="F4" s="1200">
        <f t="shared" si="0"/>
        <v>2500000</v>
      </c>
      <c r="G4" s="462" t="s">
        <v>1445</v>
      </c>
      <c r="H4" s="463" t="s">
        <v>671</v>
      </c>
      <c r="I4" s="241"/>
      <c r="J4" s="241"/>
      <c r="K4" s="241"/>
      <c r="L4" s="241"/>
      <c r="M4" s="241"/>
      <c r="N4" s="241"/>
      <c r="O4" s="241"/>
      <c r="P4" s="241"/>
      <c r="Q4" s="241"/>
      <c r="R4" s="241"/>
      <c r="S4" s="241"/>
      <c r="T4" s="241"/>
      <c r="U4" s="241"/>
      <c r="V4" s="241"/>
      <c r="W4" s="241"/>
      <c r="X4" s="241"/>
      <c r="Y4" s="241"/>
      <c r="Z4" s="241"/>
    </row>
    <row r="5" spans="1:26" ht="15.75" customHeight="1">
      <c r="A5" s="459">
        <v>3</v>
      </c>
      <c r="B5" s="459" t="s">
        <v>651</v>
      </c>
      <c r="C5" s="242" t="s">
        <v>1446</v>
      </c>
      <c r="D5" s="466">
        <v>2</v>
      </c>
      <c r="E5" s="1199">
        <v>3000000</v>
      </c>
      <c r="F5" s="1199">
        <f t="shared" si="0"/>
        <v>6000000</v>
      </c>
      <c r="G5" s="462"/>
      <c r="H5" s="242" t="s">
        <v>696</v>
      </c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</row>
    <row r="6" spans="1:26" ht="15.75" customHeight="1">
      <c r="A6" s="459">
        <v>4</v>
      </c>
      <c r="B6" s="459" t="s">
        <v>651</v>
      </c>
      <c r="C6" s="463" t="s">
        <v>1447</v>
      </c>
      <c r="D6" s="464">
        <v>1</v>
      </c>
      <c r="E6" s="1200">
        <v>3000000</v>
      </c>
      <c r="F6" s="1200">
        <f t="shared" si="0"/>
        <v>3000000</v>
      </c>
      <c r="G6" s="467" t="s">
        <v>1448</v>
      </c>
      <c r="H6" s="463" t="s">
        <v>696</v>
      </c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</row>
    <row r="7" spans="1:26" ht="15.75" customHeight="1">
      <c r="A7" s="464">
        <v>5</v>
      </c>
      <c r="B7" s="459" t="s">
        <v>651</v>
      </c>
      <c r="C7" s="465" t="s">
        <v>1449</v>
      </c>
      <c r="D7" s="464">
        <v>1</v>
      </c>
      <c r="E7" s="1200">
        <v>5000000</v>
      </c>
      <c r="F7" s="1200">
        <f t="shared" si="0"/>
        <v>5000000</v>
      </c>
      <c r="G7" s="468" t="s">
        <v>788</v>
      </c>
      <c r="H7" s="463" t="s">
        <v>696</v>
      </c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75" customHeight="1">
      <c r="A8" s="459">
        <v>6</v>
      </c>
      <c r="B8" s="459" t="s">
        <v>651</v>
      </c>
      <c r="C8" s="460" t="s">
        <v>1450</v>
      </c>
      <c r="D8" s="466">
        <v>1</v>
      </c>
      <c r="E8" s="1199">
        <v>5000000</v>
      </c>
      <c r="F8" s="1199">
        <f t="shared" si="0"/>
        <v>5000000</v>
      </c>
      <c r="G8" s="467" t="s">
        <v>1451</v>
      </c>
      <c r="H8" s="463" t="s">
        <v>1452</v>
      </c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</row>
    <row r="9" spans="1:26" ht="15.75" customHeight="1">
      <c r="A9" s="464">
        <v>7</v>
      </c>
      <c r="B9" s="459" t="s">
        <v>651</v>
      </c>
      <c r="C9" s="463" t="s">
        <v>1453</v>
      </c>
      <c r="D9" s="464">
        <v>2</v>
      </c>
      <c r="E9" s="1200">
        <v>2500000</v>
      </c>
      <c r="F9" s="1200">
        <f t="shared" si="0"/>
        <v>5000000</v>
      </c>
      <c r="G9" s="462" t="s">
        <v>1454</v>
      </c>
      <c r="H9" s="463" t="s">
        <v>696</v>
      </c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</row>
    <row r="10" spans="1:26" ht="15.75" customHeight="1">
      <c r="A10" s="459">
        <v>8</v>
      </c>
      <c r="B10" s="459" t="s">
        <v>651</v>
      </c>
      <c r="C10" s="463" t="s">
        <v>1455</v>
      </c>
      <c r="D10" s="464">
        <v>1</v>
      </c>
      <c r="E10" s="1200">
        <v>5000000</v>
      </c>
      <c r="F10" s="1200">
        <f t="shared" si="0"/>
        <v>5000000</v>
      </c>
      <c r="G10" s="462" t="s">
        <v>1456</v>
      </c>
      <c r="H10" s="463" t="s">
        <v>690</v>
      </c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</row>
    <row r="11" spans="1:26" ht="15.75" customHeight="1">
      <c r="A11" s="459">
        <v>9</v>
      </c>
      <c r="B11" s="459" t="s">
        <v>651</v>
      </c>
      <c r="C11" s="463" t="s">
        <v>1457</v>
      </c>
      <c r="D11" s="464">
        <v>2</v>
      </c>
      <c r="E11" s="1200">
        <v>2500000</v>
      </c>
      <c r="F11" s="1200">
        <f t="shared" si="0"/>
        <v>5000000</v>
      </c>
      <c r="G11" s="462"/>
      <c r="H11" s="463" t="s">
        <v>696</v>
      </c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</row>
    <row r="12" spans="1:26" ht="15.75" customHeight="1">
      <c r="A12" s="464">
        <v>10</v>
      </c>
      <c r="B12" s="459" t="s">
        <v>651</v>
      </c>
      <c r="C12" s="463" t="s">
        <v>1458</v>
      </c>
      <c r="D12" s="464">
        <v>1</v>
      </c>
      <c r="E12" s="1200">
        <v>5000000</v>
      </c>
      <c r="F12" s="1200">
        <f t="shared" si="0"/>
        <v>5000000</v>
      </c>
      <c r="G12" s="462" t="s">
        <v>1459</v>
      </c>
      <c r="H12" s="463" t="s">
        <v>696</v>
      </c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</row>
    <row r="13" spans="1:26" ht="15.75" customHeight="1">
      <c r="A13" s="459">
        <v>11</v>
      </c>
      <c r="B13" s="459" t="s">
        <v>651</v>
      </c>
      <c r="C13" s="242" t="s">
        <v>1460</v>
      </c>
      <c r="D13" s="466">
        <v>1</v>
      </c>
      <c r="E13" s="1201">
        <v>5000000</v>
      </c>
      <c r="F13" s="1199">
        <f t="shared" si="0"/>
        <v>5000000</v>
      </c>
      <c r="G13" s="462"/>
      <c r="H13" s="463" t="s">
        <v>696</v>
      </c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</row>
    <row r="14" spans="1:26" ht="15.75" customHeight="1">
      <c r="A14" s="464">
        <v>12</v>
      </c>
      <c r="B14" s="459" t="s">
        <v>651</v>
      </c>
      <c r="C14" s="460" t="s">
        <v>1461</v>
      </c>
      <c r="D14" s="466">
        <v>1</v>
      </c>
      <c r="E14" s="1199">
        <v>4600000</v>
      </c>
      <c r="F14" s="1199">
        <f t="shared" si="0"/>
        <v>4600000</v>
      </c>
      <c r="G14" s="462" t="s">
        <v>1462</v>
      </c>
      <c r="H14" s="242" t="s">
        <v>696</v>
      </c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</row>
    <row r="15" spans="1:26" ht="15.75" customHeight="1">
      <c r="A15" s="459">
        <v>13</v>
      </c>
      <c r="B15" s="459" t="s">
        <v>651</v>
      </c>
      <c r="C15" s="242" t="s">
        <v>1463</v>
      </c>
      <c r="D15" s="466">
        <v>1</v>
      </c>
      <c r="E15" s="1199">
        <v>4500000</v>
      </c>
      <c r="F15" s="1199">
        <f t="shared" si="0"/>
        <v>4500000</v>
      </c>
      <c r="G15" s="242" t="s">
        <v>1464</v>
      </c>
      <c r="H15" s="242" t="s">
        <v>671</v>
      </c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</row>
    <row r="16" spans="1:26" ht="15.75" customHeight="1">
      <c r="A16" s="459">
        <v>14</v>
      </c>
      <c r="B16" s="459" t="s">
        <v>651</v>
      </c>
      <c r="C16" s="407" t="s">
        <v>1465</v>
      </c>
      <c r="D16" s="355">
        <v>1</v>
      </c>
      <c r="E16" s="1117">
        <v>4500000</v>
      </c>
      <c r="F16" s="1200">
        <f t="shared" si="0"/>
        <v>4500000</v>
      </c>
      <c r="G16" s="467"/>
      <c r="H16" s="463" t="s">
        <v>696</v>
      </c>
      <c r="I16" s="241"/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</row>
    <row r="17" spans="1:26" ht="15.75" customHeight="1">
      <c r="A17" s="464">
        <v>15</v>
      </c>
      <c r="B17" s="459" t="s">
        <v>651</v>
      </c>
      <c r="C17" s="463" t="s">
        <v>1466</v>
      </c>
      <c r="D17" s="464">
        <v>1</v>
      </c>
      <c r="E17" s="1200">
        <v>4500000</v>
      </c>
      <c r="F17" s="1200">
        <f t="shared" si="0"/>
        <v>4500000</v>
      </c>
      <c r="G17" s="467" t="s">
        <v>1467</v>
      </c>
      <c r="H17" s="463" t="s">
        <v>696</v>
      </c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 spans="1:26" ht="15.75" customHeight="1">
      <c r="A18" s="459">
        <v>16</v>
      </c>
      <c r="B18" s="459" t="s">
        <v>651</v>
      </c>
      <c r="C18" s="460" t="s">
        <v>1468</v>
      </c>
      <c r="D18" s="466">
        <v>1</v>
      </c>
      <c r="E18" s="1199">
        <v>4000000</v>
      </c>
      <c r="F18" s="1199">
        <f t="shared" si="0"/>
        <v>4000000</v>
      </c>
      <c r="G18" s="468" t="s">
        <v>1469</v>
      </c>
      <c r="H18" s="463"/>
      <c r="I18" s="241"/>
      <c r="J18" s="241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spans="1:26" ht="15.75" customHeight="1">
      <c r="A19" s="464">
        <v>17</v>
      </c>
      <c r="B19" s="459" t="s">
        <v>651</v>
      </c>
      <c r="C19" s="463" t="s">
        <v>1470</v>
      </c>
      <c r="D19" s="464">
        <v>2</v>
      </c>
      <c r="E19" s="1200">
        <v>1000000</v>
      </c>
      <c r="F19" s="1200">
        <f t="shared" si="0"/>
        <v>2000000</v>
      </c>
      <c r="G19" s="462" t="s">
        <v>1471</v>
      </c>
      <c r="H19" s="463" t="s">
        <v>696</v>
      </c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</row>
    <row r="20" spans="1:26" ht="15.75" customHeight="1">
      <c r="A20" s="459">
        <v>18</v>
      </c>
      <c r="B20" s="459" t="s">
        <v>651</v>
      </c>
      <c r="C20" s="463" t="s">
        <v>1472</v>
      </c>
      <c r="D20" s="464">
        <v>4</v>
      </c>
      <c r="E20" s="1200">
        <v>990000</v>
      </c>
      <c r="F20" s="1200">
        <f t="shared" si="0"/>
        <v>3960000</v>
      </c>
      <c r="G20" s="470" t="s">
        <v>1473</v>
      </c>
      <c r="H20" s="463" t="s">
        <v>696</v>
      </c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</row>
    <row r="21" spans="1:26" ht="15.75" customHeight="1">
      <c r="A21" s="459">
        <v>19</v>
      </c>
      <c r="B21" s="459" t="s">
        <v>651</v>
      </c>
      <c r="C21" s="407" t="s">
        <v>1474</v>
      </c>
      <c r="D21" s="355">
        <v>10</v>
      </c>
      <c r="E21" s="1117">
        <v>345000</v>
      </c>
      <c r="F21" s="1200">
        <f t="shared" si="0"/>
        <v>3450000</v>
      </c>
      <c r="G21" s="471" t="s">
        <v>1475</v>
      </c>
      <c r="H21" s="463" t="s">
        <v>696</v>
      </c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</row>
    <row r="22" spans="1:26" ht="15.75" customHeight="1">
      <c r="A22" s="464">
        <v>20</v>
      </c>
      <c r="B22" s="459" t="s">
        <v>651</v>
      </c>
      <c r="C22" s="242" t="s">
        <v>1476</v>
      </c>
      <c r="D22" s="466">
        <v>2</v>
      </c>
      <c r="E22" s="1199">
        <v>1670000</v>
      </c>
      <c r="F22" s="1199">
        <f t="shared" si="0"/>
        <v>3340000</v>
      </c>
      <c r="G22" s="471"/>
      <c r="H22" s="463" t="s">
        <v>690</v>
      </c>
      <c r="I22" s="241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</row>
    <row r="23" spans="1:26" ht="15.75" customHeight="1">
      <c r="A23" s="459">
        <v>21</v>
      </c>
      <c r="B23" s="459" t="s">
        <v>651</v>
      </c>
      <c r="C23" s="242" t="s">
        <v>1477</v>
      </c>
      <c r="D23" s="466">
        <v>9</v>
      </c>
      <c r="E23" s="1199">
        <v>345000</v>
      </c>
      <c r="F23" s="1199">
        <f t="shared" si="0"/>
        <v>3105000</v>
      </c>
      <c r="G23" s="471"/>
      <c r="H23" s="463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</row>
    <row r="24" spans="1:26" ht="15.75" customHeight="1">
      <c r="A24" s="464">
        <v>22</v>
      </c>
      <c r="B24" s="459" t="s">
        <v>651</v>
      </c>
      <c r="C24" s="242" t="s">
        <v>1478</v>
      </c>
      <c r="D24" s="466">
        <v>1</v>
      </c>
      <c r="E24" s="1199">
        <v>3000000</v>
      </c>
      <c r="F24" s="1199">
        <f t="shared" si="0"/>
        <v>3000000</v>
      </c>
      <c r="G24" s="471" t="s">
        <v>1479</v>
      </c>
      <c r="H24" s="463"/>
      <c r="I24" s="241"/>
      <c r="J24" s="241"/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</row>
    <row r="25" spans="1:26" ht="15.75" customHeight="1">
      <c r="A25" s="459">
        <v>23</v>
      </c>
      <c r="B25" s="459" t="s">
        <v>651</v>
      </c>
      <c r="C25" s="242" t="s">
        <v>1480</v>
      </c>
      <c r="D25" s="466">
        <v>1</v>
      </c>
      <c r="E25" s="1199">
        <v>2890000</v>
      </c>
      <c r="F25" s="1199">
        <f t="shared" si="0"/>
        <v>2890000</v>
      </c>
      <c r="G25" s="471" t="s">
        <v>1481</v>
      </c>
      <c r="H25" s="463" t="s">
        <v>696</v>
      </c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</row>
    <row r="26" spans="1:26" ht="15.75" customHeight="1">
      <c r="A26" s="459">
        <v>24</v>
      </c>
      <c r="B26" s="459" t="s">
        <v>651</v>
      </c>
      <c r="C26" s="463" t="s">
        <v>1482</v>
      </c>
      <c r="D26" s="464">
        <v>1</v>
      </c>
      <c r="E26" s="1200">
        <v>2800000</v>
      </c>
      <c r="F26" s="1200">
        <f t="shared" si="0"/>
        <v>2800000</v>
      </c>
      <c r="G26" s="467" t="s">
        <v>1483</v>
      </c>
      <c r="H26" s="463" t="s">
        <v>671</v>
      </c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 spans="1:26" ht="15.75" customHeight="1">
      <c r="A27" s="464">
        <v>25</v>
      </c>
      <c r="B27" s="459" t="s">
        <v>651</v>
      </c>
      <c r="C27" s="463" t="s">
        <v>1484</v>
      </c>
      <c r="D27" s="464">
        <v>6</v>
      </c>
      <c r="E27" s="1200">
        <v>450000</v>
      </c>
      <c r="F27" s="1200">
        <f t="shared" si="0"/>
        <v>2700000</v>
      </c>
      <c r="G27" s="472"/>
      <c r="H27" s="463" t="s">
        <v>696</v>
      </c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</row>
    <row r="28" spans="1:26" ht="15.75" customHeight="1">
      <c r="A28" s="459">
        <v>26</v>
      </c>
      <c r="B28" s="459" t="s">
        <v>651</v>
      </c>
      <c r="C28" s="242" t="s">
        <v>1485</v>
      </c>
      <c r="D28" s="473">
        <v>1</v>
      </c>
      <c r="E28" s="1201">
        <v>2700000</v>
      </c>
      <c r="F28" s="1199">
        <f t="shared" si="0"/>
        <v>2700000</v>
      </c>
      <c r="G28" s="468"/>
      <c r="H28" s="463" t="s">
        <v>696</v>
      </c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</row>
    <row r="29" spans="1:26" ht="15.75" customHeight="1">
      <c r="A29" s="464">
        <v>27</v>
      </c>
      <c r="B29" s="459" t="s">
        <v>651</v>
      </c>
      <c r="C29" s="242" t="s">
        <v>1486</v>
      </c>
      <c r="D29" s="466">
        <v>9</v>
      </c>
      <c r="E29" s="1199">
        <v>300000</v>
      </c>
      <c r="F29" s="1199">
        <f t="shared" si="0"/>
        <v>2700000</v>
      </c>
      <c r="G29" s="467" t="s">
        <v>1487</v>
      </c>
      <c r="H29" s="463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</row>
    <row r="30" spans="1:26" ht="15.75" customHeight="1">
      <c r="A30" s="459">
        <v>28</v>
      </c>
      <c r="B30" s="459" t="s">
        <v>651</v>
      </c>
      <c r="C30" s="407" t="s">
        <v>1488</v>
      </c>
      <c r="D30" s="355">
        <v>1</v>
      </c>
      <c r="E30" s="1117">
        <v>2650000</v>
      </c>
      <c r="F30" s="1200">
        <f t="shared" si="0"/>
        <v>2650000</v>
      </c>
      <c r="G30" s="468"/>
      <c r="H30" s="463" t="s">
        <v>696</v>
      </c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</row>
    <row r="31" spans="1:26" ht="15.75" customHeight="1">
      <c r="A31" s="459">
        <v>29</v>
      </c>
      <c r="B31" s="459" t="s">
        <v>651</v>
      </c>
      <c r="C31" s="407" t="s">
        <v>1489</v>
      </c>
      <c r="D31" s="355">
        <v>8</v>
      </c>
      <c r="E31" s="1117">
        <v>300000</v>
      </c>
      <c r="F31" s="1200">
        <f t="shared" si="0"/>
        <v>2400000</v>
      </c>
      <c r="G31" s="467" t="s">
        <v>1490</v>
      </c>
      <c r="H31" s="463" t="s">
        <v>696</v>
      </c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</row>
    <row r="32" spans="1:26" ht="15.75" customHeight="1">
      <c r="A32" s="464">
        <v>30</v>
      </c>
      <c r="B32" s="459" t="s">
        <v>651</v>
      </c>
      <c r="C32" s="463" t="s">
        <v>1491</v>
      </c>
      <c r="D32" s="464">
        <v>10</v>
      </c>
      <c r="E32" s="1200">
        <v>200000</v>
      </c>
      <c r="F32" s="1200">
        <f t="shared" si="0"/>
        <v>2000000</v>
      </c>
      <c r="G32" s="472" t="s">
        <v>788</v>
      </c>
      <c r="H32" s="463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</row>
    <row r="33" spans="1:26" ht="15.75" customHeight="1">
      <c r="A33" s="459">
        <v>31</v>
      </c>
      <c r="B33" s="459" t="s">
        <v>651</v>
      </c>
      <c r="C33" s="407" t="s">
        <v>1492</v>
      </c>
      <c r="D33" s="355">
        <v>10</v>
      </c>
      <c r="E33" s="1117">
        <v>200000</v>
      </c>
      <c r="F33" s="1200">
        <f t="shared" si="0"/>
        <v>2000000</v>
      </c>
      <c r="G33" s="468" t="s">
        <v>1493</v>
      </c>
      <c r="H33" s="463" t="s">
        <v>696</v>
      </c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spans="1:26" ht="15.75" customHeight="1">
      <c r="A34" s="464">
        <v>32</v>
      </c>
      <c r="B34" s="459" t="s">
        <v>651</v>
      </c>
      <c r="C34" s="465" t="s">
        <v>1494</v>
      </c>
      <c r="D34" s="464">
        <v>2</v>
      </c>
      <c r="E34" s="1200">
        <v>1000000</v>
      </c>
      <c r="F34" s="1200">
        <f t="shared" si="0"/>
        <v>2000000</v>
      </c>
      <c r="G34" s="462" t="s">
        <v>1495</v>
      </c>
      <c r="H34" s="474" t="s">
        <v>671</v>
      </c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</row>
    <row r="35" spans="1:26" ht="15.75" customHeight="1">
      <c r="A35" s="459">
        <v>33</v>
      </c>
      <c r="B35" s="459" t="s">
        <v>651</v>
      </c>
      <c r="C35" s="460" t="s">
        <v>1496</v>
      </c>
      <c r="D35" s="466">
        <v>1</v>
      </c>
      <c r="E35" s="1199">
        <v>1875000</v>
      </c>
      <c r="F35" s="1199">
        <f t="shared" si="0"/>
        <v>1875000</v>
      </c>
      <c r="G35" s="462"/>
      <c r="H35" s="474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 spans="1:26" ht="15.75" customHeight="1">
      <c r="A36" s="459">
        <v>34</v>
      </c>
      <c r="B36" s="459" t="s">
        <v>651</v>
      </c>
      <c r="C36" s="460" t="s">
        <v>1497</v>
      </c>
      <c r="D36" s="236">
        <v>3</v>
      </c>
      <c r="E36" s="1199">
        <v>550000</v>
      </c>
      <c r="F36" s="1199">
        <f t="shared" si="0"/>
        <v>1650000</v>
      </c>
      <c r="G36" s="462" t="s">
        <v>1498</v>
      </c>
      <c r="H36" s="474" t="s">
        <v>690</v>
      </c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</row>
    <row r="37" spans="1:26" ht="15.75" customHeight="1">
      <c r="A37" s="464">
        <v>35</v>
      </c>
      <c r="B37" s="459" t="s">
        <v>651</v>
      </c>
      <c r="C37" s="465" t="s">
        <v>1499</v>
      </c>
      <c r="D37" s="464">
        <v>2</v>
      </c>
      <c r="E37" s="1200">
        <v>780000</v>
      </c>
      <c r="F37" s="1200">
        <f t="shared" si="0"/>
        <v>1560000</v>
      </c>
      <c r="G37" s="462" t="s">
        <v>1500</v>
      </c>
      <c r="H37" s="474" t="s">
        <v>671</v>
      </c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 spans="1:26" ht="15.75" customHeight="1">
      <c r="A38" s="459">
        <v>36</v>
      </c>
      <c r="B38" s="459" t="s">
        <v>651</v>
      </c>
      <c r="C38" s="465" t="s">
        <v>1501</v>
      </c>
      <c r="D38" s="464">
        <v>1</v>
      </c>
      <c r="E38" s="1200">
        <v>1500000</v>
      </c>
      <c r="F38" s="1200">
        <f t="shared" si="0"/>
        <v>1500000</v>
      </c>
      <c r="G38" s="462" t="s">
        <v>1502</v>
      </c>
      <c r="H38" s="474" t="s">
        <v>696</v>
      </c>
      <c r="I38" s="241"/>
      <c r="J38" s="241"/>
      <c r="K38" s="241"/>
      <c r="L38" s="241"/>
      <c r="M38" s="241"/>
      <c r="N38" s="241"/>
      <c r="O38" s="241"/>
      <c r="P38" s="241"/>
      <c r="Q38" s="241"/>
      <c r="R38" s="241"/>
      <c r="S38" s="241"/>
      <c r="T38" s="241"/>
      <c r="U38" s="241"/>
      <c r="V38" s="241"/>
      <c r="W38" s="241"/>
      <c r="X38" s="241"/>
      <c r="Y38" s="241"/>
      <c r="Z38" s="241"/>
    </row>
    <row r="39" spans="1:26" ht="15.75" customHeight="1">
      <c r="A39" s="464">
        <v>37</v>
      </c>
      <c r="B39" s="459" t="s">
        <v>651</v>
      </c>
      <c r="C39" s="460" t="s">
        <v>1503</v>
      </c>
      <c r="D39" s="466">
        <v>1</v>
      </c>
      <c r="E39" s="1199">
        <v>1500000</v>
      </c>
      <c r="F39" s="1199">
        <f t="shared" si="0"/>
        <v>1500000</v>
      </c>
      <c r="G39" s="462"/>
      <c r="H39" s="242" t="s">
        <v>696</v>
      </c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 spans="1:26" ht="15.75" customHeight="1">
      <c r="A40" s="459">
        <v>38</v>
      </c>
      <c r="B40" s="459" t="s">
        <v>651</v>
      </c>
      <c r="C40" s="460" t="s">
        <v>1504</v>
      </c>
      <c r="D40" s="466">
        <v>1</v>
      </c>
      <c r="E40" s="1201">
        <v>1500000</v>
      </c>
      <c r="F40" s="1199">
        <f t="shared" si="0"/>
        <v>1500000</v>
      </c>
      <c r="G40" s="462" t="s">
        <v>1505</v>
      </c>
      <c r="H40" s="463" t="s">
        <v>696</v>
      </c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 spans="1:26" ht="15.75" customHeight="1">
      <c r="A41" s="459">
        <v>39</v>
      </c>
      <c r="B41" s="459" t="s">
        <v>651</v>
      </c>
      <c r="C41" s="407" t="s">
        <v>1506</v>
      </c>
      <c r="D41" s="355">
        <v>5</v>
      </c>
      <c r="E41" s="1117">
        <v>250000</v>
      </c>
      <c r="F41" s="1200">
        <f t="shared" si="0"/>
        <v>1250000</v>
      </c>
      <c r="G41" s="462" t="s">
        <v>1507</v>
      </c>
      <c r="H41" s="463" t="s">
        <v>696</v>
      </c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 spans="1:26" ht="15.75" customHeight="1">
      <c r="A42" s="464">
        <v>40</v>
      </c>
      <c r="B42" s="459" t="s">
        <v>651</v>
      </c>
      <c r="C42" s="463" t="s">
        <v>1508</v>
      </c>
      <c r="D42" s="464">
        <v>2</v>
      </c>
      <c r="E42" s="1200">
        <v>567000</v>
      </c>
      <c r="F42" s="1200">
        <f t="shared" si="0"/>
        <v>1134000</v>
      </c>
      <c r="G42" s="467" t="s">
        <v>1509</v>
      </c>
      <c r="H42" s="463" t="s">
        <v>690</v>
      </c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 spans="1:26" ht="15.75" customHeight="1">
      <c r="A43" s="459">
        <v>41</v>
      </c>
      <c r="B43" s="459" t="s">
        <v>651</v>
      </c>
      <c r="C43" s="463" t="s">
        <v>1510</v>
      </c>
      <c r="D43" s="464">
        <v>10</v>
      </c>
      <c r="E43" s="1200">
        <v>100000</v>
      </c>
      <c r="F43" s="1200">
        <f t="shared" si="0"/>
        <v>1000000</v>
      </c>
      <c r="G43" s="468" t="s">
        <v>1511</v>
      </c>
      <c r="H43" s="463" t="s">
        <v>696</v>
      </c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 spans="1:26" ht="15.75" customHeight="1">
      <c r="A44" s="464">
        <v>42</v>
      </c>
      <c r="B44" s="459" t="s">
        <v>651</v>
      </c>
      <c r="C44" s="460" t="s">
        <v>1512</v>
      </c>
      <c r="D44" s="466">
        <v>2</v>
      </c>
      <c r="E44" s="1201">
        <v>500000</v>
      </c>
      <c r="F44" s="1199">
        <f t="shared" si="0"/>
        <v>1000000</v>
      </c>
      <c r="G44" s="462"/>
      <c r="H44" s="463" t="s">
        <v>696</v>
      </c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 spans="1:26" ht="15.75" customHeight="1">
      <c r="A45" s="459">
        <v>43</v>
      </c>
      <c r="B45" s="459" t="s">
        <v>651</v>
      </c>
      <c r="C45" s="465" t="s">
        <v>1513</v>
      </c>
      <c r="D45" s="464">
        <v>10</v>
      </c>
      <c r="E45" s="1200">
        <v>80000</v>
      </c>
      <c r="F45" s="1200">
        <f t="shared" si="0"/>
        <v>800000</v>
      </c>
      <c r="G45" s="462" t="s">
        <v>1514</v>
      </c>
      <c r="H45" s="463" t="s">
        <v>696</v>
      </c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 spans="1:26" ht="15.75" customHeight="1">
      <c r="A46" s="459">
        <v>44</v>
      </c>
      <c r="B46" s="459" t="s">
        <v>651</v>
      </c>
      <c r="C46" s="463" t="s">
        <v>1515</v>
      </c>
      <c r="D46" s="464">
        <v>2</v>
      </c>
      <c r="E46" s="1200">
        <v>350000</v>
      </c>
      <c r="F46" s="1200">
        <f t="shared" si="0"/>
        <v>700000</v>
      </c>
      <c r="G46" s="462" t="s">
        <v>1516</v>
      </c>
      <c r="H46" s="463" t="s">
        <v>696</v>
      </c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 spans="1:26" ht="15.75" customHeight="1">
      <c r="A47" s="464">
        <v>45</v>
      </c>
      <c r="B47" s="459" t="s">
        <v>651</v>
      </c>
      <c r="C47" s="460" t="s">
        <v>1517</v>
      </c>
      <c r="D47" s="466">
        <v>1</v>
      </c>
      <c r="E47" s="1199">
        <v>600000</v>
      </c>
      <c r="F47" s="1199">
        <f t="shared" si="0"/>
        <v>600000</v>
      </c>
      <c r="G47" s="462"/>
      <c r="H47" s="242" t="s">
        <v>696</v>
      </c>
      <c r="I47" s="241"/>
      <c r="J47" s="241"/>
      <c r="K47" s="241"/>
      <c r="L47" s="241"/>
      <c r="M47" s="241"/>
      <c r="N47" s="241"/>
      <c r="O47" s="241"/>
      <c r="P47" s="241"/>
      <c r="Q47" s="241"/>
      <c r="R47" s="241"/>
      <c r="S47" s="241"/>
      <c r="T47" s="241"/>
      <c r="U47" s="241"/>
      <c r="V47" s="241"/>
      <c r="W47" s="241"/>
      <c r="X47" s="241"/>
      <c r="Y47" s="241"/>
      <c r="Z47" s="241"/>
    </row>
    <row r="48" spans="1:26" ht="15.75" customHeight="1">
      <c r="A48" s="459">
        <v>46</v>
      </c>
      <c r="B48" s="459" t="s">
        <v>651</v>
      </c>
      <c r="C48" s="465" t="s">
        <v>1518</v>
      </c>
      <c r="D48" s="464">
        <v>7</v>
      </c>
      <c r="E48" s="1200">
        <v>80000</v>
      </c>
      <c r="F48" s="1200">
        <f t="shared" si="0"/>
        <v>560000</v>
      </c>
      <c r="G48" s="462" t="s">
        <v>1519</v>
      </c>
      <c r="H48" s="463" t="s">
        <v>696</v>
      </c>
      <c r="I48" s="241"/>
      <c r="J48" s="241"/>
      <c r="K48" s="241"/>
      <c r="L48" s="241"/>
      <c r="M48" s="241"/>
      <c r="N48" s="241"/>
      <c r="O48" s="241"/>
      <c r="P48" s="241"/>
      <c r="Q48" s="241"/>
      <c r="R48" s="241"/>
      <c r="S48" s="241"/>
      <c r="T48" s="241"/>
      <c r="U48" s="241"/>
      <c r="V48" s="241"/>
      <c r="W48" s="241"/>
      <c r="X48" s="241"/>
      <c r="Y48" s="241"/>
      <c r="Z48" s="241"/>
    </row>
    <row r="49" spans="1:26" ht="15.75" customHeight="1">
      <c r="A49" s="464">
        <v>47</v>
      </c>
      <c r="B49" s="459" t="s">
        <v>651</v>
      </c>
      <c r="C49" s="460" t="s">
        <v>1520</v>
      </c>
      <c r="D49" s="473">
        <v>2</v>
      </c>
      <c r="E49" s="1201">
        <v>250000</v>
      </c>
      <c r="F49" s="1199">
        <f t="shared" si="0"/>
        <v>500000</v>
      </c>
      <c r="G49" s="462"/>
      <c r="H49" s="463" t="s">
        <v>696</v>
      </c>
      <c r="I49" s="241"/>
      <c r="J49" s="241"/>
      <c r="K49" s="241"/>
      <c r="L49" s="241"/>
      <c r="M49" s="241"/>
      <c r="N49" s="241"/>
      <c r="O49" s="241"/>
      <c r="P49" s="241"/>
      <c r="Q49" s="241"/>
      <c r="R49" s="241"/>
      <c r="S49" s="241"/>
      <c r="T49" s="241"/>
      <c r="U49" s="241"/>
      <c r="V49" s="241"/>
      <c r="W49" s="241"/>
      <c r="X49" s="241"/>
      <c r="Y49" s="241"/>
      <c r="Z49" s="241"/>
    </row>
    <row r="50" spans="1:26" ht="15.75" customHeight="1">
      <c r="A50" s="459">
        <v>48</v>
      </c>
      <c r="B50" s="459" t="s">
        <v>651</v>
      </c>
      <c r="C50" s="463" t="s">
        <v>1521</v>
      </c>
      <c r="D50" s="464">
        <v>2</v>
      </c>
      <c r="E50" s="1200">
        <v>250000</v>
      </c>
      <c r="F50" s="1200">
        <f t="shared" si="0"/>
        <v>500000</v>
      </c>
      <c r="G50" s="467" t="s">
        <v>1522</v>
      </c>
      <c r="H50" s="463" t="s">
        <v>696</v>
      </c>
      <c r="I50" s="241"/>
      <c r="J50" s="241"/>
      <c r="K50" s="241"/>
      <c r="L50" s="241"/>
      <c r="M50" s="241"/>
      <c r="N50" s="241"/>
      <c r="O50" s="241"/>
      <c r="P50" s="241"/>
      <c r="Q50" s="241"/>
      <c r="R50" s="241"/>
      <c r="S50" s="241"/>
      <c r="T50" s="241"/>
      <c r="U50" s="241"/>
      <c r="V50" s="241"/>
      <c r="W50" s="241"/>
      <c r="X50" s="241"/>
      <c r="Y50" s="241"/>
      <c r="Z50" s="241"/>
    </row>
    <row r="51" spans="1:26" ht="15.75" customHeight="1">
      <c r="A51" s="459">
        <v>49</v>
      </c>
      <c r="B51" s="459" t="s">
        <v>651</v>
      </c>
      <c r="C51" s="242" t="s">
        <v>1523</v>
      </c>
      <c r="D51" s="473">
        <v>1</v>
      </c>
      <c r="E51" s="1201">
        <v>450000</v>
      </c>
      <c r="F51" s="1199">
        <f t="shared" si="0"/>
        <v>450000</v>
      </c>
      <c r="G51" s="472"/>
      <c r="H51" s="463" t="s">
        <v>696</v>
      </c>
      <c r="I51" s="241"/>
      <c r="J51" s="241"/>
      <c r="K51" s="241"/>
      <c r="L51" s="241"/>
      <c r="M51" s="241"/>
      <c r="N51" s="241"/>
      <c r="O51" s="241"/>
      <c r="P51" s="241"/>
      <c r="Q51" s="241"/>
      <c r="R51" s="241"/>
      <c r="S51" s="241"/>
      <c r="T51" s="241"/>
      <c r="U51" s="241"/>
      <c r="V51" s="241"/>
      <c r="W51" s="241"/>
      <c r="X51" s="241"/>
      <c r="Y51" s="241"/>
      <c r="Z51" s="241"/>
    </row>
    <row r="52" spans="1:26" ht="15.75" customHeight="1">
      <c r="A52" s="464">
        <v>50</v>
      </c>
      <c r="B52" s="459" t="s">
        <v>651</v>
      </c>
      <c r="C52" s="242" t="s">
        <v>1524</v>
      </c>
      <c r="D52" s="236">
        <v>3</v>
      </c>
      <c r="E52" s="1199">
        <v>150000</v>
      </c>
      <c r="F52" s="1199">
        <f t="shared" si="0"/>
        <v>450000</v>
      </c>
      <c r="G52" s="468"/>
      <c r="H52" s="463" t="s">
        <v>696</v>
      </c>
      <c r="I52" s="241"/>
      <c r="J52" s="241"/>
      <c r="K52" s="241"/>
      <c r="L52" s="241"/>
      <c r="M52" s="241"/>
      <c r="N52" s="241"/>
      <c r="O52" s="241"/>
      <c r="P52" s="241"/>
      <c r="Q52" s="241"/>
      <c r="R52" s="241"/>
      <c r="S52" s="241"/>
      <c r="T52" s="241"/>
      <c r="U52" s="241"/>
      <c r="V52" s="241"/>
      <c r="W52" s="241"/>
      <c r="X52" s="241"/>
      <c r="Y52" s="241"/>
      <c r="Z52" s="241"/>
    </row>
    <row r="53" spans="1:26" ht="15.75" customHeight="1">
      <c r="A53" s="459">
        <v>51</v>
      </c>
      <c r="B53" s="459" t="s">
        <v>651</v>
      </c>
      <c r="C53" s="460" t="s">
        <v>1525</v>
      </c>
      <c r="D53" s="473">
        <v>1</v>
      </c>
      <c r="E53" s="1201">
        <v>400000</v>
      </c>
      <c r="F53" s="1199">
        <f t="shared" si="0"/>
        <v>400000</v>
      </c>
      <c r="G53" s="462"/>
      <c r="H53" s="463" t="s">
        <v>696</v>
      </c>
      <c r="I53" s="241"/>
      <c r="J53" s="241"/>
      <c r="K53" s="241"/>
      <c r="L53" s="241"/>
      <c r="M53" s="241"/>
      <c r="N53" s="241"/>
      <c r="O53" s="241"/>
      <c r="P53" s="241"/>
      <c r="Q53" s="241"/>
      <c r="R53" s="241"/>
      <c r="S53" s="241"/>
      <c r="T53" s="241"/>
      <c r="U53" s="241"/>
      <c r="V53" s="241"/>
      <c r="W53" s="241"/>
      <c r="X53" s="241"/>
      <c r="Y53" s="241"/>
      <c r="Z53" s="241"/>
    </row>
    <row r="54" spans="1:26" ht="15.75" customHeight="1">
      <c r="A54" s="464">
        <v>52</v>
      </c>
      <c r="B54" s="459" t="s">
        <v>651</v>
      </c>
      <c r="C54" s="460" t="s">
        <v>1526</v>
      </c>
      <c r="D54" s="473">
        <v>1</v>
      </c>
      <c r="E54" s="1201">
        <v>300000</v>
      </c>
      <c r="F54" s="1199">
        <f t="shared" si="0"/>
        <v>300000</v>
      </c>
      <c r="G54" s="462"/>
      <c r="H54" s="463" t="s">
        <v>696</v>
      </c>
      <c r="I54" s="241"/>
      <c r="J54" s="241"/>
      <c r="K54" s="241"/>
      <c r="L54" s="241"/>
      <c r="M54" s="241"/>
      <c r="N54" s="241"/>
      <c r="O54" s="241"/>
      <c r="P54" s="241"/>
      <c r="Q54" s="241"/>
      <c r="R54" s="241"/>
      <c r="S54" s="241"/>
      <c r="T54" s="241"/>
      <c r="U54" s="241"/>
      <c r="V54" s="241"/>
      <c r="W54" s="241"/>
      <c r="X54" s="241"/>
      <c r="Y54" s="241"/>
      <c r="Z54" s="241"/>
    </row>
    <row r="55" spans="1:26" ht="15.75" customHeight="1">
      <c r="A55" s="459">
        <v>53</v>
      </c>
      <c r="B55" s="459" t="s">
        <v>651</v>
      </c>
      <c r="C55" s="465" t="s">
        <v>1527</v>
      </c>
      <c r="D55" s="464">
        <v>1</v>
      </c>
      <c r="E55" s="1200">
        <v>250000</v>
      </c>
      <c r="F55" s="1200">
        <f t="shared" si="0"/>
        <v>250000</v>
      </c>
      <c r="G55" s="462" t="s">
        <v>1528</v>
      </c>
      <c r="H55" s="463" t="s">
        <v>696</v>
      </c>
      <c r="I55" s="241"/>
      <c r="J55" s="241"/>
      <c r="K55" s="241"/>
      <c r="L55" s="241"/>
      <c r="M55" s="241"/>
      <c r="N55" s="241"/>
      <c r="O55" s="241"/>
      <c r="P55" s="241"/>
      <c r="Q55" s="241"/>
      <c r="R55" s="241"/>
      <c r="S55" s="241"/>
      <c r="T55" s="241"/>
      <c r="U55" s="241"/>
      <c r="V55" s="241"/>
      <c r="W55" s="241"/>
      <c r="X55" s="241"/>
      <c r="Y55" s="241"/>
      <c r="Z55" s="241"/>
    </row>
    <row r="56" spans="1:26" ht="15.75" customHeight="1">
      <c r="A56" s="459">
        <v>54</v>
      </c>
      <c r="B56" s="459" t="s">
        <v>1071</v>
      </c>
      <c r="C56" s="234" t="s">
        <v>1529</v>
      </c>
      <c r="D56" s="473">
        <v>24</v>
      </c>
      <c r="E56" s="1201">
        <v>40000</v>
      </c>
      <c r="F56" s="1201">
        <f t="shared" si="0"/>
        <v>960000</v>
      </c>
      <c r="G56" s="475" t="s">
        <v>1530</v>
      </c>
      <c r="H56" s="407"/>
      <c r="I56" s="241"/>
      <c r="J56" s="241"/>
      <c r="K56" s="241"/>
      <c r="L56" s="241"/>
      <c r="M56" s="241"/>
      <c r="N56" s="241"/>
      <c r="O56" s="241"/>
      <c r="P56" s="241"/>
      <c r="Q56" s="241"/>
      <c r="R56" s="241"/>
      <c r="S56" s="241"/>
      <c r="T56" s="241"/>
      <c r="U56" s="241"/>
      <c r="V56" s="241"/>
      <c r="W56" s="241"/>
      <c r="X56" s="241"/>
      <c r="Y56" s="241"/>
      <c r="Z56" s="241"/>
    </row>
    <row r="57" spans="1:26" ht="15.75" customHeight="1">
      <c r="A57" s="464">
        <v>55</v>
      </c>
      <c r="B57" s="459" t="s">
        <v>1071</v>
      </c>
      <c r="C57" s="234" t="s">
        <v>1531</v>
      </c>
      <c r="D57" s="473"/>
      <c r="E57" s="1201"/>
      <c r="F57" s="1201">
        <v>500000</v>
      </c>
      <c r="G57" s="475"/>
      <c r="H57" s="407"/>
      <c r="I57" s="241"/>
      <c r="J57" s="241"/>
      <c r="K57" s="241"/>
      <c r="L57" s="241"/>
      <c r="M57" s="241"/>
      <c r="N57" s="241"/>
      <c r="O57" s="241"/>
      <c r="P57" s="241"/>
      <c r="Q57" s="241"/>
      <c r="R57" s="241"/>
      <c r="S57" s="241"/>
      <c r="T57" s="241"/>
      <c r="U57" s="241"/>
      <c r="V57" s="241"/>
      <c r="W57" s="241"/>
      <c r="X57" s="241"/>
      <c r="Y57" s="241"/>
      <c r="Z57" s="241"/>
    </row>
    <row r="58" spans="1:26" ht="15.75" customHeight="1">
      <c r="A58" s="459">
        <v>56</v>
      </c>
      <c r="B58" s="459" t="s">
        <v>1071</v>
      </c>
      <c r="C58" s="234" t="s">
        <v>1532</v>
      </c>
      <c r="D58" s="473">
        <v>4</v>
      </c>
      <c r="E58" s="1201">
        <v>375000</v>
      </c>
      <c r="F58" s="1201">
        <f t="shared" ref="F58:F82" si="1">SUM(E58*D58)</f>
        <v>1500000</v>
      </c>
      <c r="G58" s="475" t="s">
        <v>1530</v>
      </c>
      <c r="H58" s="407"/>
      <c r="I58" s="241"/>
      <c r="J58" s="241"/>
      <c r="K58" s="241"/>
      <c r="L58" s="241"/>
      <c r="M58" s="241"/>
      <c r="N58" s="241"/>
      <c r="O58" s="241"/>
      <c r="P58" s="241"/>
      <c r="Q58" s="241"/>
      <c r="R58" s="241"/>
      <c r="S58" s="241"/>
      <c r="T58" s="241"/>
      <c r="U58" s="241"/>
      <c r="V58" s="241"/>
      <c r="W58" s="241"/>
      <c r="X58" s="241"/>
      <c r="Y58" s="241"/>
      <c r="Z58" s="241"/>
    </row>
    <row r="59" spans="1:26" ht="15.75" customHeight="1">
      <c r="A59" s="464">
        <v>57</v>
      </c>
      <c r="B59" s="459" t="s">
        <v>1071</v>
      </c>
      <c r="C59" s="234" t="s">
        <v>1533</v>
      </c>
      <c r="D59" s="473">
        <v>8</v>
      </c>
      <c r="E59" s="1201">
        <v>250000</v>
      </c>
      <c r="F59" s="1201">
        <f t="shared" si="1"/>
        <v>2000000</v>
      </c>
      <c r="G59" s="475" t="s">
        <v>1530</v>
      </c>
      <c r="H59" s="407"/>
      <c r="I59" s="241"/>
      <c r="J59" s="241"/>
      <c r="K59" s="241"/>
      <c r="L59" s="241"/>
      <c r="M59" s="241"/>
      <c r="N59" s="241"/>
      <c r="O59" s="241"/>
      <c r="P59" s="241"/>
      <c r="Q59" s="241"/>
      <c r="R59" s="241"/>
      <c r="S59" s="241"/>
      <c r="T59" s="241"/>
      <c r="U59" s="241"/>
      <c r="V59" s="241"/>
      <c r="W59" s="241"/>
      <c r="X59" s="241"/>
      <c r="Y59" s="241"/>
      <c r="Z59" s="241"/>
    </row>
    <row r="60" spans="1:26" ht="15.75" customHeight="1">
      <c r="A60" s="459">
        <v>58</v>
      </c>
      <c r="B60" s="459" t="s">
        <v>1071</v>
      </c>
      <c r="C60" s="234" t="s">
        <v>1534</v>
      </c>
      <c r="D60" s="473">
        <v>2</v>
      </c>
      <c r="E60" s="1201">
        <v>3500000</v>
      </c>
      <c r="F60" s="1201">
        <f t="shared" si="1"/>
        <v>7000000</v>
      </c>
      <c r="G60" s="475" t="s">
        <v>1530</v>
      </c>
      <c r="H60" s="407"/>
      <c r="I60" s="241"/>
      <c r="J60" s="241"/>
      <c r="K60" s="241"/>
      <c r="L60" s="241"/>
      <c r="M60" s="241"/>
      <c r="N60" s="241"/>
      <c r="O60" s="241"/>
      <c r="P60" s="241"/>
      <c r="Q60" s="241"/>
      <c r="R60" s="241"/>
      <c r="S60" s="241"/>
      <c r="T60" s="241"/>
      <c r="U60" s="241"/>
      <c r="V60" s="241"/>
      <c r="W60" s="241"/>
      <c r="X60" s="241"/>
      <c r="Y60" s="241"/>
      <c r="Z60" s="241"/>
    </row>
    <row r="61" spans="1:26" ht="15.75" customHeight="1">
      <c r="A61" s="459">
        <v>59</v>
      </c>
      <c r="B61" s="459" t="s">
        <v>1071</v>
      </c>
      <c r="C61" s="234" t="s">
        <v>1535</v>
      </c>
      <c r="D61" s="473">
        <v>1</v>
      </c>
      <c r="E61" s="1201">
        <v>200000</v>
      </c>
      <c r="F61" s="1201">
        <f t="shared" si="1"/>
        <v>200000</v>
      </c>
      <c r="G61" s="476" t="s">
        <v>1536</v>
      </c>
      <c r="H61" s="407"/>
      <c r="I61" s="241"/>
      <c r="J61" s="241"/>
      <c r="K61" s="241"/>
      <c r="L61" s="241"/>
      <c r="M61" s="241"/>
      <c r="N61" s="241"/>
      <c r="O61" s="241"/>
      <c r="P61" s="241"/>
      <c r="Q61" s="241"/>
      <c r="R61" s="241"/>
      <c r="S61" s="241"/>
      <c r="T61" s="241"/>
      <c r="U61" s="241"/>
      <c r="V61" s="241"/>
      <c r="W61" s="241"/>
      <c r="X61" s="241"/>
      <c r="Y61" s="241"/>
      <c r="Z61" s="241"/>
    </row>
    <row r="62" spans="1:26" ht="15.75" customHeight="1">
      <c r="A62" s="464">
        <v>60</v>
      </c>
      <c r="B62" s="459" t="s">
        <v>1071</v>
      </c>
      <c r="C62" s="234" t="s">
        <v>1537</v>
      </c>
      <c r="D62" s="473">
        <v>1</v>
      </c>
      <c r="E62" s="1201">
        <v>6000000</v>
      </c>
      <c r="F62" s="1201">
        <f t="shared" si="1"/>
        <v>6000000</v>
      </c>
      <c r="G62" s="477"/>
      <c r="H62" s="407"/>
      <c r="I62" s="241"/>
      <c r="J62" s="241"/>
      <c r="K62" s="241"/>
      <c r="L62" s="241"/>
      <c r="M62" s="241"/>
      <c r="N62" s="241"/>
      <c r="O62" s="241"/>
      <c r="P62" s="241"/>
      <c r="Q62" s="241"/>
      <c r="R62" s="241"/>
      <c r="S62" s="241"/>
      <c r="T62" s="241"/>
      <c r="U62" s="241"/>
      <c r="V62" s="241"/>
      <c r="W62" s="241"/>
      <c r="X62" s="241"/>
      <c r="Y62" s="241"/>
      <c r="Z62" s="241"/>
    </row>
    <row r="63" spans="1:26" ht="15.75" customHeight="1">
      <c r="A63" s="459">
        <v>61</v>
      </c>
      <c r="B63" s="459" t="s">
        <v>1071</v>
      </c>
      <c r="C63" s="478" t="s">
        <v>1538</v>
      </c>
      <c r="D63" s="473">
        <v>25</v>
      </c>
      <c r="E63" s="1201">
        <v>125000</v>
      </c>
      <c r="F63" s="1202">
        <f t="shared" si="1"/>
        <v>3125000</v>
      </c>
      <c r="G63" s="480"/>
      <c r="H63" s="407"/>
      <c r="I63" s="241"/>
      <c r="J63" s="241"/>
      <c r="K63" s="241"/>
      <c r="L63" s="241"/>
      <c r="M63" s="241"/>
      <c r="N63" s="241"/>
      <c r="O63" s="241"/>
      <c r="P63" s="241"/>
      <c r="Q63" s="241"/>
      <c r="R63" s="241"/>
      <c r="S63" s="241"/>
      <c r="T63" s="241"/>
      <c r="U63" s="241"/>
      <c r="V63" s="241"/>
      <c r="W63" s="241"/>
      <c r="X63" s="241"/>
      <c r="Y63" s="241"/>
      <c r="Z63" s="241"/>
    </row>
    <row r="64" spans="1:26" ht="15.75" customHeight="1">
      <c r="A64" s="464">
        <v>62</v>
      </c>
      <c r="B64" s="459" t="s">
        <v>1071</v>
      </c>
      <c r="C64" s="478" t="s">
        <v>1539</v>
      </c>
      <c r="D64" s="473">
        <v>2</v>
      </c>
      <c r="E64" s="1201">
        <v>500000</v>
      </c>
      <c r="F64" s="1201">
        <f t="shared" si="1"/>
        <v>1000000</v>
      </c>
      <c r="G64" s="480"/>
      <c r="H64" s="407"/>
      <c r="I64" s="241"/>
      <c r="J64" s="241"/>
      <c r="K64" s="241"/>
      <c r="L64" s="241"/>
      <c r="M64" s="241"/>
      <c r="N64" s="241"/>
      <c r="O64" s="241"/>
      <c r="P64" s="241"/>
      <c r="Q64" s="241"/>
      <c r="R64" s="241"/>
      <c r="S64" s="241"/>
      <c r="T64" s="241"/>
      <c r="U64" s="241"/>
      <c r="V64" s="241"/>
      <c r="W64" s="241"/>
      <c r="X64" s="241"/>
      <c r="Y64" s="241"/>
      <c r="Z64" s="241"/>
    </row>
    <row r="65" spans="1:26" ht="15.75" customHeight="1">
      <c r="A65" s="459">
        <v>63</v>
      </c>
      <c r="B65" s="459" t="s">
        <v>1071</v>
      </c>
      <c r="C65" s="478" t="s">
        <v>1540</v>
      </c>
      <c r="D65" s="473">
        <v>1</v>
      </c>
      <c r="E65" s="1201">
        <v>1000000</v>
      </c>
      <c r="F65" s="1201">
        <f t="shared" si="1"/>
        <v>1000000</v>
      </c>
      <c r="G65" s="480"/>
      <c r="H65" s="407"/>
      <c r="I65" s="241"/>
      <c r="J65" s="241"/>
      <c r="K65" s="241"/>
      <c r="L65" s="241"/>
      <c r="M65" s="241"/>
      <c r="N65" s="241"/>
      <c r="O65" s="241"/>
      <c r="P65" s="241"/>
      <c r="Q65" s="241"/>
      <c r="R65" s="241"/>
      <c r="S65" s="241"/>
      <c r="T65" s="241"/>
      <c r="U65" s="241"/>
      <c r="V65" s="241"/>
      <c r="W65" s="241"/>
      <c r="X65" s="241"/>
      <c r="Y65" s="241"/>
      <c r="Z65" s="241"/>
    </row>
    <row r="66" spans="1:26" ht="15.75" customHeight="1">
      <c r="A66" s="459">
        <v>64</v>
      </c>
      <c r="B66" s="459" t="s">
        <v>1071</v>
      </c>
      <c r="C66" s="481" t="s">
        <v>1541</v>
      </c>
      <c r="D66" s="482">
        <v>1</v>
      </c>
      <c r="E66" s="1201">
        <v>1000000</v>
      </c>
      <c r="F66" s="1201">
        <f t="shared" si="1"/>
        <v>1000000</v>
      </c>
      <c r="G66" s="480"/>
      <c r="H66" s="407"/>
      <c r="I66" s="241"/>
      <c r="J66" s="241"/>
      <c r="K66" s="241"/>
      <c r="L66" s="241"/>
      <c r="M66" s="241"/>
      <c r="N66" s="241"/>
      <c r="O66" s="241"/>
      <c r="P66" s="241"/>
      <c r="Q66" s="241"/>
      <c r="R66" s="241"/>
      <c r="S66" s="241"/>
      <c r="T66" s="241"/>
      <c r="U66" s="241"/>
      <c r="V66" s="241"/>
      <c r="W66" s="241"/>
      <c r="X66" s="241"/>
      <c r="Y66" s="241"/>
      <c r="Z66" s="241"/>
    </row>
    <row r="67" spans="1:26" ht="15.75" customHeight="1">
      <c r="A67" s="464">
        <v>65</v>
      </c>
      <c r="B67" s="459" t="s">
        <v>1071</v>
      </c>
      <c r="C67" s="478" t="s">
        <v>1542</v>
      </c>
      <c r="D67" s="482">
        <v>40</v>
      </c>
      <c r="E67" s="1201">
        <v>100000</v>
      </c>
      <c r="F67" s="1201">
        <f t="shared" si="1"/>
        <v>4000000</v>
      </c>
      <c r="G67" s="480"/>
      <c r="H67" s="407"/>
      <c r="I67" s="241"/>
      <c r="J67" s="241"/>
      <c r="K67" s="241"/>
      <c r="L67" s="241"/>
      <c r="M67" s="241"/>
      <c r="N67" s="241"/>
      <c r="O67" s="241"/>
      <c r="P67" s="241"/>
      <c r="Q67" s="241"/>
      <c r="R67" s="241"/>
      <c r="S67" s="241"/>
      <c r="T67" s="241"/>
      <c r="U67" s="241"/>
      <c r="V67" s="241"/>
      <c r="W67" s="241"/>
      <c r="X67" s="241"/>
      <c r="Y67" s="241"/>
      <c r="Z67" s="241"/>
    </row>
    <row r="68" spans="1:26" ht="15.75" customHeight="1">
      <c r="A68" s="459">
        <v>66</v>
      </c>
      <c r="B68" s="459" t="s">
        <v>1071</v>
      </c>
      <c r="C68" s="478" t="s">
        <v>1543</v>
      </c>
      <c r="D68" s="473">
        <v>5</v>
      </c>
      <c r="E68" s="1201">
        <v>500000</v>
      </c>
      <c r="F68" s="1201">
        <f t="shared" si="1"/>
        <v>2500000</v>
      </c>
      <c r="G68" s="480"/>
      <c r="H68" s="407"/>
      <c r="I68" s="241"/>
      <c r="J68" s="241"/>
      <c r="K68" s="241"/>
      <c r="L68" s="241"/>
      <c r="M68" s="241"/>
      <c r="N68" s="241"/>
      <c r="O68" s="241"/>
      <c r="P68" s="241"/>
      <c r="Q68" s="241"/>
      <c r="R68" s="241"/>
      <c r="S68" s="241"/>
      <c r="T68" s="241"/>
      <c r="U68" s="241"/>
      <c r="V68" s="241"/>
      <c r="W68" s="241"/>
      <c r="X68" s="241"/>
      <c r="Y68" s="241"/>
      <c r="Z68" s="241"/>
    </row>
    <row r="69" spans="1:26" ht="15.75" customHeight="1">
      <c r="A69" s="464">
        <v>67</v>
      </c>
      <c r="B69" s="459" t="s">
        <v>1071</v>
      </c>
      <c r="C69" s="234" t="s">
        <v>1544</v>
      </c>
      <c r="D69" s="482">
        <v>1</v>
      </c>
      <c r="E69" s="1201">
        <v>5000000</v>
      </c>
      <c r="F69" s="1201">
        <f t="shared" si="1"/>
        <v>5000000</v>
      </c>
      <c r="G69" s="483" t="s">
        <v>1545</v>
      </c>
      <c r="H69" s="407"/>
      <c r="I69" s="241"/>
      <c r="J69" s="241"/>
      <c r="K69" s="241"/>
      <c r="L69" s="241"/>
      <c r="M69" s="241"/>
      <c r="N69" s="241"/>
      <c r="O69" s="241"/>
      <c r="P69" s="241"/>
      <c r="Q69" s="241"/>
      <c r="R69" s="241"/>
      <c r="S69" s="241"/>
      <c r="T69" s="241"/>
      <c r="U69" s="241"/>
      <c r="V69" s="241"/>
      <c r="W69" s="241"/>
      <c r="X69" s="241"/>
      <c r="Y69" s="241"/>
      <c r="Z69" s="241"/>
    </row>
    <row r="70" spans="1:26" ht="15.75" customHeight="1">
      <c r="A70" s="459">
        <v>68</v>
      </c>
      <c r="B70" s="459" t="s">
        <v>1071</v>
      </c>
      <c r="C70" s="484" t="s">
        <v>1546</v>
      </c>
      <c r="D70" s="485">
        <v>1</v>
      </c>
      <c r="E70" s="1117">
        <v>1000000</v>
      </c>
      <c r="F70" s="1117">
        <f t="shared" si="1"/>
        <v>1000000</v>
      </c>
      <c r="G70" s="480" t="s">
        <v>1547</v>
      </c>
      <c r="H70" s="407"/>
      <c r="I70" s="241"/>
      <c r="J70" s="241"/>
      <c r="K70" s="241"/>
      <c r="L70" s="241"/>
      <c r="M70" s="241"/>
      <c r="N70" s="241"/>
      <c r="O70" s="241"/>
      <c r="P70" s="241"/>
      <c r="Q70" s="241"/>
      <c r="R70" s="241"/>
      <c r="S70" s="241"/>
      <c r="T70" s="241"/>
      <c r="U70" s="241"/>
      <c r="V70" s="241"/>
      <c r="W70" s="241"/>
      <c r="X70" s="241"/>
      <c r="Y70" s="241"/>
      <c r="Z70" s="241"/>
    </row>
    <row r="71" spans="1:26" ht="15.75" customHeight="1">
      <c r="A71" s="459">
        <v>69</v>
      </c>
      <c r="B71" s="459" t="s">
        <v>1071</v>
      </c>
      <c r="C71" s="484" t="s">
        <v>1548</v>
      </c>
      <c r="D71" s="485">
        <v>15</v>
      </c>
      <c r="E71" s="1117">
        <v>500000</v>
      </c>
      <c r="F71" s="1117">
        <f t="shared" si="1"/>
        <v>7500000</v>
      </c>
      <c r="G71" s="480" t="s">
        <v>1549</v>
      </c>
      <c r="H71" s="407"/>
      <c r="I71" s="241"/>
      <c r="J71" s="241"/>
      <c r="K71" s="241"/>
      <c r="L71" s="241"/>
      <c r="M71" s="241"/>
      <c r="N71" s="241"/>
      <c r="O71" s="241"/>
      <c r="P71" s="241"/>
      <c r="Q71" s="241"/>
      <c r="R71" s="241"/>
      <c r="S71" s="241"/>
      <c r="T71" s="241"/>
      <c r="U71" s="241"/>
      <c r="V71" s="241"/>
      <c r="W71" s="241"/>
      <c r="X71" s="241"/>
      <c r="Y71" s="241"/>
      <c r="Z71" s="241"/>
    </row>
    <row r="72" spans="1:26" ht="15.75" customHeight="1">
      <c r="A72" s="464">
        <v>70</v>
      </c>
      <c r="B72" s="459" t="s">
        <v>1071</v>
      </c>
      <c r="C72" s="484" t="s">
        <v>1550</v>
      </c>
      <c r="D72" s="408">
        <v>40</v>
      </c>
      <c r="E72" s="1117">
        <v>1500000</v>
      </c>
      <c r="F72" s="1203">
        <f t="shared" si="1"/>
        <v>60000000</v>
      </c>
      <c r="G72" s="477" t="s">
        <v>1551</v>
      </c>
      <c r="H72" s="486"/>
      <c r="I72" s="241"/>
      <c r="J72" s="241"/>
      <c r="K72" s="241"/>
      <c r="L72" s="241"/>
      <c r="M72" s="241"/>
      <c r="N72" s="241"/>
      <c r="O72" s="241"/>
      <c r="P72" s="241"/>
      <c r="Q72" s="241"/>
      <c r="R72" s="241"/>
      <c r="S72" s="241"/>
      <c r="T72" s="241"/>
      <c r="U72" s="241"/>
      <c r="V72" s="241"/>
      <c r="W72" s="241"/>
      <c r="X72" s="241"/>
      <c r="Y72" s="241"/>
      <c r="Z72" s="241"/>
    </row>
    <row r="73" spans="1:26" ht="15.75" customHeight="1">
      <c r="A73" s="459">
        <v>71</v>
      </c>
      <c r="B73" s="459" t="s">
        <v>1071</v>
      </c>
      <c r="C73" s="484" t="s">
        <v>1552</v>
      </c>
      <c r="D73" s="408">
        <v>150</v>
      </c>
      <c r="E73" s="1117">
        <v>350000</v>
      </c>
      <c r="F73" s="1203">
        <f t="shared" si="1"/>
        <v>52500000</v>
      </c>
      <c r="G73" s="480" t="s">
        <v>1553</v>
      </c>
      <c r="H73" s="407"/>
      <c r="I73" s="241"/>
      <c r="J73" s="241"/>
      <c r="K73" s="241"/>
      <c r="L73" s="241"/>
      <c r="M73" s="241"/>
      <c r="N73" s="241"/>
      <c r="O73" s="241"/>
      <c r="P73" s="241"/>
      <c r="Q73" s="241"/>
      <c r="R73" s="241"/>
      <c r="S73" s="241"/>
      <c r="T73" s="241"/>
      <c r="U73" s="241"/>
      <c r="V73" s="241"/>
      <c r="W73" s="241"/>
      <c r="X73" s="241"/>
      <c r="Y73" s="241"/>
      <c r="Z73" s="241"/>
    </row>
    <row r="74" spans="1:26" ht="15.75" customHeight="1">
      <c r="A74" s="464">
        <v>72</v>
      </c>
      <c r="B74" s="459" t="s">
        <v>1071</v>
      </c>
      <c r="C74" s="484" t="s">
        <v>1554</v>
      </c>
      <c r="D74" s="408">
        <v>24</v>
      </c>
      <c r="E74" s="1117">
        <v>1500000</v>
      </c>
      <c r="F74" s="1203">
        <f t="shared" si="1"/>
        <v>36000000</v>
      </c>
      <c r="G74" s="480" t="s">
        <v>1555</v>
      </c>
      <c r="H74" s="407"/>
      <c r="I74" s="241"/>
      <c r="J74" s="241"/>
      <c r="K74" s="241"/>
      <c r="L74" s="241"/>
      <c r="M74" s="241"/>
      <c r="N74" s="241"/>
      <c r="O74" s="241"/>
      <c r="P74" s="241"/>
      <c r="Q74" s="241"/>
      <c r="R74" s="241"/>
      <c r="S74" s="241"/>
      <c r="T74" s="241"/>
      <c r="U74" s="241"/>
      <c r="V74" s="241"/>
      <c r="W74" s="241"/>
      <c r="X74" s="241"/>
      <c r="Y74" s="241"/>
      <c r="Z74" s="241"/>
    </row>
    <row r="75" spans="1:26" ht="15.75" customHeight="1">
      <c r="A75" s="459">
        <v>73</v>
      </c>
      <c r="B75" s="459" t="s">
        <v>1071</v>
      </c>
      <c r="C75" s="484" t="s">
        <v>1556</v>
      </c>
      <c r="D75" s="408">
        <v>12</v>
      </c>
      <c r="E75" s="1117">
        <v>382950</v>
      </c>
      <c r="F75" s="1203">
        <f t="shared" si="1"/>
        <v>4595400</v>
      </c>
      <c r="G75" s="480" t="s">
        <v>788</v>
      </c>
      <c r="H75" s="407"/>
      <c r="I75" s="241"/>
      <c r="J75" s="241"/>
      <c r="K75" s="241"/>
      <c r="L75" s="241"/>
      <c r="M75" s="241"/>
      <c r="N75" s="241"/>
      <c r="O75" s="241"/>
      <c r="P75" s="241"/>
      <c r="Q75" s="241"/>
      <c r="R75" s="241"/>
      <c r="S75" s="241"/>
      <c r="T75" s="241"/>
      <c r="U75" s="241"/>
      <c r="V75" s="241"/>
      <c r="W75" s="241"/>
      <c r="X75" s="241"/>
      <c r="Y75" s="241"/>
      <c r="Z75" s="241"/>
    </row>
    <row r="76" spans="1:26" ht="15.75" customHeight="1">
      <c r="A76" s="459">
        <v>74</v>
      </c>
      <c r="B76" s="459" t="s">
        <v>1071</v>
      </c>
      <c r="C76" s="484" t="s">
        <v>1557</v>
      </c>
      <c r="D76" s="408">
        <v>10</v>
      </c>
      <c r="E76" s="1117">
        <v>150000</v>
      </c>
      <c r="F76" s="1203">
        <f t="shared" si="1"/>
        <v>1500000</v>
      </c>
      <c r="G76" s="462"/>
      <c r="H76" s="407"/>
      <c r="I76" s="241"/>
      <c r="J76" s="241"/>
      <c r="K76" s="241"/>
      <c r="L76" s="241"/>
      <c r="M76" s="241"/>
      <c r="N76" s="241"/>
      <c r="O76" s="241"/>
      <c r="P76" s="241"/>
      <c r="Q76" s="241"/>
      <c r="R76" s="241"/>
      <c r="S76" s="241"/>
      <c r="T76" s="241"/>
      <c r="U76" s="241"/>
      <c r="V76" s="241"/>
      <c r="W76" s="241"/>
      <c r="X76" s="241"/>
      <c r="Y76" s="241"/>
      <c r="Z76" s="241"/>
    </row>
    <row r="77" spans="1:26" ht="15.75" customHeight="1">
      <c r="A77" s="464">
        <v>75</v>
      </c>
      <c r="B77" s="459" t="s">
        <v>1071</v>
      </c>
      <c r="C77" s="484" t="s">
        <v>1558</v>
      </c>
      <c r="D77" s="485">
        <v>6</v>
      </c>
      <c r="E77" s="1203">
        <v>1350000</v>
      </c>
      <c r="F77" s="1117">
        <f t="shared" si="1"/>
        <v>8100000</v>
      </c>
      <c r="G77" s="480" t="s">
        <v>1559</v>
      </c>
      <c r="H77" s="407"/>
      <c r="I77" s="241"/>
      <c r="J77" s="241"/>
      <c r="K77" s="241"/>
      <c r="L77" s="241"/>
      <c r="M77" s="241"/>
      <c r="N77" s="241"/>
      <c r="O77" s="241"/>
      <c r="P77" s="241"/>
      <c r="Q77" s="241"/>
      <c r="R77" s="241"/>
      <c r="S77" s="241"/>
      <c r="T77" s="241"/>
      <c r="U77" s="241"/>
      <c r="V77" s="241"/>
      <c r="W77" s="241"/>
      <c r="X77" s="241"/>
      <c r="Y77" s="241"/>
      <c r="Z77" s="241"/>
    </row>
    <row r="78" spans="1:26" ht="15.75" customHeight="1">
      <c r="A78" s="459">
        <v>76</v>
      </c>
      <c r="B78" s="459" t="s">
        <v>1071</v>
      </c>
      <c r="C78" s="484" t="s">
        <v>1560</v>
      </c>
      <c r="D78" s="485">
        <v>2</v>
      </c>
      <c r="E78" s="1203">
        <v>3500000</v>
      </c>
      <c r="F78" s="1117">
        <f t="shared" si="1"/>
        <v>7000000</v>
      </c>
      <c r="G78" s="480" t="s">
        <v>1559</v>
      </c>
      <c r="H78" s="407"/>
      <c r="I78" s="241"/>
      <c r="J78" s="241"/>
      <c r="K78" s="241"/>
      <c r="L78" s="241"/>
      <c r="M78" s="241"/>
      <c r="N78" s="241"/>
      <c r="O78" s="241"/>
      <c r="P78" s="241"/>
      <c r="Q78" s="241"/>
      <c r="R78" s="241"/>
      <c r="S78" s="241"/>
      <c r="T78" s="241"/>
      <c r="U78" s="241"/>
      <c r="V78" s="241"/>
      <c r="W78" s="241"/>
      <c r="X78" s="241"/>
      <c r="Y78" s="241"/>
      <c r="Z78" s="241"/>
    </row>
    <row r="79" spans="1:26" ht="15.75" customHeight="1">
      <c r="A79" s="464">
        <v>77</v>
      </c>
      <c r="B79" s="459" t="s">
        <v>1071</v>
      </c>
      <c r="C79" s="484" t="s">
        <v>1561</v>
      </c>
      <c r="D79" s="485">
        <v>20</v>
      </c>
      <c r="E79" s="1117">
        <v>250000</v>
      </c>
      <c r="F79" s="1117">
        <f t="shared" si="1"/>
        <v>5000000</v>
      </c>
      <c r="G79" s="480" t="s">
        <v>1562</v>
      </c>
      <c r="H79" s="407"/>
      <c r="I79" s="241"/>
      <c r="J79" s="241"/>
      <c r="K79" s="241"/>
      <c r="L79" s="241"/>
      <c r="M79" s="241"/>
      <c r="N79" s="241"/>
      <c r="O79" s="241"/>
      <c r="P79" s="241"/>
      <c r="Q79" s="241"/>
      <c r="R79" s="241"/>
      <c r="S79" s="241"/>
      <c r="T79" s="241"/>
      <c r="U79" s="241"/>
      <c r="V79" s="241"/>
      <c r="W79" s="241"/>
      <c r="X79" s="241"/>
      <c r="Y79" s="241"/>
      <c r="Z79" s="241"/>
    </row>
    <row r="80" spans="1:26" ht="15.75" customHeight="1">
      <c r="A80" s="459">
        <v>78</v>
      </c>
      <c r="B80" s="459" t="s">
        <v>1071</v>
      </c>
      <c r="C80" s="484" t="s">
        <v>1563</v>
      </c>
      <c r="D80" s="408">
        <v>10</v>
      </c>
      <c r="E80" s="1117">
        <v>100000</v>
      </c>
      <c r="F80" s="1203">
        <f t="shared" si="1"/>
        <v>1000000</v>
      </c>
      <c r="G80" s="480" t="s">
        <v>1564</v>
      </c>
      <c r="H80" s="407" t="s">
        <v>696</v>
      </c>
      <c r="I80" s="241"/>
      <c r="J80" s="241"/>
      <c r="K80" s="241"/>
      <c r="L80" s="241"/>
      <c r="M80" s="241"/>
      <c r="N80" s="241"/>
      <c r="O80" s="241"/>
      <c r="P80" s="241"/>
      <c r="Q80" s="241"/>
      <c r="R80" s="241"/>
      <c r="S80" s="241"/>
      <c r="T80" s="241"/>
      <c r="U80" s="241"/>
      <c r="V80" s="241"/>
      <c r="W80" s="241"/>
      <c r="X80" s="241"/>
      <c r="Y80" s="241"/>
      <c r="Z80" s="241"/>
    </row>
    <row r="81" spans="1:26" ht="15.75" customHeight="1">
      <c r="A81" s="459">
        <v>79</v>
      </c>
      <c r="B81" s="459" t="s">
        <v>1071</v>
      </c>
      <c r="C81" s="484" t="s">
        <v>1565</v>
      </c>
      <c r="D81" s="408">
        <v>50</v>
      </c>
      <c r="E81" s="1117">
        <v>25000</v>
      </c>
      <c r="F81" s="1203">
        <f t="shared" si="1"/>
        <v>1250000</v>
      </c>
      <c r="G81" s="480" t="s">
        <v>1564</v>
      </c>
      <c r="H81" s="407"/>
      <c r="I81" s="241"/>
      <c r="J81" s="241"/>
      <c r="K81" s="241"/>
      <c r="L81" s="241"/>
      <c r="M81" s="241"/>
      <c r="N81" s="241"/>
      <c r="O81" s="241"/>
      <c r="P81" s="241"/>
      <c r="Q81" s="241"/>
      <c r="R81" s="241"/>
      <c r="S81" s="241"/>
      <c r="T81" s="241"/>
      <c r="U81" s="241"/>
      <c r="V81" s="241"/>
      <c r="W81" s="241"/>
      <c r="X81" s="241"/>
      <c r="Y81" s="241"/>
      <c r="Z81" s="241"/>
    </row>
    <row r="82" spans="1:26" ht="15.75" customHeight="1">
      <c r="A82" s="464">
        <v>80</v>
      </c>
      <c r="B82" s="459" t="s">
        <v>1071</v>
      </c>
      <c r="C82" s="484" t="s">
        <v>1566</v>
      </c>
      <c r="D82" s="408">
        <v>10</v>
      </c>
      <c r="E82" s="1117">
        <v>100000</v>
      </c>
      <c r="F82" s="1203">
        <f t="shared" si="1"/>
        <v>1000000</v>
      </c>
      <c r="G82" s="480" t="s">
        <v>1567</v>
      </c>
      <c r="H82" s="407" t="s">
        <v>696</v>
      </c>
      <c r="I82" s="241"/>
      <c r="J82" s="241"/>
      <c r="K82" s="241"/>
      <c r="L82" s="241"/>
      <c r="M82" s="241"/>
      <c r="N82" s="241"/>
      <c r="O82" s="241"/>
      <c r="P82" s="241"/>
      <c r="Q82" s="241"/>
      <c r="R82" s="241"/>
      <c r="S82" s="241"/>
      <c r="T82" s="241"/>
      <c r="U82" s="241"/>
      <c r="V82" s="241"/>
      <c r="W82" s="241"/>
      <c r="X82" s="241"/>
      <c r="Y82" s="241"/>
      <c r="Z82" s="241"/>
    </row>
    <row r="83" spans="1:26" ht="15.75" customHeight="1">
      <c r="A83" s="459">
        <v>81</v>
      </c>
      <c r="B83" s="459" t="s">
        <v>1071</v>
      </c>
      <c r="C83" s="484" t="s">
        <v>1568</v>
      </c>
      <c r="D83" s="408">
        <v>68</v>
      </c>
      <c r="E83" s="1117">
        <v>250000</v>
      </c>
      <c r="F83" s="1117">
        <f t="shared" ref="F83:F84" si="2">D83*E83</f>
        <v>17000000</v>
      </c>
      <c r="G83" s="480" t="s">
        <v>1569</v>
      </c>
      <c r="H83" s="407"/>
      <c r="I83" s="241"/>
      <c r="J83" s="241"/>
      <c r="K83" s="241"/>
      <c r="L83" s="241"/>
      <c r="M83" s="241"/>
      <c r="N83" s="241"/>
      <c r="O83" s="241"/>
      <c r="P83" s="241"/>
      <c r="Q83" s="241"/>
      <c r="R83" s="241"/>
      <c r="S83" s="241"/>
      <c r="T83" s="241"/>
      <c r="U83" s="241"/>
      <c r="V83" s="241"/>
      <c r="W83" s="241"/>
      <c r="X83" s="241"/>
      <c r="Y83" s="241"/>
      <c r="Z83" s="241"/>
    </row>
    <row r="84" spans="1:26" ht="15.75" customHeight="1">
      <c r="A84" s="464">
        <v>82</v>
      </c>
      <c r="B84" s="459" t="s">
        <v>1071</v>
      </c>
      <c r="C84" s="484" t="s">
        <v>1570</v>
      </c>
      <c r="D84" s="408">
        <v>22</v>
      </c>
      <c r="E84" s="1117">
        <v>300000</v>
      </c>
      <c r="F84" s="1117">
        <f t="shared" si="2"/>
        <v>6600000</v>
      </c>
      <c r="G84" s="480" t="s">
        <v>1569</v>
      </c>
      <c r="H84" s="407"/>
      <c r="I84" s="241"/>
      <c r="J84" s="241"/>
      <c r="K84" s="241"/>
      <c r="L84" s="241"/>
      <c r="M84" s="241"/>
      <c r="N84" s="241"/>
      <c r="O84" s="241"/>
      <c r="P84" s="241"/>
      <c r="Q84" s="241"/>
      <c r="R84" s="241"/>
      <c r="S84" s="241"/>
      <c r="T84" s="241"/>
      <c r="U84" s="241"/>
      <c r="V84" s="241"/>
      <c r="W84" s="241"/>
      <c r="X84" s="241"/>
      <c r="Y84" s="241"/>
      <c r="Z84" s="241"/>
    </row>
    <row r="85" spans="1:26" ht="15.75" customHeight="1">
      <c r="A85" s="459">
        <v>83</v>
      </c>
      <c r="B85" s="487" t="s">
        <v>668</v>
      </c>
      <c r="C85" s="488" t="s">
        <v>1571</v>
      </c>
      <c r="D85" s="487">
        <v>24</v>
      </c>
      <c r="E85" s="1204">
        <v>100000</v>
      </c>
      <c r="F85" s="1204">
        <f t="shared" ref="F85:F92" si="3">SUM(E85*D85)</f>
        <v>2400000</v>
      </c>
      <c r="G85" s="489" t="s">
        <v>1572</v>
      </c>
      <c r="H85" s="490" t="s">
        <v>1573</v>
      </c>
      <c r="I85" s="269"/>
      <c r="J85" s="269"/>
      <c r="K85" s="269"/>
      <c r="L85" s="269"/>
      <c r="M85" s="269"/>
      <c r="N85" s="269"/>
      <c r="O85" s="269"/>
      <c r="P85" s="269"/>
      <c r="Q85" s="269"/>
      <c r="R85" s="269"/>
      <c r="S85" s="269"/>
      <c r="T85" s="269"/>
      <c r="U85" s="269"/>
      <c r="V85" s="269"/>
      <c r="W85" s="269"/>
      <c r="X85" s="269"/>
      <c r="Y85" s="269"/>
      <c r="Z85" s="269"/>
    </row>
    <row r="86" spans="1:26" ht="15.75" customHeight="1">
      <c r="A86" s="459">
        <v>84</v>
      </c>
      <c r="B86" s="459" t="s">
        <v>1071</v>
      </c>
      <c r="C86" s="484" t="s">
        <v>1574</v>
      </c>
      <c r="D86" s="485">
        <v>1</v>
      </c>
      <c r="E86" s="1117">
        <v>8000000</v>
      </c>
      <c r="F86" s="1117">
        <f t="shared" si="3"/>
        <v>8000000</v>
      </c>
      <c r="G86" s="480" t="s">
        <v>1575</v>
      </c>
      <c r="H86" s="407"/>
      <c r="I86" s="241"/>
      <c r="J86" s="241"/>
      <c r="K86" s="241"/>
      <c r="L86" s="241"/>
      <c r="M86" s="241"/>
      <c r="N86" s="241"/>
      <c r="O86" s="241"/>
      <c r="P86" s="241"/>
      <c r="Q86" s="241"/>
      <c r="R86" s="241"/>
      <c r="S86" s="241"/>
      <c r="T86" s="241"/>
      <c r="U86" s="241"/>
      <c r="V86" s="241"/>
      <c r="W86" s="241"/>
      <c r="X86" s="241"/>
      <c r="Y86" s="241"/>
      <c r="Z86" s="241"/>
    </row>
    <row r="87" spans="1:26" ht="15.75" customHeight="1">
      <c r="A87" s="464">
        <v>85</v>
      </c>
      <c r="B87" s="459" t="s">
        <v>1071</v>
      </c>
      <c r="C87" s="484" t="s">
        <v>1576</v>
      </c>
      <c r="D87" s="485">
        <v>1</v>
      </c>
      <c r="E87" s="1117">
        <v>8000000</v>
      </c>
      <c r="F87" s="1117">
        <f t="shared" si="3"/>
        <v>8000000</v>
      </c>
      <c r="G87" s="480" t="s">
        <v>1575</v>
      </c>
      <c r="H87" s="407"/>
      <c r="I87" s="241"/>
      <c r="J87" s="241"/>
      <c r="K87" s="241"/>
      <c r="L87" s="241"/>
      <c r="M87" s="241"/>
      <c r="N87" s="241"/>
      <c r="O87" s="241"/>
      <c r="P87" s="241"/>
      <c r="Q87" s="241"/>
      <c r="R87" s="241"/>
      <c r="S87" s="241"/>
      <c r="T87" s="241"/>
      <c r="U87" s="241"/>
      <c r="V87" s="241"/>
      <c r="W87" s="241"/>
      <c r="X87" s="241"/>
      <c r="Y87" s="241"/>
      <c r="Z87" s="241"/>
    </row>
    <row r="88" spans="1:26" ht="15.75" customHeight="1">
      <c r="A88" s="459">
        <v>86</v>
      </c>
      <c r="B88" s="459" t="s">
        <v>1071</v>
      </c>
      <c r="C88" s="484" t="s">
        <v>1577</v>
      </c>
      <c r="D88" s="485">
        <v>1</v>
      </c>
      <c r="E88" s="1117">
        <v>8000000</v>
      </c>
      <c r="F88" s="1117">
        <f t="shared" si="3"/>
        <v>8000000</v>
      </c>
      <c r="G88" s="480"/>
      <c r="H88" s="407"/>
      <c r="I88" s="241"/>
      <c r="J88" s="241"/>
      <c r="K88" s="241"/>
      <c r="L88" s="241"/>
      <c r="M88" s="241"/>
      <c r="N88" s="241"/>
      <c r="O88" s="241"/>
      <c r="P88" s="241"/>
      <c r="Q88" s="241"/>
      <c r="R88" s="241"/>
      <c r="S88" s="241"/>
      <c r="T88" s="241"/>
      <c r="U88" s="241"/>
      <c r="V88" s="241"/>
      <c r="W88" s="241"/>
      <c r="X88" s="241"/>
      <c r="Y88" s="241"/>
      <c r="Z88" s="241"/>
    </row>
    <row r="89" spans="1:26" ht="15.75" customHeight="1">
      <c r="A89" s="464">
        <v>87</v>
      </c>
      <c r="B89" s="459" t="s">
        <v>1071</v>
      </c>
      <c r="C89" s="484" t="s">
        <v>1578</v>
      </c>
      <c r="D89" s="485">
        <v>1</v>
      </c>
      <c r="E89" s="1117">
        <v>8000000</v>
      </c>
      <c r="F89" s="1117">
        <f t="shared" si="3"/>
        <v>8000000</v>
      </c>
      <c r="G89" s="480"/>
      <c r="H89" s="407"/>
      <c r="I89" s="241"/>
      <c r="J89" s="241"/>
      <c r="K89" s="241"/>
      <c r="L89" s="241"/>
      <c r="M89" s="241"/>
      <c r="N89" s="241"/>
      <c r="O89" s="241"/>
      <c r="P89" s="241"/>
      <c r="Q89" s="241"/>
      <c r="R89" s="241"/>
      <c r="S89" s="241"/>
      <c r="T89" s="241"/>
      <c r="U89" s="241"/>
      <c r="V89" s="241"/>
      <c r="W89" s="241"/>
      <c r="X89" s="241"/>
      <c r="Y89" s="241"/>
      <c r="Z89" s="241"/>
    </row>
    <row r="90" spans="1:26" ht="15.75" customHeight="1">
      <c r="A90" s="459">
        <v>88</v>
      </c>
      <c r="B90" s="459" t="s">
        <v>1071</v>
      </c>
      <c r="C90" s="484" t="s">
        <v>1579</v>
      </c>
      <c r="D90" s="408">
        <v>1</v>
      </c>
      <c r="E90" s="1117">
        <v>8000000</v>
      </c>
      <c r="F90" s="1117">
        <f t="shared" si="3"/>
        <v>8000000</v>
      </c>
      <c r="G90" s="480"/>
      <c r="H90" s="407"/>
      <c r="I90" s="241"/>
      <c r="J90" s="241"/>
      <c r="K90" s="241"/>
      <c r="L90" s="241"/>
      <c r="M90" s="241"/>
      <c r="N90" s="241"/>
      <c r="O90" s="241"/>
      <c r="P90" s="241"/>
      <c r="Q90" s="241"/>
      <c r="R90" s="241"/>
      <c r="S90" s="241"/>
      <c r="T90" s="241"/>
      <c r="U90" s="241"/>
      <c r="V90" s="241"/>
      <c r="W90" s="241"/>
      <c r="X90" s="241"/>
      <c r="Y90" s="241"/>
      <c r="Z90" s="241"/>
    </row>
    <row r="91" spans="1:26" ht="15.75" customHeight="1">
      <c r="A91" s="459">
        <v>89</v>
      </c>
      <c r="B91" s="459" t="s">
        <v>1071</v>
      </c>
      <c r="C91" s="484" t="s">
        <v>1580</v>
      </c>
      <c r="D91" s="485">
        <v>1</v>
      </c>
      <c r="E91" s="1117">
        <v>8000000</v>
      </c>
      <c r="F91" s="1117">
        <f t="shared" si="3"/>
        <v>8000000</v>
      </c>
      <c r="G91" s="480"/>
      <c r="H91" s="407"/>
      <c r="I91" s="241"/>
      <c r="J91" s="241"/>
      <c r="K91" s="241"/>
      <c r="L91" s="241"/>
      <c r="M91" s="241"/>
      <c r="N91" s="241"/>
      <c r="O91" s="241"/>
      <c r="P91" s="241"/>
      <c r="Q91" s="241"/>
      <c r="R91" s="241"/>
      <c r="S91" s="241"/>
      <c r="T91" s="241"/>
      <c r="U91" s="241"/>
      <c r="V91" s="241"/>
      <c r="W91" s="241"/>
      <c r="X91" s="241"/>
      <c r="Y91" s="241"/>
      <c r="Z91" s="241"/>
    </row>
    <row r="92" spans="1:26" ht="15.75" customHeight="1">
      <c r="A92" s="464">
        <v>90</v>
      </c>
      <c r="B92" s="459" t="s">
        <v>1071</v>
      </c>
      <c r="C92" s="484" t="s">
        <v>1581</v>
      </c>
      <c r="D92" s="408">
        <v>15</v>
      </c>
      <c r="E92" s="1117">
        <v>150000</v>
      </c>
      <c r="F92" s="1117">
        <f t="shared" si="3"/>
        <v>2250000</v>
      </c>
      <c r="G92" s="480" t="s">
        <v>1582</v>
      </c>
      <c r="H92" s="407"/>
      <c r="I92" s="241"/>
      <c r="J92" s="241"/>
      <c r="K92" s="241"/>
      <c r="L92" s="241"/>
      <c r="M92" s="241"/>
      <c r="N92" s="241"/>
      <c r="O92" s="241"/>
      <c r="P92" s="241"/>
      <c r="Q92" s="241"/>
      <c r="R92" s="241"/>
      <c r="S92" s="241"/>
      <c r="T92" s="241"/>
      <c r="U92" s="241"/>
      <c r="V92" s="241"/>
      <c r="W92" s="241"/>
      <c r="X92" s="241"/>
      <c r="Y92" s="241"/>
      <c r="Z92" s="241"/>
    </row>
    <row r="93" spans="1:26" ht="15.75" customHeight="1">
      <c r="A93" s="459">
        <v>91</v>
      </c>
      <c r="B93" s="459" t="s">
        <v>1071</v>
      </c>
      <c r="C93" s="484" t="s">
        <v>1583</v>
      </c>
      <c r="D93" s="408">
        <v>8</v>
      </c>
      <c r="E93" s="1117">
        <v>200000</v>
      </c>
      <c r="F93" s="1117">
        <f t="shared" ref="F93:F95" si="4">E93*D93</f>
        <v>1600000</v>
      </c>
      <c r="G93" s="480" t="s">
        <v>1584</v>
      </c>
      <c r="H93" s="407"/>
      <c r="I93" s="241"/>
      <c r="J93" s="241"/>
      <c r="K93" s="241"/>
      <c r="L93" s="241"/>
      <c r="M93" s="241"/>
      <c r="N93" s="241"/>
      <c r="O93" s="241"/>
      <c r="P93" s="241"/>
      <c r="Q93" s="241"/>
      <c r="R93" s="241"/>
      <c r="S93" s="241"/>
      <c r="T93" s="241"/>
      <c r="U93" s="241"/>
      <c r="V93" s="241"/>
      <c r="W93" s="241"/>
      <c r="X93" s="241"/>
      <c r="Y93" s="241"/>
      <c r="Z93" s="241"/>
    </row>
    <row r="94" spans="1:26" ht="15.75" customHeight="1">
      <c r="A94" s="464">
        <v>92</v>
      </c>
      <c r="B94" s="459" t="s">
        <v>1071</v>
      </c>
      <c r="C94" s="484" t="s">
        <v>1585</v>
      </c>
      <c r="D94" s="408">
        <v>20</v>
      </c>
      <c r="E94" s="1117">
        <v>180000</v>
      </c>
      <c r="F94" s="1117">
        <f t="shared" si="4"/>
        <v>3600000</v>
      </c>
      <c r="G94" s="480" t="s">
        <v>1586</v>
      </c>
      <c r="H94" s="407"/>
      <c r="I94" s="241"/>
      <c r="J94" s="241"/>
      <c r="K94" s="241"/>
      <c r="L94" s="241"/>
      <c r="M94" s="241"/>
      <c r="N94" s="241"/>
      <c r="O94" s="241"/>
      <c r="P94" s="241"/>
      <c r="Q94" s="241"/>
      <c r="R94" s="241"/>
      <c r="S94" s="241"/>
      <c r="T94" s="241"/>
      <c r="U94" s="241"/>
      <c r="V94" s="241"/>
      <c r="W94" s="241"/>
      <c r="X94" s="241"/>
      <c r="Y94" s="241"/>
      <c r="Z94" s="241"/>
    </row>
    <row r="95" spans="1:26" ht="15.75" customHeight="1">
      <c r="A95" s="459">
        <v>93</v>
      </c>
      <c r="B95" s="459" t="s">
        <v>1071</v>
      </c>
      <c r="C95" s="484" t="s">
        <v>1587</v>
      </c>
      <c r="D95" s="408">
        <v>20</v>
      </c>
      <c r="E95" s="1117">
        <v>250000</v>
      </c>
      <c r="F95" s="1117">
        <f t="shared" si="4"/>
        <v>5000000</v>
      </c>
      <c r="G95" s="480" t="s">
        <v>1588</v>
      </c>
      <c r="H95" s="407"/>
      <c r="I95" s="241"/>
      <c r="J95" s="241"/>
      <c r="K95" s="241"/>
      <c r="L95" s="241"/>
      <c r="M95" s="241"/>
      <c r="N95" s="241"/>
      <c r="O95" s="241"/>
      <c r="P95" s="241"/>
      <c r="Q95" s="241"/>
      <c r="R95" s="241"/>
      <c r="S95" s="241"/>
      <c r="T95" s="241"/>
      <c r="U95" s="241"/>
      <c r="V95" s="241"/>
      <c r="W95" s="241"/>
      <c r="X95" s="241"/>
      <c r="Y95" s="241"/>
      <c r="Z95" s="241"/>
    </row>
    <row r="96" spans="1:26" ht="15.75" customHeight="1">
      <c r="A96" s="459">
        <v>94</v>
      </c>
      <c r="B96" s="459" t="s">
        <v>1071</v>
      </c>
      <c r="C96" s="484" t="s">
        <v>1589</v>
      </c>
      <c r="D96" s="485">
        <v>5</v>
      </c>
      <c r="E96" s="1117">
        <v>3000000</v>
      </c>
      <c r="F96" s="1117">
        <f t="shared" ref="F96:F106" si="5">SUM(E96*D96)</f>
        <v>15000000</v>
      </c>
      <c r="G96" s="480" t="s">
        <v>1590</v>
      </c>
      <c r="H96" s="407"/>
      <c r="I96" s="241"/>
      <c r="J96" s="241"/>
      <c r="K96" s="241"/>
      <c r="L96" s="241"/>
      <c r="M96" s="241"/>
      <c r="N96" s="241"/>
      <c r="O96" s="241"/>
      <c r="P96" s="241"/>
      <c r="Q96" s="241"/>
      <c r="R96" s="241"/>
      <c r="S96" s="241"/>
      <c r="T96" s="241"/>
      <c r="U96" s="241"/>
      <c r="V96" s="241"/>
      <c r="W96" s="241"/>
      <c r="X96" s="241"/>
      <c r="Y96" s="241"/>
      <c r="Z96" s="241"/>
    </row>
    <row r="97" spans="1:26" ht="15.75" customHeight="1">
      <c r="A97" s="464">
        <v>95</v>
      </c>
      <c r="B97" s="459" t="s">
        <v>1071</v>
      </c>
      <c r="C97" s="484" t="s">
        <v>1591</v>
      </c>
      <c r="D97" s="485">
        <v>5</v>
      </c>
      <c r="E97" s="1117">
        <v>200000</v>
      </c>
      <c r="F97" s="1117">
        <f t="shared" si="5"/>
        <v>1000000</v>
      </c>
      <c r="G97" s="480" t="s">
        <v>1592</v>
      </c>
      <c r="H97" s="407"/>
      <c r="I97" s="241"/>
      <c r="J97" s="241"/>
      <c r="K97" s="241"/>
      <c r="L97" s="241"/>
      <c r="M97" s="241"/>
      <c r="N97" s="241"/>
      <c r="O97" s="241"/>
      <c r="P97" s="241"/>
      <c r="Q97" s="241"/>
      <c r="R97" s="241"/>
      <c r="S97" s="241"/>
      <c r="T97" s="241"/>
      <c r="U97" s="241"/>
      <c r="V97" s="241"/>
      <c r="W97" s="241"/>
      <c r="X97" s="241"/>
      <c r="Y97" s="241"/>
      <c r="Z97" s="241"/>
    </row>
    <row r="98" spans="1:26" ht="15.75" customHeight="1">
      <c r="A98" s="459">
        <v>96</v>
      </c>
      <c r="B98" s="459" t="s">
        <v>1071</v>
      </c>
      <c r="C98" s="484" t="s">
        <v>1593</v>
      </c>
      <c r="D98" s="485">
        <v>20</v>
      </c>
      <c r="E98" s="1117">
        <v>250000</v>
      </c>
      <c r="F98" s="1205">
        <f t="shared" si="5"/>
        <v>5000000</v>
      </c>
      <c r="G98" s="480" t="s">
        <v>1594</v>
      </c>
      <c r="H98" s="407"/>
      <c r="I98" s="241"/>
      <c r="J98" s="241"/>
      <c r="K98" s="241"/>
      <c r="L98" s="241"/>
      <c r="M98" s="241"/>
      <c r="N98" s="241"/>
      <c r="O98" s="241"/>
      <c r="P98" s="241"/>
      <c r="Q98" s="241"/>
      <c r="R98" s="241"/>
      <c r="S98" s="241"/>
      <c r="T98" s="241"/>
      <c r="U98" s="241"/>
      <c r="V98" s="241"/>
      <c r="W98" s="241"/>
      <c r="X98" s="241"/>
      <c r="Y98" s="241"/>
      <c r="Z98" s="241"/>
    </row>
    <row r="99" spans="1:26" ht="15.75" customHeight="1">
      <c r="A99" s="464">
        <v>97</v>
      </c>
      <c r="B99" s="459" t="s">
        <v>1071</v>
      </c>
      <c r="C99" s="484" t="s">
        <v>1595</v>
      </c>
      <c r="D99" s="485">
        <v>2</v>
      </c>
      <c r="E99" s="1117">
        <v>6000000</v>
      </c>
      <c r="F99" s="1205">
        <f t="shared" si="5"/>
        <v>12000000</v>
      </c>
      <c r="G99" s="480" t="s">
        <v>1596</v>
      </c>
      <c r="H99" s="407"/>
      <c r="I99" s="241"/>
      <c r="J99" s="241"/>
      <c r="K99" s="241"/>
      <c r="L99" s="241"/>
      <c r="M99" s="241"/>
      <c r="N99" s="241"/>
      <c r="O99" s="241"/>
      <c r="P99" s="241"/>
      <c r="Q99" s="241"/>
      <c r="R99" s="241"/>
      <c r="S99" s="241"/>
      <c r="T99" s="241"/>
      <c r="U99" s="241"/>
      <c r="V99" s="241"/>
      <c r="W99" s="241"/>
      <c r="X99" s="241"/>
      <c r="Y99" s="241"/>
      <c r="Z99" s="241"/>
    </row>
    <row r="100" spans="1:26" ht="15.75" customHeight="1">
      <c r="A100" s="459">
        <v>98</v>
      </c>
      <c r="B100" s="459" t="s">
        <v>1071</v>
      </c>
      <c r="C100" s="484" t="s">
        <v>1597</v>
      </c>
      <c r="D100" s="485">
        <v>3</v>
      </c>
      <c r="E100" s="1117">
        <v>4000000</v>
      </c>
      <c r="F100" s="1117">
        <f t="shared" si="5"/>
        <v>12000000</v>
      </c>
      <c r="G100" s="480" t="s">
        <v>1598</v>
      </c>
      <c r="H100" s="407"/>
      <c r="I100" s="241"/>
      <c r="J100" s="241"/>
      <c r="K100" s="241"/>
      <c r="L100" s="241"/>
      <c r="M100" s="241"/>
      <c r="N100" s="241"/>
      <c r="O100" s="241"/>
      <c r="P100" s="241"/>
      <c r="Q100" s="241"/>
      <c r="R100" s="241"/>
      <c r="S100" s="241"/>
      <c r="T100" s="241"/>
      <c r="U100" s="241"/>
      <c r="V100" s="241"/>
      <c r="W100" s="241"/>
      <c r="X100" s="241"/>
      <c r="Y100" s="241"/>
      <c r="Z100" s="241"/>
    </row>
    <row r="101" spans="1:26" ht="15.75" customHeight="1">
      <c r="A101" s="459">
        <v>99</v>
      </c>
      <c r="B101" s="459" t="s">
        <v>1071</v>
      </c>
      <c r="C101" s="484" t="s">
        <v>1599</v>
      </c>
      <c r="D101" s="485">
        <v>10</v>
      </c>
      <c r="E101" s="1203">
        <v>1000000</v>
      </c>
      <c r="F101" s="1117">
        <f t="shared" si="5"/>
        <v>10000000</v>
      </c>
      <c r="G101" s="480" t="s">
        <v>1600</v>
      </c>
      <c r="H101" s="407"/>
      <c r="I101" s="241"/>
      <c r="J101" s="241"/>
      <c r="K101" s="241"/>
      <c r="L101" s="241"/>
      <c r="M101" s="241"/>
      <c r="N101" s="241"/>
      <c r="O101" s="241"/>
      <c r="P101" s="241"/>
      <c r="Q101" s="241"/>
      <c r="R101" s="241"/>
      <c r="S101" s="241"/>
      <c r="T101" s="241"/>
      <c r="U101" s="241"/>
      <c r="V101" s="241"/>
      <c r="W101" s="241"/>
      <c r="X101" s="241"/>
      <c r="Y101" s="241"/>
      <c r="Z101" s="241"/>
    </row>
    <row r="102" spans="1:26" ht="15.75" customHeight="1">
      <c r="A102" s="464">
        <v>100</v>
      </c>
      <c r="B102" s="459" t="s">
        <v>1071</v>
      </c>
      <c r="C102" s="484" t="s">
        <v>1601</v>
      </c>
      <c r="D102" s="485">
        <v>20</v>
      </c>
      <c r="E102" s="1117">
        <v>100000</v>
      </c>
      <c r="F102" s="1117">
        <f t="shared" si="5"/>
        <v>2000000</v>
      </c>
      <c r="G102" s="480"/>
      <c r="H102" s="407"/>
      <c r="I102" s="241"/>
      <c r="J102" s="241"/>
      <c r="K102" s="241"/>
      <c r="L102" s="241"/>
      <c r="M102" s="241"/>
      <c r="N102" s="241"/>
      <c r="O102" s="241"/>
      <c r="P102" s="241"/>
      <c r="Q102" s="241"/>
      <c r="R102" s="241"/>
      <c r="S102" s="241"/>
      <c r="T102" s="241"/>
      <c r="U102" s="241"/>
      <c r="V102" s="241"/>
      <c r="W102" s="241"/>
      <c r="X102" s="241"/>
      <c r="Y102" s="241"/>
      <c r="Z102" s="241"/>
    </row>
    <row r="103" spans="1:26" ht="15.75" customHeight="1">
      <c r="A103" s="459">
        <v>101</v>
      </c>
      <c r="B103" s="459" t="s">
        <v>1071</v>
      </c>
      <c r="C103" s="484" t="s">
        <v>1602</v>
      </c>
      <c r="D103" s="485">
        <v>10</v>
      </c>
      <c r="E103" s="1117">
        <v>400000</v>
      </c>
      <c r="F103" s="1117">
        <f t="shared" si="5"/>
        <v>4000000</v>
      </c>
      <c r="G103" s="480" t="s">
        <v>1603</v>
      </c>
      <c r="H103" s="407"/>
      <c r="I103" s="241"/>
      <c r="J103" s="241"/>
      <c r="K103" s="241"/>
      <c r="L103" s="241"/>
      <c r="M103" s="241"/>
      <c r="N103" s="241"/>
      <c r="O103" s="241"/>
      <c r="P103" s="241"/>
      <c r="Q103" s="241"/>
      <c r="R103" s="241"/>
      <c r="S103" s="241"/>
      <c r="T103" s="241"/>
      <c r="U103" s="241"/>
      <c r="V103" s="241"/>
      <c r="W103" s="241"/>
      <c r="X103" s="241"/>
      <c r="Y103" s="241"/>
      <c r="Z103" s="241"/>
    </row>
    <row r="104" spans="1:26" ht="15.75" customHeight="1">
      <c r="A104" s="464">
        <v>102</v>
      </c>
      <c r="B104" s="459" t="s">
        <v>1071</v>
      </c>
      <c r="C104" s="484" t="s">
        <v>1604</v>
      </c>
      <c r="D104" s="485">
        <v>10</v>
      </c>
      <c r="E104" s="1203">
        <v>350000</v>
      </c>
      <c r="F104" s="1117">
        <f t="shared" si="5"/>
        <v>3500000</v>
      </c>
      <c r="G104" s="480"/>
      <c r="H104" s="407"/>
      <c r="I104" s="241"/>
      <c r="J104" s="241"/>
      <c r="K104" s="241"/>
      <c r="L104" s="241"/>
      <c r="M104" s="241"/>
      <c r="N104" s="241"/>
      <c r="O104" s="241"/>
      <c r="P104" s="241"/>
      <c r="Q104" s="241"/>
      <c r="R104" s="241"/>
      <c r="S104" s="241"/>
      <c r="T104" s="241"/>
      <c r="U104" s="241"/>
      <c r="V104" s="241"/>
      <c r="W104" s="241"/>
      <c r="X104" s="241"/>
      <c r="Y104" s="241"/>
      <c r="Z104" s="241"/>
    </row>
    <row r="105" spans="1:26" ht="15.75" customHeight="1">
      <c r="A105" s="459">
        <v>103</v>
      </c>
      <c r="B105" s="459" t="s">
        <v>1071</v>
      </c>
      <c r="C105" s="491" t="s">
        <v>1605</v>
      </c>
      <c r="D105" s="485">
        <v>15</v>
      </c>
      <c r="E105" s="1206">
        <v>300000</v>
      </c>
      <c r="F105" s="1117">
        <f t="shared" si="5"/>
        <v>4500000</v>
      </c>
      <c r="G105" s="480" t="s">
        <v>1606</v>
      </c>
      <c r="H105" s="407"/>
      <c r="I105" s="241"/>
      <c r="J105" s="241"/>
      <c r="K105" s="241"/>
      <c r="L105" s="241"/>
      <c r="M105" s="241"/>
      <c r="N105" s="241"/>
      <c r="O105" s="241"/>
      <c r="P105" s="241"/>
      <c r="Q105" s="241"/>
      <c r="R105" s="241"/>
      <c r="S105" s="241"/>
      <c r="T105" s="241"/>
      <c r="U105" s="241"/>
      <c r="V105" s="241"/>
      <c r="W105" s="241"/>
      <c r="X105" s="241"/>
      <c r="Y105" s="241"/>
      <c r="Z105" s="241"/>
    </row>
    <row r="106" spans="1:26" ht="15.75" customHeight="1">
      <c r="A106" s="459">
        <v>104</v>
      </c>
      <c r="B106" s="459" t="s">
        <v>1071</v>
      </c>
      <c r="C106" s="484" t="s">
        <v>1607</v>
      </c>
      <c r="D106" s="485">
        <v>1</v>
      </c>
      <c r="E106" s="1117">
        <v>5000000</v>
      </c>
      <c r="F106" s="1117">
        <f t="shared" si="5"/>
        <v>5000000</v>
      </c>
      <c r="G106" s="480"/>
      <c r="H106" s="407"/>
      <c r="I106" s="241"/>
      <c r="J106" s="241"/>
      <c r="K106" s="241"/>
      <c r="L106" s="241"/>
      <c r="M106" s="241"/>
      <c r="N106" s="241"/>
      <c r="O106" s="241"/>
      <c r="P106" s="241"/>
      <c r="Q106" s="241"/>
      <c r="R106" s="241"/>
      <c r="S106" s="241"/>
      <c r="T106" s="241"/>
      <c r="U106" s="241"/>
      <c r="V106" s="241"/>
      <c r="W106" s="241"/>
      <c r="X106" s="241"/>
      <c r="Y106" s="241"/>
      <c r="Z106" s="241"/>
    </row>
    <row r="107" spans="1:26" ht="15.75" customHeight="1">
      <c r="A107" s="464">
        <v>105</v>
      </c>
      <c r="B107" s="459" t="s">
        <v>1071</v>
      </c>
      <c r="C107" s="484" t="s">
        <v>1608</v>
      </c>
      <c r="D107" s="408">
        <v>4</v>
      </c>
      <c r="E107" s="1117">
        <v>400000</v>
      </c>
      <c r="F107" s="1117">
        <f>E107*D107</f>
        <v>1600000</v>
      </c>
      <c r="G107" s="480" t="s">
        <v>1609</v>
      </c>
      <c r="H107" s="407"/>
      <c r="I107" s="241"/>
      <c r="J107" s="241"/>
      <c r="K107" s="241"/>
      <c r="L107" s="241"/>
      <c r="M107" s="241"/>
      <c r="N107" s="241"/>
      <c r="O107" s="241"/>
      <c r="P107" s="241"/>
      <c r="Q107" s="241"/>
      <c r="R107" s="241"/>
      <c r="S107" s="241"/>
      <c r="T107" s="241"/>
      <c r="U107" s="241"/>
      <c r="V107" s="241"/>
      <c r="W107" s="241"/>
      <c r="X107" s="241"/>
      <c r="Y107" s="241"/>
      <c r="Z107" s="241"/>
    </row>
    <row r="108" spans="1:26" ht="15.75" customHeight="1">
      <c r="A108" s="459">
        <v>106</v>
      </c>
      <c r="B108" s="459" t="s">
        <v>1071</v>
      </c>
      <c r="C108" s="484" t="s">
        <v>1610</v>
      </c>
      <c r="D108" s="485">
        <v>4</v>
      </c>
      <c r="E108" s="1117">
        <v>450000</v>
      </c>
      <c r="F108" s="1117">
        <f t="shared" ref="F108:F111" si="6">SUM(E108*D108)</f>
        <v>1800000</v>
      </c>
      <c r="G108" s="480" t="s">
        <v>1611</v>
      </c>
      <c r="H108" s="407"/>
      <c r="I108" s="241"/>
      <c r="J108" s="241"/>
      <c r="K108" s="241"/>
      <c r="L108" s="241"/>
      <c r="M108" s="241"/>
      <c r="N108" s="241"/>
      <c r="O108" s="241"/>
      <c r="P108" s="241"/>
      <c r="Q108" s="241"/>
      <c r="R108" s="241"/>
      <c r="S108" s="241"/>
      <c r="T108" s="241"/>
      <c r="U108" s="241"/>
      <c r="V108" s="241"/>
      <c r="W108" s="241"/>
      <c r="X108" s="241"/>
      <c r="Y108" s="241"/>
      <c r="Z108" s="241"/>
    </row>
    <row r="109" spans="1:26" ht="15.75" customHeight="1">
      <c r="A109" s="464">
        <v>107</v>
      </c>
      <c r="B109" s="459" t="s">
        <v>1071</v>
      </c>
      <c r="C109" s="484" t="s">
        <v>1612</v>
      </c>
      <c r="D109" s="408">
        <v>40</v>
      </c>
      <c r="E109" s="1117">
        <v>100000</v>
      </c>
      <c r="F109" s="1203">
        <f t="shared" si="6"/>
        <v>4000000</v>
      </c>
      <c r="G109" s="480" t="s">
        <v>1613</v>
      </c>
      <c r="H109" s="407"/>
      <c r="I109" s="241"/>
      <c r="J109" s="241"/>
      <c r="K109" s="241"/>
      <c r="L109" s="241"/>
      <c r="M109" s="241"/>
      <c r="N109" s="241"/>
      <c r="O109" s="241"/>
      <c r="P109" s="241"/>
      <c r="Q109" s="241"/>
      <c r="R109" s="241"/>
      <c r="S109" s="241"/>
      <c r="T109" s="241"/>
      <c r="U109" s="241"/>
      <c r="V109" s="241"/>
      <c r="W109" s="241"/>
      <c r="X109" s="241"/>
      <c r="Y109" s="241"/>
      <c r="Z109" s="241"/>
    </row>
    <row r="110" spans="1:26" ht="15.75" customHeight="1">
      <c r="A110" s="459">
        <v>108</v>
      </c>
      <c r="B110" s="459" t="s">
        <v>1071</v>
      </c>
      <c r="C110" s="491" t="s">
        <v>1614</v>
      </c>
      <c r="D110" s="485">
        <v>6</v>
      </c>
      <c r="E110" s="1206">
        <v>1000000</v>
      </c>
      <c r="F110" s="1117">
        <f t="shared" si="6"/>
        <v>6000000</v>
      </c>
      <c r="G110" s="480" t="s">
        <v>1615</v>
      </c>
      <c r="H110" s="407"/>
      <c r="I110" s="241"/>
      <c r="J110" s="241"/>
      <c r="K110" s="241"/>
      <c r="L110" s="241"/>
      <c r="M110" s="241"/>
      <c r="N110" s="241"/>
      <c r="O110" s="241"/>
      <c r="P110" s="241"/>
      <c r="Q110" s="241"/>
      <c r="R110" s="241"/>
      <c r="S110" s="241"/>
      <c r="T110" s="241"/>
      <c r="U110" s="241"/>
      <c r="V110" s="241"/>
      <c r="W110" s="241"/>
      <c r="X110" s="241"/>
      <c r="Y110" s="241"/>
      <c r="Z110" s="241"/>
    </row>
    <row r="111" spans="1:26" ht="15.75" customHeight="1">
      <c r="A111" s="459">
        <v>109</v>
      </c>
      <c r="B111" s="459" t="s">
        <v>1071</v>
      </c>
      <c r="C111" s="484" t="s">
        <v>1616</v>
      </c>
      <c r="D111" s="408">
        <v>10</v>
      </c>
      <c r="E111" s="1203">
        <v>200000</v>
      </c>
      <c r="F111" s="1117">
        <f t="shared" si="6"/>
        <v>2000000</v>
      </c>
      <c r="G111" s="480"/>
      <c r="H111" s="407"/>
      <c r="I111" s="241"/>
      <c r="J111" s="241"/>
      <c r="K111" s="241"/>
      <c r="L111" s="241"/>
      <c r="M111" s="241"/>
      <c r="N111" s="241"/>
      <c r="O111" s="241"/>
      <c r="P111" s="241"/>
      <c r="Q111" s="241"/>
      <c r="R111" s="241"/>
      <c r="S111" s="241"/>
      <c r="T111" s="241"/>
      <c r="U111" s="241"/>
      <c r="V111" s="241"/>
      <c r="W111" s="241"/>
      <c r="X111" s="241"/>
      <c r="Y111" s="241"/>
      <c r="Z111" s="241"/>
    </row>
    <row r="112" spans="1:26" ht="15.75" customHeight="1">
      <c r="A112" s="464">
        <v>110</v>
      </c>
      <c r="B112" s="459" t="s">
        <v>1071</v>
      </c>
      <c r="C112" s="484" t="s">
        <v>1617</v>
      </c>
      <c r="D112" s="408">
        <v>5</v>
      </c>
      <c r="E112" s="1117">
        <v>750000</v>
      </c>
      <c r="F112" s="1117">
        <f>E112*D112</f>
        <v>3750000</v>
      </c>
      <c r="G112" s="480" t="s">
        <v>1618</v>
      </c>
      <c r="H112" s="407"/>
      <c r="I112" s="241"/>
      <c r="J112" s="241"/>
      <c r="K112" s="241"/>
      <c r="L112" s="241"/>
      <c r="M112" s="241"/>
      <c r="N112" s="241"/>
      <c r="O112" s="241"/>
      <c r="P112" s="241"/>
      <c r="Q112" s="241"/>
      <c r="R112" s="241"/>
      <c r="S112" s="241"/>
      <c r="T112" s="241"/>
      <c r="U112" s="241"/>
      <c r="V112" s="241"/>
      <c r="W112" s="241"/>
      <c r="X112" s="241"/>
      <c r="Y112" s="241"/>
      <c r="Z112" s="241"/>
    </row>
    <row r="113" spans="1:26" ht="15.75" customHeight="1">
      <c r="A113" s="459">
        <v>111</v>
      </c>
      <c r="B113" s="459" t="s">
        <v>1071</v>
      </c>
      <c r="C113" s="484" t="s">
        <v>1619</v>
      </c>
      <c r="D113" s="408">
        <v>5</v>
      </c>
      <c r="E113" s="1117">
        <v>750000</v>
      </c>
      <c r="F113" s="1117">
        <f t="shared" ref="F113:F133" si="7">SUM(E113*D113)</f>
        <v>3750000</v>
      </c>
      <c r="G113" s="480" t="s">
        <v>1620</v>
      </c>
      <c r="H113" s="407"/>
      <c r="I113" s="241"/>
      <c r="J113" s="241"/>
      <c r="K113" s="241"/>
      <c r="L113" s="241"/>
      <c r="M113" s="241"/>
      <c r="N113" s="241"/>
      <c r="O113" s="241"/>
      <c r="P113" s="241"/>
      <c r="Q113" s="241"/>
      <c r="R113" s="241"/>
      <c r="S113" s="241"/>
      <c r="T113" s="241"/>
      <c r="U113" s="241"/>
      <c r="V113" s="241"/>
      <c r="W113" s="241"/>
      <c r="X113" s="241"/>
      <c r="Y113" s="241"/>
      <c r="Z113" s="241"/>
    </row>
    <row r="114" spans="1:26" ht="15.75" customHeight="1">
      <c r="A114" s="464">
        <v>112</v>
      </c>
      <c r="B114" s="459" t="s">
        <v>1071</v>
      </c>
      <c r="C114" s="491" t="s">
        <v>1621</v>
      </c>
      <c r="D114" s="485">
        <v>5</v>
      </c>
      <c r="E114" s="1206">
        <v>150000</v>
      </c>
      <c r="F114" s="1117">
        <f t="shared" si="7"/>
        <v>750000</v>
      </c>
      <c r="G114" s="480" t="s">
        <v>1622</v>
      </c>
      <c r="H114" s="407"/>
      <c r="I114" s="241"/>
      <c r="J114" s="241"/>
      <c r="K114" s="241"/>
      <c r="L114" s="241"/>
      <c r="M114" s="241"/>
      <c r="N114" s="241"/>
      <c r="O114" s="241"/>
      <c r="P114" s="241"/>
      <c r="Q114" s="241"/>
      <c r="R114" s="241"/>
      <c r="S114" s="241"/>
      <c r="T114" s="241"/>
      <c r="U114" s="241"/>
      <c r="V114" s="241"/>
      <c r="W114" s="241"/>
      <c r="X114" s="241"/>
      <c r="Y114" s="241"/>
      <c r="Z114" s="241"/>
    </row>
    <row r="115" spans="1:26" ht="15.75" customHeight="1">
      <c r="A115" s="459">
        <v>113</v>
      </c>
      <c r="B115" s="459" t="s">
        <v>1071</v>
      </c>
      <c r="C115" s="484" t="s">
        <v>1623</v>
      </c>
      <c r="D115" s="485">
        <v>2</v>
      </c>
      <c r="E115" s="1117">
        <v>265000</v>
      </c>
      <c r="F115" s="1117">
        <f t="shared" si="7"/>
        <v>530000</v>
      </c>
      <c r="G115" s="480"/>
      <c r="H115" s="407"/>
      <c r="I115" s="241"/>
      <c r="J115" s="241"/>
      <c r="K115" s="241"/>
      <c r="L115" s="241"/>
      <c r="M115" s="241"/>
      <c r="N115" s="241"/>
      <c r="O115" s="241"/>
      <c r="P115" s="241"/>
      <c r="Q115" s="241"/>
      <c r="R115" s="241"/>
      <c r="S115" s="241"/>
      <c r="T115" s="241"/>
      <c r="U115" s="241"/>
      <c r="V115" s="241"/>
      <c r="W115" s="241"/>
      <c r="X115" s="241"/>
      <c r="Y115" s="241"/>
      <c r="Z115" s="241"/>
    </row>
    <row r="116" spans="1:26" ht="15.75" customHeight="1">
      <c r="A116" s="459">
        <v>114</v>
      </c>
      <c r="B116" s="459" t="s">
        <v>1071</v>
      </c>
      <c r="C116" s="484" t="s">
        <v>1624</v>
      </c>
      <c r="D116" s="485">
        <v>12</v>
      </c>
      <c r="E116" s="1117">
        <v>214285</v>
      </c>
      <c r="F116" s="1117">
        <f t="shared" si="7"/>
        <v>2571420</v>
      </c>
      <c r="G116" s="480"/>
      <c r="H116" s="407"/>
      <c r="I116" s="241"/>
      <c r="J116" s="241"/>
      <c r="K116" s="241"/>
      <c r="L116" s="241"/>
      <c r="M116" s="241"/>
      <c r="N116" s="241"/>
      <c r="O116" s="241"/>
      <c r="P116" s="241"/>
      <c r="Q116" s="241"/>
      <c r="R116" s="241"/>
      <c r="S116" s="241"/>
      <c r="T116" s="241"/>
      <c r="U116" s="241"/>
      <c r="V116" s="241"/>
      <c r="W116" s="241"/>
      <c r="X116" s="241"/>
      <c r="Y116" s="241"/>
      <c r="Z116" s="241"/>
    </row>
    <row r="117" spans="1:26" ht="15.75" customHeight="1">
      <c r="A117" s="464">
        <v>115</v>
      </c>
      <c r="B117" s="459" t="s">
        <v>1071</v>
      </c>
      <c r="C117" s="484" t="s">
        <v>1625</v>
      </c>
      <c r="D117" s="485">
        <v>5</v>
      </c>
      <c r="E117" s="1117">
        <v>500000</v>
      </c>
      <c r="F117" s="1205">
        <f t="shared" si="7"/>
        <v>2500000</v>
      </c>
      <c r="G117" s="480" t="s">
        <v>1626</v>
      </c>
      <c r="H117" s="407"/>
      <c r="I117" s="241"/>
      <c r="J117" s="241"/>
      <c r="K117" s="241"/>
      <c r="L117" s="241"/>
      <c r="M117" s="241"/>
      <c r="N117" s="241"/>
      <c r="O117" s="241"/>
      <c r="P117" s="241"/>
      <c r="Q117" s="241"/>
      <c r="R117" s="241"/>
      <c r="S117" s="241"/>
      <c r="T117" s="241"/>
      <c r="U117" s="241"/>
      <c r="V117" s="241"/>
      <c r="W117" s="241"/>
      <c r="X117" s="241"/>
      <c r="Y117" s="241"/>
      <c r="Z117" s="241"/>
    </row>
    <row r="118" spans="1:26" ht="15.75" customHeight="1">
      <c r="A118" s="459">
        <v>116</v>
      </c>
      <c r="B118" s="459" t="s">
        <v>1071</v>
      </c>
      <c r="C118" s="484" t="s">
        <v>1627</v>
      </c>
      <c r="D118" s="408">
        <v>10</v>
      </c>
      <c r="E118" s="1117">
        <v>250000</v>
      </c>
      <c r="F118" s="1117">
        <f t="shared" si="7"/>
        <v>2500000</v>
      </c>
      <c r="G118" s="480" t="s">
        <v>1628</v>
      </c>
      <c r="H118" s="407"/>
      <c r="I118" s="241"/>
      <c r="J118" s="241"/>
      <c r="K118" s="241"/>
      <c r="L118" s="241"/>
      <c r="M118" s="241"/>
      <c r="N118" s="241"/>
      <c r="O118" s="241"/>
      <c r="P118" s="241"/>
      <c r="Q118" s="241"/>
      <c r="R118" s="241"/>
      <c r="S118" s="241"/>
      <c r="T118" s="241"/>
      <c r="U118" s="241"/>
      <c r="V118" s="241"/>
      <c r="W118" s="241"/>
      <c r="X118" s="241"/>
      <c r="Y118" s="241"/>
      <c r="Z118" s="241"/>
    </row>
    <row r="119" spans="1:26" ht="15.75" customHeight="1">
      <c r="A119" s="464">
        <v>117</v>
      </c>
      <c r="B119" s="459" t="s">
        <v>1071</v>
      </c>
      <c r="C119" s="484" t="s">
        <v>1561</v>
      </c>
      <c r="D119" s="485">
        <v>1</v>
      </c>
      <c r="E119" s="1203">
        <v>2500000</v>
      </c>
      <c r="F119" s="1117">
        <f t="shared" si="7"/>
        <v>2500000</v>
      </c>
      <c r="G119" s="480" t="s">
        <v>1629</v>
      </c>
      <c r="H119" s="407"/>
      <c r="I119" s="241"/>
      <c r="J119" s="241"/>
      <c r="K119" s="241"/>
      <c r="L119" s="241"/>
      <c r="M119" s="241"/>
      <c r="N119" s="241"/>
      <c r="O119" s="241"/>
      <c r="P119" s="241"/>
      <c r="Q119" s="241"/>
      <c r="R119" s="241"/>
      <c r="S119" s="241"/>
      <c r="T119" s="241"/>
      <c r="U119" s="241"/>
      <c r="V119" s="241"/>
      <c r="W119" s="241"/>
      <c r="X119" s="241"/>
      <c r="Y119" s="241"/>
      <c r="Z119" s="241"/>
    </row>
    <row r="120" spans="1:26" ht="15.75" customHeight="1">
      <c r="A120" s="459">
        <v>118</v>
      </c>
      <c r="B120" s="459" t="s">
        <v>1071</v>
      </c>
      <c r="C120" s="491" t="s">
        <v>1630</v>
      </c>
      <c r="D120" s="485">
        <v>8</v>
      </c>
      <c r="E120" s="1206">
        <v>300000</v>
      </c>
      <c r="F120" s="1117">
        <f t="shared" si="7"/>
        <v>2400000</v>
      </c>
      <c r="G120" s="480" t="s">
        <v>1606</v>
      </c>
      <c r="H120" s="407"/>
      <c r="I120" s="241"/>
      <c r="J120" s="241"/>
      <c r="K120" s="241"/>
      <c r="L120" s="241"/>
      <c r="M120" s="241"/>
      <c r="N120" s="241"/>
      <c r="O120" s="241"/>
      <c r="P120" s="241"/>
      <c r="Q120" s="241"/>
      <c r="R120" s="241"/>
      <c r="S120" s="241"/>
      <c r="T120" s="241"/>
      <c r="U120" s="241"/>
      <c r="V120" s="241"/>
      <c r="W120" s="241"/>
      <c r="X120" s="241"/>
      <c r="Y120" s="241"/>
      <c r="Z120" s="241"/>
    </row>
    <row r="121" spans="1:26" ht="15.75" customHeight="1">
      <c r="A121" s="459">
        <v>119</v>
      </c>
      <c r="B121" s="459" t="s">
        <v>1071</v>
      </c>
      <c r="C121" s="484" t="s">
        <v>1631</v>
      </c>
      <c r="D121" s="485">
        <v>10</v>
      </c>
      <c r="E121" s="1117">
        <v>100000</v>
      </c>
      <c r="F121" s="1117">
        <f t="shared" si="7"/>
        <v>1000000</v>
      </c>
      <c r="G121" s="480"/>
      <c r="H121" s="407"/>
      <c r="I121" s="241"/>
      <c r="J121" s="241"/>
      <c r="K121" s="241"/>
      <c r="L121" s="241"/>
      <c r="M121" s="241"/>
      <c r="N121" s="241"/>
      <c r="O121" s="241"/>
      <c r="P121" s="241"/>
      <c r="Q121" s="241"/>
      <c r="R121" s="241"/>
      <c r="S121" s="241"/>
      <c r="T121" s="241"/>
      <c r="U121" s="241"/>
      <c r="V121" s="241"/>
      <c r="W121" s="241"/>
      <c r="X121" s="241"/>
      <c r="Y121" s="241"/>
      <c r="Z121" s="241"/>
    </row>
    <row r="122" spans="1:26" ht="15.75" customHeight="1">
      <c r="A122" s="464">
        <v>120</v>
      </c>
      <c r="B122" s="459" t="s">
        <v>1071</v>
      </c>
      <c r="C122" s="484" t="s">
        <v>1632</v>
      </c>
      <c r="D122" s="408">
        <v>5</v>
      </c>
      <c r="E122" s="1117">
        <v>300000</v>
      </c>
      <c r="F122" s="1117">
        <f t="shared" si="7"/>
        <v>1500000</v>
      </c>
      <c r="G122" s="480" t="s">
        <v>1633</v>
      </c>
      <c r="H122" s="407"/>
      <c r="I122" s="241"/>
      <c r="J122" s="241"/>
      <c r="K122" s="241"/>
      <c r="L122" s="241"/>
      <c r="M122" s="241"/>
      <c r="N122" s="241"/>
      <c r="O122" s="241"/>
      <c r="P122" s="241"/>
      <c r="Q122" s="241"/>
      <c r="R122" s="241"/>
      <c r="S122" s="241"/>
      <c r="T122" s="241"/>
      <c r="U122" s="241"/>
      <c r="V122" s="241"/>
      <c r="W122" s="241"/>
      <c r="X122" s="241"/>
      <c r="Y122" s="241"/>
      <c r="Z122" s="241"/>
    </row>
    <row r="123" spans="1:26" ht="15.75" customHeight="1">
      <c r="A123" s="459">
        <v>121</v>
      </c>
      <c r="B123" s="459" t="s">
        <v>1071</v>
      </c>
      <c r="C123" s="484" t="s">
        <v>1634</v>
      </c>
      <c r="D123" s="485">
        <v>15</v>
      </c>
      <c r="E123" s="1117">
        <v>90000</v>
      </c>
      <c r="F123" s="1117">
        <f t="shared" si="7"/>
        <v>1350000</v>
      </c>
      <c r="G123" s="480" t="s">
        <v>1635</v>
      </c>
      <c r="H123" s="407"/>
      <c r="I123" s="241"/>
      <c r="J123" s="241"/>
      <c r="K123" s="241"/>
      <c r="L123" s="241"/>
      <c r="M123" s="241"/>
      <c r="N123" s="241"/>
      <c r="O123" s="241"/>
      <c r="P123" s="241"/>
      <c r="Q123" s="241"/>
      <c r="R123" s="241"/>
      <c r="S123" s="241"/>
      <c r="T123" s="241"/>
      <c r="U123" s="241"/>
      <c r="V123" s="241"/>
      <c r="W123" s="241"/>
      <c r="X123" s="241"/>
      <c r="Y123" s="241"/>
      <c r="Z123" s="241"/>
    </row>
    <row r="124" spans="1:26" ht="15.75" customHeight="1">
      <c r="A124" s="464">
        <v>122</v>
      </c>
      <c r="B124" s="459" t="s">
        <v>1071</v>
      </c>
      <c r="C124" s="484" t="s">
        <v>1636</v>
      </c>
      <c r="D124" s="408">
        <v>10</v>
      </c>
      <c r="E124" s="1117">
        <v>50000</v>
      </c>
      <c r="F124" s="1117">
        <f t="shared" si="7"/>
        <v>500000</v>
      </c>
      <c r="G124" s="480"/>
      <c r="H124" s="407"/>
      <c r="I124" s="241"/>
      <c r="J124" s="241"/>
      <c r="K124" s="241"/>
      <c r="L124" s="241"/>
      <c r="M124" s="241"/>
      <c r="N124" s="241"/>
      <c r="O124" s="241"/>
      <c r="P124" s="241"/>
      <c r="Q124" s="241"/>
      <c r="R124" s="241"/>
      <c r="S124" s="241"/>
      <c r="T124" s="241"/>
      <c r="U124" s="241"/>
      <c r="V124" s="241"/>
      <c r="W124" s="241"/>
      <c r="X124" s="241"/>
      <c r="Y124" s="241"/>
      <c r="Z124" s="241"/>
    </row>
    <row r="125" spans="1:26" ht="15.75" customHeight="1">
      <c r="A125" s="459">
        <v>123</v>
      </c>
      <c r="B125" s="459" t="s">
        <v>1071</v>
      </c>
      <c r="C125" s="484" t="s">
        <v>1637</v>
      </c>
      <c r="D125" s="485">
        <v>2</v>
      </c>
      <c r="E125" s="1117">
        <v>250000</v>
      </c>
      <c r="F125" s="1117">
        <f t="shared" si="7"/>
        <v>500000</v>
      </c>
      <c r="G125" s="480"/>
      <c r="H125" s="407"/>
      <c r="I125" s="241"/>
      <c r="J125" s="241"/>
      <c r="K125" s="241"/>
      <c r="L125" s="241"/>
      <c r="M125" s="241"/>
      <c r="N125" s="241"/>
      <c r="O125" s="241"/>
      <c r="P125" s="241"/>
      <c r="Q125" s="241"/>
      <c r="R125" s="241"/>
      <c r="S125" s="241"/>
      <c r="T125" s="241"/>
      <c r="U125" s="241"/>
      <c r="V125" s="241"/>
      <c r="W125" s="241"/>
      <c r="X125" s="241"/>
      <c r="Y125" s="241"/>
      <c r="Z125" s="241"/>
    </row>
    <row r="126" spans="1:26" ht="15.75" customHeight="1">
      <c r="A126" s="459">
        <v>124</v>
      </c>
      <c r="B126" s="459" t="s">
        <v>1071</v>
      </c>
      <c r="C126" s="484" t="s">
        <v>1638</v>
      </c>
      <c r="D126" s="408">
        <v>16</v>
      </c>
      <c r="E126" s="1117">
        <v>50000</v>
      </c>
      <c r="F126" s="1203">
        <f t="shared" si="7"/>
        <v>800000</v>
      </c>
      <c r="G126" s="462"/>
      <c r="H126" s="407"/>
      <c r="I126" s="241"/>
      <c r="J126" s="241"/>
      <c r="K126" s="241"/>
      <c r="L126" s="241"/>
      <c r="M126" s="241"/>
      <c r="N126" s="241"/>
      <c r="O126" s="241"/>
      <c r="P126" s="241"/>
      <c r="Q126" s="241"/>
      <c r="R126" s="241"/>
      <c r="S126" s="241"/>
      <c r="T126" s="241"/>
      <c r="U126" s="241"/>
      <c r="V126" s="241"/>
      <c r="W126" s="241"/>
      <c r="X126" s="241"/>
      <c r="Y126" s="241"/>
      <c r="Z126" s="241"/>
    </row>
    <row r="127" spans="1:26" ht="15.75" customHeight="1">
      <c r="A127" s="464">
        <v>125</v>
      </c>
      <c r="B127" s="459" t="s">
        <v>1071</v>
      </c>
      <c r="C127" s="484" t="s">
        <v>1639</v>
      </c>
      <c r="D127" s="485">
        <v>2</v>
      </c>
      <c r="E127" s="1117">
        <v>400000</v>
      </c>
      <c r="F127" s="1117">
        <f t="shared" si="7"/>
        <v>800000</v>
      </c>
      <c r="G127" s="480" t="s">
        <v>1640</v>
      </c>
      <c r="H127" s="407"/>
      <c r="I127" s="241"/>
      <c r="J127" s="241"/>
      <c r="K127" s="241"/>
      <c r="L127" s="241"/>
      <c r="M127" s="241"/>
      <c r="N127" s="241"/>
      <c r="O127" s="241"/>
      <c r="P127" s="241"/>
      <c r="Q127" s="241"/>
      <c r="R127" s="241"/>
      <c r="S127" s="241"/>
      <c r="T127" s="241"/>
      <c r="U127" s="241"/>
      <c r="V127" s="241"/>
      <c r="W127" s="241"/>
      <c r="X127" s="241"/>
      <c r="Y127" s="241"/>
      <c r="Z127" s="241"/>
    </row>
    <row r="128" spans="1:26" ht="15.75" customHeight="1">
      <c r="A128" s="459">
        <v>126</v>
      </c>
      <c r="B128" s="459" t="s">
        <v>1071</v>
      </c>
      <c r="C128" s="484" t="s">
        <v>1641</v>
      </c>
      <c r="D128" s="408">
        <v>25</v>
      </c>
      <c r="E128" s="1117">
        <v>30000</v>
      </c>
      <c r="F128" s="1117">
        <f t="shared" si="7"/>
        <v>750000</v>
      </c>
      <c r="G128" s="480"/>
      <c r="H128" s="407"/>
      <c r="I128" s="241"/>
      <c r="J128" s="241"/>
      <c r="K128" s="241"/>
      <c r="L128" s="241"/>
      <c r="M128" s="241"/>
      <c r="N128" s="241"/>
      <c r="O128" s="241"/>
      <c r="P128" s="241"/>
      <c r="Q128" s="241"/>
      <c r="R128" s="241"/>
      <c r="S128" s="241"/>
      <c r="T128" s="241"/>
      <c r="U128" s="241"/>
      <c r="V128" s="241"/>
      <c r="W128" s="241"/>
      <c r="X128" s="241"/>
      <c r="Y128" s="241"/>
      <c r="Z128" s="241"/>
    </row>
    <row r="129" spans="1:26" ht="15.75" customHeight="1">
      <c r="A129" s="464">
        <v>127</v>
      </c>
      <c r="B129" s="459" t="s">
        <v>1071</v>
      </c>
      <c r="C129" s="484" t="s">
        <v>1642</v>
      </c>
      <c r="D129" s="408">
        <v>20</v>
      </c>
      <c r="E129" s="1117">
        <v>27500</v>
      </c>
      <c r="F129" s="1117">
        <f t="shared" si="7"/>
        <v>550000</v>
      </c>
      <c r="G129" s="480"/>
      <c r="H129" s="407"/>
      <c r="I129" s="241"/>
      <c r="J129" s="241"/>
      <c r="K129" s="241"/>
      <c r="L129" s="241"/>
      <c r="M129" s="241"/>
      <c r="N129" s="241"/>
      <c r="O129" s="241"/>
      <c r="P129" s="241"/>
      <c r="Q129" s="241"/>
      <c r="R129" s="241"/>
      <c r="S129" s="241"/>
      <c r="T129" s="241"/>
      <c r="U129" s="241"/>
      <c r="V129" s="241"/>
      <c r="W129" s="241"/>
      <c r="X129" s="241"/>
      <c r="Y129" s="241"/>
      <c r="Z129" s="241"/>
    </row>
    <row r="130" spans="1:26" ht="15.75" customHeight="1">
      <c r="A130" s="459">
        <v>128</v>
      </c>
      <c r="B130" s="459" t="s">
        <v>1071</v>
      </c>
      <c r="C130" s="484" t="s">
        <v>1643</v>
      </c>
      <c r="D130" s="408">
        <v>5</v>
      </c>
      <c r="E130" s="1117">
        <v>100000</v>
      </c>
      <c r="F130" s="1117">
        <f t="shared" si="7"/>
        <v>500000</v>
      </c>
      <c r="G130" s="480"/>
      <c r="H130" s="407"/>
      <c r="I130" s="241"/>
      <c r="J130" s="241"/>
      <c r="K130" s="241"/>
      <c r="L130" s="241"/>
      <c r="M130" s="241"/>
      <c r="N130" s="241"/>
      <c r="O130" s="241"/>
      <c r="P130" s="241"/>
      <c r="Q130" s="241"/>
      <c r="R130" s="241"/>
      <c r="S130" s="241"/>
      <c r="T130" s="241"/>
      <c r="U130" s="241"/>
      <c r="V130" s="241"/>
      <c r="W130" s="241"/>
      <c r="X130" s="241"/>
      <c r="Y130" s="241"/>
      <c r="Z130" s="241"/>
    </row>
    <row r="131" spans="1:26" ht="15.75" customHeight="1">
      <c r="A131" s="459">
        <v>129</v>
      </c>
      <c r="B131" s="459" t="s">
        <v>1071</v>
      </c>
      <c r="C131" s="484" t="s">
        <v>1644</v>
      </c>
      <c r="D131" s="408">
        <v>5</v>
      </c>
      <c r="E131" s="1117">
        <v>80000</v>
      </c>
      <c r="F131" s="1117">
        <f t="shared" si="7"/>
        <v>400000</v>
      </c>
      <c r="G131" s="480"/>
      <c r="H131" s="407"/>
      <c r="I131" s="241"/>
      <c r="J131" s="241"/>
      <c r="K131" s="241"/>
      <c r="L131" s="241"/>
      <c r="M131" s="241"/>
      <c r="N131" s="241"/>
      <c r="O131" s="241"/>
      <c r="P131" s="241"/>
      <c r="Q131" s="241"/>
      <c r="R131" s="241"/>
      <c r="S131" s="241"/>
      <c r="T131" s="241"/>
      <c r="U131" s="241"/>
      <c r="V131" s="241"/>
      <c r="W131" s="241"/>
      <c r="X131" s="241"/>
      <c r="Y131" s="241"/>
      <c r="Z131" s="241"/>
    </row>
    <row r="132" spans="1:26" ht="15.75" customHeight="1">
      <c r="A132" s="464">
        <v>130</v>
      </c>
      <c r="B132" s="459" t="s">
        <v>1071</v>
      </c>
      <c r="C132" s="484" t="s">
        <v>1645</v>
      </c>
      <c r="D132" s="408">
        <v>10</v>
      </c>
      <c r="E132" s="1117">
        <v>40000</v>
      </c>
      <c r="F132" s="1117">
        <f t="shared" si="7"/>
        <v>400000</v>
      </c>
      <c r="G132" s="480" t="s">
        <v>1646</v>
      </c>
      <c r="H132" s="407"/>
      <c r="I132" s="241"/>
      <c r="J132" s="241"/>
      <c r="K132" s="241"/>
      <c r="L132" s="241"/>
      <c r="M132" s="241"/>
      <c r="N132" s="241"/>
      <c r="O132" s="241"/>
      <c r="P132" s="241"/>
      <c r="Q132" s="241"/>
      <c r="R132" s="241"/>
      <c r="S132" s="241"/>
      <c r="T132" s="241"/>
      <c r="U132" s="241"/>
      <c r="V132" s="241"/>
      <c r="W132" s="241"/>
      <c r="X132" s="241"/>
      <c r="Y132" s="241"/>
      <c r="Z132" s="241"/>
    </row>
    <row r="133" spans="1:26" ht="15.75" customHeight="1">
      <c r="A133" s="459">
        <v>131</v>
      </c>
      <c r="B133" s="459" t="s">
        <v>1071</v>
      </c>
      <c r="C133" s="484" t="s">
        <v>1647</v>
      </c>
      <c r="D133" s="408">
        <v>8</v>
      </c>
      <c r="E133" s="1117">
        <v>50000</v>
      </c>
      <c r="F133" s="1117">
        <f t="shared" si="7"/>
        <v>400000</v>
      </c>
      <c r="G133" s="480" t="s">
        <v>1648</v>
      </c>
      <c r="H133" s="407"/>
      <c r="I133" s="241"/>
      <c r="J133" s="241"/>
      <c r="K133" s="241"/>
      <c r="L133" s="241"/>
      <c r="M133" s="241"/>
      <c r="N133" s="241"/>
      <c r="O133" s="241"/>
      <c r="P133" s="241"/>
      <c r="Q133" s="241"/>
      <c r="R133" s="241"/>
      <c r="S133" s="241"/>
      <c r="T133" s="241"/>
      <c r="U133" s="241"/>
      <c r="V133" s="241"/>
      <c r="W133" s="241"/>
      <c r="X133" s="241"/>
      <c r="Y133" s="241"/>
      <c r="Z133" s="241"/>
    </row>
    <row r="134" spans="1:26" ht="15.75" customHeight="1">
      <c r="A134" s="464">
        <v>132</v>
      </c>
      <c r="B134" s="459" t="s">
        <v>1071</v>
      </c>
      <c r="C134" s="484" t="s">
        <v>1649</v>
      </c>
      <c r="D134" s="408">
        <v>5</v>
      </c>
      <c r="E134" s="1117">
        <v>75000</v>
      </c>
      <c r="F134" s="1117">
        <f>E134*D134</f>
        <v>375000</v>
      </c>
      <c r="G134" s="480"/>
      <c r="H134" s="407"/>
      <c r="I134" s="241"/>
      <c r="J134" s="241"/>
      <c r="K134" s="241"/>
      <c r="L134" s="241"/>
      <c r="M134" s="241"/>
      <c r="N134" s="241"/>
      <c r="O134" s="241"/>
      <c r="P134" s="241"/>
      <c r="Q134" s="241"/>
      <c r="R134" s="241"/>
      <c r="S134" s="241"/>
      <c r="T134" s="241"/>
      <c r="U134" s="241"/>
      <c r="V134" s="241"/>
      <c r="W134" s="241"/>
      <c r="X134" s="241"/>
      <c r="Y134" s="241"/>
      <c r="Z134" s="241"/>
    </row>
    <row r="135" spans="1:26" ht="15.75" customHeight="1">
      <c r="A135" s="459">
        <v>133</v>
      </c>
      <c r="B135" s="459" t="s">
        <v>1071</v>
      </c>
      <c r="C135" s="484" t="s">
        <v>1650</v>
      </c>
      <c r="D135" s="485">
        <v>5</v>
      </c>
      <c r="E135" s="1117">
        <v>70000</v>
      </c>
      <c r="F135" s="1117">
        <f t="shared" ref="F135:F140" si="8">SUM(E135*D135)</f>
        <v>350000</v>
      </c>
      <c r="G135" s="480"/>
      <c r="H135" s="407"/>
      <c r="I135" s="241"/>
      <c r="J135" s="241"/>
      <c r="K135" s="241"/>
      <c r="L135" s="241"/>
      <c r="M135" s="241"/>
      <c r="N135" s="241"/>
      <c r="O135" s="241"/>
      <c r="P135" s="241"/>
      <c r="Q135" s="241"/>
      <c r="R135" s="241"/>
      <c r="S135" s="241"/>
      <c r="T135" s="241"/>
      <c r="U135" s="241"/>
      <c r="V135" s="241"/>
      <c r="W135" s="241"/>
      <c r="X135" s="241"/>
      <c r="Y135" s="241"/>
      <c r="Z135" s="241"/>
    </row>
    <row r="136" spans="1:26" ht="15.75" customHeight="1">
      <c r="A136" s="459">
        <v>134</v>
      </c>
      <c r="B136" s="459" t="s">
        <v>1071</v>
      </c>
      <c r="C136" s="484" t="s">
        <v>1651</v>
      </c>
      <c r="D136" s="485">
        <v>5</v>
      </c>
      <c r="E136" s="1117">
        <v>70000</v>
      </c>
      <c r="F136" s="1117">
        <f t="shared" si="8"/>
        <v>350000</v>
      </c>
      <c r="G136" s="480"/>
      <c r="H136" s="407"/>
      <c r="I136" s="241"/>
      <c r="J136" s="241"/>
      <c r="K136" s="241"/>
      <c r="L136" s="241"/>
      <c r="M136" s="241"/>
      <c r="N136" s="241"/>
      <c r="O136" s="241"/>
      <c r="P136" s="241"/>
      <c r="Q136" s="241"/>
      <c r="R136" s="241"/>
      <c r="S136" s="241"/>
      <c r="T136" s="241"/>
      <c r="U136" s="241"/>
      <c r="V136" s="241"/>
      <c r="W136" s="241"/>
      <c r="X136" s="241"/>
      <c r="Y136" s="241"/>
      <c r="Z136" s="241"/>
    </row>
    <row r="137" spans="1:26" ht="15.75" customHeight="1">
      <c r="A137" s="464">
        <v>135</v>
      </c>
      <c r="B137" s="459" t="s">
        <v>1071</v>
      </c>
      <c r="C137" s="484" t="s">
        <v>1652</v>
      </c>
      <c r="D137" s="408">
        <v>30</v>
      </c>
      <c r="E137" s="1117">
        <v>10000</v>
      </c>
      <c r="F137" s="1117">
        <f t="shared" si="8"/>
        <v>300000</v>
      </c>
      <c r="G137" s="480"/>
      <c r="H137" s="407"/>
      <c r="I137" s="241"/>
      <c r="J137" s="241"/>
      <c r="K137" s="241"/>
      <c r="L137" s="241"/>
      <c r="M137" s="241"/>
      <c r="N137" s="241"/>
      <c r="O137" s="241"/>
      <c r="P137" s="241"/>
      <c r="Q137" s="241"/>
      <c r="R137" s="241"/>
      <c r="S137" s="241"/>
      <c r="T137" s="241"/>
      <c r="U137" s="241"/>
      <c r="V137" s="241"/>
      <c r="W137" s="241"/>
      <c r="X137" s="241"/>
      <c r="Y137" s="241"/>
      <c r="Z137" s="241"/>
    </row>
    <row r="138" spans="1:26" ht="15.75" customHeight="1">
      <c r="A138" s="459">
        <v>136</v>
      </c>
      <c r="B138" s="459" t="s">
        <v>1071</v>
      </c>
      <c r="C138" s="491" t="s">
        <v>1653</v>
      </c>
      <c r="D138" s="485">
        <v>15</v>
      </c>
      <c r="E138" s="1206">
        <v>20000</v>
      </c>
      <c r="F138" s="1117">
        <f t="shared" si="8"/>
        <v>300000</v>
      </c>
      <c r="G138" s="480"/>
      <c r="H138" s="407"/>
      <c r="I138" s="241"/>
      <c r="J138" s="241"/>
      <c r="K138" s="241"/>
      <c r="L138" s="241"/>
      <c r="M138" s="241"/>
      <c r="N138" s="241"/>
      <c r="O138" s="241"/>
      <c r="P138" s="241"/>
      <c r="Q138" s="241"/>
      <c r="R138" s="241"/>
      <c r="S138" s="241"/>
      <c r="T138" s="241"/>
      <c r="U138" s="241"/>
      <c r="V138" s="241"/>
      <c r="W138" s="241"/>
      <c r="X138" s="241"/>
      <c r="Y138" s="241"/>
      <c r="Z138" s="241"/>
    </row>
    <row r="139" spans="1:26" ht="15.75" customHeight="1">
      <c r="A139" s="464">
        <v>137</v>
      </c>
      <c r="B139" s="459" t="s">
        <v>1071</v>
      </c>
      <c r="C139" s="484" t="s">
        <v>1654</v>
      </c>
      <c r="D139" s="408">
        <v>10</v>
      </c>
      <c r="E139" s="1117">
        <v>30000</v>
      </c>
      <c r="F139" s="1117">
        <f t="shared" si="8"/>
        <v>300000</v>
      </c>
      <c r="G139" s="480" t="s">
        <v>1655</v>
      </c>
      <c r="H139" s="407"/>
      <c r="I139" s="241"/>
      <c r="J139" s="241"/>
      <c r="K139" s="241"/>
      <c r="L139" s="241"/>
      <c r="M139" s="241"/>
      <c r="N139" s="241"/>
      <c r="O139" s="241"/>
      <c r="P139" s="241"/>
      <c r="Q139" s="241"/>
      <c r="R139" s="241"/>
      <c r="S139" s="241"/>
      <c r="T139" s="241"/>
      <c r="U139" s="241"/>
      <c r="V139" s="241"/>
      <c r="W139" s="241"/>
      <c r="X139" s="241"/>
      <c r="Y139" s="241"/>
      <c r="Z139" s="241"/>
    </row>
    <row r="140" spans="1:26" ht="15.75" customHeight="1">
      <c r="A140" s="459">
        <v>138</v>
      </c>
      <c r="B140" s="459" t="s">
        <v>1071</v>
      </c>
      <c r="C140" s="484" t="s">
        <v>1656</v>
      </c>
      <c r="D140" s="408">
        <v>5</v>
      </c>
      <c r="E140" s="1117">
        <v>55000</v>
      </c>
      <c r="F140" s="1117">
        <f t="shared" si="8"/>
        <v>275000</v>
      </c>
      <c r="G140" s="480" t="s">
        <v>1657</v>
      </c>
      <c r="H140" s="407"/>
      <c r="I140" s="241"/>
      <c r="J140" s="241"/>
      <c r="K140" s="241"/>
      <c r="L140" s="241"/>
      <c r="M140" s="241"/>
      <c r="N140" s="241"/>
      <c r="O140" s="241"/>
      <c r="P140" s="241"/>
      <c r="Q140" s="241"/>
      <c r="R140" s="241"/>
      <c r="S140" s="241"/>
      <c r="T140" s="241"/>
      <c r="U140" s="241"/>
      <c r="V140" s="241"/>
      <c r="W140" s="241"/>
      <c r="X140" s="241"/>
      <c r="Y140" s="241"/>
      <c r="Z140" s="241"/>
    </row>
    <row r="141" spans="1:26" ht="15.75" customHeight="1">
      <c r="A141" s="459">
        <v>139</v>
      </c>
      <c r="B141" s="459" t="s">
        <v>1071</v>
      </c>
      <c r="C141" s="484" t="s">
        <v>1658</v>
      </c>
      <c r="D141" s="408">
        <v>5</v>
      </c>
      <c r="E141" s="1117">
        <v>45000</v>
      </c>
      <c r="F141" s="1117">
        <f>E141*D141</f>
        <v>225000</v>
      </c>
      <c r="G141" s="480"/>
      <c r="H141" s="492"/>
      <c r="I141" s="241"/>
      <c r="J141" s="241"/>
      <c r="K141" s="241"/>
      <c r="L141" s="241"/>
      <c r="M141" s="241"/>
      <c r="N141" s="241"/>
      <c r="O141" s="241"/>
      <c r="P141" s="241"/>
      <c r="Q141" s="241"/>
      <c r="R141" s="241"/>
      <c r="S141" s="241"/>
      <c r="T141" s="241"/>
      <c r="U141" s="241"/>
      <c r="V141" s="241"/>
      <c r="W141" s="241"/>
      <c r="X141" s="241"/>
      <c r="Y141" s="241"/>
      <c r="Z141" s="241"/>
    </row>
    <row r="142" spans="1:26" ht="15.75" customHeight="1">
      <c r="A142" s="464">
        <v>140</v>
      </c>
      <c r="B142" s="459" t="s">
        <v>1071</v>
      </c>
      <c r="C142" s="484" t="s">
        <v>1659</v>
      </c>
      <c r="D142" s="408">
        <v>10</v>
      </c>
      <c r="E142" s="1117">
        <v>20000</v>
      </c>
      <c r="F142" s="1117">
        <f t="shared" ref="F142:F143" si="9">SUM(E142*D142)</f>
        <v>200000</v>
      </c>
      <c r="G142" s="480"/>
      <c r="H142" s="492"/>
      <c r="I142" s="241"/>
      <c r="J142" s="241"/>
      <c r="K142" s="241"/>
      <c r="L142" s="241"/>
      <c r="M142" s="241"/>
      <c r="N142" s="241"/>
      <c r="O142" s="241"/>
      <c r="P142" s="241"/>
      <c r="Q142" s="241"/>
      <c r="R142" s="241"/>
      <c r="S142" s="241"/>
      <c r="T142" s="241"/>
      <c r="U142" s="241"/>
      <c r="V142" s="241"/>
      <c r="W142" s="241"/>
      <c r="X142" s="241"/>
      <c r="Y142" s="241"/>
      <c r="Z142" s="241"/>
    </row>
    <row r="143" spans="1:26" ht="15.75" customHeight="1">
      <c r="A143" s="459">
        <v>141</v>
      </c>
      <c r="B143" s="459" t="s">
        <v>1071</v>
      </c>
      <c r="C143" s="484" t="s">
        <v>1660</v>
      </c>
      <c r="D143" s="485">
        <v>2</v>
      </c>
      <c r="E143" s="1203">
        <v>45000</v>
      </c>
      <c r="F143" s="1117">
        <f t="shared" si="9"/>
        <v>90000</v>
      </c>
      <c r="G143" s="480" t="s">
        <v>1661</v>
      </c>
      <c r="H143" s="492"/>
      <c r="I143" s="241"/>
      <c r="J143" s="241"/>
      <c r="K143" s="241"/>
      <c r="L143" s="241"/>
      <c r="M143" s="241"/>
      <c r="N143" s="241"/>
      <c r="O143" s="241"/>
      <c r="P143" s="241"/>
      <c r="Q143" s="241"/>
      <c r="R143" s="241"/>
      <c r="S143" s="241"/>
      <c r="T143" s="241"/>
      <c r="U143" s="241"/>
      <c r="V143" s="241"/>
      <c r="W143" s="241"/>
      <c r="X143" s="241"/>
      <c r="Y143" s="241"/>
      <c r="Z143" s="241"/>
    </row>
    <row r="144" spans="1:26" ht="15.75" customHeight="1">
      <c r="A144" s="464">
        <v>142</v>
      </c>
      <c r="B144" s="236" t="s">
        <v>502</v>
      </c>
      <c r="C144" s="493" t="s">
        <v>1662</v>
      </c>
      <c r="D144" s="236">
        <v>24</v>
      </c>
      <c r="E144" s="1207">
        <v>250000</v>
      </c>
      <c r="F144" s="1207">
        <v>6000000</v>
      </c>
      <c r="G144" s="2"/>
      <c r="H144" s="2"/>
      <c r="I144" s="241"/>
      <c r="J144" s="241"/>
      <c r="K144" s="241"/>
      <c r="L144" s="241"/>
      <c r="M144" s="241"/>
      <c r="N144" s="241"/>
      <c r="O144" s="241"/>
      <c r="P144" s="241"/>
      <c r="Q144" s="241"/>
      <c r="R144" s="241"/>
      <c r="S144" s="241"/>
      <c r="T144" s="241"/>
      <c r="U144" s="241"/>
      <c r="V144" s="241"/>
      <c r="W144" s="241"/>
      <c r="X144" s="241"/>
      <c r="Y144" s="241"/>
      <c r="Z144" s="241"/>
    </row>
    <row r="145" spans="1:26" ht="15.75" customHeight="1">
      <c r="A145" s="459">
        <v>143</v>
      </c>
      <c r="B145" s="236" t="s">
        <v>502</v>
      </c>
      <c r="C145" s="494" t="s">
        <v>1663</v>
      </c>
      <c r="D145" s="466">
        <v>12</v>
      </c>
      <c r="E145" s="1208">
        <v>500000</v>
      </c>
      <c r="F145" s="1208">
        <v>6000000</v>
      </c>
      <c r="G145" s="242"/>
      <c r="H145" s="2"/>
      <c r="I145" s="241"/>
      <c r="J145" s="241"/>
      <c r="K145" s="241"/>
      <c r="L145" s="241"/>
      <c r="M145" s="241"/>
      <c r="N145" s="241"/>
      <c r="O145" s="241"/>
      <c r="P145" s="241"/>
      <c r="Q145" s="241"/>
      <c r="R145" s="241"/>
      <c r="S145" s="241"/>
      <c r="T145" s="241"/>
      <c r="U145" s="241"/>
      <c r="V145" s="241"/>
      <c r="W145" s="241"/>
      <c r="X145" s="241"/>
      <c r="Y145" s="241"/>
      <c r="Z145" s="241"/>
    </row>
    <row r="146" spans="1:26" ht="15.75" customHeight="1">
      <c r="A146" s="459">
        <v>144</v>
      </c>
      <c r="B146" s="236" t="s">
        <v>502</v>
      </c>
      <c r="C146" s="495" t="s">
        <v>1664</v>
      </c>
      <c r="D146" s="235">
        <v>12</v>
      </c>
      <c r="E146" s="1208">
        <v>500000</v>
      </c>
      <c r="F146" s="1208">
        <v>6000000</v>
      </c>
      <c r="G146" s="242"/>
      <c r="H146" s="2"/>
      <c r="I146" s="241"/>
      <c r="J146" s="241"/>
      <c r="K146" s="241"/>
      <c r="L146" s="241"/>
      <c r="M146" s="241"/>
      <c r="N146" s="241"/>
      <c r="O146" s="241"/>
      <c r="P146" s="241"/>
      <c r="Q146" s="241"/>
      <c r="R146" s="241"/>
      <c r="S146" s="241"/>
      <c r="T146" s="241"/>
      <c r="U146" s="241"/>
      <c r="V146" s="241"/>
      <c r="W146" s="241"/>
      <c r="X146" s="241"/>
      <c r="Y146" s="241"/>
      <c r="Z146" s="241"/>
    </row>
    <row r="147" spans="1:26" ht="15.75" customHeight="1">
      <c r="A147" s="464">
        <v>145</v>
      </c>
      <c r="B147" s="236" t="s">
        <v>502</v>
      </c>
      <c r="C147" s="496" t="s">
        <v>1665</v>
      </c>
      <c r="D147" s="235">
        <v>12</v>
      </c>
      <c r="E147" s="1208">
        <v>450000</v>
      </c>
      <c r="F147" s="1208">
        <v>5400000</v>
      </c>
      <c r="G147" s="242"/>
      <c r="H147" s="2"/>
      <c r="I147" s="241"/>
      <c r="J147" s="241"/>
      <c r="K147" s="241"/>
      <c r="L147" s="241"/>
      <c r="M147" s="241"/>
      <c r="N147" s="241"/>
      <c r="O147" s="241"/>
      <c r="P147" s="241"/>
      <c r="Q147" s="241"/>
      <c r="R147" s="241"/>
      <c r="S147" s="241"/>
      <c r="T147" s="241"/>
      <c r="U147" s="241"/>
      <c r="V147" s="241"/>
      <c r="W147" s="241"/>
      <c r="X147" s="241"/>
      <c r="Y147" s="241"/>
      <c r="Z147" s="241"/>
    </row>
    <row r="148" spans="1:26" ht="15.75" customHeight="1">
      <c r="A148" s="459">
        <v>146</v>
      </c>
      <c r="B148" s="236" t="s">
        <v>502</v>
      </c>
      <c r="C148" s="493" t="s">
        <v>1666</v>
      </c>
      <c r="D148" s="236">
        <v>6</v>
      </c>
      <c r="E148" s="1207">
        <v>850000</v>
      </c>
      <c r="F148" s="1207">
        <v>5100000</v>
      </c>
      <c r="G148" s="2"/>
      <c r="H148" s="2"/>
      <c r="I148" s="241"/>
      <c r="J148" s="241"/>
      <c r="K148" s="241"/>
      <c r="L148" s="241"/>
      <c r="M148" s="241"/>
      <c r="N148" s="241"/>
      <c r="O148" s="241"/>
      <c r="P148" s="241"/>
      <c r="Q148" s="241"/>
      <c r="R148" s="241"/>
      <c r="S148" s="241"/>
      <c r="T148" s="241"/>
      <c r="U148" s="241"/>
      <c r="V148" s="241"/>
      <c r="W148" s="241"/>
      <c r="X148" s="241"/>
      <c r="Y148" s="241"/>
      <c r="Z148" s="241"/>
    </row>
    <row r="149" spans="1:26" ht="15.75" customHeight="1">
      <c r="A149" s="464">
        <v>147</v>
      </c>
      <c r="B149" s="236" t="s">
        <v>502</v>
      </c>
      <c r="C149" s="495" t="s">
        <v>1667</v>
      </c>
      <c r="D149" s="235">
        <v>12</v>
      </c>
      <c r="E149" s="1208">
        <v>400000</v>
      </c>
      <c r="F149" s="1208">
        <v>4800000</v>
      </c>
      <c r="G149" s="242"/>
      <c r="H149" s="2"/>
      <c r="I149" s="241"/>
      <c r="J149" s="241"/>
      <c r="K149" s="241"/>
      <c r="L149" s="241"/>
      <c r="M149" s="241"/>
      <c r="N149" s="241"/>
      <c r="O149" s="241"/>
      <c r="P149" s="241"/>
      <c r="Q149" s="241"/>
      <c r="R149" s="241"/>
      <c r="S149" s="241"/>
      <c r="T149" s="241"/>
      <c r="U149" s="241"/>
      <c r="V149" s="241"/>
      <c r="W149" s="241"/>
      <c r="X149" s="241"/>
      <c r="Y149" s="241"/>
      <c r="Z149" s="241"/>
    </row>
    <row r="150" spans="1:26" ht="15.75" customHeight="1">
      <c r="A150" s="459">
        <v>148</v>
      </c>
      <c r="B150" s="236" t="s">
        <v>502</v>
      </c>
      <c r="C150" s="495" t="s">
        <v>1668</v>
      </c>
      <c r="D150" s="235">
        <v>12</v>
      </c>
      <c r="E150" s="1208">
        <v>400000</v>
      </c>
      <c r="F150" s="1208">
        <v>4800000</v>
      </c>
      <c r="G150" s="242"/>
      <c r="H150" s="2"/>
      <c r="I150" s="241"/>
      <c r="J150" s="241"/>
      <c r="K150" s="241"/>
      <c r="L150" s="241"/>
      <c r="M150" s="241"/>
      <c r="N150" s="241"/>
      <c r="O150" s="241"/>
      <c r="P150" s="241"/>
      <c r="Q150" s="241"/>
      <c r="R150" s="241"/>
      <c r="S150" s="241"/>
      <c r="T150" s="241"/>
      <c r="U150" s="241"/>
      <c r="V150" s="241"/>
      <c r="W150" s="241"/>
      <c r="X150" s="241"/>
      <c r="Y150" s="241"/>
      <c r="Z150" s="241"/>
    </row>
    <row r="151" spans="1:26" ht="15.75" customHeight="1">
      <c r="A151" s="459">
        <v>149</v>
      </c>
      <c r="B151" s="236" t="s">
        <v>502</v>
      </c>
      <c r="C151" s="496" t="s">
        <v>1669</v>
      </c>
      <c r="D151" s="235">
        <v>12</v>
      </c>
      <c r="E151" s="1208">
        <v>400000</v>
      </c>
      <c r="F151" s="1208">
        <v>4800000</v>
      </c>
      <c r="G151" s="242"/>
      <c r="H151" s="2"/>
      <c r="I151" s="241"/>
      <c r="J151" s="241"/>
      <c r="K151" s="241"/>
      <c r="L151" s="241"/>
      <c r="M151" s="241"/>
      <c r="N151" s="241"/>
      <c r="O151" s="241"/>
      <c r="P151" s="241"/>
      <c r="Q151" s="241"/>
      <c r="R151" s="241"/>
      <c r="S151" s="241"/>
      <c r="T151" s="241"/>
      <c r="U151" s="241"/>
      <c r="V151" s="241"/>
      <c r="W151" s="241"/>
      <c r="X151" s="241"/>
      <c r="Y151" s="241"/>
      <c r="Z151" s="241"/>
    </row>
    <row r="152" spans="1:26" ht="15.75" customHeight="1">
      <c r="A152" s="464">
        <v>150</v>
      </c>
      <c r="B152" s="236" t="s">
        <v>502</v>
      </c>
      <c r="C152" s="496" t="s">
        <v>1670</v>
      </c>
      <c r="D152" s="235">
        <v>12</v>
      </c>
      <c r="E152" s="1208">
        <v>350000</v>
      </c>
      <c r="F152" s="1208">
        <v>4200000</v>
      </c>
      <c r="G152" s="242"/>
      <c r="H152" s="2"/>
      <c r="I152" s="241"/>
      <c r="J152" s="241"/>
      <c r="K152" s="241"/>
      <c r="L152" s="241"/>
      <c r="M152" s="241"/>
      <c r="N152" s="241"/>
      <c r="O152" s="241"/>
      <c r="P152" s="241"/>
      <c r="Q152" s="241"/>
      <c r="R152" s="241"/>
      <c r="S152" s="241"/>
      <c r="T152" s="241"/>
      <c r="U152" s="241"/>
      <c r="V152" s="241"/>
      <c r="W152" s="241"/>
      <c r="X152" s="241"/>
      <c r="Y152" s="241"/>
      <c r="Z152" s="241"/>
    </row>
    <row r="153" spans="1:26" ht="15.75" customHeight="1">
      <c r="A153" s="459">
        <v>151</v>
      </c>
      <c r="B153" s="236" t="s">
        <v>502</v>
      </c>
      <c r="C153" s="494" t="s">
        <v>1671</v>
      </c>
      <c r="D153" s="497">
        <v>2</v>
      </c>
      <c r="E153" s="1209">
        <v>1900000</v>
      </c>
      <c r="F153" s="1208">
        <v>3800000</v>
      </c>
      <c r="G153" s="242"/>
      <c r="H153" s="2"/>
      <c r="I153" s="241"/>
      <c r="J153" s="241"/>
      <c r="K153" s="241"/>
      <c r="L153" s="241"/>
      <c r="M153" s="241"/>
      <c r="N153" s="241"/>
      <c r="O153" s="241"/>
      <c r="P153" s="241"/>
      <c r="Q153" s="241"/>
      <c r="R153" s="241"/>
      <c r="S153" s="241"/>
      <c r="T153" s="241"/>
      <c r="U153" s="241"/>
      <c r="V153" s="241"/>
      <c r="W153" s="241"/>
      <c r="X153" s="241"/>
      <c r="Y153" s="241"/>
      <c r="Z153" s="241"/>
    </row>
    <row r="154" spans="1:26" ht="15.75" customHeight="1">
      <c r="A154" s="464">
        <v>152</v>
      </c>
      <c r="B154" s="236" t="s">
        <v>502</v>
      </c>
      <c r="C154" s="494" t="s">
        <v>1672</v>
      </c>
      <c r="D154" s="466">
        <v>12</v>
      </c>
      <c r="E154" s="1208">
        <v>300000</v>
      </c>
      <c r="F154" s="1208">
        <v>3600000</v>
      </c>
      <c r="G154" s="242"/>
      <c r="H154" s="2"/>
      <c r="I154" s="241"/>
      <c r="J154" s="241"/>
      <c r="K154" s="241"/>
      <c r="L154" s="241"/>
      <c r="M154" s="241"/>
      <c r="N154" s="241"/>
      <c r="O154" s="241"/>
      <c r="P154" s="241"/>
      <c r="Q154" s="241"/>
      <c r="R154" s="241"/>
      <c r="S154" s="241"/>
      <c r="T154" s="241"/>
      <c r="U154" s="241"/>
      <c r="V154" s="241"/>
      <c r="W154" s="241"/>
      <c r="X154" s="241"/>
      <c r="Y154" s="241"/>
      <c r="Z154" s="241"/>
    </row>
    <row r="155" spans="1:26" ht="15.75" customHeight="1">
      <c r="A155" s="459">
        <v>153</v>
      </c>
      <c r="B155" s="236" t="s">
        <v>502</v>
      </c>
      <c r="C155" s="494" t="s">
        <v>1673</v>
      </c>
      <c r="D155" s="466">
        <v>12</v>
      </c>
      <c r="E155" s="1208">
        <v>300000</v>
      </c>
      <c r="F155" s="1208">
        <v>3600000</v>
      </c>
      <c r="G155" s="242"/>
      <c r="H155" s="2"/>
      <c r="I155" s="241"/>
      <c r="J155" s="241"/>
      <c r="K155" s="241"/>
      <c r="L155" s="241"/>
      <c r="M155" s="241"/>
      <c r="N155" s="241"/>
      <c r="O155" s="241"/>
      <c r="P155" s="241"/>
      <c r="Q155" s="241"/>
      <c r="R155" s="241"/>
      <c r="S155" s="241"/>
      <c r="T155" s="241"/>
      <c r="U155" s="241"/>
      <c r="V155" s="241"/>
      <c r="W155" s="241"/>
      <c r="X155" s="241"/>
      <c r="Y155" s="241"/>
      <c r="Z155" s="241"/>
    </row>
    <row r="156" spans="1:26" ht="15.75" customHeight="1">
      <c r="A156" s="459">
        <v>154</v>
      </c>
      <c r="B156" s="236" t="s">
        <v>502</v>
      </c>
      <c r="C156" s="496" t="s">
        <v>1674</v>
      </c>
      <c r="D156" s="235">
        <v>12</v>
      </c>
      <c r="E156" s="1208">
        <v>300000</v>
      </c>
      <c r="F156" s="1208">
        <v>3600000</v>
      </c>
      <c r="G156" s="242"/>
      <c r="H156" s="2"/>
      <c r="I156" s="241"/>
      <c r="J156" s="241"/>
      <c r="K156" s="241"/>
      <c r="L156" s="241"/>
      <c r="M156" s="241"/>
      <c r="N156" s="241"/>
      <c r="O156" s="241"/>
      <c r="P156" s="241"/>
      <c r="Q156" s="241"/>
      <c r="R156" s="241"/>
      <c r="S156" s="241"/>
      <c r="T156" s="241"/>
      <c r="U156" s="241"/>
      <c r="V156" s="241"/>
      <c r="W156" s="241"/>
      <c r="X156" s="241"/>
      <c r="Y156" s="241"/>
      <c r="Z156" s="241"/>
    </row>
    <row r="157" spans="1:26" ht="15.75" customHeight="1">
      <c r="A157" s="464">
        <v>155</v>
      </c>
      <c r="B157" s="236" t="s">
        <v>502</v>
      </c>
      <c r="C157" s="498" t="s">
        <v>1675</v>
      </c>
      <c r="D157" s="466">
        <v>18</v>
      </c>
      <c r="E157" s="1208">
        <v>170000</v>
      </c>
      <c r="F157" s="1208">
        <v>3060000</v>
      </c>
      <c r="G157" s="242"/>
      <c r="H157" s="2"/>
      <c r="I157" s="241"/>
      <c r="J157" s="241"/>
      <c r="K157" s="241"/>
      <c r="L157" s="241"/>
      <c r="M157" s="241"/>
      <c r="N157" s="241"/>
      <c r="O157" s="241"/>
      <c r="P157" s="241"/>
      <c r="Q157" s="241"/>
      <c r="R157" s="241"/>
      <c r="S157" s="241"/>
      <c r="T157" s="241"/>
      <c r="U157" s="241"/>
      <c r="V157" s="241"/>
      <c r="W157" s="241"/>
      <c r="X157" s="241"/>
      <c r="Y157" s="241"/>
      <c r="Z157" s="241"/>
    </row>
    <row r="158" spans="1:26" ht="15.75" customHeight="1">
      <c r="A158" s="459">
        <v>156</v>
      </c>
      <c r="B158" s="236" t="s">
        <v>502</v>
      </c>
      <c r="C158" s="494" t="s">
        <v>1676</v>
      </c>
      <c r="D158" s="466">
        <v>2</v>
      </c>
      <c r="E158" s="1208">
        <v>1300000</v>
      </c>
      <c r="F158" s="1208">
        <v>2600000</v>
      </c>
      <c r="G158" s="242"/>
      <c r="H158" s="2"/>
      <c r="I158" s="241"/>
      <c r="J158" s="241"/>
      <c r="K158" s="241"/>
      <c r="L158" s="241"/>
      <c r="M158" s="241"/>
      <c r="N158" s="241"/>
      <c r="O158" s="241"/>
      <c r="P158" s="241"/>
      <c r="Q158" s="241"/>
      <c r="R158" s="241"/>
      <c r="S158" s="241"/>
      <c r="T158" s="241"/>
      <c r="U158" s="241"/>
      <c r="V158" s="241"/>
      <c r="W158" s="241"/>
      <c r="X158" s="241"/>
      <c r="Y158" s="241"/>
      <c r="Z158" s="241"/>
    </row>
    <row r="159" spans="1:26" ht="15.75" customHeight="1">
      <c r="A159" s="464">
        <v>157</v>
      </c>
      <c r="B159" s="236" t="s">
        <v>502</v>
      </c>
      <c r="C159" s="494" t="s">
        <v>1677</v>
      </c>
      <c r="D159" s="497">
        <v>2</v>
      </c>
      <c r="E159" s="1209">
        <v>1300000</v>
      </c>
      <c r="F159" s="1208">
        <v>2600000</v>
      </c>
      <c r="G159" s="242"/>
      <c r="H159" s="2"/>
      <c r="I159" s="241"/>
      <c r="J159" s="241"/>
      <c r="K159" s="241"/>
      <c r="L159" s="241"/>
      <c r="M159" s="241"/>
      <c r="N159" s="241"/>
      <c r="O159" s="241"/>
      <c r="P159" s="241"/>
      <c r="Q159" s="241"/>
      <c r="R159" s="241"/>
      <c r="S159" s="241"/>
      <c r="T159" s="241"/>
      <c r="U159" s="241"/>
      <c r="V159" s="241"/>
      <c r="W159" s="241"/>
      <c r="X159" s="241"/>
      <c r="Y159" s="241"/>
      <c r="Z159" s="241"/>
    </row>
    <row r="160" spans="1:26" ht="15.75" customHeight="1">
      <c r="A160" s="459">
        <v>158</v>
      </c>
      <c r="B160" s="236" t="s">
        <v>502</v>
      </c>
      <c r="C160" s="494" t="s">
        <v>1678</v>
      </c>
      <c r="D160" s="466">
        <v>5</v>
      </c>
      <c r="E160" s="1208">
        <v>500000</v>
      </c>
      <c r="F160" s="1208">
        <v>2500000</v>
      </c>
      <c r="G160" s="242"/>
      <c r="H160" s="2"/>
      <c r="I160" s="241"/>
      <c r="J160" s="241"/>
      <c r="K160" s="241"/>
      <c r="L160" s="241"/>
      <c r="M160" s="241"/>
      <c r="N160" s="241"/>
      <c r="O160" s="241"/>
      <c r="P160" s="241"/>
      <c r="Q160" s="241"/>
      <c r="R160" s="241"/>
      <c r="S160" s="241"/>
      <c r="T160" s="241"/>
      <c r="U160" s="241"/>
      <c r="V160" s="241"/>
      <c r="W160" s="241"/>
      <c r="X160" s="241"/>
      <c r="Y160" s="241"/>
      <c r="Z160" s="241"/>
    </row>
    <row r="161" spans="1:26" ht="15.75" customHeight="1">
      <c r="A161" s="459">
        <v>159</v>
      </c>
      <c r="B161" s="236" t="s">
        <v>502</v>
      </c>
      <c r="C161" s="494" t="s">
        <v>1679</v>
      </c>
      <c r="D161" s="466">
        <v>12</v>
      </c>
      <c r="E161" s="1208">
        <v>200000</v>
      </c>
      <c r="F161" s="1208">
        <v>2400000</v>
      </c>
      <c r="G161" s="242"/>
      <c r="H161" s="2"/>
      <c r="I161" s="241"/>
      <c r="J161" s="241"/>
      <c r="K161" s="241"/>
      <c r="L161" s="241"/>
      <c r="M161" s="241"/>
      <c r="N161" s="241"/>
      <c r="O161" s="241"/>
      <c r="P161" s="241"/>
      <c r="Q161" s="241"/>
      <c r="R161" s="241"/>
      <c r="S161" s="241"/>
      <c r="T161" s="241"/>
      <c r="U161" s="241"/>
      <c r="V161" s="241"/>
      <c r="W161" s="241"/>
      <c r="X161" s="241"/>
      <c r="Y161" s="241"/>
      <c r="Z161" s="241"/>
    </row>
    <row r="162" spans="1:26" ht="15.75" customHeight="1">
      <c r="A162" s="464">
        <v>160</v>
      </c>
      <c r="B162" s="236" t="s">
        <v>502</v>
      </c>
      <c r="C162" s="494" t="s">
        <v>1680</v>
      </c>
      <c r="D162" s="466">
        <v>3</v>
      </c>
      <c r="E162" s="1208">
        <v>700000</v>
      </c>
      <c r="F162" s="1208">
        <v>2100000</v>
      </c>
      <c r="G162" s="242"/>
      <c r="H162" s="2"/>
      <c r="I162" s="241"/>
      <c r="J162" s="241"/>
      <c r="K162" s="241"/>
      <c r="L162" s="241"/>
      <c r="M162" s="241"/>
      <c r="N162" s="241"/>
      <c r="O162" s="241"/>
      <c r="P162" s="241"/>
      <c r="Q162" s="241"/>
      <c r="R162" s="241"/>
      <c r="S162" s="241"/>
      <c r="T162" s="241"/>
      <c r="U162" s="241"/>
      <c r="V162" s="241"/>
      <c r="W162" s="241"/>
      <c r="X162" s="241"/>
      <c r="Y162" s="241"/>
      <c r="Z162" s="241"/>
    </row>
    <row r="163" spans="1:26" ht="15.75" customHeight="1">
      <c r="A163" s="459">
        <v>161</v>
      </c>
      <c r="B163" s="236" t="s">
        <v>502</v>
      </c>
      <c r="C163" s="493" t="s">
        <v>1681</v>
      </c>
      <c r="D163" s="236">
        <v>12</v>
      </c>
      <c r="E163" s="1207">
        <v>170000</v>
      </c>
      <c r="F163" s="1207">
        <v>2040000</v>
      </c>
      <c r="G163" s="2"/>
      <c r="H163" s="2"/>
      <c r="I163" s="241"/>
      <c r="J163" s="241"/>
      <c r="K163" s="241"/>
      <c r="L163" s="241"/>
      <c r="M163" s="241"/>
      <c r="N163" s="241"/>
      <c r="O163" s="241"/>
      <c r="P163" s="241"/>
      <c r="Q163" s="241"/>
      <c r="R163" s="241"/>
      <c r="S163" s="241"/>
      <c r="T163" s="241"/>
      <c r="U163" s="241"/>
      <c r="V163" s="241"/>
      <c r="W163" s="241"/>
      <c r="X163" s="241"/>
      <c r="Y163" s="241"/>
      <c r="Z163" s="241"/>
    </row>
    <row r="164" spans="1:26" ht="15.75" customHeight="1">
      <c r="A164" s="464">
        <v>162</v>
      </c>
      <c r="B164" s="236" t="s">
        <v>502</v>
      </c>
      <c r="C164" s="493" t="s">
        <v>1682</v>
      </c>
      <c r="D164" s="236">
        <v>8</v>
      </c>
      <c r="E164" s="1207">
        <v>250000</v>
      </c>
      <c r="F164" s="1207">
        <v>2000000</v>
      </c>
      <c r="G164" s="2"/>
      <c r="H164" s="2"/>
      <c r="I164" s="241"/>
      <c r="J164" s="241"/>
      <c r="K164" s="241"/>
      <c r="L164" s="241"/>
      <c r="M164" s="241"/>
      <c r="N164" s="241"/>
      <c r="O164" s="241"/>
      <c r="P164" s="241"/>
      <c r="Q164" s="241"/>
      <c r="R164" s="241"/>
      <c r="S164" s="241"/>
      <c r="T164" s="241"/>
      <c r="U164" s="241"/>
      <c r="V164" s="241"/>
      <c r="W164" s="241"/>
      <c r="X164" s="241"/>
      <c r="Y164" s="241"/>
      <c r="Z164" s="241"/>
    </row>
    <row r="165" spans="1:26" ht="15.75" customHeight="1">
      <c r="A165" s="459">
        <v>163</v>
      </c>
      <c r="B165" s="236" t="s">
        <v>502</v>
      </c>
      <c r="C165" s="494" t="s">
        <v>1683</v>
      </c>
      <c r="D165" s="466">
        <v>5</v>
      </c>
      <c r="E165" s="1208">
        <v>400000</v>
      </c>
      <c r="F165" s="1208">
        <v>2000000</v>
      </c>
      <c r="G165" s="242"/>
      <c r="H165" s="2"/>
      <c r="I165" s="241"/>
      <c r="J165" s="241"/>
      <c r="K165" s="241"/>
      <c r="L165" s="241"/>
      <c r="M165" s="241"/>
      <c r="N165" s="241"/>
      <c r="O165" s="241"/>
      <c r="P165" s="241"/>
      <c r="Q165" s="241"/>
      <c r="R165" s="241"/>
      <c r="S165" s="241"/>
      <c r="T165" s="241"/>
      <c r="U165" s="241"/>
      <c r="V165" s="241"/>
      <c r="W165" s="241"/>
      <c r="X165" s="241"/>
      <c r="Y165" s="241"/>
      <c r="Z165" s="241"/>
    </row>
    <row r="166" spans="1:26" ht="15.75" customHeight="1">
      <c r="A166" s="459">
        <v>164</v>
      </c>
      <c r="B166" s="236" t="s">
        <v>502</v>
      </c>
      <c r="C166" s="498" t="s">
        <v>1684</v>
      </c>
      <c r="D166" s="466">
        <v>2</v>
      </c>
      <c r="E166" s="1208">
        <v>1000000</v>
      </c>
      <c r="F166" s="1208">
        <v>2000000</v>
      </c>
      <c r="G166" s="242"/>
      <c r="H166" s="2"/>
      <c r="I166" s="241"/>
      <c r="J166" s="241"/>
      <c r="K166" s="241"/>
      <c r="L166" s="241"/>
      <c r="M166" s="241"/>
      <c r="N166" s="241"/>
      <c r="O166" s="241"/>
      <c r="P166" s="241"/>
      <c r="Q166" s="241"/>
      <c r="R166" s="241"/>
      <c r="S166" s="241"/>
      <c r="T166" s="241"/>
      <c r="U166" s="241"/>
      <c r="V166" s="241"/>
      <c r="W166" s="241"/>
      <c r="X166" s="241"/>
      <c r="Y166" s="241"/>
      <c r="Z166" s="241"/>
    </row>
    <row r="167" spans="1:26" ht="15.75" customHeight="1">
      <c r="A167" s="464">
        <v>165</v>
      </c>
      <c r="B167" s="236" t="s">
        <v>502</v>
      </c>
      <c r="C167" s="498" t="s">
        <v>1685</v>
      </c>
      <c r="D167" s="466">
        <v>6</v>
      </c>
      <c r="E167" s="1208">
        <v>310000</v>
      </c>
      <c r="F167" s="1208">
        <v>1860000</v>
      </c>
      <c r="G167" s="242"/>
      <c r="H167" s="2"/>
      <c r="I167" s="241"/>
      <c r="J167" s="241"/>
      <c r="K167" s="241"/>
      <c r="L167" s="241"/>
      <c r="M167" s="241"/>
      <c r="N167" s="241"/>
      <c r="O167" s="241"/>
      <c r="P167" s="241"/>
      <c r="Q167" s="241"/>
      <c r="R167" s="241"/>
      <c r="S167" s="241"/>
      <c r="T167" s="241"/>
      <c r="U167" s="241"/>
      <c r="V167" s="241"/>
      <c r="W167" s="241"/>
      <c r="X167" s="241"/>
      <c r="Y167" s="241"/>
      <c r="Z167" s="241"/>
    </row>
    <row r="168" spans="1:26" ht="15.75" customHeight="1">
      <c r="A168" s="459">
        <v>166</v>
      </c>
      <c r="B168" s="236" t="s">
        <v>502</v>
      </c>
      <c r="C168" s="498" t="s">
        <v>1119</v>
      </c>
      <c r="D168" s="466">
        <v>2</v>
      </c>
      <c r="E168" s="1208">
        <v>850000</v>
      </c>
      <c r="F168" s="1208">
        <v>1700000</v>
      </c>
      <c r="G168" s="242"/>
      <c r="H168" s="2"/>
      <c r="I168" s="241"/>
      <c r="J168" s="241"/>
      <c r="K168" s="241"/>
      <c r="L168" s="241"/>
      <c r="M168" s="241"/>
      <c r="N168" s="241"/>
      <c r="O168" s="241"/>
      <c r="P168" s="241"/>
      <c r="Q168" s="241"/>
      <c r="R168" s="241"/>
      <c r="S168" s="241"/>
      <c r="T168" s="241"/>
      <c r="U168" s="241"/>
      <c r="V168" s="241"/>
      <c r="W168" s="241"/>
      <c r="X168" s="241"/>
      <c r="Y168" s="241"/>
      <c r="Z168" s="241"/>
    </row>
    <row r="169" spans="1:26" ht="15.75" customHeight="1">
      <c r="A169" s="464">
        <v>167</v>
      </c>
      <c r="B169" s="236" t="s">
        <v>502</v>
      </c>
      <c r="C169" s="498" t="s">
        <v>1686</v>
      </c>
      <c r="D169" s="466">
        <v>10</v>
      </c>
      <c r="E169" s="1208">
        <v>150000</v>
      </c>
      <c r="F169" s="1208">
        <v>1500000</v>
      </c>
      <c r="G169" s="242"/>
      <c r="H169" s="2"/>
      <c r="I169" s="241"/>
      <c r="J169" s="241"/>
      <c r="K169" s="241"/>
      <c r="L169" s="241"/>
      <c r="M169" s="241"/>
      <c r="N169" s="241"/>
      <c r="O169" s="241"/>
      <c r="P169" s="241"/>
      <c r="Q169" s="241"/>
      <c r="R169" s="241"/>
      <c r="S169" s="241"/>
      <c r="T169" s="241"/>
      <c r="U169" s="241"/>
      <c r="V169" s="241"/>
      <c r="W169" s="241"/>
      <c r="X169" s="241"/>
      <c r="Y169" s="241"/>
      <c r="Z169" s="241"/>
    </row>
    <row r="170" spans="1:26" ht="15.75" customHeight="1">
      <c r="A170" s="459">
        <v>168</v>
      </c>
      <c r="B170" s="236" t="s">
        <v>502</v>
      </c>
      <c r="C170" s="498" t="s">
        <v>1687</v>
      </c>
      <c r="D170" s="466">
        <v>3</v>
      </c>
      <c r="E170" s="1208">
        <v>400000</v>
      </c>
      <c r="F170" s="1208">
        <v>1200000</v>
      </c>
      <c r="G170" s="242"/>
      <c r="H170" s="2"/>
      <c r="I170" s="241"/>
      <c r="J170" s="241"/>
      <c r="K170" s="241"/>
      <c r="L170" s="241"/>
      <c r="M170" s="241"/>
      <c r="N170" s="241"/>
      <c r="O170" s="241"/>
      <c r="P170" s="241"/>
      <c r="Q170" s="241"/>
      <c r="R170" s="241"/>
      <c r="S170" s="241"/>
      <c r="T170" s="241"/>
      <c r="U170" s="241"/>
      <c r="V170" s="241"/>
      <c r="W170" s="241"/>
      <c r="X170" s="241"/>
      <c r="Y170" s="241"/>
      <c r="Z170" s="241"/>
    </row>
    <row r="171" spans="1:26" ht="15.75" customHeight="1">
      <c r="A171" s="459">
        <v>169</v>
      </c>
      <c r="B171" s="236" t="s">
        <v>502</v>
      </c>
      <c r="C171" s="498" t="s">
        <v>1688</v>
      </c>
      <c r="D171" s="466">
        <v>3</v>
      </c>
      <c r="E171" s="1208">
        <v>300000</v>
      </c>
      <c r="F171" s="1208">
        <v>900000</v>
      </c>
      <c r="G171" s="242"/>
      <c r="H171" s="2"/>
      <c r="I171" s="241"/>
      <c r="J171" s="241"/>
      <c r="K171" s="241"/>
      <c r="L171" s="241"/>
      <c r="M171" s="241"/>
      <c r="N171" s="241"/>
      <c r="O171" s="241"/>
      <c r="P171" s="241"/>
      <c r="Q171" s="241"/>
      <c r="R171" s="241"/>
      <c r="S171" s="241"/>
      <c r="T171" s="241"/>
      <c r="U171" s="241"/>
      <c r="V171" s="241"/>
      <c r="W171" s="241"/>
      <c r="X171" s="241"/>
      <c r="Y171" s="241"/>
      <c r="Z171" s="241"/>
    </row>
    <row r="172" spans="1:26" ht="15.75" customHeight="1">
      <c r="A172" s="464">
        <v>170</v>
      </c>
      <c r="B172" s="236" t="s">
        <v>502</v>
      </c>
      <c r="C172" s="498" t="s">
        <v>1689</v>
      </c>
      <c r="D172" s="466">
        <v>25</v>
      </c>
      <c r="E172" s="1208">
        <v>30000</v>
      </c>
      <c r="F172" s="1208">
        <v>750000</v>
      </c>
      <c r="G172" s="242"/>
      <c r="H172" s="2"/>
      <c r="I172" s="241"/>
      <c r="J172" s="241"/>
      <c r="K172" s="241"/>
      <c r="L172" s="241"/>
      <c r="M172" s="241"/>
      <c r="N172" s="241"/>
      <c r="O172" s="241"/>
      <c r="P172" s="241"/>
      <c r="Q172" s="241"/>
      <c r="R172" s="241"/>
      <c r="S172" s="241"/>
      <c r="T172" s="241"/>
      <c r="U172" s="241"/>
      <c r="V172" s="241"/>
      <c r="W172" s="241"/>
      <c r="X172" s="241"/>
      <c r="Y172" s="241"/>
      <c r="Z172" s="241"/>
    </row>
    <row r="173" spans="1:26" ht="15.75" customHeight="1">
      <c r="A173" s="459">
        <v>171</v>
      </c>
      <c r="B173" s="236" t="s">
        <v>502</v>
      </c>
      <c r="C173" s="494" t="s">
        <v>1690</v>
      </c>
      <c r="D173" s="466">
        <v>2</v>
      </c>
      <c r="E173" s="1208">
        <v>350000</v>
      </c>
      <c r="F173" s="1208">
        <v>700000</v>
      </c>
      <c r="G173" s="242"/>
      <c r="H173" s="2"/>
      <c r="I173" s="241"/>
      <c r="J173" s="241"/>
      <c r="K173" s="241"/>
      <c r="L173" s="241"/>
      <c r="M173" s="241"/>
      <c r="N173" s="241"/>
      <c r="O173" s="241"/>
      <c r="P173" s="241"/>
      <c r="Q173" s="241"/>
      <c r="R173" s="241"/>
      <c r="S173" s="241"/>
      <c r="T173" s="241"/>
      <c r="U173" s="241"/>
      <c r="V173" s="241"/>
      <c r="W173" s="241"/>
      <c r="X173" s="241"/>
      <c r="Y173" s="241"/>
      <c r="Z173" s="241"/>
    </row>
    <row r="174" spans="1:26" ht="15.75" customHeight="1">
      <c r="A174" s="464">
        <v>172</v>
      </c>
      <c r="B174" s="236" t="s">
        <v>502</v>
      </c>
      <c r="C174" s="494" t="s">
        <v>1691</v>
      </c>
      <c r="D174" s="497">
        <v>2</v>
      </c>
      <c r="E174" s="1209">
        <v>350000</v>
      </c>
      <c r="F174" s="1208">
        <v>700000</v>
      </c>
      <c r="G174" s="242"/>
      <c r="H174" s="2"/>
      <c r="I174" s="241"/>
      <c r="J174" s="241"/>
      <c r="K174" s="241"/>
      <c r="L174" s="241"/>
      <c r="M174" s="241"/>
      <c r="N174" s="241"/>
      <c r="O174" s="241"/>
      <c r="P174" s="241"/>
      <c r="Q174" s="241"/>
      <c r="R174" s="241"/>
      <c r="S174" s="241"/>
      <c r="T174" s="241"/>
      <c r="U174" s="241"/>
      <c r="V174" s="241"/>
      <c r="W174" s="241"/>
      <c r="X174" s="241"/>
      <c r="Y174" s="241"/>
      <c r="Z174" s="241"/>
    </row>
    <row r="175" spans="1:26" ht="15.75" customHeight="1">
      <c r="A175" s="459">
        <v>173</v>
      </c>
      <c r="B175" s="236" t="s">
        <v>502</v>
      </c>
      <c r="C175" s="493" t="s">
        <v>1692</v>
      </c>
      <c r="D175" s="236">
        <v>48</v>
      </c>
      <c r="E175" s="1207">
        <v>14000</v>
      </c>
      <c r="F175" s="1207">
        <v>672000</v>
      </c>
      <c r="G175" s="2"/>
      <c r="H175" s="2"/>
      <c r="I175" s="241"/>
      <c r="J175" s="241"/>
      <c r="K175" s="241"/>
      <c r="L175" s="241"/>
      <c r="M175" s="241"/>
      <c r="N175" s="241"/>
      <c r="O175" s="241"/>
      <c r="P175" s="241"/>
      <c r="Q175" s="241"/>
      <c r="R175" s="241"/>
      <c r="S175" s="241"/>
      <c r="T175" s="241"/>
      <c r="U175" s="241"/>
      <c r="V175" s="241"/>
      <c r="W175" s="241"/>
      <c r="X175" s="241"/>
      <c r="Y175" s="241"/>
      <c r="Z175" s="241"/>
    </row>
    <row r="176" spans="1:26" ht="15.75" customHeight="1">
      <c r="A176" s="459">
        <v>174</v>
      </c>
      <c r="B176" s="236" t="s">
        <v>502</v>
      </c>
      <c r="C176" s="493" t="s">
        <v>1693</v>
      </c>
      <c r="D176" s="236">
        <v>24</v>
      </c>
      <c r="E176" s="1207">
        <v>25000</v>
      </c>
      <c r="F176" s="1207">
        <v>600000</v>
      </c>
      <c r="G176" s="2"/>
      <c r="H176" s="2"/>
      <c r="I176" s="241"/>
      <c r="J176" s="241"/>
      <c r="K176" s="241"/>
      <c r="L176" s="241"/>
      <c r="M176" s="241"/>
      <c r="N176" s="241"/>
      <c r="O176" s="241"/>
      <c r="P176" s="241"/>
      <c r="Q176" s="241"/>
      <c r="R176" s="241"/>
      <c r="S176" s="241"/>
      <c r="T176" s="241"/>
      <c r="U176" s="241"/>
      <c r="V176" s="241"/>
      <c r="W176" s="241"/>
      <c r="X176" s="241"/>
      <c r="Y176" s="241"/>
      <c r="Z176" s="241"/>
    </row>
    <row r="177" spans="1:26" ht="15.75" customHeight="1">
      <c r="A177" s="464">
        <v>175</v>
      </c>
      <c r="B177" s="236" t="s">
        <v>502</v>
      </c>
      <c r="C177" s="498" t="s">
        <v>1694</v>
      </c>
      <c r="D177" s="466">
        <v>12</v>
      </c>
      <c r="E177" s="1208">
        <v>50000</v>
      </c>
      <c r="F177" s="1208">
        <v>600000</v>
      </c>
      <c r="G177" s="242"/>
      <c r="H177" s="2"/>
      <c r="I177" s="241"/>
      <c r="J177" s="241"/>
      <c r="K177" s="241"/>
      <c r="L177" s="241"/>
      <c r="M177" s="241"/>
      <c r="N177" s="241"/>
      <c r="O177" s="241"/>
      <c r="P177" s="241"/>
      <c r="Q177" s="241"/>
      <c r="R177" s="241"/>
      <c r="S177" s="241"/>
      <c r="T177" s="241"/>
      <c r="U177" s="241"/>
      <c r="V177" s="241"/>
      <c r="W177" s="241"/>
      <c r="X177" s="241"/>
      <c r="Y177" s="241"/>
      <c r="Z177" s="241"/>
    </row>
    <row r="178" spans="1:26" ht="15.75" customHeight="1">
      <c r="A178" s="459">
        <v>176</v>
      </c>
      <c r="B178" s="236" t="s">
        <v>502</v>
      </c>
      <c r="C178" s="498" t="s">
        <v>1695</v>
      </c>
      <c r="D178" s="466">
        <v>10</v>
      </c>
      <c r="E178" s="1208">
        <v>50000</v>
      </c>
      <c r="F178" s="1208">
        <v>500000</v>
      </c>
      <c r="G178" s="242"/>
      <c r="H178" s="2"/>
      <c r="I178" s="241"/>
      <c r="J178" s="241"/>
      <c r="K178" s="241"/>
      <c r="L178" s="241"/>
      <c r="M178" s="241"/>
      <c r="N178" s="241"/>
      <c r="O178" s="241"/>
      <c r="P178" s="241"/>
      <c r="Q178" s="241"/>
      <c r="R178" s="241"/>
      <c r="S178" s="241"/>
      <c r="T178" s="241"/>
      <c r="U178" s="241"/>
      <c r="V178" s="241"/>
      <c r="W178" s="241"/>
      <c r="X178" s="241"/>
      <c r="Y178" s="241"/>
      <c r="Z178" s="241"/>
    </row>
    <row r="179" spans="1:26" ht="15.75" customHeight="1">
      <c r="A179" s="464">
        <v>177</v>
      </c>
      <c r="B179" s="236" t="s">
        <v>502</v>
      </c>
      <c r="C179" s="493" t="s">
        <v>1696</v>
      </c>
      <c r="D179" s="236">
        <v>12</v>
      </c>
      <c r="E179" s="1207">
        <v>40000</v>
      </c>
      <c r="F179" s="1207">
        <v>480000</v>
      </c>
      <c r="G179" s="2"/>
      <c r="H179" s="2"/>
      <c r="I179" s="241"/>
      <c r="J179" s="241"/>
      <c r="K179" s="241"/>
      <c r="L179" s="241"/>
      <c r="M179" s="241"/>
      <c r="N179" s="241"/>
      <c r="O179" s="241"/>
      <c r="P179" s="241"/>
      <c r="Q179" s="241"/>
      <c r="R179" s="241"/>
      <c r="S179" s="241"/>
      <c r="T179" s="241"/>
      <c r="U179" s="241"/>
      <c r="V179" s="241"/>
      <c r="W179" s="241"/>
      <c r="X179" s="241"/>
      <c r="Y179" s="241"/>
      <c r="Z179" s="241"/>
    </row>
    <row r="180" spans="1:26" ht="15.75" customHeight="1">
      <c r="A180" s="459">
        <v>178</v>
      </c>
      <c r="B180" s="236" t="s">
        <v>502</v>
      </c>
      <c r="C180" s="493" t="s">
        <v>1697</v>
      </c>
      <c r="D180" s="236">
        <v>24</v>
      </c>
      <c r="E180" s="1207">
        <v>20000</v>
      </c>
      <c r="F180" s="1207">
        <v>480000</v>
      </c>
      <c r="G180" s="2"/>
      <c r="H180" s="2"/>
      <c r="I180" s="241"/>
      <c r="J180" s="241"/>
      <c r="K180" s="241"/>
      <c r="L180" s="241"/>
      <c r="M180" s="241"/>
      <c r="N180" s="241"/>
      <c r="O180" s="241"/>
      <c r="P180" s="241"/>
      <c r="Q180" s="241"/>
      <c r="R180" s="241"/>
      <c r="S180" s="241"/>
      <c r="T180" s="241"/>
      <c r="U180" s="241"/>
      <c r="V180" s="241"/>
      <c r="W180" s="241"/>
      <c r="X180" s="241"/>
      <c r="Y180" s="241"/>
      <c r="Z180" s="241"/>
    </row>
    <row r="181" spans="1:26" ht="15.75" customHeight="1">
      <c r="A181" s="459">
        <v>179</v>
      </c>
      <c r="B181" s="236" t="s">
        <v>502</v>
      </c>
      <c r="C181" s="494" t="s">
        <v>1698</v>
      </c>
      <c r="D181" s="466">
        <v>12</v>
      </c>
      <c r="E181" s="1208">
        <v>40000</v>
      </c>
      <c r="F181" s="1208">
        <v>480000</v>
      </c>
      <c r="G181" s="242"/>
      <c r="H181" s="2"/>
      <c r="I181" s="241"/>
      <c r="J181" s="241"/>
      <c r="K181" s="241"/>
      <c r="L181" s="241"/>
      <c r="M181" s="241"/>
      <c r="N181" s="241"/>
      <c r="O181" s="241"/>
      <c r="P181" s="241"/>
      <c r="Q181" s="241"/>
      <c r="R181" s="241"/>
      <c r="S181" s="241"/>
      <c r="T181" s="241"/>
      <c r="U181" s="241"/>
      <c r="V181" s="241"/>
      <c r="W181" s="241"/>
      <c r="X181" s="241"/>
      <c r="Y181" s="241"/>
      <c r="Z181" s="241"/>
    </row>
    <row r="182" spans="1:26" ht="15.75" customHeight="1">
      <c r="A182" s="464">
        <v>180</v>
      </c>
      <c r="B182" s="236" t="s">
        <v>502</v>
      </c>
      <c r="C182" s="494" t="s">
        <v>1699</v>
      </c>
      <c r="D182" s="466">
        <v>2</v>
      </c>
      <c r="E182" s="1208">
        <v>200000</v>
      </c>
      <c r="F182" s="1208">
        <v>400000</v>
      </c>
      <c r="G182" s="242"/>
      <c r="H182" s="2"/>
      <c r="I182" s="241"/>
      <c r="J182" s="241"/>
      <c r="K182" s="241"/>
      <c r="L182" s="241"/>
      <c r="M182" s="241"/>
      <c r="N182" s="241"/>
      <c r="O182" s="241"/>
      <c r="P182" s="241"/>
      <c r="Q182" s="241"/>
      <c r="R182" s="241"/>
      <c r="S182" s="241"/>
      <c r="T182" s="241"/>
      <c r="U182" s="241"/>
      <c r="V182" s="241"/>
      <c r="W182" s="241"/>
      <c r="X182" s="241"/>
      <c r="Y182" s="241"/>
      <c r="Z182" s="241"/>
    </row>
    <row r="183" spans="1:26" ht="15.75" customHeight="1">
      <c r="A183" s="459">
        <v>181</v>
      </c>
      <c r="B183" s="236" t="s">
        <v>502</v>
      </c>
      <c r="C183" s="498" t="s">
        <v>1700</v>
      </c>
      <c r="D183" s="466">
        <v>5</v>
      </c>
      <c r="E183" s="1208">
        <v>70000</v>
      </c>
      <c r="F183" s="1208">
        <v>350000</v>
      </c>
      <c r="G183" s="242"/>
      <c r="H183" s="2"/>
      <c r="I183" s="241"/>
      <c r="J183" s="241"/>
      <c r="K183" s="241"/>
      <c r="L183" s="241"/>
      <c r="M183" s="241"/>
      <c r="N183" s="241"/>
      <c r="O183" s="241"/>
      <c r="P183" s="241"/>
      <c r="Q183" s="241"/>
      <c r="R183" s="241"/>
      <c r="S183" s="241"/>
      <c r="T183" s="241"/>
      <c r="U183" s="241"/>
      <c r="V183" s="241"/>
      <c r="W183" s="241"/>
      <c r="X183" s="241"/>
      <c r="Y183" s="241"/>
      <c r="Z183" s="241"/>
    </row>
    <row r="184" spans="1:26" ht="15.75" customHeight="1">
      <c r="A184" s="464">
        <v>182</v>
      </c>
      <c r="B184" s="236" t="s">
        <v>502</v>
      </c>
      <c r="C184" s="494" t="s">
        <v>1701</v>
      </c>
      <c r="D184" s="466">
        <v>12</v>
      </c>
      <c r="E184" s="1208">
        <v>25000</v>
      </c>
      <c r="F184" s="1208">
        <v>300000</v>
      </c>
      <c r="G184" s="242"/>
      <c r="H184" s="2"/>
      <c r="I184" s="241"/>
      <c r="J184" s="241"/>
      <c r="K184" s="241"/>
      <c r="L184" s="241"/>
      <c r="M184" s="241"/>
      <c r="N184" s="241"/>
      <c r="O184" s="241"/>
      <c r="P184" s="241"/>
      <c r="Q184" s="241"/>
      <c r="R184" s="241"/>
      <c r="S184" s="241"/>
      <c r="T184" s="241"/>
      <c r="U184" s="241"/>
      <c r="V184" s="241"/>
      <c r="W184" s="241"/>
      <c r="X184" s="241"/>
      <c r="Y184" s="241"/>
      <c r="Z184" s="241"/>
    </row>
    <row r="185" spans="1:26" ht="15.75" customHeight="1">
      <c r="A185" s="459">
        <v>183</v>
      </c>
      <c r="B185" s="236" t="s">
        <v>502</v>
      </c>
      <c r="C185" s="498" t="s">
        <v>1702</v>
      </c>
      <c r="D185" s="466">
        <v>12</v>
      </c>
      <c r="E185" s="1208">
        <v>20000</v>
      </c>
      <c r="F185" s="1208">
        <v>240000</v>
      </c>
      <c r="G185" s="242"/>
      <c r="H185" s="241"/>
      <c r="I185" s="241"/>
      <c r="J185" s="241"/>
      <c r="K185" s="241"/>
      <c r="L185" s="241"/>
      <c r="M185" s="241"/>
      <c r="N185" s="241"/>
      <c r="O185" s="241"/>
      <c r="P185" s="241"/>
      <c r="Q185" s="241"/>
      <c r="R185" s="241"/>
      <c r="S185" s="241"/>
      <c r="T185" s="241"/>
      <c r="U185" s="241"/>
      <c r="V185" s="241"/>
      <c r="W185" s="241"/>
      <c r="X185" s="241"/>
      <c r="Y185" s="241"/>
      <c r="Z185" s="241"/>
    </row>
    <row r="186" spans="1:26" ht="15.75" customHeight="1">
      <c r="A186" s="459">
        <v>184</v>
      </c>
      <c r="B186" s="236" t="s">
        <v>502</v>
      </c>
      <c r="C186" s="493" t="s">
        <v>1703</v>
      </c>
      <c r="D186" s="236">
        <v>2</v>
      </c>
      <c r="E186" s="1207">
        <v>100000</v>
      </c>
      <c r="F186" s="1207">
        <v>200000</v>
      </c>
      <c r="G186" s="2"/>
      <c r="H186" s="241"/>
      <c r="I186" s="241"/>
      <c r="J186" s="241"/>
      <c r="K186" s="241"/>
      <c r="L186" s="241"/>
      <c r="M186" s="241"/>
      <c r="N186" s="241"/>
      <c r="O186" s="241"/>
      <c r="P186" s="241"/>
      <c r="Q186" s="241"/>
      <c r="R186" s="241"/>
      <c r="S186" s="241"/>
      <c r="T186" s="241"/>
      <c r="U186" s="241"/>
      <c r="V186" s="241"/>
      <c r="W186" s="241"/>
      <c r="X186" s="241"/>
      <c r="Y186" s="241"/>
      <c r="Z186" s="241"/>
    </row>
    <row r="187" spans="1:26" ht="15.75" customHeight="1">
      <c r="A187" s="464">
        <v>185</v>
      </c>
      <c r="B187" s="236" t="s">
        <v>502</v>
      </c>
      <c r="C187" s="498" t="s">
        <v>1704</v>
      </c>
      <c r="D187" s="466">
        <v>6</v>
      </c>
      <c r="E187" s="1208">
        <v>30000</v>
      </c>
      <c r="F187" s="1208">
        <v>180000</v>
      </c>
      <c r="G187" s="242"/>
      <c r="H187" s="241"/>
      <c r="I187" s="241"/>
      <c r="J187" s="241"/>
      <c r="K187" s="241"/>
      <c r="L187" s="241"/>
      <c r="M187" s="241"/>
      <c r="N187" s="241"/>
      <c r="O187" s="241"/>
      <c r="P187" s="241"/>
      <c r="Q187" s="241"/>
      <c r="R187" s="241"/>
      <c r="S187" s="241"/>
      <c r="T187" s="241"/>
      <c r="U187" s="241"/>
      <c r="V187" s="241"/>
      <c r="W187" s="241"/>
      <c r="X187" s="241"/>
      <c r="Y187" s="241"/>
      <c r="Z187" s="241"/>
    </row>
    <row r="188" spans="1:26" ht="15.75" customHeight="1">
      <c r="A188" s="459">
        <v>186</v>
      </c>
      <c r="B188" s="236" t="s">
        <v>502</v>
      </c>
      <c r="C188" s="493" t="s">
        <v>1705</v>
      </c>
      <c r="D188" s="236">
        <v>12</v>
      </c>
      <c r="E188" s="1207">
        <v>10000</v>
      </c>
      <c r="F188" s="1207">
        <v>100000</v>
      </c>
      <c r="G188" s="2"/>
      <c r="H188" s="241"/>
      <c r="I188" s="241"/>
      <c r="J188" s="241"/>
      <c r="K188" s="241"/>
      <c r="L188" s="241"/>
      <c r="M188" s="241"/>
      <c r="N188" s="241"/>
      <c r="O188" s="241"/>
      <c r="P188" s="241"/>
      <c r="Q188" s="241"/>
      <c r="R188" s="241"/>
      <c r="S188" s="241"/>
      <c r="T188" s="241"/>
      <c r="U188" s="241"/>
      <c r="V188" s="241"/>
      <c r="W188" s="241"/>
      <c r="X188" s="241"/>
      <c r="Y188" s="241"/>
      <c r="Z188" s="241"/>
    </row>
    <row r="189" spans="1:26" ht="15.75" customHeight="1">
      <c r="A189" s="464">
        <v>187</v>
      </c>
      <c r="B189" s="236" t="s">
        <v>502</v>
      </c>
      <c r="C189" s="498" t="s">
        <v>1706</v>
      </c>
      <c r="D189" s="466">
        <v>10</v>
      </c>
      <c r="E189" s="1208">
        <v>16000</v>
      </c>
      <c r="F189" s="1208">
        <v>160000</v>
      </c>
      <c r="G189" s="242"/>
      <c r="H189" s="241"/>
      <c r="I189" s="241"/>
      <c r="J189" s="241"/>
      <c r="K189" s="241"/>
      <c r="L189" s="241"/>
      <c r="M189" s="241"/>
      <c r="N189" s="241"/>
      <c r="O189" s="241"/>
      <c r="P189" s="241"/>
      <c r="Q189" s="241"/>
      <c r="R189" s="241"/>
      <c r="S189" s="241"/>
      <c r="T189" s="241"/>
      <c r="U189" s="241"/>
      <c r="V189" s="241"/>
      <c r="W189" s="241"/>
      <c r="X189" s="241"/>
      <c r="Y189" s="241"/>
      <c r="Z189" s="241"/>
    </row>
    <row r="190" spans="1:26" ht="15.75" customHeight="1">
      <c r="A190" s="459">
        <v>188</v>
      </c>
      <c r="B190" s="236" t="s">
        <v>502</v>
      </c>
      <c r="C190" s="498" t="s">
        <v>1707</v>
      </c>
      <c r="D190" s="466">
        <v>1</v>
      </c>
      <c r="E190" s="1208">
        <v>150000</v>
      </c>
      <c r="F190" s="1208">
        <v>150000</v>
      </c>
      <c r="G190" s="242"/>
      <c r="H190" s="241"/>
      <c r="I190" s="241"/>
      <c r="J190" s="241"/>
      <c r="K190" s="241"/>
      <c r="L190" s="241"/>
      <c r="M190" s="241"/>
      <c r="N190" s="241"/>
      <c r="O190" s="241"/>
      <c r="P190" s="241"/>
      <c r="Q190" s="241"/>
      <c r="R190" s="241"/>
      <c r="S190" s="241"/>
      <c r="T190" s="241"/>
      <c r="U190" s="241"/>
      <c r="V190" s="241"/>
      <c r="W190" s="241"/>
      <c r="X190" s="241"/>
      <c r="Y190" s="241"/>
      <c r="Z190" s="241"/>
    </row>
    <row r="191" spans="1:26" ht="15.75" customHeight="1">
      <c r="A191" s="459">
        <v>189</v>
      </c>
      <c r="B191" s="236" t="s">
        <v>502</v>
      </c>
      <c r="C191" s="498" t="s">
        <v>1708</v>
      </c>
      <c r="D191" s="466">
        <v>6</v>
      </c>
      <c r="E191" s="1208">
        <v>25000</v>
      </c>
      <c r="F191" s="1208">
        <v>150000</v>
      </c>
      <c r="G191" s="242"/>
      <c r="H191" s="241"/>
      <c r="I191" s="241"/>
      <c r="J191" s="241"/>
      <c r="K191" s="241"/>
      <c r="L191" s="241"/>
      <c r="M191" s="241"/>
      <c r="N191" s="241"/>
      <c r="O191" s="241"/>
      <c r="P191" s="241"/>
      <c r="Q191" s="241"/>
      <c r="R191" s="241"/>
      <c r="S191" s="241"/>
      <c r="T191" s="241"/>
      <c r="U191" s="241"/>
      <c r="V191" s="241"/>
      <c r="W191" s="241"/>
      <c r="X191" s="241"/>
      <c r="Y191" s="241"/>
      <c r="Z191" s="241"/>
    </row>
    <row r="192" spans="1:26" ht="15.75" customHeight="1">
      <c r="A192" s="464">
        <v>190</v>
      </c>
      <c r="B192" s="236" t="s">
        <v>502</v>
      </c>
      <c r="C192" s="498" t="s">
        <v>1709</v>
      </c>
      <c r="D192" s="466">
        <v>5</v>
      </c>
      <c r="E192" s="1208">
        <v>28000</v>
      </c>
      <c r="F192" s="1208">
        <v>140000</v>
      </c>
      <c r="G192" s="242"/>
      <c r="H192" s="241"/>
      <c r="I192" s="241"/>
      <c r="J192" s="241"/>
      <c r="K192" s="241"/>
      <c r="L192" s="241"/>
      <c r="M192" s="241"/>
      <c r="N192" s="241"/>
      <c r="O192" s="241"/>
      <c r="P192" s="241"/>
      <c r="Q192" s="241"/>
      <c r="R192" s="241"/>
      <c r="S192" s="241"/>
      <c r="T192" s="241"/>
      <c r="U192" s="241"/>
      <c r="V192" s="241"/>
      <c r="W192" s="241"/>
      <c r="X192" s="241"/>
      <c r="Y192" s="241"/>
      <c r="Z192" s="241"/>
    </row>
    <row r="193" spans="1:26" ht="15.75" customHeight="1">
      <c r="A193" s="459">
        <v>191</v>
      </c>
      <c r="B193" s="236" t="s">
        <v>502</v>
      </c>
      <c r="C193" s="494" t="s">
        <v>1710</v>
      </c>
      <c r="D193" s="466">
        <v>12</v>
      </c>
      <c r="E193" s="1208">
        <v>10000</v>
      </c>
      <c r="F193" s="1208">
        <v>120000</v>
      </c>
      <c r="G193" s="242"/>
      <c r="H193" s="241"/>
      <c r="I193" s="241"/>
      <c r="J193" s="241"/>
      <c r="K193" s="241"/>
      <c r="L193" s="241"/>
      <c r="M193" s="241"/>
      <c r="N193" s="241"/>
      <c r="O193" s="241"/>
      <c r="P193" s="241"/>
      <c r="Q193" s="241"/>
      <c r="R193" s="241"/>
      <c r="S193" s="241"/>
      <c r="T193" s="241"/>
      <c r="U193" s="241"/>
      <c r="V193" s="241"/>
      <c r="W193" s="241"/>
      <c r="X193" s="241"/>
      <c r="Y193" s="241"/>
      <c r="Z193" s="241"/>
    </row>
    <row r="194" spans="1:26" ht="15.75" customHeight="1">
      <c r="A194" s="464">
        <v>192</v>
      </c>
      <c r="B194" s="236" t="s">
        <v>502</v>
      </c>
      <c r="C194" s="498" t="s">
        <v>1711</v>
      </c>
      <c r="D194" s="466">
        <v>3</v>
      </c>
      <c r="E194" s="1208">
        <v>40000</v>
      </c>
      <c r="F194" s="1208">
        <v>120000</v>
      </c>
      <c r="G194" s="242"/>
      <c r="H194" s="241"/>
      <c r="I194" s="241"/>
      <c r="J194" s="241"/>
      <c r="K194" s="241"/>
      <c r="L194" s="241"/>
      <c r="M194" s="241"/>
      <c r="N194" s="241"/>
      <c r="O194" s="241"/>
      <c r="P194" s="241"/>
      <c r="Q194" s="241"/>
      <c r="R194" s="241"/>
      <c r="S194" s="241"/>
      <c r="T194" s="241"/>
      <c r="U194" s="241"/>
      <c r="V194" s="241"/>
      <c r="W194" s="241"/>
      <c r="X194" s="241"/>
      <c r="Y194" s="241"/>
      <c r="Z194" s="241"/>
    </row>
    <row r="195" spans="1:26" ht="15.75" customHeight="1">
      <c r="A195" s="459">
        <v>193</v>
      </c>
      <c r="B195" s="236" t="s">
        <v>502</v>
      </c>
      <c r="C195" s="498" t="s">
        <v>1712</v>
      </c>
      <c r="D195" s="466">
        <v>3</v>
      </c>
      <c r="E195" s="1208">
        <v>30000</v>
      </c>
      <c r="F195" s="1208">
        <v>90000</v>
      </c>
      <c r="G195" s="242"/>
      <c r="H195" s="241"/>
      <c r="I195" s="241"/>
      <c r="J195" s="241"/>
      <c r="K195" s="241"/>
      <c r="L195" s="241"/>
      <c r="M195" s="241"/>
      <c r="N195" s="241"/>
      <c r="O195" s="241"/>
      <c r="P195" s="241"/>
      <c r="Q195" s="241"/>
      <c r="R195" s="241"/>
      <c r="S195" s="241"/>
      <c r="T195" s="241"/>
      <c r="U195" s="241"/>
      <c r="V195" s="241"/>
      <c r="W195" s="241"/>
      <c r="X195" s="241"/>
      <c r="Y195" s="241"/>
      <c r="Z195" s="241"/>
    </row>
    <row r="196" spans="1:26" ht="15.75" customHeight="1">
      <c r="A196" s="459">
        <v>194</v>
      </c>
      <c r="B196" s="236" t="s">
        <v>502</v>
      </c>
      <c r="C196" s="494" t="s">
        <v>1713</v>
      </c>
      <c r="D196" s="466">
        <v>2</v>
      </c>
      <c r="E196" s="1208">
        <v>40000</v>
      </c>
      <c r="F196" s="1208">
        <v>80000</v>
      </c>
      <c r="G196" s="242"/>
      <c r="H196" s="241"/>
      <c r="I196" s="241"/>
      <c r="J196" s="241"/>
      <c r="K196" s="241"/>
      <c r="L196" s="241"/>
      <c r="M196" s="241"/>
      <c r="N196" s="241"/>
      <c r="O196" s="241"/>
      <c r="P196" s="241"/>
      <c r="Q196" s="241"/>
      <c r="R196" s="241"/>
      <c r="S196" s="241"/>
      <c r="T196" s="241"/>
      <c r="U196" s="241"/>
      <c r="V196" s="241"/>
      <c r="W196" s="241"/>
      <c r="X196" s="241"/>
      <c r="Y196" s="241"/>
      <c r="Z196" s="241"/>
    </row>
    <row r="197" spans="1:26" ht="15.75" customHeight="1">
      <c r="A197" s="464">
        <v>195</v>
      </c>
      <c r="B197" s="236" t="s">
        <v>502</v>
      </c>
      <c r="C197" s="499" t="s">
        <v>1714</v>
      </c>
      <c r="D197" s="466">
        <v>1</v>
      </c>
      <c r="E197" s="1208">
        <v>50000</v>
      </c>
      <c r="F197" s="1208">
        <v>50000</v>
      </c>
      <c r="G197" s="242"/>
      <c r="H197" s="241"/>
      <c r="I197" s="241"/>
      <c r="J197" s="241"/>
      <c r="K197" s="241"/>
      <c r="L197" s="241"/>
      <c r="M197" s="241"/>
      <c r="N197" s="241"/>
      <c r="O197" s="241"/>
      <c r="P197" s="241"/>
      <c r="Q197" s="241"/>
      <c r="R197" s="241"/>
      <c r="S197" s="241"/>
      <c r="T197" s="241"/>
      <c r="U197" s="241"/>
      <c r="V197" s="241"/>
      <c r="W197" s="241"/>
      <c r="X197" s="241"/>
      <c r="Y197" s="241"/>
      <c r="Z197" s="241"/>
    </row>
    <row r="198" spans="1:26" ht="15.75" customHeight="1">
      <c r="A198" s="459">
        <v>196</v>
      </c>
      <c r="B198" s="236" t="s">
        <v>502</v>
      </c>
      <c r="C198" s="498" t="s">
        <v>1715</v>
      </c>
      <c r="D198" s="466">
        <v>25</v>
      </c>
      <c r="E198" s="1208">
        <v>1000</v>
      </c>
      <c r="F198" s="1208">
        <v>25000</v>
      </c>
      <c r="G198" s="242"/>
      <c r="H198" s="241"/>
      <c r="I198" s="241"/>
      <c r="J198" s="241"/>
      <c r="K198" s="241"/>
      <c r="L198" s="241"/>
      <c r="M198" s="241"/>
      <c r="N198" s="241"/>
      <c r="O198" s="241"/>
      <c r="P198" s="241"/>
      <c r="Q198" s="241"/>
      <c r="R198" s="241"/>
      <c r="S198" s="241"/>
      <c r="T198" s="241"/>
      <c r="U198" s="241"/>
      <c r="V198" s="241"/>
      <c r="W198" s="241"/>
      <c r="X198" s="241"/>
      <c r="Y198" s="241"/>
      <c r="Z198" s="241"/>
    </row>
    <row r="199" spans="1:26" ht="15.75" customHeight="1">
      <c r="A199" s="464">
        <v>197</v>
      </c>
      <c r="B199" s="459" t="s">
        <v>562</v>
      </c>
      <c r="C199" s="500" t="s">
        <v>1716</v>
      </c>
      <c r="D199" s="459">
        <v>50</v>
      </c>
      <c r="E199" s="1210">
        <v>300000</v>
      </c>
      <c r="F199" s="1200">
        <f>E199*D199</f>
        <v>15000000</v>
      </c>
      <c r="G199" s="501"/>
      <c r="H199" s="241"/>
      <c r="I199" s="241"/>
      <c r="J199" s="241"/>
      <c r="K199" s="241"/>
      <c r="L199" s="241"/>
      <c r="M199" s="241"/>
      <c r="N199" s="241"/>
      <c r="O199" s="241"/>
      <c r="P199" s="241"/>
      <c r="Q199" s="241"/>
      <c r="R199" s="241"/>
      <c r="S199" s="241"/>
      <c r="T199" s="241"/>
      <c r="U199" s="241"/>
      <c r="V199" s="241"/>
      <c r="W199" s="241"/>
      <c r="X199" s="241"/>
      <c r="Y199" s="241"/>
      <c r="Z199" s="241"/>
    </row>
    <row r="200" spans="1:26" ht="15.75" customHeight="1">
      <c r="A200" s="459">
        <v>198</v>
      </c>
      <c r="B200" s="459" t="s">
        <v>1163</v>
      </c>
      <c r="C200" s="465" t="s">
        <v>1717</v>
      </c>
      <c r="D200" s="464">
        <v>30</v>
      </c>
      <c r="E200" s="1113">
        <v>300000</v>
      </c>
      <c r="F200" s="1113">
        <f t="shared" ref="F200:F201" si="10">SUM(E200*D200)</f>
        <v>9000000</v>
      </c>
      <c r="G200" s="356" t="s">
        <v>1718</v>
      </c>
      <c r="H200" s="241"/>
      <c r="I200" s="241"/>
      <c r="J200" s="241"/>
      <c r="K200" s="241"/>
      <c r="L200" s="241"/>
      <c r="M200" s="241"/>
      <c r="N200" s="241"/>
      <c r="O200" s="241"/>
      <c r="P200" s="241"/>
      <c r="Q200" s="241"/>
      <c r="R200" s="241"/>
      <c r="S200" s="241"/>
      <c r="T200" s="241"/>
      <c r="U200" s="241"/>
      <c r="V200" s="241"/>
      <c r="W200" s="241"/>
      <c r="X200" s="241"/>
      <c r="Y200" s="241"/>
      <c r="Z200" s="241"/>
    </row>
    <row r="201" spans="1:26" ht="15.75" customHeight="1">
      <c r="A201" s="459">
        <v>199</v>
      </c>
      <c r="B201" s="459" t="s">
        <v>1163</v>
      </c>
      <c r="C201" s="465" t="s">
        <v>1719</v>
      </c>
      <c r="D201" s="464">
        <v>15</v>
      </c>
      <c r="E201" s="1113">
        <v>300000</v>
      </c>
      <c r="F201" s="1113">
        <f t="shared" si="10"/>
        <v>4500000</v>
      </c>
      <c r="G201" s="356"/>
      <c r="H201" s="241"/>
      <c r="I201" s="241"/>
      <c r="J201" s="241"/>
      <c r="K201" s="241"/>
      <c r="L201" s="241"/>
      <c r="M201" s="241"/>
      <c r="N201" s="241"/>
      <c r="O201" s="241"/>
      <c r="P201" s="241"/>
      <c r="Q201" s="241"/>
      <c r="R201" s="241"/>
      <c r="S201" s="241"/>
      <c r="T201" s="241"/>
      <c r="U201" s="241"/>
      <c r="V201" s="241"/>
      <c r="W201" s="241"/>
      <c r="X201" s="241"/>
      <c r="Y201" s="241"/>
      <c r="Z201" s="241"/>
    </row>
    <row r="202" spans="1:26" ht="15.75" customHeight="1">
      <c r="A202" s="464">
        <v>200</v>
      </c>
      <c r="B202" s="459" t="s">
        <v>1163</v>
      </c>
      <c r="C202" s="502" t="s">
        <v>1720</v>
      </c>
      <c r="D202" s="503">
        <v>20</v>
      </c>
      <c r="E202" s="1113">
        <v>500000</v>
      </c>
      <c r="F202" s="1113">
        <f t="shared" ref="F202:F205" si="11">E202*D202</f>
        <v>10000000</v>
      </c>
      <c r="G202" s="501"/>
      <c r="H202" s="241"/>
      <c r="I202" s="241"/>
      <c r="J202" s="241"/>
      <c r="K202" s="241"/>
      <c r="L202" s="241"/>
      <c r="M202" s="241"/>
      <c r="N202" s="241"/>
      <c r="O202" s="241"/>
      <c r="P202" s="241"/>
      <c r="Q202" s="241"/>
      <c r="R202" s="241"/>
      <c r="S202" s="241"/>
      <c r="T202" s="241"/>
      <c r="U202" s="241"/>
      <c r="V202" s="241"/>
      <c r="W202" s="241"/>
      <c r="X202" s="241"/>
      <c r="Y202" s="241"/>
      <c r="Z202" s="241"/>
    </row>
    <row r="203" spans="1:26" ht="15.75" customHeight="1">
      <c r="A203" s="459">
        <v>201</v>
      </c>
      <c r="B203" s="459" t="s">
        <v>562</v>
      </c>
      <c r="C203" s="500" t="s">
        <v>1721</v>
      </c>
      <c r="D203" s="459">
        <v>15</v>
      </c>
      <c r="E203" s="1210">
        <v>300000</v>
      </c>
      <c r="F203" s="1200">
        <f t="shared" si="11"/>
        <v>4500000</v>
      </c>
      <c r="G203" s="501"/>
      <c r="H203" s="241"/>
      <c r="I203" s="241"/>
      <c r="J203" s="241"/>
      <c r="K203" s="241"/>
      <c r="L203" s="241"/>
      <c r="M203" s="241"/>
      <c r="N203" s="241"/>
      <c r="O203" s="241"/>
      <c r="P203" s="241"/>
      <c r="Q203" s="241"/>
      <c r="R203" s="241"/>
      <c r="S203" s="241"/>
      <c r="T203" s="241"/>
      <c r="U203" s="241"/>
      <c r="V203" s="241"/>
      <c r="W203" s="241"/>
      <c r="X203" s="241"/>
      <c r="Y203" s="241"/>
      <c r="Z203" s="241"/>
    </row>
    <row r="204" spans="1:26" ht="15.75" customHeight="1">
      <c r="A204" s="464">
        <v>202</v>
      </c>
      <c r="B204" s="459" t="s">
        <v>1163</v>
      </c>
      <c r="C204" s="502" t="s">
        <v>1722</v>
      </c>
      <c r="D204" s="503">
        <v>35</v>
      </c>
      <c r="E204" s="1200">
        <v>130000</v>
      </c>
      <c r="F204" s="1113">
        <f t="shared" si="11"/>
        <v>4550000</v>
      </c>
      <c r="G204" s="501"/>
      <c r="H204" s="241"/>
      <c r="I204" s="241"/>
      <c r="J204" s="241"/>
      <c r="K204" s="241"/>
      <c r="L204" s="241"/>
      <c r="M204" s="241"/>
      <c r="N204" s="241"/>
      <c r="O204" s="241"/>
      <c r="P204" s="241"/>
      <c r="Q204" s="241"/>
      <c r="R204" s="241"/>
      <c r="S204" s="241"/>
      <c r="T204" s="241"/>
      <c r="U204" s="241"/>
      <c r="V204" s="241"/>
      <c r="W204" s="241"/>
      <c r="X204" s="241"/>
      <c r="Y204" s="241"/>
      <c r="Z204" s="241"/>
    </row>
    <row r="205" spans="1:26" ht="15.75" customHeight="1">
      <c r="A205" s="459">
        <v>203</v>
      </c>
      <c r="B205" s="459" t="s">
        <v>1163</v>
      </c>
      <c r="C205" s="502" t="s">
        <v>1723</v>
      </c>
      <c r="D205" s="503">
        <v>25</v>
      </c>
      <c r="E205" s="1200">
        <v>150000</v>
      </c>
      <c r="F205" s="1113">
        <f t="shared" si="11"/>
        <v>3750000</v>
      </c>
      <c r="G205" s="501"/>
      <c r="H205" s="241"/>
      <c r="I205" s="241"/>
      <c r="J205" s="241"/>
      <c r="K205" s="241"/>
      <c r="L205" s="241"/>
      <c r="M205" s="241"/>
      <c r="N205" s="241"/>
      <c r="O205" s="241"/>
      <c r="P205" s="241"/>
      <c r="Q205" s="241"/>
      <c r="R205" s="241"/>
      <c r="S205" s="241"/>
      <c r="T205" s="241"/>
      <c r="U205" s="241"/>
      <c r="V205" s="241"/>
      <c r="W205" s="241"/>
      <c r="X205" s="241"/>
      <c r="Y205" s="241"/>
      <c r="Z205" s="241"/>
    </row>
    <row r="206" spans="1:26" ht="15.75" customHeight="1">
      <c r="A206" s="459">
        <v>204</v>
      </c>
      <c r="B206" s="459" t="s">
        <v>1163</v>
      </c>
      <c r="C206" s="465" t="s">
        <v>1724</v>
      </c>
      <c r="D206" s="464">
        <v>25</v>
      </c>
      <c r="E206" s="1113">
        <v>250000</v>
      </c>
      <c r="F206" s="1113">
        <f>SUM(E206*D206)</f>
        <v>6250000</v>
      </c>
      <c r="G206" s="501" t="s">
        <v>1725</v>
      </c>
      <c r="H206" s="241"/>
      <c r="I206" s="241"/>
      <c r="J206" s="241"/>
      <c r="K206" s="241"/>
      <c r="L206" s="241"/>
      <c r="M206" s="241"/>
      <c r="N206" s="241"/>
      <c r="O206" s="241"/>
      <c r="P206" s="241"/>
      <c r="Q206" s="241"/>
      <c r="R206" s="241"/>
      <c r="S206" s="241"/>
      <c r="T206" s="241"/>
      <c r="U206" s="241"/>
      <c r="V206" s="241"/>
      <c r="W206" s="241"/>
      <c r="X206" s="241"/>
      <c r="Y206" s="241"/>
      <c r="Z206" s="241"/>
    </row>
    <row r="207" spans="1:26" ht="15.75" customHeight="1">
      <c r="A207" s="464">
        <v>205</v>
      </c>
      <c r="B207" s="459" t="s">
        <v>1163</v>
      </c>
      <c r="C207" s="502" t="s">
        <v>1726</v>
      </c>
      <c r="D207" s="355">
        <v>10</v>
      </c>
      <c r="E207" s="1113">
        <v>500000</v>
      </c>
      <c r="F207" s="1113">
        <f t="shared" ref="F207:F208" si="12">E207*D207</f>
        <v>5000000</v>
      </c>
      <c r="G207" s="501"/>
      <c r="H207" s="241"/>
      <c r="I207" s="241"/>
      <c r="J207" s="241"/>
      <c r="K207" s="241"/>
      <c r="L207" s="241"/>
      <c r="M207" s="241"/>
      <c r="N207" s="241"/>
      <c r="O207" s="241"/>
      <c r="P207" s="241"/>
      <c r="Q207" s="241"/>
      <c r="R207" s="241"/>
      <c r="S207" s="241"/>
      <c r="T207" s="241"/>
      <c r="U207" s="241"/>
      <c r="V207" s="241"/>
      <c r="W207" s="241"/>
      <c r="X207" s="241"/>
      <c r="Y207" s="241"/>
      <c r="Z207" s="241"/>
    </row>
    <row r="208" spans="1:26" ht="15.75" customHeight="1">
      <c r="A208" s="459">
        <v>206</v>
      </c>
      <c r="B208" s="459" t="s">
        <v>1163</v>
      </c>
      <c r="C208" s="502" t="s">
        <v>1727</v>
      </c>
      <c r="D208" s="355">
        <v>15</v>
      </c>
      <c r="E208" s="1113">
        <v>300000</v>
      </c>
      <c r="F208" s="1113">
        <f t="shared" si="12"/>
        <v>4500000</v>
      </c>
      <c r="G208" s="501"/>
      <c r="H208" s="241"/>
      <c r="I208" s="241"/>
      <c r="J208" s="241"/>
      <c r="K208" s="241"/>
      <c r="L208" s="241"/>
      <c r="M208" s="241"/>
      <c r="N208" s="241"/>
      <c r="O208" s="241"/>
      <c r="P208" s="241"/>
      <c r="Q208" s="241"/>
      <c r="R208" s="241"/>
      <c r="S208" s="241"/>
      <c r="T208" s="241"/>
      <c r="U208" s="241"/>
      <c r="V208" s="241"/>
      <c r="W208" s="241"/>
      <c r="X208" s="241"/>
      <c r="Y208" s="241"/>
      <c r="Z208" s="241"/>
    </row>
    <row r="209" spans="1:26" ht="15.75" customHeight="1">
      <c r="A209" s="464">
        <v>207</v>
      </c>
      <c r="B209" s="459" t="s">
        <v>1163</v>
      </c>
      <c r="C209" s="502" t="s">
        <v>1728</v>
      </c>
      <c r="D209" s="355">
        <v>200</v>
      </c>
      <c r="E209" s="1113">
        <v>25000</v>
      </c>
      <c r="F209" s="1113">
        <f>SUM(E209*D209)</f>
        <v>5000000</v>
      </c>
      <c r="G209" s="356"/>
      <c r="H209" s="241"/>
      <c r="I209" s="241"/>
      <c r="J209" s="241"/>
      <c r="K209" s="241"/>
      <c r="L209" s="241"/>
      <c r="M209" s="241"/>
      <c r="N209" s="241"/>
      <c r="O209" s="241"/>
      <c r="P209" s="241"/>
      <c r="Q209" s="241"/>
      <c r="R209" s="241"/>
      <c r="S209" s="241"/>
      <c r="T209" s="241"/>
      <c r="U209" s="241"/>
      <c r="V209" s="241"/>
      <c r="W209" s="241"/>
      <c r="X209" s="241"/>
      <c r="Y209" s="241"/>
      <c r="Z209" s="241"/>
    </row>
    <row r="210" spans="1:26" ht="15.75" customHeight="1">
      <c r="A210" s="459">
        <v>208</v>
      </c>
      <c r="B210" s="459" t="s">
        <v>562</v>
      </c>
      <c r="C210" s="500" t="s">
        <v>1131</v>
      </c>
      <c r="D210" s="459">
        <v>20</v>
      </c>
      <c r="E210" s="1210">
        <v>200000</v>
      </c>
      <c r="F210" s="1200">
        <f t="shared" ref="F210:F211" si="13">E210*D210</f>
        <v>4000000</v>
      </c>
      <c r="G210" s="504" t="s">
        <v>1729</v>
      </c>
      <c r="H210" s="241"/>
      <c r="I210" s="241"/>
      <c r="J210" s="241"/>
      <c r="K210" s="241"/>
      <c r="L210" s="241"/>
      <c r="M210" s="241"/>
      <c r="N210" s="241"/>
      <c r="O210" s="241"/>
      <c r="P210" s="241"/>
      <c r="Q210" s="241"/>
      <c r="R210" s="241"/>
      <c r="S210" s="241"/>
      <c r="T210" s="241"/>
      <c r="U210" s="241"/>
      <c r="V210" s="241"/>
      <c r="W210" s="241"/>
      <c r="X210" s="241"/>
      <c r="Y210" s="241"/>
      <c r="Z210" s="241"/>
    </row>
    <row r="211" spans="1:26" ht="15.75" customHeight="1">
      <c r="A211" s="459">
        <v>209</v>
      </c>
      <c r="B211" s="459" t="s">
        <v>1163</v>
      </c>
      <c r="C211" s="502" t="s">
        <v>1730</v>
      </c>
      <c r="D211" s="503">
        <v>30</v>
      </c>
      <c r="E211" s="1200">
        <v>55000</v>
      </c>
      <c r="F211" s="1113">
        <f t="shared" si="13"/>
        <v>1650000</v>
      </c>
      <c r="G211" s="501"/>
      <c r="H211" s="241"/>
      <c r="I211" s="241"/>
      <c r="J211" s="241"/>
      <c r="K211" s="241"/>
      <c r="L211" s="241"/>
      <c r="M211" s="241"/>
      <c r="N211" s="241"/>
      <c r="O211" s="241"/>
      <c r="P211" s="241"/>
      <c r="Q211" s="241"/>
      <c r="R211" s="241"/>
      <c r="S211" s="241"/>
      <c r="T211" s="241"/>
      <c r="U211" s="241"/>
      <c r="V211" s="241"/>
      <c r="W211" s="241"/>
      <c r="X211" s="241"/>
      <c r="Y211" s="241"/>
      <c r="Z211" s="241"/>
    </row>
    <row r="212" spans="1:26" ht="15.75" customHeight="1">
      <c r="A212" s="464">
        <v>210</v>
      </c>
      <c r="B212" s="459" t="s">
        <v>1163</v>
      </c>
      <c r="C212" s="465" t="s">
        <v>1731</v>
      </c>
      <c r="D212" s="464">
        <v>1</v>
      </c>
      <c r="E212" s="1113">
        <v>4000000</v>
      </c>
      <c r="F212" s="1113">
        <f t="shared" ref="F212:F213" si="14">SUM(E212*D212)</f>
        <v>4000000</v>
      </c>
      <c r="G212" s="356"/>
      <c r="H212" s="241"/>
      <c r="I212" s="241"/>
      <c r="J212" s="241"/>
      <c r="K212" s="241"/>
      <c r="L212" s="241"/>
      <c r="M212" s="241"/>
      <c r="N212" s="241"/>
      <c r="O212" s="241"/>
      <c r="P212" s="241"/>
      <c r="Q212" s="241"/>
      <c r="R212" s="241"/>
      <c r="S212" s="241"/>
      <c r="T212" s="241"/>
      <c r="U212" s="241"/>
      <c r="V212" s="241"/>
      <c r="W212" s="241"/>
      <c r="X212" s="241"/>
      <c r="Y212" s="241"/>
      <c r="Z212" s="241"/>
    </row>
    <row r="213" spans="1:26" ht="15.75" customHeight="1">
      <c r="A213" s="459">
        <v>211</v>
      </c>
      <c r="B213" s="459" t="s">
        <v>1163</v>
      </c>
      <c r="C213" s="505" t="s">
        <v>1732</v>
      </c>
      <c r="D213" s="464">
        <v>5</v>
      </c>
      <c r="E213" s="1113">
        <v>500000</v>
      </c>
      <c r="F213" s="1113">
        <f t="shared" si="14"/>
        <v>2500000</v>
      </c>
      <c r="G213" s="356"/>
      <c r="H213" s="241"/>
      <c r="I213" s="241"/>
      <c r="J213" s="241"/>
      <c r="K213" s="241"/>
      <c r="L213" s="241"/>
      <c r="M213" s="241"/>
      <c r="N213" s="241"/>
      <c r="O213" s="241"/>
      <c r="P213" s="241"/>
      <c r="Q213" s="241"/>
      <c r="R213" s="241"/>
      <c r="S213" s="241"/>
      <c r="T213" s="241"/>
      <c r="U213" s="241"/>
      <c r="V213" s="241"/>
      <c r="W213" s="241"/>
      <c r="X213" s="241"/>
      <c r="Y213" s="241"/>
      <c r="Z213" s="241"/>
    </row>
    <row r="214" spans="1:26" ht="15.75" customHeight="1">
      <c r="A214" s="464">
        <v>212</v>
      </c>
      <c r="B214" s="459" t="s">
        <v>562</v>
      </c>
      <c r="C214" s="500" t="s">
        <v>1733</v>
      </c>
      <c r="D214" s="459">
        <v>10</v>
      </c>
      <c r="E214" s="1210">
        <v>500000</v>
      </c>
      <c r="F214" s="1200">
        <f t="shared" ref="F214:F216" si="15">E214*D214</f>
        <v>5000000</v>
      </c>
      <c r="G214" s="501"/>
      <c r="H214" s="241"/>
      <c r="I214" s="241"/>
      <c r="J214" s="241"/>
      <c r="K214" s="241"/>
      <c r="L214" s="241"/>
      <c r="M214" s="241"/>
      <c r="N214" s="241"/>
      <c r="O214" s="241"/>
      <c r="P214" s="241"/>
      <c r="Q214" s="241"/>
      <c r="R214" s="241"/>
      <c r="S214" s="241"/>
      <c r="T214" s="241"/>
      <c r="U214" s="241"/>
      <c r="V214" s="241"/>
      <c r="W214" s="241"/>
      <c r="X214" s="241"/>
      <c r="Y214" s="241"/>
      <c r="Z214" s="241"/>
    </row>
    <row r="215" spans="1:26" ht="15.75" customHeight="1">
      <c r="A215" s="459">
        <v>213</v>
      </c>
      <c r="B215" s="459" t="s">
        <v>1163</v>
      </c>
      <c r="C215" s="502" t="s">
        <v>1734</v>
      </c>
      <c r="D215" s="503">
        <v>25</v>
      </c>
      <c r="E215" s="1200">
        <v>150000</v>
      </c>
      <c r="F215" s="1113">
        <f t="shared" si="15"/>
        <v>3750000</v>
      </c>
      <c r="G215" s="501"/>
      <c r="H215" s="241"/>
      <c r="I215" s="241"/>
      <c r="J215" s="241"/>
      <c r="K215" s="241"/>
      <c r="L215" s="241"/>
      <c r="M215" s="241"/>
      <c r="N215" s="241"/>
      <c r="O215" s="241"/>
      <c r="P215" s="241"/>
      <c r="Q215" s="241"/>
      <c r="R215" s="241"/>
      <c r="S215" s="241"/>
      <c r="T215" s="241"/>
      <c r="U215" s="241"/>
      <c r="V215" s="241"/>
      <c r="W215" s="241"/>
      <c r="X215" s="241"/>
      <c r="Y215" s="241"/>
      <c r="Z215" s="241"/>
    </row>
    <row r="216" spans="1:26" ht="15.75" customHeight="1">
      <c r="A216" s="459">
        <v>214</v>
      </c>
      <c r="B216" s="459" t="s">
        <v>1163</v>
      </c>
      <c r="C216" s="502" t="s">
        <v>1735</v>
      </c>
      <c r="D216" s="355">
        <v>25</v>
      </c>
      <c r="E216" s="1113">
        <v>150000</v>
      </c>
      <c r="F216" s="1113">
        <f t="shared" si="15"/>
        <v>3750000</v>
      </c>
      <c r="G216" s="501"/>
      <c r="H216" s="241"/>
      <c r="I216" s="241"/>
      <c r="J216" s="241"/>
      <c r="K216" s="241"/>
      <c r="L216" s="241"/>
      <c r="M216" s="241"/>
      <c r="N216" s="241"/>
      <c r="O216" s="241"/>
      <c r="P216" s="241"/>
      <c r="Q216" s="241"/>
      <c r="R216" s="241"/>
      <c r="S216" s="241"/>
      <c r="T216" s="241"/>
      <c r="U216" s="241"/>
      <c r="V216" s="241"/>
      <c r="W216" s="241"/>
      <c r="X216" s="241"/>
      <c r="Y216" s="241"/>
      <c r="Z216" s="241"/>
    </row>
    <row r="217" spans="1:26" ht="15.75" customHeight="1">
      <c r="A217" s="464">
        <v>215</v>
      </c>
      <c r="B217" s="459" t="s">
        <v>1163</v>
      </c>
      <c r="C217" s="465" t="s">
        <v>1736</v>
      </c>
      <c r="D217" s="464">
        <v>5</v>
      </c>
      <c r="E217" s="1113">
        <v>700000</v>
      </c>
      <c r="F217" s="1113">
        <f t="shared" ref="F217:F218" si="16">SUM(E217*D217)</f>
        <v>3500000</v>
      </c>
      <c r="G217" s="356"/>
      <c r="H217" s="241"/>
      <c r="I217" s="241"/>
      <c r="J217" s="241"/>
      <c r="K217" s="241"/>
      <c r="L217" s="241"/>
      <c r="M217" s="241"/>
      <c r="N217" s="241"/>
      <c r="O217" s="241"/>
      <c r="P217" s="241"/>
      <c r="Q217" s="241"/>
      <c r="R217" s="241"/>
      <c r="S217" s="241"/>
      <c r="T217" s="241"/>
      <c r="U217" s="241"/>
      <c r="V217" s="241"/>
      <c r="W217" s="241"/>
      <c r="X217" s="241"/>
      <c r="Y217" s="241"/>
      <c r="Z217" s="241"/>
    </row>
    <row r="218" spans="1:26" ht="15.75" customHeight="1">
      <c r="A218" s="459">
        <v>216</v>
      </c>
      <c r="B218" s="459" t="s">
        <v>1163</v>
      </c>
      <c r="C218" s="465" t="s">
        <v>1737</v>
      </c>
      <c r="D218" s="464">
        <v>5</v>
      </c>
      <c r="E218" s="1113">
        <v>700000</v>
      </c>
      <c r="F218" s="1113">
        <f t="shared" si="16"/>
        <v>3500000</v>
      </c>
      <c r="G218" s="356"/>
      <c r="H218" s="241"/>
      <c r="I218" s="241"/>
      <c r="J218" s="241"/>
      <c r="K218" s="241"/>
      <c r="L218" s="241"/>
      <c r="M218" s="241"/>
      <c r="N218" s="241"/>
      <c r="O218" s="241"/>
      <c r="P218" s="241"/>
      <c r="Q218" s="241"/>
      <c r="R218" s="241"/>
      <c r="S218" s="241"/>
      <c r="T218" s="241"/>
      <c r="U218" s="241"/>
      <c r="V218" s="241"/>
      <c r="W218" s="241"/>
      <c r="X218" s="241"/>
      <c r="Y218" s="241"/>
      <c r="Z218" s="241"/>
    </row>
    <row r="219" spans="1:26" ht="15.75" customHeight="1">
      <c r="A219" s="464">
        <v>217</v>
      </c>
      <c r="B219" s="459" t="s">
        <v>1163</v>
      </c>
      <c r="C219" s="505" t="s">
        <v>1738</v>
      </c>
      <c r="D219" s="355">
        <v>4</v>
      </c>
      <c r="E219" s="1113">
        <v>500000</v>
      </c>
      <c r="F219" s="1113">
        <f t="shared" ref="F219:F222" si="17">E219*D219</f>
        <v>2000000</v>
      </c>
      <c r="G219" s="501"/>
      <c r="H219" s="241"/>
      <c r="I219" s="241"/>
      <c r="J219" s="241"/>
      <c r="K219" s="241"/>
      <c r="L219" s="241"/>
      <c r="M219" s="241"/>
      <c r="N219" s="241"/>
      <c r="O219" s="241"/>
      <c r="P219" s="241"/>
      <c r="Q219" s="241"/>
      <c r="R219" s="241"/>
      <c r="S219" s="241"/>
      <c r="T219" s="241"/>
      <c r="U219" s="241"/>
      <c r="V219" s="241"/>
      <c r="W219" s="241"/>
      <c r="X219" s="241"/>
      <c r="Y219" s="241"/>
      <c r="Z219" s="241"/>
    </row>
    <row r="220" spans="1:26" ht="15.75" customHeight="1">
      <c r="A220" s="459">
        <v>218</v>
      </c>
      <c r="B220" s="459" t="s">
        <v>1163</v>
      </c>
      <c r="C220" s="502" t="s">
        <v>1739</v>
      </c>
      <c r="D220" s="503">
        <v>20</v>
      </c>
      <c r="E220" s="1200">
        <v>30000</v>
      </c>
      <c r="F220" s="1113">
        <f t="shared" si="17"/>
        <v>600000</v>
      </c>
      <c r="G220" s="501"/>
      <c r="H220" s="241"/>
      <c r="I220" s="241"/>
      <c r="J220" s="241"/>
      <c r="K220" s="241"/>
      <c r="L220" s="241"/>
      <c r="M220" s="241"/>
      <c r="N220" s="241"/>
      <c r="O220" s="241"/>
      <c r="P220" s="241"/>
      <c r="Q220" s="241"/>
      <c r="R220" s="241"/>
      <c r="S220" s="241"/>
      <c r="T220" s="241"/>
      <c r="U220" s="241"/>
      <c r="V220" s="241"/>
      <c r="W220" s="241"/>
      <c r="X220" s="241"/>
      <c r="Y220" s="241"/>
      <c r="Z220" s="241"/>
    </row>
    <row r="221" spans="1:26" ht="15.75" customHeight="1">
      <c r="A221" s="459">
        <v>219</v>
      </c>
      <c r="B221" s="459" t="s">
        <v>1163</v>
      </c>
      <c r="C221" s="502" t="s">
        <v>1740</v>
      </c>
      <c r="D221" s="355">
        <v>20</v>
      </c>
      <c r="E221" s="1113">
        <v>100000</v>
      </c>
      <c r="F221" s="1113">
        <f t="shared" si="17"/>
        <v>2000000</v>
      </c>
      <c r="G221" s="501"/>
      <c r="H221" s="241"/>
      <c r="I221" s="241"/>
      <c r="J221" s="241"/>
      <c r="K221" s="241"/>
      <c r="L221" s="241"/>
      <c r="M221" s="241"/>
      <c r="N221" s="241"/>
      <c r="O221" s="241"/>
      <c r="P221" s="241"/>
      <c r="Q221" s="241"/>
      <c r="R221" s="241"/>
      <c r="S221" s="241"/>
      <c r="T221" s="241"/>
      <c r="U221" s="241"/>
      <c r="V221" s="241"/>
      <c r="W221" s="241"/>
      <c r="X221" s="241"/>
      <c r="Y221" s="241"/>
      <c r="Z221" s="241"/>
    </row>
    <row r="222" spans="1:26" ht="15.75" customHeight="1">
      <c r="A222" s="464">
        <v>220</v>
      </c>
      <c r="B222" s="459" t="s">
        <v>1163</v>
      </c>
      <c r="C222" s="502" t="s">
        <v>1741</v>
      </c>
      <c r="D222" s="355">
        <v>3</v>
      </c>
      <c r="E222" s="1113">
        <v>800000</v>
      </c>
      <c r="F222" s="1113">
        <f t="shared" si="17"/>
        <v>2400000</v>
      </c>
      <c r="G222" s="501"/>
      <c r="H222" s="241"/>
      <c r="I222" s="241"/>
      <c r="J222" s="241"/>
      <c r="K222" s="241"/>
      <c r="L222" s="241"/>
      <c r="M222" s="241"/>
      <c r="N222" s="241"/>
      <c r="O222" s="241"/>
      <c r="P222" s="241"/>
      <c r="Q222" s="241"/>
      <c r="R222" s="241"/>
      <c r="S222" s="241"/>
      <c r="T222" s="241"/>
      <c r="U222" s="241"/>
      <c r="V222" s="241"/>
      <c r="W222" s="241"/>
      <c r="X222" s="241"/>
      <c r="Y222" s="241"/>
      <c r="Z222" s="241"/>
    </row>
    <row r="223" spans="1:26" ht="15.75" customHeight="1">
      <c r="A223" s="459">
        <v>221</v>
      </c>
      <c r="B223" s="459" t="s">
        <v>1163</v>
      </c>
      <c r="C223" s="502" t="s">
        <v>1742</v>
      </c>
      <c r="D223" s="355">
        <v>1</v>
      </c>
      <c r="E223" s="1113">
        <v>1000000</v>
      </c>
      <c r="F223" s="1113">
        <f>SUM(E223*D223)</f>
        <v>1000000</v>
      </c>
      <c r="G223" s="356"/>
      <c r="H223" s="241"/>
      <c r="I223" s="241"/>
      <c r="J223" s="241"/>
      <c r="K223" s="241"/>
      <c r="L223" s="241"/>
      <c r="M223" s="241"/>
      <c r="N223" s="241"/>
      <c r="O223" s="241"/>
      <c r="P223" s="241"/>
      <c r="Q223" s="241"/>
      <c r="R223" s="241"/>
      <c r="S223" s="241"/>
      <c r="T223" s="241"/>
      <c r="U223" s="241"/>
      <c r="V223" s="241"/>
      <c r="W223" s="241"/>
      <c r="X223" s="241"/>
      <c r="Y223" s="241"/>
      <c r="Z223" s="241"/>
    </row>
    <row r="224" spans="1:26" ht="15.75" customHeight="1">
      <c r="A224" s="464">
        <v>222</v>
      </c>
      <c r="B224" s="459" t="s">
        <v>1163</v>
      </c>
      <c r="C224" s="505" t="s">
        <v>1743</v>
      </c>
      <c r="D224" s="506">
        <v>5</v>
      </c>
      <c r="E224" s="1113">
        <v>750000</v>
      </c>
      <c r="F224" s="1113">
        <f t="shared" ref="F224:F236" si="18">E224*D224</f>
        <v>3750000</v>
      </c>
      <c r="G224" s="501"/>
      <c r="H224" s="241"/>
      <c r="I224" s="241"/>
      <c r="J224" s="241"/>
      <c r="K224" s="241"/>
      <c r="L224" s="241"/>
      <c r="M224" s="241"/>
      <c r="N224" s="241"/>
      <c r="O224" s="241"/>
      <c r="P224" s="241"/>
      <c r="Q224" s="241"/>
      <c r="R224" s="241"/>
      <c r="S224" s="241"/>
      <c r="T224" s="241"/>
      <c r="U224" s="241"/>
      <c r="V224" s="241"/>
      <c r="W224" s="241"/>
      <c r="X224" s="241"/>
      <c r="Y224" s="241"/>
      <c r="Z224" s="241"/>
    </row>
    <row r="225" spans="1:26" ht="15.75" customHeight="1">
      <c r="A225" s="459">
        <v>223</v>
      </c>
      <c r="B225" s="459" t="s">
        <v>1163</v>
      </c>
      <c r="C225" s="505" t="s">
        <v>1744</v>
      </c>
      <c r="D225" s="506">
        <v>10</v>
      </c>
      <c r="E225" s="1113">
        <v>150000</v>
      </c>
      <c r="F225" s="1113">
        <f t="shared" si="18"/>
        <v>1500000</v>
      </c>
      <c r="G225" s="501"/>
      <c r="H225" s="241"/>
      <c r="I225" s="241"/>
      <c r="J225" s="241"/>
      <c r="K225" s="241"/>
      <c r="L225" s="241"/>
      <c r="M225" s="241"/>
      <c r="N225" s="241"/>
      <c r="O225" s="241"/>
      <c r="P225" s="241"/>
      <c r="Q225" s="241"/>
      <c r="R225" s="241"/>
      <c r="S225" s="241"/>
      <c r="T225" s="241"/>
      <c r="U225" s="241"/>
      <c r="V225" s="241"/>
      <c r="W225" s="241"/>
      <c r="X225" s="241"/>
      <c r="Y225" s="241"/>
      <c r="Z225" s="241"/>
    </row>
    <row r="226" spans="1:26" ht="15.75" customHeight="1">
      <c r="A226" s="459">
        <v>224</v>
      </c>
      <c r="B226" s="459" t="s">
        <v>1163</v>
      </c>
      <c r="C226" s="502" t="s">
        <v>1745</v>
      </c>
      <c r="D226" s="503">
        <v>25</v>
      </c>
      <c r="E226" s="1200">
        <v>100000</v>
      </c>
      <c r="F226" s="1113">
        <f t="shared" si="18"/>
        <v>2500000</v>
      </c>
      <c r="G226" s="501"/>
      <c r="H226" s="241"/>
      <c r="I226" s="241"/>
      <c r="J226" s="241"/>
      <c r="K226" s="241"/>
      <c r="L226" s="241"/>
      <c r="M226" s="241"/>
      <c r="N226" s="241"/>
      <c r="O226" s="241"/>
      <c r="P226" s="241"/>
      <c r="Q226" s="241"/>
      <c r="R226" s="241"/>
      <c r="S226" s="241"/>
      <c r="T226" s="241"/>
      <c r="U226" s="241"/>
      <c r="V226" s="241"/>
      <c r="W226" s="241"/>
      <c r="X226" s="241"/>
      <c r="Y226" s="241"/>
      <c r="Z226" s="241"/>
    </row>
    <row r="227" spans="1:26" ht="15.75" customHeight="1">
      <c r="A227" s="464">
        <v>225</v>
      </c>
      <c r="B227" s="459" t="s">
        <v>1163</v>
      </c>
      <c r="C227" s="502" t="s">
        <v>1746</v>
      </c>
      <c r="D227" s="355">
        <v>20</v>
      </c>
      <c r="E227" s="1113">
        <v>100000</v>
      </c>
      <c r="F227" s="1113">
        <f t="shared" si="18"/>
        <v>2000000</v>
      </c>
      <c r="G227" s="501"/>
      <c r="H227" s="241"/>
      <c r="I227" s="241"/>
      <c r="J227" s="241"/>
      <c r="K227" s="241"/>
      <c r="L227" s="241"/>
      <c r="M227" s="241"/>
      <c r="N227" s="241"/>
      <c r="O227" s="241"/>
      <c r="P227" s="241"/>
      <c r="Q227" s="241"/>
      <c r="R227" s="241"/>
      <c r="S227" s="241"/>
      <c r="T227" s="241"/>
      <c r="U227" s="241"/>
      <c r="V227" s="241"/>
      <c r="W227" s="241"/>
      <c r="X227" s="241"/>
      <c r="Y227" s="241"/>
      <c r="Z227" s="241"/>
    </row>
    <row r="228" spans="1:26" ht="15.75" customHeight="1">
      <c r="A228" s="459">
        <v>226</v>
      </c>
      <c r="B228" s="459" t="s">
        <v>1163</v>
      </c>
      <c r="C228" s="502" t="s">
        <v>1747</v>
      </c>
      <c r="D228" s="503">
        <v>15</v>
      </c>
      <c r="E228" s="1200">
        <v>130000</v>
      </c>
      <c r="F228" s="1113">
        <f t="shared" si="18"/>
        <v>1950000</v>
      </c>
      <c r="G228" s="396" t="s">
        <v>1748</v>
      </c>
      <c r="H228" s="241"/>
      <c r="I228" s="241"/>
      <c r="J228" s="241"/>
      <c r="K228" s="241"/>
      <c r="L228" s="241"/>
      <c r="M228" s="241"/>
      <c r="N228" s="241"/>
      <c r="O228" s="241"/>
      <c r="P228" s="241"/>
      <c r="Q228" s="241"/>
      <c r="R228" s="241"/>
      <c r="S228" s="241"/>
      <c r="T228" s="241"/>
      <c r="U228" s="241"/>
      <c r="V228" s="241"/>
      <c r="W228" s="241"/>
      <c r="X228" s="241"/>
      <c r="Y228" s="241"/>
      <c r="Z228" s="241"/>
    </row>
    <row r="229" spans="1:26" ht="15.75" customHeight="1">
      <c r="A229" s="464">
        <v>227</v>
      </c>
      <c r="B229" s="459" t="s">
        <v>1163</v>
      </c>
      <c r="C229" s="505" t="s">
        <v>1749</v>
      </c>
      <c r="D229" s="506">
        <v>5</v>
      </c>
      <c r="E229" s="1113">
        <v>500000</v>
      </c>
      <c r="F229" s="1113">
        <f t="shared" si="18"/>
        <v>2500000</v>
      </c>
      <c r="G229" s="501"/>
      <c r="H229" s="241"/>
      <c r="I229" s="241"/>
      <c r="J229" s="241"/>
      <c r="K229" s="241"/>
      <c r="L229" s="241"/>
      <c r="M229" s="241"/>
      <c r="N229" s="241"/>
      <c r="O229" s="241"/>
      <c r="P229" s="241"/>
      <c r="Q229" s="241"/>
      <c r="R229" s="241"/>
      <c r="S229" s="241"/>
      <c r="T229" s="241"/>
      <c r="U229" s="241"/>
      <c r="V229" s="241"/>
      <c r="W229" s="241"/>
      <c r="X229" s="241"/>
      <c r="Y229" s="241"/>
      <c r="Z229" s="241"/>
    </row>
    <row r="230" spans="1:26" ht="15.75" customHeight="1">
      <c r="A230" s="459">
        <v>228</v>
      </c>
      <c r="B230" s="459" t="s">
        <v>1163</v>
      </c>
      <c r="C230" s="502" t="s">
        <v>1750</v>
      </c>
      <c r="D230" s="503">
        <v>15</v>
      </c>
      <c r="E230" s="1200">
        <v>100000</v>
      </c>
      <c r="F230" s="1113">
        <f t="shared" si="18"/>
        <v>1500000</v>
      </c>
      <c r="G230" s="501"/>
      <c r="H230" s="241"/>
      <c r="I230" s="241"/>
      <c r="J230" s="241"/>
      <c r="K230" s="241"/>
      <c r="L230" s="241"/>
      <c r="M230" s="241"/>
      <c r="N230" s="241"/>
      <c r="O230" s="241"/>
      <c r="P230" s="241"/>
      <c r="Q230" s="241"/>
      <c r="R230" s="241"/>
      <c r="S230" s="241"/>
      <c r="T230" s="241"/>
      <c r="U230" s="241"/>
      <c r="V230" s="241"/>
      <c r="W230" s="241"/>
      <c r="X230" s="241"/>
      <c r="Y230" s="241"/>
      <c r="Z230" s="241"/>
    </row>
    <row r="231" spans="1:26" ht="15.75" customHeight="1">
      <c r="A231" s="459">
        <v>229</v>
      </c>
      <c r="B231" s="459" t="s">
        <v>1163</v>
      </c>
      <c r="C231" s="502" t="s">
        <v>1751</v>
      </c>
      <c r="D231" s="503">
        <v>20</v>
      </c>
      <c r="E231" s="1200">
        <v>50000</v>
      </c>
      <c r="F231" s="1113">
        <f t="shared" si="18"/>
        <v>1000000</v>
      </c>
      <c r="G231" s="501"/>
      <c r="H231" s="241"/>
      <c r="I231" s="241"/>
      <c r="J231" s="241"/>
      <c r="K231" s="241"/>
      <c r="L231" s="241"/>
      <c r="M231" s="241"/>
      <c r="N231" s="241"/>
      <c r="O231" s="241"/>
      <c r="P231" s="241"/>
      <c r="Q231" s="241"/>
      <c r="R231" s="241"/>
      <c r="S231" s="241"/>
      <c r="T231" s="241"/>
      <c r="U231" s="241"/>
      <c r="V231" s="241"/>
      <c r="W231" s="241"/>
      <c r="X231" s="241"/>
      <c r="Y231" s="241"/>
      <c r="Z231" s="241"/>
    </row>
    <row r="232" spans="1:26" ht="15.75" customHeight="1">
      <c r="A232" s="464">
        <v>230</v>
      </c>
      <c r="B232" s="459" t="s">
        <v>1163</v>
      </c>
      <c r="C232" s="502" t="s">
        <v>1752</v>
      </c>
      <c r="D232" s="355">
        <v>20</v>
      </c>
      <c r="E232" s="1113">
        <v>50000</v>
      </c>
      <c r="F232" s="1113">
        <f t="shared" si="18"/>
        <v>1000000</v>
      </c>
      <c r="G232" s="501"/>
      <c r="H232" s="241"/>
      <c r="I232" s="241"/>
      <c r="J232" s="241"/>
      <c r="K232" s="241"/>
      <c r="L232" s="241"/>
      <c r="M232" s="241"/>
      <c r="N232" s="241"/>
      <c r="O232" s="241"/>
      <c r="P232" s="241"/>
      <c r="Q232" s="241"/>
      <c r="R232" s="241"/>
      <c r="S232" s="241"/>
      <c r="T232" s="241"/>
      <c r="U232" s="241"/>
      <c r="V232" s="241"/>
      <c r="W232" s="241"/>
      <c r="X232" s="241"/>
      <c r="Y232" s="241"/>
      <c r="Z232" s="241"/>
    </row>
    <row r="233" spans="1:26" ht="15.75" customHeight="1">
      <c r="A233" s="459">
        <v>231</v>
      </c>
      <c r="B233" s="459" t="s">
        <v>1163</v>
      </c>
      <c r="C233" s="502" t="s">
        <v>1753</v>
      </c>
      <c r="D233" s="355">
        <v>25</v>
      </c>
      <c r="E233" s="1113">
        <v>80000</v>
      </c>
      <c r="F233" s="1113">
        <f t="shared" si="18"/>
        <v>2000000</v>
      </c>
      <c r="G233" s="501"/>
      <c r="H233" s="241"/>
      <c r="I233" s="241"/>
      <c r="J233" s="241"/>
      <c r="K233" s="241"/>
      <c r="L233" s="241"/>
      <c r="M233" s="241"/>
      <c r="N233" s="241"/>
      <c r="O233" s="241"/>
      <c r="P233" s="241"/>
      <c r="Q233" s="241"/>
      <c r="R233" s="241"/>
      <c r="S233" s="241"/>
      <c r="T233" s="241"/>
      <c r="U233" s="241"/>
      <c r="V233" s="241"/>
      <c r="W233" s="241"/>
      <c r="X233" s="241"/>
      <c r="Y233" s="241"/>
      <c r="Z233" s="241"/>
    </row>
    <row r="234" spans="1:26" ht="15.75" customHeight="1">
      <c r="A234" s="464">
        <v>232</v>
      </c>
      <c r="B234" s="459" t="s">
        <v>1163</v>
      </c>
      <c r="C234" s="505" t="s">
        <v>1754</v>
      </c>
      <c r="D234" s="506">
        <v>4</v>
      </c>
      <c r="E234" s="1113">
        <v>550000</v>
      </c>
      <c r="F234" s="1113">
        <f t="shared" si="18"/>
        <v>2200000</v>
      </c>
      <c r="G234" s="501"/>
      <c r="H234" s="241"/>
      <c r="I234" s="241"/>
      <c r="J234" s="241"/>
      <c r="K234" s="241"/>
      <c r="L234" s="241"/>
      <c r="M234" s="241"/>
      <c r="N234" s="241"/>
      <c r="O234" s="241"/>
      <c r="P234" s="241"/>
      <c r="Q234" s="241"/>
      <c r="R234" s="241"/>
      <c r="S234" s="241"/>
      <c r="T234" s="241"/>
      <c r="U234" s="241"/>
      <c r="V234" s="241"/>
      <c r="W234" s="241"/>
      <c r="X234" s="241"/>
      <c r="Y234" s="241"/>
      <c r="Z234" s="241"/>
    </row>
    <row r="235" spans="1:26" ht="15.75" customHeight="1">
      <c r="A235" s="459">
        <v>233</v>
      </c>
      <c r="B235" s="459" t="s">
        <v>1163</v>
      </c>
      <c r="C235" s="502" t="s">
        <v>1755</v>
      </c>
      <c r="D235" s="503">
        <v>20</v>
      </c>
      <c r="E235" s="1200">
        <v>30000</v>
      </c>
      <c r="F235" s="1113">
        <f t="shared" si="18"/>
        <v>600000</v>
      </c>
      <c r="G235" s="501"/>
      <c r="H235" s="241"/>
      <c r="I235" s="241"/>
      <c r="J235" s="241"/>
      <c r="K235" s="241"/>
      <c r="L235" s="241"/>
      <c r="M235" s="241"/>
      <c r="N235" s="241"/>
      <c r="O235" s="241"/>
      <c r="P235" s="241"/>
      <c r="Q235" s="241"/>
      <c r="R235" s="241"/>
      <c r="S235" s="241"/>
      <c r="T235" s="241"/>
      <c r="U235" s="241"/>
      <c r="V235" s="241"/>
      <c r="W235" s="241"/>
      <c r="X235" s="241"/>
      <c r="Y235" s="241"/>
      <c r="Z235" s="241"/>
    </row>
    <row r="236" spans="1:26" ht="15.75" customHeight="1">
      <c r="A236" s="459">
        <v>234</v>
      </c>
      <c r="B236" s="459" t="s">
        <v>1163</v>
      </c>
      <c r="C236" s="502" t="s">
        <v>1756</v>
      </c>
      <c r="D236" s="503">
        <v>20</v>
      </c>
      <c r="E236" s="1200">
        <v>30000</v>
      </c>
      <c r="F236" s="1113">
        <f t="shared" si="18"/>
        <v>600000</v>
      </c>
      <c r="G236" s="501"/>
      <c r="H236" s="241"/>
      <c r="I236" s="241"/>
      <c r="J236" s="241"/>
      <c r="K236" s="241"/>
      <c r="L236" s="241"/>
      <c r="M236" s="241"/>
      <c r="N236" s="241"/>
      <c r="O236" s="241"/>
      <c r="P236" s="241"/>
      <c r="Q236" s="241"/>
      <c r="R236" s="241"/>
      <c r="S236" s="241"/>
      <c r="T236" s="241"/>
      <c r="U236" s="241"/>
      <c r="V236" s="241"/>
      <c r="W236" s="241"/>
      <c r="X236" s="241"/>
      <c r="Y236" s="241"/>
      <c r="Z236" s="241"/>
    </row>
    <row r="237" spans="1:26" ht="15.75" customHeight="1">
      <c r="A237" s="464">
        <v>235</v>
      </c>
      <c r="B237" s="459" t="s">
        <v>1163</v>
      </c>
      <c r="C237" s="465" t="s">
        <v>1757</v>
      </c>
      <c r="D237" s="464">
        <v>10</v>
      </c>
      <c r="E237" s="1113">
        <v>170000</v>
      </c>
      <c r="F237" s="1113">
        <f>SUM(E237*D237)</f>
        <v>1700000</v>
      </c>
      <c r="G237" s="356"/>
      <c r="H237" s="241"/>
      <c r="I237" s="241"/>
      <c r="J237" s="241"/>
      <c r="K237" s="241"/>
      <c r="L237" s="241"/>
      <c r="M237" s="241"/>
      <c r="N237" s="241"/>
      <c r="O237" s="241"/>
      <c r="P237" s="241"/>
      <c r="Q237" s="241"/>
      <c r="R237" s="241"/>
      <c r="S237" s="241"/>
      <c r="T237" s="241"/>
      <c r="U237" s="241"/>
      <c r="V237" s="241"/>
      <c r="W237" s="241"/>
      <c r="X237" s="241"/>
      <c r="Y237" s="241"/>
      <c r="Z237" s="241"/>
    </row>
    <row r="238" spans="1:26" ht="15.75" customHeight="1">
      <c r="A238" s="459">
        <v>236</v>
      </c>
      <c r="B238" s="459" t="s">
        <v>1163</v>
      </c>
      <c r="C238" s="505" t="s">
        <v>1758</v>
      </c>
      <c r="D238" s="355">
        <v>2</v>
      </c>
      <c r="E238" s="1113">
        <v>900000</v>
      </c>
      <c r="F238" s="1113">
        <f t="shared" ref="F238:F239" si="19">E238*D238</f>
        <v>1800000</v>
      </c>
      <c r="G238" s="501"/>
      <c r="H238" s="241"/>
      <c r="I238" s="241"/>
      <c r="J238" s="241"/>
      <c r="K238" s="241"/>
      <c r="L238" s="241"/>
      <c r="M238" s="241"/>
      <c r="N238" s="241"/>
      <c r="O238" s="241"/>
      <c r="P238" s="241"/>
      <c r="Q238" s="241"/>
      <c r="R238" s="241"/>
      <c r="S238" s="241"/>
      <c r="T238" s="241"/>
      <c r="U238" s="241"/>
      <c r="V238" s="241"/>
      <c r="W238" s="241"/>
      <c r="X238" s="241"/>
      <c r="Y238" s="241"/>
      <c r="Z238" s="241"/>
    </row>
    <row r="239" spans="1:26" ht="15.75" customHeight="1">
      <c r="A239" s="464">
        <v>237</v>
      </c>
      <c r="B239" s="459" t="s">
        <v>1163</v>
      </c>
      <c r="C239" s="502" t="s">
        <v>1759</v>
      </c>
      <c r="D239" s="503">
        <v>30</v>
      </c>
      <c r="E239" s="1200">
        <v>50000</v>
      </c>
      <c r="F239" s="1113">
        <f t="shared" si="19"/>
        <v>1500000</v>
      </c>
      <c r="G239" s="501"/>
      <c r="H239" s="241"/>
      <c r="I239" s="241"/>
      <c r="J239" s="241"/>
      <c r="K239" s="241"/>
      <c r="L239" s="241"/>
      <c r="M239" s="241"/>
      <c r="N239" s="241"/>
      <c r="O239" s="241"/>
      <c r="P239" s="241"/>
      <c r="Q239" s="241"/>
      <c r="R239" s="241"/>
      <c r="S239" s="241"/>
      <c r="T239" s="241"/>
      <c r="U239" s="241"/>
      <c r="V239" s="241"/>
      <c r="W239" s="241"/>
      <c r="X239" s="241"/>
      <c r="Y239" s="241"/>
      <c r="Z239" s="241"/>
    </row>
    <row r="240" spans="1:26" ht="15.75" customHeight="1">
      <c r="A240" s="459">
        <v>238</v>
      </c>
      <c r="B240" s="459" t="s">
        <v>1163</v>
      </c>
      <c r="C240" s="465" t="s">
        <v>1760</v>
      </c>
      <c r="D240" s="464">
        <v>15</v>
      </c>
      <c r="E240" s="1113">
        <v>100000</v>
      </c>
      <c r="F240" s="1113">
        <f t="shared" ref="F240:F245" si="20">SUM(E240*D240)</f>
        <v>1500000</v>
      </c>
      <c r="G240" s="356"/>
      <c r="H240" s="241"/>
      <c r="I240" s="241"/>
      <c r="J240" s="241"/>
      <c r="K240" s="241"/>
      <c r="L240" s="241"/>
      <c r="M240" s="241"/>
      <c r="N240" s="241"/>
      <c r="O240" s="241"/>
      <c r="P240" s="241"/>
      <c r="Q240" s="241"/>
      <c r="R240" s="241"/>
      <c r="S240" s="241"/>
      <c r="T240" s="241"/>
      <c r="U240" s="241"/>
      <c r="V240" s="241"/>
      <c r="W240" s="241"/>
      <c r="X240" s="241"/>
      <c r="Y240" s="241"/>
      <c r="Z240" s="241"/>
    </row>
    <row r="241" spans="1:26" ht="15.75" customHeight="1">
      <c r="A241" s="459">
        <v>239</v>
      </c>
      <c r="B241" s="459" t="s">
        <v>1163</v>
      </c>
      <c r="C241" s="465" t="s">
        <v>1761</v>
      </c>
      <c r="D241" s="464">
        <v>30</v>
      </c>
      <c r="E241" s="1113">
        <v>50000</v>
      </c>
      <c r="F241" s="1113">
        <f t="shared" si="20"/>
        <v>1500000</v>
      </c>
      <c r="G241" s="356"/>
      <c r="H241" s="241"/>
      <c r="I241" s="241"/>
      <c r="J241" s="241"/>
      <c r="K241" s="241"/>
      <c r="L241" s="241"/>
      <c r="M241" s="241"/>
      <c r="N241" s="241"/>
      <c r="O241" s="241"/>
      <c r="P241" s="241"/>
      <c r="Q241" s="241"/>
      <c r="R241" s="241"/>
      <c r="S241" s="241"/>
      <c r="T241" s="241"/>
      <c r="U241" s="241"/>
      <c r="V241" s="241"/>
      <c r="W241" s="241"/>
      <c r="X241" s="241"/>
      <c r="Y241" s="241"/>
      <c r="Z241" s="241"/>
    </row>
    <row r="242" spans="1:26" ht="15.75" customHeight="1">
      <c r="A242" s="464">
        <v>240</v>
      </c>
      <c r="B242" s="459" t="s">
        <v>1163</v>
      </c>
      <c r="C242" s="465" t="s">
        <v>1762</v>
      </c>
      <c r="D242" s="464">
        <v>15</v>
      </c>
      <c r="E242" s="1113">
        <v>100000</v>
      </c>
      <c r="F242" s="1113">
        <f t="shared" si="20"/>
        <v>1500000</v>
      </c>
      <c r="G242" s="356"/>
      <c r="H242" s="241"/>
      <c r="I242" s="241"/>
      <c r="J242" s="241"/>
      <c r="K242" s="241"/>
      <c r="L242" s="241"/>
      <c r="M242" s="241"/>
      <c r="N242" s="241"/>
      <c r="O242" s="241"/>
      <c r="P242" s="241"/>
      <c r="Q242" s="241"/>
      <c r="R242" s="241"/>
      <c r="S242" s="241"/>
      <c r="T242" s="241"/>
      <c r="U242" s="241"/>
      <c r="V242" s="241"/>
      <c r="W242" s="241"/>
      <c r="X242" s="241"/>
      <c r="Y242" s="241"/>
      <c r="Z242" s="241"/>
    </row>
    <row r="243" spans="1:26" ht="15.75" customHeight="1">
      <c r="A243" s="459">
        <v>241</v>
      </c>
      <c r="B243" s="459" t="s">
        <v>1163</v>
      </c>
      <c r="C243" s="465" t="s">
        <v>1763</v>
      </c>
      <c r="D243" s="464">
        <v>15</v>
      </c>
      <c r="E243" s="1113">
        <v>100000</v>
      </c>
      <c r="F243" s="1113">
        <f t="shared" si="20"/>
        <v>1500000</v>
      </c>
      <c r="G243" s="356"/>
      <c r="H243" s="241"/>
      <c r="I243" s="241"/>
      <c r="J243" s="241"/>
      <c r="K243" s="241"/>
      <c r="L243" s="241"/>
      <c r="M243" s="241"/>
      <c r="N243" s="241"/>
      <c r="O243" s="241"/>
      <c r="P243" s="241"/>
      <c r="Q243" s="241"/>
      <c r="R243" s="241"/>
      <c r="S243" s="241"/>
      <c r="T243" s="241"/>
      <c r="U243" s="241"/>
      <c r="V243" s="241"/>
      <c r="W243" s="241"/>
      <c r="X243" s="241"/>
      <c r="Y243" s="241"/>
      <c r="Z243" s="241"/>
    </row>
    <row r="244" spans="1:26" ht="15.75" customHeight="1">
      <c r="A244" s="464">
        <v>242</v>
      </c>
      <c r="B244" s="459" t="s">
        <v>1163</v>
      </c>
      <c r="C244" s="465" t="s">
        <v>1764</v>
      </c>
      <c r="D244" s="464">
        <v>2</v>
      </c>
      <c r="E244" s="1113">
        <v>800000</v>
      </c>
      <c r="F244" s="1113">
        <f t="shared" si="20"/>
        <v>1600000</v>
      </c>
      <c r="G244" s="356"/>
      <c r="H244" s="241"/>
      <c r="I244" s="241"/>
      <c r="J244" s="241"/>
      <c r="K244" s="241"/>
      <c r="L244" s="241"/>
      <c r="M244" s="241"/>
      <c r="N244" s="241"/>
      <c r="O244" s="241"/>
      <c r="P244" s="241"/>
      <c r="Q244" s="241"/>
      <c r="R244" s="241"/>
      <c r="S244" s="241"/>
      <c r="T244" s="241"/>
      <c r="U244" s="241"/>
      <c r="V244" s="241"/>
      <c r="W244" s="241"/>
      <c r="X244" s="241"/>
      <c r="Y244" s="241"/>
      <c r="Z244" s="241"/>
    </row>
    <row r="245" spans="1:26" ht="15.75" customHeight="1">
      <c r="A245" s="459">
        <v>243</v>
      </c>
      <c r="B245" s="459" t="s">
        <v>1163</v>
      </c>
      <c r="C245" s="465" t="s">
        <v>1765</v>
      </c>
      <c r="D245" s="464">
        <v>15</v>
      </c>
      <c r="E245" s="1113">
        <v>50000</v>
      </c>
      <c r="F245" s="1113">
        <f t="shared" si="20"/>
        <v>750000</v>
      </c>
      <c r="G245" s="356"/>
      <c r="H245" s="241"/>
      <c r="I245" s="241"/>
      <c r="J245" s="241"/>
      <c r="K245" s="241"/>
      <c r="L245" s="241"/>
      <c r="M245" s="241"/>
      <c r="N245" s="241"/>
      <c r="O245" s="241"/>
      <c r="P245" s="241"/>
      <c r="Q245" s="241"/>
      <c r="R245" s="241"/>
      <c r="S245" s="241"/>
      <c r="T245" s="241"/>
      <c r="U245" s="241"/>
      <c r="V245" s="241"/>
      <c r="W245" s="241"/>
      <c r="X245" s="241"/>
      <c r="Y245" s="241"/>
      <c r="Z245" s="241"/>
    </row>
    <row r="246" spans="1:26" ht="15.75" customHeight="1">
      <c r="A246" s="459">
        <v>244</v>
      </c>
      <c r="B246" s="459" t="s">
        <v>1163</v>
      </c>
      <c r="C246" s="502" t="s">
        <v>1766</v>
      </c>
      <c r="D246" s="355">
        <v>25</v>
      </c>
      <c r="E246" s="1113">
        <v>50000</v>
      </c>
      <c r="F246" s="1113">
        <f>E246*D246</f>
        <v>1250000</v>
      </c>
      <c r="G246" s="501"/>
      <c r="H246" s="241"/>
      <c r="I246" s="241"/>
      <c r="J246" s="241"/>
      <c r="K246" s="241"/>
      <c r="L246" s="241"/>
      <c r="M246" s="241"/>
      <c r="N246" s="241"/>
      <c r="O246" s="241"/>
      <c r="P246" s="241"/>
      <c r="Q246" s="241"/>
      <c r="R246" s="241"/>
      <c r="S246" s="241"/>
      <c r="T246" s="241"/>
      <c r="U246" s="241"/>
      <c r="V246" s="241"/>
      <c r="W246" s="241"/>
      <c r="X246" s="241"/>
      <c r="Y246" s="241"/>
      <c r="Z246" s="241"/>
    </row>
    <row r="247" spans="1:26" ht="15.75" customHeight="1">
      <c r="A247" s="464">
        <v>245</v>
      </c>
      <c r="B247" s="459" t="s">
        <v>1163</v>
      </c>
      <c r="C247" s="502" t="s">
        <v>1767</v>
      </c>
      <c r="D247" s="464">
        <v>3</v>
      </c>
      <c r="E247" s="1113">
        <v>500000</v>
      </c>
      <c r="F247" s="1113">
        <f>SUM(E247*D247)</f>
        <v>1500000</v>
      </c>
      <c r="G247" s="356"/>
      <c r="H247" s="241"/>
      <c r="I247" s="241"/>
      <c r="J247" s="241"/>
      <c r="K247" s="241"/>
      <c r="L247" s="241"/>
      <c r="M247" s="241"/>
      <c r="N247" s="241"/>
      <c r="O247" s="241"/>
      <c r="P247" s="241"/>
      <c r="Q247" s="241"/>
      <c r="R247" s="241"/>
      <c r="S247" s="241"/>
      <c r="T247" s="241"/>
      <c r="U247" s="241"/>
      <c r="V247" s="241"/>
      <c r="W247" s="241"/>
      <c r="X247" s="241"/>
      <c r="Y247" s="241"/>
      <c r="Z247" s="241"/>
    </row>
    <row r="248" spans="1:26" ht="15.75" customHeight="1">
      <c r="A248" s="459">
        <v>246</v>
      </c>
      <c r="B248" s="459" t="s">
        <v>1163</v>
      </c>
      <c r="C248" s="502" t="s">
        <v>1768</v>
      </c>
      <c r="D248" s="503">
        <v>10</v>
      </c>
      <c r="E248" s="1200">
        <v>130000</v>
      </c>
      <c r="F248" s="1113">
        <f>E248*D248</f>
        <v>1300000</v>
      </c>
      <c r="G248" s="501"/>
      <c r="H248" s="241"/>
      <c r="I248" s="241"/>
      <c r="J248" s="241"/>
      <c r="K248" s="241"/>
      <c r="L248" s="241"/>
      <c r="M248" s="241"/>
      <c r="N248" s="241"/>
      <c r="O248" s="241"/>
      <c r="P248" s="241"/>
      <c r="Q248" s="241"/>
      <c r="R248" s="241"/>
      <c r="S248" s="241"/>
      <c r="T248" s="241"/>
      <c r="U248" s="241"/>
      <c r="V248" s="241"/>
      <c r="W248" s="241"/>
      <c r="X248" s="241"/>
      <c r="Y248" s="241"/>
      <c r="Z248" s="241"/>
    </row>
    <row r="249" spans="1:26" ht="15.75" customHeight="1">
      <c r="A249" s="464">
        <v>247</v>
      </c>
      <c r="B249" s="459" t="s">
        <v>1163</v>
      </c>
      <c r="C249" s="465" t="s">
        <v>1769</v>
      </c>
      <c r="D249" s="464">
        <v>18</v>
      </c>
      <c r="E249" s="1113">
        <v>50000</v>
      </c>
      <c r="F249" s="1113">
        <f>SUM(E249*D249)</f>
        <v>900000</v>
      </c>
      <c r="G249" s="356"/>
      <c r="H249" s="241"/>
      <c r="I249" s="241"/>
      <c r="J249" s="241"/>
      <c r="K249" s="241"/>
      <c r="L249" s="241"/>
      <c r="M249" s="241"/>
      <c r="N249" s="241"/>
      <c r="O249" s="241"/>
      <c r="P249" s="241"/>
      <c r="Q249" s="241"/>
      <c r="R249" s="241"/>
      <c r="S249" s="241"/>
      <c r="T249" s="241"/>
      <c r="U249" s="241"/>
      <c r="V249" s="241"/>
      <c r="W249" s="241"/>
      <c r="X249" s="241"/>
      <c r="Y249" s="241"/>
      <c r="Z249" s="241"/>
    </row>
    <row r="250" spans="1:26" ht="15.75" customHeight="1">
      <c r="A250" s="459">
        <v>248</v>
      </c>
      <c r="B250" s="459" t="s">
        <v>1163</v>
      </c>
      <c r="C250" s="502" t="s">
        <v>1770</v>
      </c>
      <c r="D250" s="503">
        <v>15</v>
      </c>
      <c r="E250" s="1200">
        <v>60000</v>
      </c>
      <c r="F250" s="1113">
        <f t="shared" ref="F250:F251" si="21">E250*D250</f>
        <v>900000</v>
      </c>
      <c r="G250" s="501"/>
      <c r="H250" s="241"/>
      <c r="I250" s="241"/>
      <c r="J250" s="241"/>
      <c r="K250" s="241"/>
      <c r="L250" s="241"/>
      <c r="M250" s="241"/>
      <c r="N250" s="241"/>
      <c r="O250" s="241"/>
      <c r="P250" s="241"/>
      <c r="Q250" s="241"/>
      <c r="R250" s="241"/>
      <c r="S250" s="241"/>
      <c r="T250" s="241"/>
      <c r="U250" s="241"/>
      <c r="V250" s="241"/>
      <c r="W250" s="241"/>
      <c r="X250" s="241"/>
      <c r="Y250" s="241"/>
      <c r="Z250" s="241"/>
    </row>
    <row r="251" spans="1:26" ht="15.75" customHeight="1">
      <c r="A251" s="459">
        <v>249</v>
      </c>
      <c r="B251" s="459" t="s">
        <v>1163</v>
      </c>
      <c r="C251" s="502" t="s">
        <v>1771</v>
      </c>
      <c r="D251" s="355">
        <v>4</v>
      </c>
      <c r="E251" s="1113">
        <v>250000</v>
      </c>
      <c r="F251" s="1113">
        <f t="shared" si="21"/>
        <v>1000000</v>
      </c>
      <c r="G251" s="501"/>
      <c r="H251" s="241"/>
      <c r="I251" s="241"/>
      <c r="J251" s="241"/>
      <c r="K251" s="241"/>
      <c r="L251" s="241"/>
      <c r="M251" s="241"/>
      <c r="N251" s="241"/>
      <c r="O251" s="241"/>
      <c r="P251" s="241"/>
      <c r="Q251" s="241"/>
      <c r="R251" s="241"/>
      <c r="S251" s="241"/>
      <c r="T251" s="241"/>
      <c r="U251" s="241"/>
      <c r="V251" s="241"/>
      <c r="W251" s="241"/>
      <c r="X251" s="241"/>
      <c r="Y251" s="241"/>
      <c r="Z251" s="241"/>
    </row>
    <row r="252" spans="1:26" ht="15.75" customHeight="1">
      <c r="A252" s="464">
        <v>250</v>
      </c>
      <c r="B252" s="459" t="s">
        <v>1163</v>
      </c>
      <c r="C252" s="465" t="s">
        <v>1772</v>
      </c>
      <c r="D252" s="464">
        <v>15</v>
      </c>
      <c r="E252" s="1113">
        <v>60000</v>
      </c>
      <c r="F252" s="1113">
        <f>SUM(E252*D252)</f>
        <v>900000</v>
      </c>
      <c r="G252" s="356"/>
      <c r="H252" s="241"/>
      <c r="I252" s="241"/>
      <c r="J252" s="241"/>
      <c r="K252" s="241"/>
      <c r="L252" s="241"/>
      <c r="M252" s="241"/>
      <c r="N252" s="241"/>
      <c r="O252" s="241"/>
      <c r="P252" s="241"/>
      <c r="Q252" s="241"/>
      <c r="R252" s="241"/>
      <c r="S252" s="241"/>
      <c r="T252" s="241"/>
      <c r="U252" s="241"/>
      <c r="V252" s="241"/>
      <c r="W252" s="241"/>
      <c r="X252" s="241"/>
      <c r="Y252" s="241"/>
      <c r="Z252" s="241"/>
    </row>
    <row r="253" spans="1:26" ht="15.75" customHeight="1">
      <c r="A253" s="459">
        <v>251</v>
      </c>
      <c r="B253" s="459" t="s">
        <v>1163</v>
      </c>
      <c r="C253" s="502" t="s">
        <v>1773</v>
      </c>
      <c r="D253" s="355">
        <v>10</v>
      </c>
      <c r="E253" s="1113">
        <v>75000</v>
      </c>
      <c r="F253" s="1113">
        <f t="shared" ref="F253:F254" si="22">E253*D253</f>
        <v>750000</v>
      </c>
      <c r="G253" s="501"/>
      <c r="H253" s="241"/>
      <c r="I253" s="241"/>
      <c r="J253" s="241"/>
      <c r="K253" s="241"/>
      <c r="L253" s="241"/>
      <c r="M253" s="241"/>
      <c r="N253" s="241"/>
      <c r="O253" s="241"/>
      <c r="P253" s="241"/>
      <c r="Q253" s="241"/>
      <c r="R253" s="241"/>
      <c r="S253" s="241"/>
      <c r="T253" s="241"/>
      <c r="U253" s="241"/>
      <c r="V253" s="241"/>
      <c r="W253" s="241"/>
      <c r="X253" s="241"/>
      <c r="Y253" s="241"/>
      <c r="Z253" s="241"/>
    </row>
    <row r="254" spans="1:26" ht="15.75" customHeight="1">
      <c r="A254" s="464">
        <v>252</v>
      </c>
      <c r="B254" s="459" t="s">
        <v>1163</v>
      </c>
      <c r="C254" s="505" t="s">
        <v>1774</v>
      </c>
      <c r="D254" s="506">
        <v>4</v>
      </c>
      <c r="E254" s="1113">
        <v>200000</v>
      </c>
      <c r="F254" s="1113">
        <f t="shared" si="22"/>
        <v>800000</v>
      </c>
      <c r="G254" s="501"/>
      <c r="H254" s="241"/>
      <c r="I254" s="241"/>
      <c r="J254" s="241"/>
      <c r="K254" s="241"/>
      <c r="L254" s="241"/>
      <c r="M254" s="241"/>
      <c r="N254" s="241"/>
      <c r="O254" s="241"/>
      <c r="P254" s="241"/>
      <c r="Q254" s="241"/>
      <c r="R254" s="241"/>
      <c r="S254" s="241"/>
      <c r="T254" s="241"/>
      <c r="U254" s="241"/>
      <c r="V254" s="241"/>
      <c r="W254" s="241"/>
      <c r="X254" s="241"/>
      <c r="Y254" s="241"/>
      <c r="Z254" s="241"/>
    </row>
    <row r="255" spans="1:26" ht="15.75" customHeight="1">
      <c r="A255" s="459">
        <v>253</v>
      </c>
      <c r="B255" s="459" t="s">
        <v>1163</v>
      </c>
      <c r="C255" s="502" t="s">
        <v>1775</v>
      </c>
      <c r="D255" s="355">
        <v>2</v>
      </c>
      <c r="E255" s="1113">
        <v>450000</v>
      </c>
      <c r="F255" s="1113">
        <f t="shared" ref="F255:F256" si="23">SUM(E255*D255)</f>
        <v>900000</v>
      </c>
      <c r="G255" s="356" t="s">
        <v>1776</v>
      </c>
      <c r="H255" s="241"/>
      <c r="I255" s="241"/>
      <c r="J255" s="241"/>
      <c r="K255" s="241"/>
      <c r="L255" s="241"/>
      <c r="M255" s="241"/>
      <c r="N255" s="241"/>
      <c r="O255" s="241"/>
      <c r="P255" s="241"/>
      <c r="Q255" s="241"/>
      <c r="R255" s="241"/>
      <c r="S255" s="241"/>
      <c r="T255" s="241"/>
      <c r="U255" s="241"/>
      <c r="V255" s="241"/>
      <c r="W255" s="241"/>
      <c r="X255" s="241"/>
      <c r="Y255" s="241"/>
      <c r="Z255" s="241"/>
    </row>
    <row r="256" spans="1:26" ht="15.75" customHeight="1">
      <c r="A256" s="459">
        <v>254</v>
      </c>
      <c r="B256" s="459" t="s">
        <v>1163</v>
      </c>
      <c r="C256" s="502" t="s">
        <v>1777</v>
      </c>
      <c r="D256" s="355">
        <v>2</v>
      </c>
      <c r="E256" s="1113">
        <v>500000</v>
      </c>
      <c r="F256" s="1113">
        <f t="shared" si="23"/>
        <v>1000000</v>
      </c>
      <c r="G256" s="356" t="s">
        <v>1778</v>
      </c>
      <c r="H256" s="241"/>
      <c r="I256" s="241"/>
      <c r="J256" s="241"/>
      <c r="K256" s="241"/>
      <c r="L256" s="241"/>
      <c r="M256" s="241"/>
      <c r="N256" s="241"/>
      <c r="O256" s="241"/>
      <c r="P256" s="241"/>
      <c r="Q256" s="241"/>
      <c r="R256" s="241"/>
      <c r="S256" s="241"/>
      <c r="T256" s="241"/>
      <c r="U256" s="241"/>
      <c r="V256" s="241"/>
      <c r="W256" s="241"/>
      <c r="X256" s="241"/>
      <c r="Y256" s="241"/>
      <c r="Z256" s="241"/>
    </row>
    <row r="257" spans="1:26" ht="15.75" customHeight="1">
      <c r="A257" s="464">
        <v>255</v>
      </c>
      <c r="B257" s="459" t="s">
        <v>1163</v>
      </c>
      <c r="C257" s="465" t="s">
        <v>1779</v>
      </c>
      <c r="D257" s="464"/>
      <c r="E257" s="1113"/>
      <c r="F257" s="1113">
        <v>600000</v>
      </c>
      <c r="G257" s="356"/>
      <c r="H257" s="241"/>
      <c r="I257" s="241"/>
      <c r="J257" s="241"/>
      <c r="K257" s="241"/>
      <c r="L257" s="241"/>
      <c r="M257" s="241"/>
      <c r="N257" s="241"/>
      <c r="O257" s="241"/>
      <c r="P257" s="241"/>
      <c r="Q257" s="241"/>
      <c r="R257" s="241"/>
      <c r="S257" s="241"/>
      <c r="T257" s="241"/>
      <c r="U257" s="241"/>
      <c r="V257" s="241"/>
      <c r="W257" s="241"/>
      <c r="X257" s="241"/>
      <c r="Y257" s="241"/>
      <c r="Z257" s="241"/>
    </row>
    <row r="258" spans="1:26" ht="15.75" customHeight="1">
      <c r="A258" s="459">
        <v>256</v>
      </c>
      <c r="B258" s="459" t="s">
        <v>1163</v>
      </c>
      <c r="C258" s="507" t="s">
        <v>1780</v>
      </c>
      <c r="D258" s="506">
        <v>2</v>
      </c>
      <c r="E258" s="1113">
        <v>300000</v>
      </c>
      <c r="F258" s="1113">
        <f>E258*D258</f>
        <v>600000</v>
      </c>
      <c r="G258" s="462"/>
      <c r="H258" s="241"/>
      <c r="I258" s="241"/>
      <c r="J258" s="241"/>
      <c r="K258" s="241"/>
      <c r="L258" s="241"/>
      <c r="M258" s="241"/>
      <c r="N258" s="241"/>
      <c r="O258" s="241"/>
      <c r="P258" s="241"/>
      <c r="Q258" s="241"/>
      <c r="R258" s="241"/>
      <c r="S258" s="241"/>
      <c r="T258" s="241"/>
      <c r="U258" s="241"/>
      <c r="V258" s="241"/>
      <c r="W258" s="241"/>
      <c r="X258" s="241"/>
      <c r="Y258" s="241"/>
      <c r="Z258" s="241"/>
    </row>
    <row r="259" spans="1:26" ht="15.75" customHeight="1">
      <c r="A259" s="464">
        <v>257</v>
      </c>
      <c r="B259" s="459" t="s">
        <v>1163</v>
      </c>
      <c r="C259" s="465" t="s">
        <v>1781</v>
      </c>
      <c r="D259" s="464">
        <v>20</v>
      </c>
      <c r="E259" s="1113">
        <v>45000</v>
      </c>
      <c r="F259" s="1113">
        <f t="shared" ref="F259:F260" si="24">SUM(E259*D259)</f>
        <v>900000</v>
      </c>
      <c r="G259" s="356"/>
      <c r="H259" s="241"/>
      <c r="I259" s="241"/>
      <c r="J259" s="241"/>
      <c r="K259" s="241"/>
      <c r="L259" s="241"/>
      <c r="M259" s="241"/>
      <c r="N259" s="241"/>
      <c r="O259" s="241"/>
      <c r="P259" s="241"/>
      <c r="Q259" s="241"/>
      <c r="R259" s="241"/>
      <c r="S259" s="241"/>
      <c r="T259" s="241"/>
      <c r="U259" s="241"/>
      <c r="V259" s="241"/>
      <c r="W259" s="241"/>
      <c r="X259" s="241"/>
      <c r="Y259" s="241"/>
      <c r="Z259" s="241"/>
    </row>
    <row r="260" spans="1:26" ht="15.75" customHeight="1">
      <c r="A260" s="459">
        <v>258</v>
      </c>
      <c r="B260" s="459" t="s">
        <v>1163</v>
      </c>
      <c r="C260" s="465" t="s">
        <v>1782</v>
      </c>
      <c r="D260" s="464">
        <v>12</v>
      </c>
      <c r="E260" s="1113">
        <v>60000</v>
      </c>
      <c r="F260" s="1113">
        <f t="shared" si="24"/>
        <v>720000</v>
      </c>
      <c r="G260" s="356"/>
      <c r="H260" s="241"/>
      <c r="I260" s="241"/>
      <c r="J260" s="241"/>
      <c r="K260" s="241"/>
      <c r="L260" s="241"/>
      <c r="M260" s="241"/>
      <c r="N260" s="241"/>
      <c r="O260" s="241"/>
      <c r="P260" s="241"/>
      <c r="Q260" s="241"/>
      <c r="R260" s="241"/>
      <c r="S260" s="241"/>
      <c r="T260" s="241"/>
      <c r="U260" s="241"/>
      <c r="V260" s="241"/>
      <c r="W260" s="241"/>
      <c r="X260" s="241"/>
      <c r="Y260" s="241"/>
      <c r="Z260" s="241"/>
    </row>
    <row r="261" spans="1:26" ht="15.75" customHeight="1">
      <c r="A261" s="459">
        <v>259</v>
      </c>
      <c r="B261" s="459" t="s">
        <v>1163</v>
      </c>
      <c r="C261" s="505" t="s">
        <v>1783</v>
      </c>
      <c r="D261" s="355">
        <v>10</v>
      </c>
      <c r="E261" s="1113">
        <v>50000</v>
      </c>
      <c r="F261" s="1113">
        <f>E261*D261</f>
        <v>500000</v>
      </c>
      <c r="G261" s="501"/>
      <c r="H261" s="241"/>
      <c r="I261" s="241"/>
      <c r="J261" s="241"/>
      <c r="K261" s="241"/>
      <c r="L261" s="241"/>
      <c r="M261" s="241"/>
      <c r="N261" s="241"/>
      <c r="O261" s="241"/>
      <c r="P261" s="241"/>
      <c r="Q261" s="241"/>
      <c r="R261" s="241"/>
      <c r="S261" s="241"/>
      <c r="T261" s="241"/>
      <c r="U261" s="241"/>
      <c r="V261" s="241"/>
      <c r="W261" s="241"/>
      <c r="X261" s="241"/>
      <c r="Y261" s="241"/>
      <c r="Z261" s="241"/>
    </row>
    <row r="262" spans="1:26" ht="15.75" customHeight="1">
      <c r="A262" s="464">
        <v>260</v>
      </c>
      <c r="B262" s="459" t="s">
        <v>1163</v>
      </c>
      <c r="C262" s="465" t="s">
        <v>1784</v>
      </c>
      <c r="D262" s="464">
        <v>15</v>
      </c>
      <c r="E262" s="1113">
        <v>50000</v>
      </c>
      <c r="F262" s="1113">
        <f t="shared" ref="F262:F264" si="25">SUM(E262*D262)</f>
        <v>750000</v>
      </c>
      <c r="G262" s="356"/>
      <c r="H262" s="241"/>
      <c r="I262" s="241"/>
      <c r="J262" s="241"/>
      <c r="K262" s="241"/>
      <c r="L262" s="241"/>
      <c r="M262" s="241"/>
      <c r="N262" s="241"/>
      <c r="O262" s="241"/>
      <c r="P262" s="241"/>
      <c r="Q262" s="241"/>
      <c r="R262" s="241"/>
      <c r="S262" s="241"/>
      <c r="T262" s="241"/>
      <c r="U262" s="241"/>
      <c r="V262" s="241"/>
      <c r="W262" s="241"/>
      <c r="X262" s="241"/>
      <c r="Y262" s="241"/>
      <c r="Z262" s="241"/>
    </row>
    <row r="263" spans="1:26" ht="15.75" customHeight="1">
      <c r="A263" s="459">
        <v>261</v>
      </c>
      <c r="B263" s="459" t="s">
        <v>1163</v>
      </c>
      <c r="C263" s="465" t="s">
        <v>1785</v>
      </c>
      <c r="D263" s="464">
        <v>15</v>
      </c>
      <c r="E263" s="1113">
        <v>50000</v>
      </c>
      <c r="F263" s="1113">
        <f t="shared" si="25"/>
        <v>750000</v>
      </c>
      <c r="G263" s="356"/>
      <c r="H263" s="241"/>
      <c r="I263" s="241"/>
      <c r="J263" s="241"/>
      <c r="K263" s="241"/>
      <c r="L263" s="241"/>
      <c r="M263" s="241"/>
      <c r="N263" s="241"/>
      <c r="O263" s="241"/>
      <c r="P263" s="241"/>
      <c r="Q263" s="241"/>
      <c r="R263" s="241"/>
      <c r="S263" s="241"/>
      <c r="T263" s="241"/>
      <c r="U263" s="241"/>
      <c r="V263" s="241"/>
      <c r="W263" s="241"/>
      <c r="X263" s="241"/>
      <c r="Y263" s="241"/>
      <c r="Z263" s="241"/>
    </row>
    <row r="264" spans="1:26" ht="15.75" customHeight="1">
      <c r="A264" s="464">
        <v>262</v>
      </c>
      <c r="B264" s="459" t="s">
        <v>1163</v>
      </c>
      <c r="C264" s="465" t="s">
        <v>1786</v>
      </c>
      <c r="D264" s="464">
        <v>40</v>
      </c>
      <c r="E264" s="1113">
        <v>15000</v>
      </c>
      <c r="F264" s="1113">
        <f t="shared" si="25"/>
        <v>600000</v>
      </c>
      <c r="G264" s="50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</row>
    <row r="265" spans="1:26" ht="15.75" customHeight="1">
      <c r="A265" s="459">
        <v>263</v>
      </c>
      <c r="B265" s="459" t="s">
        <v>1163</v>
      </c>
      <c r="C265" s="505" t="s">
        <v>1787</v>
      </c>
      <c r="D265" s="355">
        <v>2</v>
      </c>
      <c r="E265" s="1113">
        <v>300000</v>
      </c>
      <c r="F265" s="1113">
        <f>E265*D265</f>
        <v>600000</v>
      </c>
      <c r="G265" s="501"/>
      <c r="H265" s="241"/>
      <c r="I265" s="241"/>
      <c r="J265" s="241"/>
      <c r="K265" s="241"/>
      <c r="L265" s="241"/>
      <c r="M265" s="241"/>
      <c r="N265" s="241"/>
      <c r="O265" s="241"/>
      <c r="P265" s="241"/>
      <c r="Q265" s="241"/>
      <c r="R265" s="241"/>
      <c r="S265" s="241"/>
      <c r="T265" s="241"/>
      <c r="U265" s="241"/>
      <c r="V265" s="241"/>
      <c r="W265" s="241"/>
      <c r="X265" s="241"/>
      <c r="Y265" s="241"/>
      <c r="Z265" s="241"/>
    </row>
    <row r="266" spans="1:26" ht="15.75" customHeight="1">
      <c r="A266" s="459">
        <v>264</v>
      </c>
      <c r="B266" s="459" t="s">
        <v>1163</v>
      </c>
      <c r="C266" s="465" t="s">
        <v>1788</v>
      </c>
      <c r="D266" s="464">
        <v>4</v>
      </c>
      <c r="E266" s="1113">
        <v>150000</v>
      </c>
      <c r="F266" s="1113">
        <f>SUM(E266*D266)</f>
        <v>600000</v>
      </c>
      <c r="G266" s="356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</row>
    <row r="267" spans="1:26" ht="15.75" customHeight="1">
      <c r="A267" s="464">
        <v>265</v>
      </c>
      <c r="B267" s="459" t="s">
        <v>1163</v>
      </c>
      <c r="C267" s="505" t="s">
        <v>1789</v>
      </c>
      <c r="D267" s="506">
        <v>5</v>
      </c>
      <c r="E267" s="1113">
        <v>100000</v>
      </c>
      <c r="F267" s="1113">
        <f>E267*D267</f>
        <v>500000</v>
      </c>
      <c r="G267" s="50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</row>
    <row r="268" spans="1:26" ht="15.75" customHeight="1">
      <c r="A268" s="459">
        <v>266</v>
      </c>
      <c r="B268" s="459" t="s">
        <v>1163</v>
      </c>
      <c r="C268" s="465" t="s">
        <v>1790</v>
      </c>
      <c r="D268" s="464"/>
      <c r="E268" s="1113"/>
      <c r="F268" s="1113">
        <v>400000</v>
      </c>
      <c r="G268" s="356"/>
      <c r="H268" s="241"/>
      <c r="I268" s="241"/>
      <c r="J268" s="241"/>
      <c r="K268" s="241"/>
      <c r="L268" s="241"/>
      <c r="M268" s="241"/>
      <c r="N268" s="241"/>
      <c r="O268" s="241"/>
      <c r="P268" s="241"/>
      <c r="Q268" s="241"/>
      <c r="R268" s="241"/>
      <c r="S268" s="241"/>
      <c r="T268" s="241"/>
      <c r="U268" s="241"/>
      <c r="V268" s="241"/>
      <c r="W268" s="241"/>
      <c r="X268" s="241"/>
      <c r="Y268" s="241"/>
      <c r="Z268" s="241"/>
    </row>
    <row r="269" spans="1:26" ht="15.75" customHeight="1">
      <c r="A269" s="464">
        <v>267</v>
      </c>
      <c r="B269" s="459" t="s">
        <v>1163</v>
      </c>
      <c r="C269" s="508" t="s">
        <v>1791</v>
      </c>
      <c r="D269" s="506">
        <v>2</v>
      </c>
      <c r="E269" s="1113">
        <v>150000</v>
      </c>
      <c r="F269" s="1113">
        <f>E269*D269</f>
        <v>300000</v>
      </c>
      <c r="G269" s="462" t="s">
        <v>1792</v>
      </c>
      <c r="H269" s="241"/>
      <c r="I269" s="241"/>
      <c r="J269" s="241"/>
      <c r="K269" s="241"/>
      <c r="L269" s="241"/>
      <c r="M269" s="241"/>
      <c r="N269" s="241"/>
      <c r="O269" s="241"/>
      <c r="P269" s="241"/>
      <c r="Q269" s="241"/>
      <c r="R269" s="241"/>
      <c r="S269" s="241"/>
      <c r="T269" s="241"/>
      <c r="U269" s="241"/>
      <c r="V269" s="241"/>
      <c r="W269" s="241"/>
      <c r="X269" s="241"/>
      <c r="Y269" s="241"/>
      <c r="Z269" s="241"/>
    </row>
    <row r="270" spans="1:26" ht="15.75" customHeight="1">
      <c r="A270" s="459">
        <v>268</v>
      </c>
      <c r="B270" s="459" t="s">
        <v>1163</v>
      </c>
      <c r="C270" s="465" t="s">
        <v>1791</v>
      </c>
      <c r="D270" s="355">
        <v>2</v>
      </c>
      <c r="E270" s="1113">
        <v>150000</v>
      </c>
      <c r="F270" s="1113">
        <f t="shared" ref="F270:F273" si="26">SUM(E270*D270)</f>
        <v>300000</v>
      </c>
      <c r="G270" s="463" t="s">
        <v>1793</v>
      </c>
      <c r="H270" s="241"/>
      <c r="I270" s="241"/>
      <c r="J270" s="241"/>
      <c r="K270" s="241"/>
      <c r="L270" s="241"/>
      <c r="M270" s="241"/>
      <c r="N270" s="241"/>
      <c r="O270" s="241"/>
      <c r="P270" s="241"/>
      <c r="Q270" s="241"/>
      <c r="R270" s="241"/>
      <c r="S270" s="241"/>
      <c r="T270" s="241"/>
      <c r="U270" s="241"/>
      <c r="V270" s="241"/>
      <c r="W270" s="241"/>
      <c r="X270" s="241"/>
      <c r="Y270" s="241"/>
      <c r="Z270" s="241"/>
    </row>
    <row r="271" spans="1:26" ht="15.75" customHeight="1">
      <c r="A271" s="459">
        <v>269</v>
      </c>
      <c r="B271" s="459" t="s">
        <v>1163</v>
      </c>
      <c r="C271" s="502" t="s">
        <v>1794</v>
      </c>
      <c r="D271" s="464">
        <v>3</v>
      </c>
      <c r="E271" s="1113">
        <v>100000</v>
      </c>
      <c r="F271" s="1113">
        <f t="shared" si="26"/>
        <v>300000</v>
      </c>
      <c r="G271" s="356"/>
      <c r="H271" s="241"/>
      <c r="I271" s="241"/>
      <c r="J271" s="241"/>
      <c r="K271" s="241"/>
      <c r="L271" s="241"/>
      <c r="M271" s="241"/>
      <c r="N271" s="241"/>
      <c r="O271" s="241"/>
      <c r="P271" s="241"/>
      <c r="Q271" s="241"/>
      <c r="R271" s="241"/>
      <c r="S271" s="241"/>
      <c r="T271" s="241"/>
      <c r="U271" s="241"/>
      <c r="V271" s="241"/>
      <c r="W271" s="241"/>
      <c r="X271" s="241"/>
      <c r="Y271" s="241"/>
      <c r="Z271" s="241"/>
    </row>
    <row r="272" spans="1:26" ht="15.75" customHeight="1">
      <c r="A272" s="464">
        <v>270</v>
      </c>
      <c r="B272" s="459" t="s">
        <v>1163</v>
      </c>
      <c r="C272" s="465" t="s">
        <v>1795</v>
      </c>
      <c r="D272" s="464">
        <v>1</v>
      </c>
      <c r="E272" s="1113">
        <v>300000</v>
      </c>
      <c r="F272" s="1113">
        <f t="shared" si="26"/>
        <v>300000</v>
      </c>
      <c r="G272" s="356"/>
      <c r="H272" s="241"/>
      <c r="I272" s="241"/>
      <c r="J272" s="241"/>
      <c r="K272" s="241"/>
      <c r="L272" s="241"/>
      <c r="M272" s="241"/>
      <c r="N272" s="241"/>
      <c r="O272" s="241"/>
      <c r="P272" s="241"/>
      <c r="Q272" s="241"/>
      <c r="R272" s="241"/>
      <c r="S272" s="241"/>
      <c r="T272" s="241"/>
      <c r="U272" s="241"/>
      <c r="V272" s="241"/>
      <c r="W272" s="241"/>
      <c r="X272" s="241"/>
      <c r="Y272" s="241"/>
      <c r="Z272" s="241"/>
    </row>
    <row r="273" spans="1:26" ht="15.75" customHeight="1">
      <c r="A273" s="459">
        <v>271</v>
      </c>
      <c r="B273" s="459" t="s">
        <v>1163</v>
      </c>
      <c r="C273" s="465" t="s">
        <v>1796</v>
      </c>
      <c r="D273" s="464">
        <v>15</v>
      </c>
      <c r="E273" s="1113">
        <v>15000</v>
      </c>
      <c r="F273" s="1113">
        <f t="shared" si="26"/>
        <v>225000</v>
      </c>
      <c r="G273" s="356" t="s">
        <v>1797</v>
      </c>
      <c r="H273" s="241"/>
      <c r="I273" s="241"/>
      <c r="J273" s="241"/>
      <c r="K273" s="241"/>
      <c r="L273" s="241"/>
      <c r="M273" s="241"/>
      <c r="N273" s="241"/>
      <c r="O273" s="241"/>
      <c r="P273" s="241"/>
      <c r="Q273" s="241"/>
      <c r="R273" s="241"/>
      <c r="S273" s="241"/>
      <c r="T273" s="241"/>
      <c r="U273" s="241"/>
      <c r="V273" s="241"/>
      <c r="W273" s="241"/>
      <c r="X273" s="241"/>
      <c r="Y273" s="241"/>
      <c r="Z273" s="241"/>
    </row>
    <row r="274" spans="1:26" ht="15.75" customHeight="1">
      <c r="A274" s="464">
        <v>272</v>
      </c>
      <c r="B274" s="459" t="s">
        <v>1163</v>
      </c>
      <c r="C274" s="508" t="s">
        <v>1798</v>
      </c>
      <c r="D274" s="506">
        <v>2</v>
      </c>
      <c r="E274" s="1113">
        <v>75000</v>
      </c>
      <c r="F274" s="1113">
        <f>E274*D274</f>
        <v>150000</v>
      </c>
      <c r="G274" s="462"/>
      <c r="H274" s="241"/>
      <c r="I274" s="241"/>
      <c r="J274" s="241"/>
      <c r="K274" s="241"/>
      <c r="L274" s="241"/>
      <c r="M274" s="241"/>
      <c r="N274" s="241"/>
      <c r="O274" s="241"/>
      <c r="P274" s="241"/>
      <c r="Q274" s="241"/>
      <c r="R274" s="241"/>
      <c r="S274" s="241"/>
      <c r="T274" s="241"/>
      <c r="U274" s="241"/>
      <c r="V274" s="241"/>
      <c r="W274" s="241"/>
      <c r="X274" s="241"/>
      <c r="Y274" s="241"/>
      <c r="Z274" s="241"/>
    </row>
    <row r="275" spans="1:26" ht="15.75" customHeight="1">
      <c r="A275" s="459">
        <v>273</v>
      </c>
      <c r="B275" s="459" t="s">
        <v>1163</v>
      </c>
      <c r="C275" s="465" t="s">
        <v>1798</v>
      </c>
      <c r="D275" s="355">
        <v>2</v>
      </c>
      <c r="E275" s="1113">
        <v>75000</v>
      </c>
      <c r="F275" s="1113">
        <f t="shared" ref="F275:F277" si="27">SUM(E275*D275)</f>
        <v>150000</v>
      </c>
      <c r="G275" s="356"/>
      <c r="H275" s="241"/>
      <c r="I275" s="241"/>
      <c r="J275" s="241"/>
      <c r="K275" s="241"/>
      <c r="L275" s="241"/>
      <c r="M275" s="241"/>
      <c r="N275" s="241"/>
      <c r="O275" s="241"/>
      <c r="P275" s="241"/>
      <c r="Q275" s="241"/>
      <c r="R275" s="241"/>
      <c r="S275" s="241"/>
      <c r="T275" s="241"/>
      <c r="U275" s="241"/>
      <c r="V275" s="241"/>
      <c r="W275" s="241"/>
      <c r="X275" s="241"/>
      <c r="Y275" s="241"/>
      <c r="Z275" s="241"/>
    </row>
    <row r="276" spans="1:26" ht="15.75" customHeight="1">
      <c r="A276" s="459">
        <v>274</v>
      </c>
      <c r="B276" s="459" t="s">
        <v>1163</v>
      </c>
      <c r="C276" s="465" t="s">
        <v>1799</v>
      </c>
      <c r="D276" s="464">
        <v>6</v>
      </c>
      <c r="E276" s="1113">
        <v>15000</v>
      </c>
      <c r="F276" s="1113">
        <f t="shared" si="27"/>
        <v>90000</v>
      </c>
      <c r="G276" s="356"/>
      <c r="H276" s="241"/>
      <c r="I276" s="241"/>
      <c r="J276" s="241"/>
      <c r="K276" s="241"/>
      <c r="L276" s="241"/>
      <c r="M276" s="241"/>
      <c r="N276" s="241"/>
      <c r="O276" s="241"/>
      <c r="P276" s="241"/>
      <c r="Q276" s="241"/>
      <c r="R276" s="241"/>
      <c r="S276" s="241"/>
      <c r="T276" s="241"/>
      <c r="U276" s="241"/>
      <c r="V276" s="241"/>
      <c r="W276" s="241"/>
      <c r="X276" s="241"/>
      <c r="Y276" s="241"/>
      <c r="Z276" s="241"/>
    </row>
    <row r="277" spans="1:26" ht="15.75" customHeight="1">
      <c r="A277" s="464">
        <v>275</v>
      </c>
      <c r="B277" s="459" t="s">
        <v>1163</v>
      </c>
      <c r="C277" s="502" t="s">
        <v>1800</v>
      </c>
      <c r="D277" s="355">
        <v>2</v>
      </c>
      <c r="E277" s="1113">
        <v>20000</v>
      </c>
      <c r="F277" s="1113">
        <f t="shared" si="27"/>
        <v>40000</v>
      </c>
      <c r="G277" s="356"/>
      <c r="H277" s="241"/>
      <c r="I277" s="241"/>
      <c r="J277" s="241"/>
      <c r="K277" s="241"/>
      <c r="L277" s="241"/>
      <c r="M277" s="241"/>
      <c r="N277" s="241"/>
      <c r="O277" s="241"/>
      <c r="P277" s="241"/>
      <c r="Q277" s="241"/>
      <c r="R277" s="241"/>
      <c r="S277" s="241"/>
      <c r="T277" s="241"/>
      <c r="U277" s="241"/>
      <c r="V277" s="241"/>
      <c r="W277" s="241"/>
      <c r="X277" s="241"/>
      <c r="Y277" s="241"/>
      <c r="Z277" s="241"/>
    </row>
    <row r="278" spans="1:26" ht="15.75" customHeight="1"/>
    <row r="279" spans="1:26" ht="15.75" customHeight="1">
      <c r="F279" s="1091">
        <f>SUM(F3:F277)</f>
        <v>835682820</v>
      </c>
    </row>
    <row r="280" spans="1:26" ht="15.75" customHeight="1"/>
    <row r="281" spans="1:26" ht="15.75" customHeight="1"/>
    <row r="282" spans="1:26" ht="15.75" customHeight="1"/>
    <row r="283" spans="1:26" ht="15.75" customHeight="1"/>
    <row r="284" spans="1:26" ht="15.75" customHeight="1"/>
    <row r="285" spans="1:26" ht="15.75" customHeight="1"/>
    <row r="286" spans="1:26" ht="15.75" customHeight="1"/>
    <row r="287" spans="1:26" ht="15.75" customHeight="1"/>
    <row r="288" spans="1:26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topLeftCell="A43" workbookViewId="0">
      <selection activeCell="F14" sqref="F14"/>
    </sheetView>
  </sheetViews>
  <sheetFormatPr defaultColWidth="14.42578125" defaultRowHeight="15" customHeight="1"/>
  <cols>
    <col min="1" max="1" width="4" customWidth="1"/>
    <col min="2" max="2" width="21.7109375" customWidth="1"/>
    <col min="3" max="3" width="42.42578125" customWidth="1"/>
    <col min="4" max="4" width="26.7109375" customWidth="1"/>
    <col min="5" max="5" width="23" style="1055" customWidth="1"/>
    <col min="6" max="6" width="46" customWidth="1"/>
    <col min="7" max="7" width="23.7109375" customWidth="1"/>
    <col min="8" max="26" width="10" customWidth="1"/>
  </cols>
  <sheetData>
    <row r="1" spans="1:26" ht="26.25">
      <c r="A1" s="955" t="s">
        <v>1801</v>
      </c>
      <c r="B1" s="890"/>
      <c r="C1" s="890"/>
      <c r="D1" s="890"/>
      <c r="E1" s="890"/>
      <c r="F1" s="890"/>
    </row>
    <row r="2" spans="1:26">
      <c r="E2" s="1211"/>
    </row>
    <row r="3" spans="1:26">
      <c r="E3" s="1211"/>
    </row>
    <row r="4" spans="1:26" ht="22.5">
      <c r="A4" s="510" t="s">
        <v>820</v>
      </c>
      <c r="B4" s="510" t="s">
        <v>821</v>
      </c>
      <c r="C4" s="510" t="s">
        <v>1802</v>
      </c>
      <c r="D4" s="510" t="s">
        <v>1803</v>
      </c>
      <c r="E4" s="1212" t="s">
        <v>825</v>
      </c>
      <c r="F4" s="510" t="s">
        <v>827</v>
      </c>
      <c r="G4" s="511" t="s">
        <v>664</v>
      </c>
    </row>
    <row r="5" spans="1:26" ht="15.75">
      <c r="A5" s="2">
        <v>1</v>
      </c>
      <c r="B5" s="2" t="s">
        <v>1804</v>
      </c>
      <c r="C5" s="2" t="s">
        <v>1805</v>
      </c>
      <c r="D5" s="2"/>
      <c r="E5" s="1213">
        <v>10000000</v>
      </c>
      <c r="F5" s="235"/>
      <c r="G5" s="234"/>
      <c r="H5" s="2"/>
      <c r="I5" s="393"/>
      <c r="J5" s="393"/>
      <c r="K5" s="393"/>
      <c r="L5" s="393"/>
      <c r="M5" s="393"/>
      <c r="N5" s="393"/>
      <c r="O5" s="393"/>
      <c r="P5" s="393"/>
      <c r="Q5" s="393"/>
      <c r="R5" s="393"/>
      <c r="S5" s="393"/>
      <c r="T5" s="393"/>
      <c r="U5" s="393"/>
      <c r="V5" s="393"/>
      <c r="W5" s="393"/>
      <c r="X5" s="393"/>
      <c r="Y5" s="393"/>
      <c r="Z5" s="393"/>
    </row>
    <row r="6" spans="1:26" ht="15.75">
      <c r="A6" s="2">
        <v>2</v>
      </c>
      <c r="B6" s="294" t="s">
        <v>668</v>
      </c>
      <c r="C6" s="512" t="s">
        <v>1806</v>
      </c>
      <c r="D6" s="513" t="s">
        <v>1807</v>
      </c>
      <c r="E6" s="1213">
        <v>7000000</v>
      </c>
      <c r="F6" s="513" t="s">
        <v>1808</v>
      </c>
      <c r="G6" s="379" t="s">
        <v>671</v>
      </c>
      <c r="H6" s="2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</row>
    <row r="7" spans="1:26" ht="30">
      <c r="A7" s="2">
        <v>3</v>
      </c>
      <c r="B7" s="294" t="s">
        <v>668</v>
      </c>
      <c r="C7" s="514" t="s">
        <v>1809</v>
      </c>
      <c r="D7" s="515" t="s">
        <v>1807</v>
      </c>
      <c r="E7" s="1214">
        <v>7000000</v>
      </c>
      <c r="F7" s="516" t="s">
        <v>1810</v>
      </c>
      <c r="G7" s="379" t="s">
        <v>671</v>
      </c>
      <c r="H7" s="2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 ht="15.75">
      <c r="A8" s="2">
        <v>4</v>
      </c>
      <c r="B8" s="294" t="s">
        <v>668</v>
      </c>
      <c r="C8" s="517" t="s">
        <v>1811</v>
      </c>
      <c r="D8" s="294" t="s">
        <v>1812</v>
      </c>
      <c r="E8" s="1107">
        <v>1092000</v>
      </c>
      <c r="F8" s="294" t="s">
        <v>1813</v>
      </c>
      <c r="G8" s="379" t="s">
        <v>671</v>
      </c>
      <c r="H8" s="2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</row>
    <row r="9" spans="1:26" ht="15.75">
      <c r="A9" s="2">
        <v>5</v>
      </c>
      <c r="B9" s="294" t="s">
        <v>668</v>
      </c>
      <c r="C9" s="294" t="s">
        <v>1811</v>
      </c>
      <c r="D9" s="513" t="s">
        <v>1814</v>
      </c>
      <c r="E9" s="1213">
        <v>150000</v>
      </c>
      <c r="F9" s="513"/>
      <c r="G9" s="518" t="s">
        <v>671</v>
      </c>
      <c r="H9" s="241"/>
      <c r="I9" s="241"/>
      <c r="J9" s="241"/>
      <c r="K9" s="241"/>
      <c r="L9" s="241"/>
      <c r="M9" s="241"/>
      <c r="N9" s="241"/>
      <c r="O9" s="241"/>
      <c r="P9" s="241"/>
      <c r="Q9" s="241"/>
      <c r="R9" s="241"/>
      <c r="S9" s="241"/>
      <c r="T9" s="241"/>
      <c r="U9" s="241"/>
      <c r="V9" s="241"/>
      <c r="W9" s="241"/>
      <c r="X9" s="241"/>
      <c r="Y9" s="241"/>
      <c r="Z9" s="241"/>
    </row>
    <row r="10" spans="1:26" ht="15.75">
      <c r="A10" s="2">
        <v>6</v>
      </c>
      <c r="B10" s="294" t="s">
        <v>1815</v>
      </c>
      <c r="C10" s="519" t="s">
        <v>1816</v>
      </c>
      <c r="D10" s="242"/>
      <c r="E10" s="1199">
        <v>8000000</v>
      </c>
      <c r="F10" s="242"/>
      <c r="G10" s="520" t="s">
        <v>671</v>
      </c>
      <c r="H10" s="241"/>
      <c r="I10" s="241"/>
      <c r="J10" s="241"/>
      <c r="K10" s="241"/>
      <c r="L10" s="241"/>
      <c r="M10" s="241"/>
      <c r="N10" s="241"/>
      <c r="O10" s="241"/>
      <c r="P10" s="241"/>
      <c r="Q10" s="241"/>
      <c r="R10" s="241"/>
      <c r="S10" s="241"/>
      <c r="T10" s="241"/>
      <c r="U10" s="241"/>
      <c r="V10" s="241"/>
      <c r="W10" s="241"/>
      <c r="X10" s="241"/>
      <c r="Y10" s="241"/>
      <c r="Z10" s="241"/>
    </row>
    <row r="11" spans="1:26" ht="15.75">
      <c r="A11" s="2">
        <v>7</v>
      </c>
      <c r="B11" s="294" t="s">
        <v>1815</v>
      </c>
      <c r="C11" s="294" t="s">
        <v>1817</v>
      </c>
      <c r="D11" s="294" t="s">
        <v>1818</v>
      </c>
      <c r="E11" s="1107">
        <v>350000</v>
      </c>
      <c r="F11" s="294" t="s">
        <v>1819</v>
      </c>
      <c r="G11" s="518" t="s">
        <v>671</v>
      </c>
      <c r="H11" s="241"/>
      <c r="I11" s="241"/>
      <c r="J11" s="241"/>
      <c r="K11" s="241"/>
      <c r="L11" s="241"/>
      <c r="M11" s="241"/>
      <c r="N11" s="241"/>
      <c r="O11" s="241"/>
      <c r="P11" s="241"/>
      <c r="Q11" s="241"/>
      <c r="R11" s="241"/>
      <c r="S11" s="241"/>
      <c r="T11" s="241"/>
      <c r="U11" s="241"/>
      <c r="V11" s="241"/>
      <c r="W11" s="241"/>
      <c r="X11" s="241"/>
      <c r="Y11" s="241"/>
      <c r="Z11" s="241"/>
    </row>
    <row r="12" spans="1:26" ht="31.5">
      <c r="A12" s="2">
        <v>8</v>
      </c>
      <c r="B12" s="294" t="s">
        <v>967</v>
      </c>
      <c r="C12" s="403" t="s">
        <v>1820</v>
      </c>
      <c r="D12" s="294" t="s">
        <v>1821</v>
      </c>
      <c r="E12" s="1207">
        <v>15000000</v>
      </c>
      <c r="F12" s="235"/>
      <c r="G12" s="521" t="s">
        <v>704</v>
      </c>
      <c r="H12" s="241"/>
      <c r="I12" s="241"/>
      <c r="J12" s="241"/>
      <c r="K12" s="241"/>
      <c r="L12" s="241"/>
      <c r="M12" s="241"/>
      <c r="N12" s="241"/>
      <c r="O12" s="241"/>
      <c r="P12" s="241"/>
      <c r="Q12" s="241"/>
      <c r="R12" s="241"/>
      <c r="S12" s="241"/>
      <c r="T12" s="241"/>
      <c r="U12" s="241"/>
      <c r="V12" s="241"/>
      <c r="W12" s="241"/>
      <c r="X12" s="241"/>
      <c r="Y12" s="241"/>
      <c r="Z12" s="241"/>
    </row>
    <row r="13" spans="1:26" ht="15.75">
      <c r="A13" s="2">
        <v>9</v>
      </c>
      <c r="B13" s="242" t="s">
        <v>856</v>
      </c>
      <c r="C13" s="517" t="s">
        <v>1822</v>
      </c>
      <c r="D13" s="294" t="s">
        <v>1823</v>
      </c>
      <c r="E13" s="1107">
        <v>1350000</v>
      </c>
      <c r="F13" s="294" t="s">
        <v>1813</v>
      </c>
      <c r="G13" s="379" t="s">
        <v>671</v>
      </c>
      <c r="H13" s="241"/>
      <c r="I13" s="241"/>
      <c r="J13" s="241"/>
      <c r="K13" s="241"/>
      <c r="L13" s="241"/>
      <c r="M13" s="241"/>
      <c r="N13" s="241"/>
      <c r="O13" s="241"/>
      <c r="P13" s="241"/>
      <c r="Q13" s="241"/>
      <c r="R13" s="241"/>
      <c r="S13" s="241"/>
      <c r="T13" s="241"/>
      <c r="U13" s="241"/>
      <c r="V13" s="241"/>
      <c r="W13" s="241"/>
      <c r="X13" s="241"/>
      <c r="Y13" s="241"/>
      <c r="Z13" s="241"/>
    </row>
    <row r="14" spans="1:26" ht="63">
      <c r="A14" s="2">
        <v>10</v>
      </c>
      <c r="B14" s="379" t="s">
        <v>1824</v>
      </c>
      <c r="C14" s="400" t="s">
        <v>1825</v>
      </c>
      <c r="D14" s="239" t="s">
        <v>1826</v>
      </c>
      <c r="E14" s="1114">
        <v>20000000</v>
      </c>
      <c r="F14" s="239" t="s">
        <v>1827</v>
      </c>
      <c r="G14" s="379" t="s">
        <v>671</v>
      </c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</row>
    <row r="15" spans="1:26" ht="15.75">
      <c r="A15" s="2">
        <v>11</v>
      </c>
      <c r="B15" s="294" t="s">
        <v>1828</v>
      </c>
      <c r="C15" s="294" t="s">
        <v>1829</v>
      </c>
      <c r="D15" s="294" t="s">
        <v>1818</v>
      </c>
      <c r="E15" s="1107">
        <v>350000</v>
      </c>
      <c r="F15" s="294" t="s">
        <v>1830</v>
      </c>
      <c r="G15" s="379" t="s">
        <v>671</v>
      </c>
      <c r="H15" s="241"/>
      <c r="I15" s="241"/>
      <c r="J15" s="241"/>
      <c r="K15" s="241"/>
      <c r="L15" s="241"/>
      <c r="M15" s="241"/>
      <c r="N15" s="241"/>
      <c r="O15" s="241"/>
      <c r="P15" s="241"/>
      <c r="Q15" s="241"/>
      <c r="R15" s="241"/>
      <c r="S15" s="241"/>
      <c r="T15" s="241"/>
      <c r="U15" s="241"/>
      <c r="V15" s="241"/>
      <c r="W15" s="241"/>
      <c r="X15" s="241"/>
      <c r="Y15" s="241"/>
      <c r="Z15" s="241"/>
    </row>
    <row r="16" spans="1:26" ht="15.75">
      <c r="A16" s="2">
        <v>12</v>
      </c>
      <c r="B16" s="294" t="s">
        <v>1831</v>
      </c>
      <c r="C16" s="517" t="s">
        <v>1832</v>
      </c>
      <c r="D16" s="294" t="s">
        <v>1833</v>
      </c>
      <c r="E16" s="1107">
        <v>50000000</v>
      </c>
      <c r="F16" s="294" t="s">
        <v>1834</v>
      </c>
      <c r="G16" s="379" t="s">
        <v>671</v>
      </c>
      <c r="H16" s="241"/>
      <c r="I16" s="241"/>
      <c r="J16" s="241"/>
      <c r="K16" s="241"/>
      <c r="L16" s="241"/>
      <c r="M16" s="241"/>
      <c r="N16" s="241"/>
      <c r="O16" s="241"/>
      <c r="P16" s="241"/>
      <c r="Q16" s="241"/>
      <c r="R16" s="241"/>
      <c r="S16" s="241"/>
      <c r="T16" s="241"/>
      <c r="U16" s="241"/>
      <c r="V16" s="241"/>
      <c r="W16" s="241"/>
      <c r="X16" s="241"/>
      <c r="Y16" s="241"/>
      <c r="Z16" s="241"/>
    </row>
    <row r="17" spans="1:26" ht="15.75" customHeight="1">
      <c r="A17" s="2">
        <v>13</v>
      </c>
      <c r="B17" s="294" t="s">
        <v>1071</v>
      </c>
      <c r="C17" s="478" t="s">
        <v>1835</v>
      </c>
      <c r="D17" s="522">
        <v>12</v>
      </c>
      <c r="E17" s="1215">
        <v>18000000</v>
      </c>
      <c r="F17" s="479"/>
      <c r="G17" s="479"/>
      <c r="H17" s="241"/>
      <c r="I17" s="241"/>
      <c r="J17" s="241"/>
      <c r="K17" s="241"/>
      <c r="L17" s="241"/>
      <c r="M17" s="241"/>
      <c r="N17" s="241"/>
      <c r="O17" s="241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 spans="1:26" ht="15.75" customHeight="1">
      <c r="A18" s="2">
        <v>14</v>
      </c>
      <c r="B18" s="294" t="s">
        <v>1071</v>
      </c>
      <c r="C18" s="481" t="s">
        <v>1836</v>
      </c>
      <c r="D18" s="522">
        <v>12</v>
      </c>
      <c r="E18" s="1215">
        <v>12000000</v>
      </c>
      <c r="F18" s="523"/>
      <c r="G18" s="523"/>
      <c r="H18" s="241"/>
      <c r="I18" s="241"/>
      <c r="J18" s="241"/>
      <c r="K18" s="241"/>
      <c r="L18" s="241"/>
      <c r="M18" s="241"/>
      <c r="N18" s="241"/>
      <c r="O18" s="241"/>
      <c r="P18" s="241"/>
      <c r="Q18" s="241"/>
      <c r="R18" s="241"/>
      <c r="S18" s="241"/>
      <c r="T18" s="241"/>
      <c r="U18" s="241"/>
      <c r="V18" s="241"/>
      <c r="W18" s="241"/>
      <c r="X18" s="241"/>
      <c r="Y18" s="241"/>
      <c r="Z18" s="241"/>
    </row>
    <row r="19" spans="1:26" ht="15.75" customHeight="1">
      <c r="A19" s="2">
        <v>15</v>
      </c>
      <c r="B19" s="294" t="s">
        <v>1071</v>
      </c>
      <c r="C19" s="524" t="s">
        <v>1837</v>
      </c>
      <c r="D19" s="522">
        <v>30</v>
      </c>
      <c r="E19" s="1215">
        <v>14250000</v>
      </c>
      <c r="F19" s="479"/>
      <c r="G19" s="479"/>
      <c r="H19" s="241"/>
      <c r="I19" s="241"/>
      <c r="J19" s="241"/>
      <c r="K19" s="241"/>
      <c r="L19" s="241"/>
      <c r="M19" s="241"/>
      <c r="N19" s="241"/>
      <c r="O19" s="241"/>
      <c r="P19" s="241"/>
      <c r="Q19" s="241"/>
      <c r="R19" s="241"/>
      <c r="S19" s="241"/>
      <c r="T19" s="241"/>
      <c r="U19" s="241"/>
      <c r="V19" s="241"/>
      <c r="W19" s="241"/>
      <c r="X19" s="241"/>
      <c r="Y19" s="241"/>
      <c r="Z19" s="241"/>
    </row>
    <row r="20" spans="1:26" ht="15.75" customHeight="1">
      <c r="A20" s="2">
        <v>16</v>
      </c>
      <c r="B20" s="294" t="s">
        <v>1071</v>
      </c>
      <c r="C20" s="524" t="s">
        <v>1838</v>
      </c>
      <c r="D20" s="522">
        <v>25</v>
      </c>
      <c r="E20" s="1215">
        <v>12500000</v>
      </c>
      <c r="F20" s="479"/>
      <c r="G20" s="525" t="s">
        <v>1839</v>
      </c>
      <c r="H20" s="241"/>
      <c r="I20" s="241"/>
      <c r="J20" s="241"/>
      <c r="K20" s="241"/>
      <c r="L20" s="241"/>
      <c r="M20" s="241"/>
      <c r="N20" s="241"/>
      <c r="O20" s="241"/>
      <c r="P20" s="241"/>
      <c r="Q20" s="241"/>
      <c r="R20" s="241"/>
      <c r="S20" s="241"/>
      <c r="T20" s="241"/>
      <c r="U20" s="241"/>
      <c r="V20" s="241"/>
      <c r="W20" s="241"/>
      <c r="X20" s="241"/>
      <c r="Y20" s="241"/>
      <c r="Z20" s="241"/>
    </row>
    <row r="21" spans="1:26" ht="15.75" customHeight="1">
      <c r="A21" s="2">
        <v>17</v>
      </c>
      <c r="B21" s="294" t="s">
        <v>1071</v>
      </c>
      <c r="C21" s="524" t="s">
        <v>1840</v>
      </c>
      <c r="D21" s="522">
        <v>2</v>
      </c>
      <c r="E21" s="1215">
        <v>10000000</v>
      </c>
      <c r="F21" s="479"/>
      <c r="G21" s="479"/>
      <c r="H21" s="241"/>
      <c r="I21" s="241"/>
      <c r="J21" s="241"/>
      <c r="K21" s="241"/>
      <c r="L21" s="241"/>
      <c r="M21" s="241"/>
      <c r="N21" s="241"/>
      <c r="O21" s="241"/>
      <c r="P21" s="241"/>
      <c r="Q21" s="241"/>
      <c r="R21" s="241"/>
      <c r="S21" s="241"/>
      <c r="T21" s="241"/>
      <c r="U21" s="241"/>
      <c r="V21" s="241"/>
      <c r="W21" s="241"/>
      <c r="X21" s="241"/>
      <c r="Y21" s="241"/>
      <c r="Z21" s="241"/>
    </row>
    <row r="22" spans="1:26" ht="15.75" customHeight="1">
      <c r="A22" s="2">
        <v>18</v>
      </c>
      <c r="B22" s="294" t="s">
        <v>1071</v>
      </c>
      <c r="C22" s="524" t="s">
        <v>1841</v>
      </c>
      <c r="D22" s="522">
        <v>6</v>
      </c>
      <c r="E22" s="1215">
        <v>8100000</v>
      </c>
      <c r="F22" s="479"/>
      <c r="G22" s="479"/>
      <c r="H22" s="241"/>
      <c r="I22" s="241"/>
      <c r="J22" s="241"/>
      <c r="K22" s="241"/>
      <c r="L22" s="241"/>
      <c r="M22" s="241"/>
      <c r="N22" s="241"/>
      <c r="O22" s="241"/>
      <c r="P22" s="241"/>
      <c r="Q22" s="241"/>
      <c r="R22" s="241"/>
      <c r="S22" s="241"/>
      <c r="T22" s="241"/>
      <c r="U22" s="241"/>
      <c r="V22" s="241"/>
      <c r="W22" s="241"/>
      <c r="X22" s="241"/>
      <c r="Y22" s="241"/>
      <c r="Z22" s="241"/>
    </row>
    <row r="23" spans="1:26" ht="15.75" customHeight="1">
      <c r="A23" s="2">
        <v>19</v>
      </c>
      <c r="B23" s="294" t="s">
        <v>1071</v>
      </c>
      <c r="C23" s="524" t="s">
        <v>1842</v>
      </c>
      <c r="D23" s="522">
        <v>5</v>
      </c>
      <c r="E23" s="1215">
        <v>6750000</v>
      </c>
      <c r="F23" s="479"/>
      <c r="G23" s="479"/>
      <c r="H23" s="241"/>
      <c r="I23" s="241"/>
      <c r="J23" s="241"/>
      <c r="K23" s="241"/>
      <c r="L23" s="241"/>
      <c r="M23" s="241"/>
      <c r="N23" s="241"/>
      <c r="O23" s="241"/>
      <c r="P23" s="241"/>
      <c r="Q23" s="241"/>
      <c r="R23" s="241"/>
      <c r="S23" s="241"/>
      <c r="T23" s="241"/>
      <c r="U23" s="241"/>
      <c r="V23" s="241"/>
      <c r="W23" s="241"/>
      <c r="X23" s="241"/>
      <c r="Y23" s="241"/>
      <c r="Z23" s="241"/>
    </row>
    <row r="24" spans="1:26" ht="15.75" customHeight="1">
      <c r="A24" s="2">
        <v>20</v>
      </c>
      <c r="B24" s="294" t="s">
        <v>1071</v>
      </c>
      <c r="C24" s="524" t="s">
        <v>1843</v>
      </c>
      <c r="D24" s="522">
        <v>5</v>
      </c>
      <c r="E24" s="1215">
        <v>6750000</v>
      </c>
      <c r="F24" s="479"/>
      <c r="G24" s="479"/>
      <c r="H24" s="241"/>
      <c r="I24" s="241"/>
      <c r="J24" s="241"/>
      <c r="K24" s="241"/>
      <c r="L24" s="241"/>
      <c r="M24" s="241"/>
      <c r="N24" s="241"/>
      <c r="O24" s="241"/>
      <c r="P24" s="241"/>
      <c r="Q24" s="241"/>
      <c r="R24" s="241"/>
      <c r="S24" s="241"/>
      <c r="T24" s="241"/>
      <c r="U24" s="241"/>
      <c r="V24" s="241"/>
      <c r="W24" s="241"/>
      <c r="X24" s="241"/>
      <c r="Y24" s="241"/>
      <c r="Z24" s="241"/>
    </row>
    <row r="25" spans="1:26" ht="15.75" customHeight="1">
      <c r="A25" s="2">
        <v>21</v>
      </c>
      <c r="B25" s="294" t="s">
        <v>1071</v>
      </c>
      <c r="C25" s="478" t="s">
        <v>1844</v>
      </c>
      <c r="D25" s="473">
        <v>25</v>
      </c>
      <c r="E25" s="1201">
        <v>5000000</v>
      </c>
      <c r="F25" s="479"/>
      <c r="G25" s="479"/>
      <c r="H25" s="241"/>
      <c r="I25" s="241"/>
      <c r="J25" s="241"/>
      <c r="K25" s="241"/>
      <c r="L25" s="241"/>
      <c r="M25" s="241"/>
      <c r="N25" s="241"/>
      <c r="O25" s="241"/>
      <c r="P25" s="241"/>
      <c r="Q25" s="241"/>
      <c r="R25" s="241"/>
      <c r="S25" s="241"/>
      <c r="T25" s="241"/>
      <c r="U25" s="241"/>
      <c r="V25" s="241"/>
      <c r="W25" s="241"/>
      <c r="X25" s="241"/>
      <c r="Y25" s="241"/>
      <c r="Z25" s="241"/>
    </row>
    <row r="26" spans="1:26" ht="15.75" customHeight="1">
      <c r="A26" s="2">
        <v>22</v>
      </c>
      <c r="B26" s="294" t="s">
        <v>1071</v>
      </c>
      <c r="C26" s="524" t="s">
        <v>1845</v>
      </c>
      <c r="D26" s="522">
        <v>1</v>
      </c>
      <c r="E26" s="1215">
        <v>5000000</v>
      </c>
      <c r="F26" s="479"/>
      <c r="G26" s="479"/>
      <c r="H26" s="241"/>
      <c r="I26" s="241"/>
      <c r="J26" s="241"/>
      <c r="K26" s="241"/>
      <c r="L26" s="241"/>
      <c r="M26" s="241"/>
      <c r="N26" s="241"/>
      <c r="O26" s="241"/>
      <c r="P26" s="241"/>
      <c r="Q26" s="241"/>
      <c r="R26" s="241"/>
      <c r="S26" s="241"/>
      <c r="T26" s="241"/>
      <c r="U26" s="241"/>
      <c r="V26" s="241"/>
      <c r="W26" s="241"/>
      <c r="X26" s="241"/>
      <c r="Y26" s="241"/>
      <c r="Z26" s="241"/>
    </row>
    <row r="27" spans="1:26" ht="15.75" customHeight="1">
      <c r="A27" s="2">
        <v>23</v>
      </c>
      <c r="B27" s="294" t="s">
        <v>1071</v>
      </c>
      <c r="C27" s="524" t="s">
        <v>1846</v>
      </c>
      <c r="D27" s="522">
        <v>10</v>
      </c>
      <c r="E27" s="1215">
        <v>5000000</v>
      </c>
      <c r="F27" s="479"/>
      <c r="G27" s="479"/>
      <c r="H27" s="241"/>
      <c r="I27" s="241"/>
      <c r="J27" s="241"/>
      <c r="K27" s="241"/>
      <c r="L27" s="241"/>
      <c r="M27" s="241"/>
      <c r="N27" s="241"/>
      <c r="O27" s="241"/>
      <c r="P27" s="241"/>
      <c r="Q27" s="241"/>
      <c r="R27" s="241"/>
      <c r="S27" s="241"/>
      <c r="T27" s="241"/>
      <c r="U27" s="241"/>
      <c r="V27" s="241"/>
      <c r="W27" s="241"/>
      <c r="X27" s="241"/>
      <c r="Y27" s="241"/>
      <c r="Z27" s="241"/>
    </row>
    <row r="28" spans="1:26" ht="15.75" customHeight="1">
      <c r="A28" s="2">
        <v>24</v>
      </c>
      <c r="B28" s="294" t="s">
        <v>1071</v>
      </c>
      <c r="C28" s="478" t="s">
        <v>1847</v>
      </c>
      <c r="D28" s="473">
        <v>20</v>
      </c>
      <c r="E28" s="1201">
        <v>4000000</v>
      </c>
      <c r="F28" s="479"/>
      <c r="G28" s="479"/>
      <c r="H28" s="241"/>
      <c r="I28" s="241"/>
      <c r="J28" s="241"/>
      <c r="K28" s="241"/>
      <c r="L28" s="241"/>
      <c r="M28" s="241"/>
      <c r="N28" s="241"/>
      <c r="O28" s="241"/>
      <c r="P28" s="241"/>
      <c r="Q28" s="241"/>
      <c r="R28" s="241"/>
      <c r="S28" s="241"/>
      <c r="T28" s="241"/>
      <c r="U28" s="241"/>
      <c r="V28" s="241"/>
      <c r="W28" s="241"/>
      <c r="X28" s="241"/>
      <c r="Y28" s="241"/>
      <c r="Z28" s="241"/>
    </row>
    <row r="29" spans="1:26" ht="15.75" customHeight="1">
      <c r="A29" s="2">
        <v>25</v>
      </c>
      <c r="B29" s="294" t="s">
        <v>1071</v>
      </c>
      <c r="C29" s="524" t="s">
        <v>1848</v>
      </c>
      <c r="D29" s="522">
        <v>2</v>
      </c>
      <c r="E29" s="1215">
        <v>2700000</v>
      </c>
      <c r="F29" s="479"/>
      <c r="G29" s="479"/>
      <c r="H29" s="241"/>
      <c r="I29" s="241"/>
      <c r="J29" s="241"/>
      <c r="K29" s="241"/>
      <c r="L29" s="241"/>
      <c r="M29" s="241"/>
      <c r="N29" s="241"/>
      <c r="O29" s="241"/>
      <c r="P29" s="241"/>
      <c r="Q29" s="241"/>
      <c r="R29" s="241"/>
      <c r="S29" s="241"/>
      <c r="T29" s="241"/>
      <c r="U29" s="241"/>
      <c r="V29" s="241"/>
      <c r="W29" s="241"/>
      <c r="X29" s="241"/>
      <c r="Y29" s="241"/>
      <c r="Z29" s="241"/>
    </row>
    <row r="30" spans="1:26" ht="15.75" customHeight="1">
      <c r="A30" s="2">
        <v>26</v>
      </c>
      <c r="B30" s="294" t="s">
        <v>1071</v>
      </c>
      <c r="C30" s="524" t="s">
        <v>1849</v>
      </c>
      <c r="D30" s="522">
        <v>2</v>
      </c>
      <c r="E30" s="1215">
        <v>2700000</v>
      </c>
      <c r="F30" s="479"/>
      <c r="G30" s="479"/>
      <c r="H30" s="241"/>
      <c r="I30" s="241"/>
      <c r="J30" s="241"/>
      <c r="K30" s="241"/>
      <c r="L30" s="241"/>
      <c r="M30" s="241"/>
      <c r="N30" s="241"/>
      <c r="O30" s="241"/>
      <c r="P30" s="241"/>
      <c r="Q30" s="241"/>
      <c r="R30" s="241"/>
      <c r="S30" s="241"/>
      <c r="T30" s="241"/>
      <c r="U30" s="241"/>
      <c r="V30" s="241"/>
      <c r="W30" s="241"/>
      <c r="X30" s="241"/>
      <c r="Y30" s="241"/>
      <c r="Z30" s="241"/>
    </row>
    <row r="31" spans="1:26" ht="15.75" customHeight="1">
      <c r="A31" s="2">
        <v>27</v>
      </c>
      <c r="B31" s="294" t="s">
        <v>1071</v>
      </c>
      <c r="C31" s="478" t="s">
        <v>1850</v>
      </c>
      <c r="D31" s="473">
        <v>25</v>
      </c>
      <c r="E31" s="1201">
        <v>2500000</v>
      </c>
      <c r="F31" s="479"/>
      <c r="G31" s="526"/>
      <c r="H31" s="241"/>
      <c r="I31" s="241"/>
      <c r="J31" s="241"/>
      <c r="K31" s="241"/>
      <c r="L31" s="241"/>
      <c r="M31" s="241"/>
      <c r="N31" s="241"/>
      <c r="O31" s="241"/>
      <c r="P31" s="241"/>
      <c r="Q31" s="241"/>
      <c r="R31" s="241"/>
      <c r="S31" s="241"/>
      <c r="T31" s="241"/>
      <c r="U31" s="241"/>
      <c r="V31" s="241"/>
      <c r="W31" s="241"/>
      <c r="X31" s="241"/>
      <c r="Y31" s="241"/>
      <c r="Z31" s="241"/>
    </row>
    <row r="32" spans="1:26" ht="15.75" customHeight="1">
      <c r="A32" s="2">
        <v>28</v>
      </c>
      <c r="B32" s="294" t="s">
        <v>1071</v>
      </c>
      <c r="C32" s="478" t="s">
        <v>1851</v>
      </c>
      <c r="D32" s="473">
        <v>25</v>
      </c>
      <c r="E32" s="1201">
        <v>2500000</v>
      </c>
      <c r="F32" s="479"/>
      <c r="G32" s="479"/>
      <c r="H32" s="241"/>
      <c r="I32" s="241"/>
      <c r="J32" s="241"/>
      <c r="K32" s="241"/>
      <c r="L32" s="241"/>
      <c r="M32" s="241"/>
      <c r="N32" s="241"/>
      <c r="O32" s="241"/>
      <c r="P32" s="241"/>
      <c r="Q32" s="241"/>
      <c r="R32" s="241"/>
      <c r="S32" s="241"/>
      <c r="T32" s="241"/>
      <c r="U32" s="241"/>
      <c r="V32" s="241"/>
      <c r="W32" s="241"/>
      <c r="X32" s="241"/>
      <c r="Y32" s="241"/>
      <c r="Z32" s="241"/>
    </row>
    <row r="33" spans="1:26" ht="15.75" customHeight="1">
      <c r="A33" s="2">
        <v>29</v>
      </c>
      <c r="B33" s="294" t="s">
        <v>1071</v>
      </c>
      <c r="C33" s="524" t="s">
        <v>1852</v>
      </c>
      <c r="D33" s="522">
        <v>10</v>
      </c>
      <c r="E33" s="1215">
        <v>2000000</v>
      </c>
      <c r="F33" s="479"/>
      <c r="G33" s="526"/>
      <c r="H33" s="241"/>
      <c r="I33" s="241"/>
      <c r="J33" s="241"/>
      <c r="K33" s="241"/>
      <c r="L33" s="241"/>
      <c r="M33" s="241"/>
      <c r="N33" s="241"/>
      <c r="O33" s="241"/>
      <c r="P33" s="241"/>
      <c r="Q33" s="241"/>
      <c r="R33" s="241"/>
      <c r="S33" s="241"/>
      <c r="T33" s="241"/>
      <c r="U33" s="241"/>
      <c r="V33" s="241"/>
      <c r="W33" s="241"/>
      <c r="X33" s="241"/>
      <c r="Y33" s="241"/>
      <c r="Z33" s="241"/>
    </row>
    <row r="34" spans="1:26" ht="15.75" customHeight="1">
      <c r="A34" s="2">
        <v>30</v>
      </c>
      <c r="B34" s="294" t="s">
        <v>1071</v>
      </c>
      <c r="C34" s="478" t="s">
        <v>1853</v>
      </c>
      <c r="D34" s="482">
        <v>5</v>
      </c>
      <c r="E34" s="1201">
        <v>1000000</v>
      </c>
      <c r="F34" s="469"/>
      <c r="G34" s="234"/>
      <c r="H34" s="241"/>
      <c r="I34" s="241"/>
      <c r="J34" s="241"/>
      <c r="K34" s="241"/>
      <c r="L34" s="241"/>
      <c r="M34" s="241"/>
      <c r="N34" s="241"/>
      <c r="O34" s="241"/>
      <c r="P34" s="241"/>
      <c r="Q34" s="241"/>
      <c r="R34" s="241"/>
      <c r="S34" s="241"/>
      <c r="T34" s="241"/>
      <c r="U34" s="241"/>
      <c r="V34" s="241"/>
      <c r="W34" s="241"/>
      <c r="X34" s="241"/>
      <c r="Y34" s="241"/>
      <c r="Z34" s="241"/>
    </row>
    <row r="35" spans="1:26" ht="15.75" customHeight="1">
      <c r="A35" s="2">
        <v>31</v>
      </c>
      <c r="B35" s="294" t="s">
        <v>1071</v>
      </c>
      <c r="C35" s="234" t="s">
        <v>1854</v>
      </c>
      <c r="D35" s="473">
        <v>6</v>
      </c>
      <c r="E35" s="1201">
        <v>600000</v>
      </c>
      <c r="F35" s="479"/>
      <c r="G35" s="479"/>
      <c r="H35" s="241"/>
      <c r="I35" s="241"/>
      <c r="J35" s="241"/>
      <c r="K35" s="241"/>
      <c r="L35" s="241"/>
      <c r="M35" s="241"/>
      <c r="N35" s="241"/>
      <c r="O35" s="241"/>
      <c r="P35" s="241"/>
      <c r="Q35" s="241"/>
      <c r="R35" s="241"/>
      <c r="S35" s="241"/>
      <c r="T35" s="241"/>
      <c r="U35" s="241"/>
      <c r="V35" s="241"/>
      <c r="W35" s="241"/>
      <c r="X35" s="241"/>
      <c r="Y35" s="241"/>
      <c r="Z35" s="241"/>
    </row>
    <row r="36" spans="1:26" ht="15.75" customHeight="1">
      <c r="A36" s="2">
        <v>32</v>
      </c>
      <c r="B36" s="294" t="s">
        <v>1071</v>
      </c>
      <c r="C36" s="234" t="s">
        <v>1855</v>
      </c>
      <c r="D36" s="522">
        <v>10</v>
      </c>
      <c r="E36" s="1215">
        <v>400000</v>
      </c>
      <c r="F36" s="479"/>
      <c r="G36" s="479"/>
      <c r="H36" s="241"/>
      <c r="I36" s="241"/>
      <c r="J36" s="241"/>
      <c r="K36" s="241"/>
      <c r="L36" s="241"/>
      <c r="M36" s="241"/>
      <c r="N36" s="241"/>
      <c r="O36" s="241"/>
      <c r="P36" s="241"/>
      <c r="Q36" s="241"/>
      <c r="R36" s="241"/>
      <c r="S36" s="241"/>
      <c r="T36" s="241"/>
      <c r="U36" s="241"/>
      <c r="V36" s="241"/>
      <c r="W36" s="241"/>
      <c r="X36" s="241"/>
      <c r="Y36" s="241"/>
      <c r="Z36" s="241"/>
    </row>
    <row r="37" spans="1:26" ht="15.75" customHeight="1">
      <c r="A37" s="2">
        <v>33</v>
      </c>
      <c r="B37" s="294" t="s">
        <v>1071</v>
      </c>
      <c r="C37" s="234" t="s">
        <v>1856</v>
      </c>
      <c r="D37" s="482">
        <v>10</v>
      </c>
      <c r="E37" s="1201">
        <v>200000</v>
      </c>
      <c r="F37" s="469"/>
      <c r="G37" s="521"/>
      <c r="H37" s="241"/>
      <c r="I37" s="241"/>
      <c r="J37" s="241"/>
      <c r="K37" s="241"/>
      <c r="L37" s="241"/>
      <c r="M37" s="241"/>
      <c r="N37" s="241"/>
      <c r="O37" s="241"/>
      <c r="P37" s="241"/>
      <c r="Q37" s="241"/>
      <c r="R37" s="241"/>
      <c r="S37" s="241"/>
      <c r="T37" s="241"/>
      <c r="U37" s="241"/>
      <c r="V37" s="241"/>
      <c r="W37" s="241"/>
      <c r="X37" s="241"/>
      <c r="Y37" s="241"/>
      <c r="Z37" s="241"/>
    </row>
    <row r="38" spans="1:26" ht="15.75" customHeight="1">
      <c r="A38" s="2">
        <v>34</v>
      </c>
      <c r="B38" s="294" t="s">
        <v>1071</v>
      </c>
      <c r="C38" s="234" t="s">
        <v>1857</v>
      </c>
      <c r="D38" s="482">
        <v>5</v>
      </c>
      <c r="E38" s="1201">
        <v>125000</v>
      </c>
      <c r="F38" s="469"/>
      <c r="G38" s="234"/>
      <c r="H38" s="241"/>
      <c r="I38" s="393"/>
      <c r="J38" s="393"/>
      <c r="K38" s="393"/>
      <c r="L38" s="393"/>
      <c r="M38" s="393"/>
      <c r="N38" s="393"/>
      <c r="O38" s="393"/>
      <c r="P38" s="393"/>
      <c r="Q38" s="393"/>
      <c r="R38" s="393"/>
      <c r="S38" s="393"/>
      <c r="T38" s="393"/>
      <c r="U38" s="393"/>
      <c r="V38" s="393"/>
      <c r="W38" s="393"/>
      <c r="X38" s="393"/>
      <c r="Y38" s="393"/>
      <c r="Z38" s="393"/>
    </row>
    <row r="39" spans="1:26" ht="15.75" customHeight="1">
      <c r="A39" s="2">
        <v>35</v>
      </c>
      <c r="B39" s="294" t="s">
        <v>1071</v>
      </c>
      <c r="C39" s="234" t="s">
        <v>1858</v>
      </c>
      <c r="D39" s="482">
        <v>5</v>
      </c>
      <c r="E39" s="1201">
        <v>125000</v>
      </c>
      <c r="F39" s="469"/>
      <c r="G39" s="521"/>
      <c r="H39" s="527"/>
      <c r="I39" s="241"/>
      <c r="J39" s="241"/>
      <c r="K39" s="241"/>
      <c r="L39" s="241"/>
      <c r="M39" s="241"/>
      <c r="N39" s="241"/>
      <c r="O39" s="241"/>
      <c r="P39" s="241"/>
      <c r="Q39" s="241"/>
      <c r="R39" s="241"/>
      <c r="S39" s="241"/>
      <c r="T39" s="241"/>
      <c r="U39" s="241"/>
      <c r="V39" s="241"/>
      <c r="W39" s="241"/>
      <c r="X39" s="241"/>
      <c r="Y39" s="241"/>
      <c r="Z39" s="241"/>
    </row>
    <row r="40" spans="1:26" ht="15.75" customHeight="1">
      <c r="A40" s="2">
        <v>36</v>
      </c>
      <c r="B40" s="294" t="s">
        <v>91</v>
      </c>
      <c r="C40" s="517" t="s">
        <v>1859</v>
      </c>
      <c r="D40" s="294" t="s">
        <v>1860</v>
      </c>
      <c r="E40" s="1107">
        <v>1000000</v>
      </c>
      <c r="F40" s="294" t="s">
        <v>1861</v>
      </c>
      <c r="G40" s="518" t="s">
        <v>671</v>
      </c>
      <c r="H40" s="527"/>
      <c r="I40" s="241"/>
      <c r="J40" s="241"/>
      <c r="K40" s="241"/>
      <c r="L40" s="241"/>
      <c r="M40" s="241"/>
      <c r="N40" s="241"/>
      <c r="O40" s="241"/>
      <c r="P40" s="241"/>
      <c r="Q40" s="241"/>
      <c r="R40" s="241"/>
      <c r="S40" s="241"/>
      <c r="T40" s="241"/>
      <c r="U40" s="241"/>
      <c r="V40" s="241"/>
      <c r="W40" s="241"/>
      <c r="X40" s="241"/>
      <c r="Y40" s="241"/>
      <c r="Z40" s="241"/>
    </row>
    <row r="41" spans="1:26" ht="15.75" customHeight="1">
      <c r="A41" s="2">
        <v>37</v>
      </c>
      <c r="B41" s="294" t="s">
        <v>881</v>
      </c>
      <c r="C41" s="517" t="s">
        <v>1862</v>
      </c>
      <c r="D41" s="294"/>
      <c r="E41" s="1107">
        <v>30000000</v>
      </c>
      <c r="F41" s="294" t="s">
        <v>1863</v>
      </c>
      <c r="G41" s="518" t="s">
        <v>671</v>
      </c>
      <c r="H41" s="241"/>
      <c r="I41" s="241"/>
      <c r="J41" s="241"/>
      <c r="K41" s="241"/>
      <c r="L41" s="241"/>
      <c r="M41" s="241"/>
      <c r="N41" s="241"/>
      <c r="O41" s="241"/>
      <c r="P41" s="241"/>
      <c r="Q41" s="241"/>
      <c r="R41" s="241"/>
      <c r="S41" s="241"/>
      <c r="T41" s="241"/>
      <c r="U41" s="241"/>
      <c r="V41" s="241"/>
      <c r="W41" s="241"/>
      <c r="X41" s="241"/>
      <c r="Y41" s="241"/>
      <c r="Z41" s="241"/>
    </row>
    <row r="42" spans="1:26" ht="15.75" customHeight="1">
      <c r="A42" s="2">
        <v>38</v>
      </c>
      <c r="B42" s="294" t="s">
        <v>1864</v>
      </c>
      <c r="C42" s="478" t="s">
        <v>1865</v>
      </c>
      <c r="D42" s="234"/>
      <c r="E42" s="1201">
        <v>1000000</v>
      </c>
      <c r="F42" s="234" t="s">
        <v>1866</v>
      </c>
      <c r="G42" s="521" t="s">
        <v>753</v>
      </c>
      <c r="H42" s="241"/>
      <c r="I42" s="241"/>
      <c r="J42" s="241"/>
      <c r="K42" s="241"/>
      <c r="L42" s="241"/>
      <c r="M42" s="241"/>
      <c r="N42" s="241"/>
      <c r="O42" s="241"/>
      <c r="P42" s="241"/>
      <c r="Q42" s="241"/>
      <c r="R42" s="241"/>
      <c r="S42" s="241"/>
      <c r="T42" s="241"/>
      <c r="U42" s="241"/>
      <c r="V42" s="241"/>
      <c r="W42" s="241"/>
      <c r="X42" s="241"/>
      <c r="Y42" s="241"/>
      <c r="Z42" s="241"/>
    </row>
    <row r="43" spans="1:26" ht="15.75" customHeight="1">
      <c r="A43" s="2">
        <v>39</v>
      </c>
      <c r="B43" s="2" t="s">
        <v>883</v>
      </c>
      <c r="C43" s="2" t="s">
        <v>1867</v>
      </c>
      <c r="D43" s="2"/>
      <c r="E43" s="1213">
        <v>50000000</v>
      </c>
      <c r="F43" s="235"/>
      <c r="G43" s="234"/>
      <c r="H43" s="527"/>
      <c r="I43" s="241"/>
      <c r="J43" s="241"/>
      <c r="K43" s="241"/>
      <c r="L43" s="241"/>
      <c r="M43" s="241"/>
      <c r="N43" s="241"/>
      <c r="O43" s="241"/>
      <c r="P43" s="241"/>
      <c r="Q43" s="241"/>
      <c r="R43" s="241"/>
      <c r="S43" s="241"/>
      <c r="T43" s="241"/>
      <c r="U43" s="241"/>
      <c r="V43" s="241"/>
      <c r="W43" s="241"/>
      <c r="X43" s="241"/>
      <c r="Y43" s="241"/>
      <c r="Z43" s="241"/>
    </row>
    <row r="44" spans="1:26" ht="15.75" customHeight="1">
      <c r="A44" s="2">
        <v>40</v>
      </c>
      <c r="B44" s="242" t="s">
        <v>832</v>
      </c>
      <c r="C44" s="519" t="s">
        <v>1868</v>
      </c>
      <c r="D44" s="242">
        <v>1</v>
      </c>
      <c r="E44" s="1199">
        <v>10000000</v>
      </c>
      <c r="F44" s="242" t="s">
        <v>1869</v>
      </c>
      <c r="G44" s="242" t="s">
        <v>704</v>
      </c>
      <c r="H44" s="241"/>
      <c r="I44" s="241"/>
      <c r="J44" s="241"/>
      <c r="K44" s="241"/>
      <c r="L44" s="241"/>
      <c r="M44" s="241"/>
      <c r="N44" s="241"/>
      <c r="O44" s="241"/>
      <c r="P44" s="241"/>
      <c r="Q44" s="241"/>
      <c r="R44" s="241"/>
      <c r="S44" s="241"/>
      <c r="T44" s="241"/>
      <c r="U44" s="241"/>
      <c r="V44" s="241"/>
      <c r="W44" s="241"/>
      <c r="X44" s="241"/>
      <c r="Y44" s="241"/>
      <c r="Z44" s="241"/>
    </row>
    <row r="45" spans="1:26" ht="15.75" customHeight="1">
      <c r="A45" s="2">
        <v>41</v>
      </c>
      <c r="B45" s="234" t="s">
        <v>1870</v>
      </c>
      <c r="C45" s="478" t="s">
        <v>1871</v>
      </c>
      <c r="D45" s="234" t="s">
        <v>1872</v>
      </c>
      <c r="E45" s="1201">
        <v>2500000</v>
      </c>
      <c r="F45" s="234" t="s">
        <v>1873</v>
      </c>
      <c r="G45" s="379" t="s">
        <v>671</v>
      </c>
      <c r="H45" s="527"/>
      <c r="I45" s="241"/>
      <c r="J45" s="241"/>
      <c r="K45" s="241"/>
      <c r="L45" s="241"/>
      <c r="M45" s="241"/>
      <c r="N45" s="241"/>
      <c r="O45" s="241"/>
      <c r="P45" s="241"/>
      <c r="Q45" s="241"/>
      <c r="R45" s="241"/>
      <c r="S45" s="241"/>
      <c r="T45" s="241"/>
      <c r="U45" s="241"/>
      <c r="V45" s="241"/>
      <c r="W45" s="241"/>
      <c r="X45" s="241"/>
      <c r="Y45" s="241"/>
      <c r="Z45" s="241"/>
    </row>
    <row r="46" spans="1:26" ht="15.75" customHeight="1">
      <c r="A46" s="2">
        <v>42</v>
      </c>
      <c r="B46" s="360" t="s">
        <v>1874</v>
      </c>
      <c r="C46" s="360" t="s">
        <v>1875</v>
      </c>
      <c r="D46" s="360" t="s">
        <v>1818</v>
      </c>
      <c r="E46" s="1162">
        <v>750000</v>
      </c>
      <c r="F46" s="360" t="s">
        <v>1876</v>
      </c>
      <c r="G46" s="358" t="s">
        <v>671</v>
      </c>
      <c r="H46" s="527"/>
      <c r="I46" s="241"/>
      <c r="J46" s="241"/>
      <c r="K46" s="241"/>
      <c r="L46" s="241"/>
      <c r="M46" s="241"/>
      <c r="N46" s="241"/>
      <c r="O46" s="241"/>
      <c r="P46" s="241"/>
      <c r="Q46" s="241"/>
      <c r="R46" s="241"/>
      <c r="S46" s="241"/>
      <c r="T46" s="241"/>
      <c r="U46" s="241"/>
      <c r="V46" s="241"/>
      <c r="W46" s="241"/>
      <c r="X46" s="241"/>
      <c r="Y46" s="241"/>
      <c r="Z46" s="241"/>
    </row>
    <row r="47" spans="1:26" ht="15.75" customHeight="1">
      <c r="E47" s="1211"/>
    </row>
    <row r="48" spans="1:26" ht="15.75" customHeight="1">
      <c r="E48" s="1211"/>
    </row>
    <row r="49" spans="5:5" ht="15.75" customHeight="1">
      <c r="E49" s="1211">
        <f>SUM(E5:E46)</f>
        <v>337742000</v>
      </c>
    </row>
    <row r="50" spans="5:5" ht="15.75" customHeight="1">
      <c r="E50" s="1211"/>
    </row>
    <row r="51" spans="5:5" ht="15.75" customHeight="1">
      <c r="E51" s="1211"/>
    </row>
    <row r="52" spans="5:5" ht="15.75" customHeight="1">
      <c r="E52" s="1211"/>
    </row>
    <row r="53" spans="5:5" ht="15.75" customHeight="1">
      <c r="E53" s="1211"/>
    </row>
    <row r="54" spans="5:5" ht="15.75" customHeight="1">
      <c r="E54" s="1211"/>
    </row>
    <row r="55" spans="5:5" ht="15.75" customHeight="1">
      <c r="E55" s="1211"/>
    </row>
    <row r="56" spans="5:5" ht="15.75" customHeight="1">
      <c r="E56" s="1211"/>
    </row>
    <row r="57" spans="5:5" ht="15.75" customHeight="1">
      <c r="E57" s="1211"/>
    </row>
    <row r="58" spans="5:5" ht="15.75" customHeight="1">
      <c r="E58" s="1211"/>
    </row>
    <row r="59" spans="5:5" ht="15.75" customHeight="1">
      <c r="E59" s="1211"/>
    </row>
    <row r="60" spans="5:5" ht="15.75" customHeight="1">
      <c r="E60" s="1211"/>
    </row>
    <row r="61" spans="5:5" ht="15.75" customHeight="1">
      <c r="E61" s="1211"/>
    </row>
    <row r="62" spans="5:5" ht="15.75" customHeight="1">
      <c r="E62" s="1211"/>
    </row>
    <row r="63" spans="5:5" ht="15.75" customHeight="1">
      <c r="E63" s="1211"/>
    </row>
    <row r="64" spans="5:5" ht="15.75" customHeight="1">
      <c r="E64" s="1211"/>
    </row>
    <row r="65" spans="5:5" ht="15.75" customHeight="1">
      <c r="E65" s="1211"/>
    </row>
    <row r="66" spans="5:5" ht="15.75" customHeight="1">
      <c r="E66" s="1211"/>
    </row>
    <row r="67" spans="5:5" ht="15.75" customHeight="1">
      <c r="E67" s="1211"/>
    </row>
    <row r="68" spans="5:5" ht="15.75" customHeight="1">
      <c r="E68" s="1211"/>
    </row>
    <row r="69" spans="5:5" ht="15.75" customHeight="1">
      <c r="E69" s="1211"/>
    </row>
    <row r="70" spans="5:5" ht="15.75" customHeight="1">
      <c r="E70" s="1211"/>
    </row>
    <row r="71" spans="5:5" ht="15.75" customHeight="1">
      <c r="E71" s="1211"/>
    </row>
    <row r="72" spans="5:5" ht="15.75" customHeight="1">
      <c r="E72" s="1211"/>
    </row>
    <row r="73" spans="5:5" ht="15.75" customHeight="1">
      <c r="E73" s="1211"/>
    </row>
    <row r="74" spans="5:5" ht="15.75" customHeight="1">
      <c r="E74" s="1211"/>
    </row>
    <row r="75" spans="5:5" ht="15.75" customHeight="1">
      <c r="E75" s="1211"/>
    </row>
    <row r="76" spans="5:5" ht="15.75" customHeight="1">
      <c r="E76" s="1211"/>
    </row>
    <row r="77" spans="5:5" ht="15.75" customHeight="1">
      <c r="E77" s="1211"/>
    </row>
    <row r="78" spans="5:5" ht="15.75" customHeight="1">
      <c r="E78" s="1211"/>
    </row>
    <row r="79" spans="5:5" ht="15.75" customHeight="1">
      <c r="E79" s="1211"/>
    </row>
    <row r="80" spans="5:5" ht="15.75" customHeight="1">
      <c r="E80" s="1211"/>
    </row>
    <row r="81" spans="5:5" ht="15.75" customHeight="1">
      <c r="E81" s="1211"/>
    </row>
    <row r="82" spans="5:5" ht="15.75" customHeight="1">
      <c r="E82" s="1211"/>
    </row>
    <row r="83" spans="5:5" ht="15.75" customHeight="1">
      <c r="E83" s="1211"/>
    </row>
    <row r="84" spans="5:5" ht="15.75" customHeight="1">
      <c r="E84" s="1211"/>
    </row>
    <row r="85" spans="5:5" ht="15.75" customHeight="1">
      <c r="E85" s="1211"/>
    </row>
    <row r="86" spans="5:5" ht="15.75" customHeight="1">
      <c r="E86" s="1211"/>
    </row>
    <row r="87" spans="5:5" ht="15.75" customHeight="1">
      <c r="E87" s="1211"/>
    </row>
    <row r="88" spans="5:5" ht="15.75" customHeight="1">
      <c r="E88" s="1211"/>
    </row>
    <row r="89" spans="5:5" ht="15.75" customHeight="1">
      <c r="E89" s="1211"/>
    </row>
    <row r="90" spans="5:5" ht="15.75" customHeight="1">
      <c r="E90" s="1211"/>
    </row>
    <row r="91" spans="5:5" ht="15.75" customHeight="1">
      <c r="E91" s="1211"/>
    </row>
    <row r="92" spans="5:5" ht="15.75" customHeight="1">
      <c r="E92" s="1211"/>
    </row>
    <row r="93" spans="5:5" ht="15.75" customHeight="1">
      <c r="E93" s="1211"/>
    </row>
    <row r="94" spans="5:5" ht="15.75" customHeight="1">
      <c r="E94" s="1211"/>
    </row>
    <row r="95" spans="5:5" ht="15.75" customHeight="1">
      <c r="E95" s="1211"/>
    </row>
    <row r="96" spans="5:5" ht="15.75" customHeight="1">
      <c r="E96" s="1211"/>
    </row>
    <row r="97" spans="5:5" ht="15.75" customHeight="1">
      <c r="E97" s="1211"/>
    </row>
    <row r="98" spans="5:5" ht="15.75" customHeight="1">
      <c r="E98" s="1211"/>
    </row>
    <row r="99" spans="5:5" ht="15.75" customHeight="1">
      <c r="E99" s="1211"/>
    </row>
    <row r="100" spans="5:5" ht="15.75" customHeight="1">
      <c r="E100" s="1211"/>
    </row>
    <row r="101" spans="5:5" ht="15.75" customHeight="1">
      <c r="E101" s="1211"/>
    </row>
    <row r="102" spans="5:5" ht="15.75" customHeight="1">
      <c r="E102" s="1211"/>
    </row>
    <row r="103" spans="5:5" ht="15.75" customHeight="1">
      <c r="E103" s="1211"/>
    </row>
    <row r="104" spans="5:5" ht="15.75" customHeight="1">
      <c r="E104" s="1211"/>
    </row>
    <row r="105" spans="5:5" ht="15.75" customHeight="1">
      <c r="E105" s="1211"/>
    </row>
    <row r="106" spans="5:5" ht="15.75" customHeight="1">
      <c r="E106" s="1211"/>
    </row>
    <row r="107" spans="5:5" ht="15.75" customHeight="1">
      <c r="E107" s="1211"/>
    </row>
    <row r="108" spans="5:5" ht="15.75" customHeight="1">
      <c r="E108" s="1211"/>
    </row>
    <row r="109" spans="5:5" ht="15.75" customHeight="1">
      <c r="E109" s="1211"/>
    </row>
    <row r="110" spans="5:5" ht="15.75" customHeight="1">
      <c r="E110" s="1211"/>
    </row>
    <row r="111" spans="5:5" ht="15.75" customHeight="1">
      <c r="E111" s="1211"/>
    </row>
    <row r="112" spans="5:5" ht="15.75" customHeight="1">
      <c r="E112" s="1211"/>
    </row>
    <row r="113" spans="5:5" ht="15.75" customHeight="1">
      <c r="E113" s="1211"/>
    </row>
    <row r="114" spans="5:5" ht="15.75" customHeight="1">
      <c r="E114" s="1211"/>
    </row>
    <row r="115" spans="5:5" ht="15.75" customHeight="1">
      <c r="E115" s="1211"/>
    </row>
    <row r="116" spans="5:5" ht="15.75" customHeight="1">
      <c r="E116" s="1211"/>
    </row>
    <row r="117" spans="5:5" ht="15.75" customHeight="1">
      <c r="E117" s="1211"/>
    </row>
    <row r="118" spans="5:5" ht="15.75" customHeight="1">
      <c r="E118" s="1211"/>
    </row>
    <row r="119" spans="5:5" ht="15.75" customHeight="1">
      <c r="E119" s="1211"/>
    </row>
    <row r="120" spans="5:5" ht="15.75" customHeight="1">
      <c r="E120" s="1211"/>
    </row>
    <row r="121" spans="5:5" ht="15.75" customHeight="1">
      <c r="E121" s="1211"/>
    </row>
    <row r="122" spans="5:5" ht="15.75" customHeight="1">
      <c r="E122" s="1211"/>
    </row>
    <row r="123" spans="5:5" ht="15.75" customHeight="1">
      <c r="E123" s="1211"/>
    </row>
    <row r="124" spans="5:5" ht="15.75" customHeight="1">
      <c r="E124" s="1211"/>
    </row>
    <row r="125" spans="5:5" ht="15.75" customHeight="1">
      <c r="E125" s="1211"/>
    </row>
    <row r="126" spans="5:5" ht="15.75" customHeight="1">
      <c r="E126" s="1211"/>
    </row>
    <row r="127" spans="5:5" ht="15.75" customHeight="1">
      <c r="E127" s="1211"/>
    </row>
    <row r="128" spans="5:5" ht="15.75" customHeight="1">
      <c r="E128" s="1211"/>
    </row>
    <row r="129" spans="5:5" ht="15.75" customHeight="1">
      <c r="E129" s="1211"/>
    </row>
    <row r="130" spans="5:5" ht="15.75" customHeight="1">
      <c r="E130" s="1211"/>
    </row>
    <row r="131" spans="5:5" ht="15.75" customHeight="1">
      <c r="E131" s="1211"/>
    </row>
    <row r="132" spans="5:5" ht="15.75" customHeight="1">
      <c r="E132" s="1211"/>
    </row>
    <row r="133" spans="5:5" ht="15.75" customHeight="1">
      <c r="E133" s="1211"/>
    </row>
    <row r="134" spans="5:5" ht="15.75" customHeight="1">
      <c r="E134" s="1211"/>
    </row>
    <row r="135" spans="5:5" ht="15.75" customHeight="1">
      <c r="E135" s="1211"/>
    </row>
    <row r="136" spans="5:5" ht="15.75" customHeight="1">
      <c r="E136" s="1211"/>
    </row>
    <row r="137" spans="5:5" ht="15.75" customHeight="1">
      <c r="E137" s="1211"/>
    </row>
    <row r="138" spans="5:5" ht="15.75" customHeight="1">
      <c r="E138" s="1211"/>
    </row>
    <row r="139" spans="5:5" ht="15.75" customHeight="1">
      <c r="E139" s="1211"/>
    </row>
    <row r="140" spans="5:5" ht="15.75" customHeight="1">
      <c r="E140" s="1211"/>
    </row>
    <row r="141" spans="5:5" ht="15.75" customHeight="1">
      <c r="E141" s="1211"/>
    </row>
    <row r="142" spans="5:5" ht="15.75" customHeight="1">
      <c r="E142" s="1211"/>
    </row>
    <row r="143" spans="5:5" ht="15.75" customHeight="1">
      <c r="E143" s="1211"/>
    </row>
    <row r="144" spans="5:5" ht="15.75" customHeight="1">
      <c r="E144" s="1211"/>
    </row>
    <row r="145" spans="5:5" ht="15.75" customHeight="1">
      <c r="E145" s="1211"/>
    </row>
    <row r="146" spans="5:5" ht="15.75" customHeight="1">
      <c r="E146" s="1211"/>
    </row>
    <row r="147" spans="5:5" ht="15.75" customHeight="1">
      <c r="E147" s="1211"/>
    </row>
    <row r="148" spans="5:5" ht="15.75" customHeight="1">
      <c r="E148" s="1211"/>
    </row>
    <row r="149" spans="5:5" ht="15.75" customHeight="1">
      <c r="E149" s="1211"/>
    </row>
    <row r="150" spans="5:5" ht="15.75" customHeight="1">
      <c r="E150" s="1211"/>
    </row>
    <row r="151" spans="5:5" ht="15.75" customHeight="1">
      <c r="E151" s="1211"/>
    </row>
    <row r="152" spans="5:5" ht="15.75" customHeight="1">
      <c r="E152" s="1211"/>
    </row>
    <row r="153" spans="5:5" ht="15.75" customHeight="1">
      <c r="E153" s="1211"/>
    </row>
    <row r="154" spans="5:5" ht="15.75" customHeight="1">
      <c r="E154" s="1211"/>
    </row>
    <row r="155" spans="5:5" ht="15.75" customHeight="1">
      <c r="E155" s="1211"/>
    </row>
    <row r="156" spans="5:5" ht="15.75" customHeight="1">
      <c r="E156" s="1211"/>
    </row>
    <row r="157" spans="5:5" ht="15.75" customHeight="1">
      <c r="E157" s="1211"/>
    </row>
    <row r="158" spans="5:5" ht="15.75" customHeight="1">
      <c r="E158" s="1211"/>
    </row>
    <row r="159" spans="5:5" ht="15.75" customHeight="1">
      <c r="E159" s="1211"/>
    </row>
    <row r="160" spans="5:5" ht="15.75" customHeight="1">
      <c r="E160" s="1211"/>
    </row>
    <row r="161" spans="5:5" ht="15.75" customHeight="1">
      <c r="E161" s="1211"/>
    </row>
    <row r="162" spans="5:5" ht="15.75" customHeight="1">
      <c r="E162" s="1211"/>
    </row>
    <row r="163" spans="5:5" ht="15.75" customHeight="1">
      <c r="E163" s="1211"/>
    </row>
    <row r="164" spans="5:5" ht="15.75" customHeight="1">
      <c r="E164" s="1211"/>
    </row>
    <row r="165" spans="5:5" ht="15.75" customHeight="1">
      <c r="E165" s="1211"/>
    </row>
    <row r="166" spans="5:5" ht="15.75" customHeight="1">
      <c r="E166" s="1211"/>
    </row>
    <row r="167" spans="5:5" ht="15.75" customHeight="1">
      <c r="E167" s="1211"/>
    </row>
    <row r="168" spans="5:5" ht="15.75" customHeight="1">
      <c r="E168" s="1211"/>
    </row>
    <row r="169" spans="5:5" ht="15.75" customHeight="1">
      <c r="E169" s="1211"/>
    </row>
    <row r="170" spans="5:5" ht="15.75" customHeight="1">
      <c r="E170" s="1211"/>
    </row>
    <row r="171" spans="5:5" ht="15.75" customHeight="1">
      <c r="E171" s="1211"/>
    </row>
    <row r="172" spans="5:5" ht="15.75" customHeight="1">
      <c r="E172" s="1211"/>
    </row>
    <row r="173" spans="5:5" ht="15.75" customHeight="1">
      <c r="E173" s="1211"/>
    </row>
    <row r="174" spans="5:5" ht="15.75" customHeight="1">
      <c r="E174" s="1211"/>
    </row>
    <row r="175" spans="5:5" ht="15.75" customHeight="1">
      <c r="E175" s="1211"/>
    </row>
    <row r="176" spans="5:5" ht="15.75" customHeight="1">
      <c r="E176" s="1211"/>
    </row>
    <row r="177" spans="5:5" ht="15.75" customHeight="1">
      <c r="E177" s="1211"/>
    </row>
    <row r="178" spans="5:5" ht="15.75" customHeight="1">
      <c r="E178" s="1211"/>
    </row>
    <row r="179" spans="5:5" ht="15.75" customHeight="1">
      <c r="E179" s="1211"/>
    </row>
    <row r="180" spans="5:5" ht="15.75" customHeight="1">
      <c r="E180" s="1211"/>
    </row>
    <row r="181" spans="5:5" ht="15.75" customHeight="1">
      <c r="E181" s="1211"/>
    </row>
    <row r="182" spans="5:5" ht="15.75" customHeight="1">
      <c r="E182" s="1211"/>
    </row>
    <row r="183" spans="5:5" ht="15.75" customHeight="1">
      <c r="E183" s="1211"/>
    </row>
    <row r="184" spans="5:5" ht="15.75" customHeight="1">
      <c r="E184" s="1211"/>
    </row>
    <row r="185" spans="5:5" ht="15.75" customHeight="1">
      <c r="E185" s="1211"/>
    </row>
    <row r="186" spans="5:5" ht="15.75" customHeight="1">
      <c r="E186" s="1211"/>
    </row>
    <row r="187" spans="5:5" ht="15.75" customHeight="1">
      <c r="E187" s="1211"/>
    </row>
    <row r="188" spans="5:5" ht="15.75" customHeight="1">
      <c r="E188" s="1211"/>
    </row>
    <row r="189" spans="5:5" ht="15.75" customHeight="1">
      <c r="E189" s="1211"/>
    </row>
    <row r="190" spans="5:5" ht="15.75" customHeight="1">
      <c r="E190" s="1211"/>
    </row>
    <row r="191" spans="5:5" ht="15.75" customHeight="1">
      <c r="E191" s="1211"/>
    </row>
    <row r="192" spans="5:5" ht="15.75" customHeight="1">
      <c r="E192" s="1211"/>
    </row>
    <row r="193" spans="5:5" ht="15.75" customHeight="1">
      <c r="E193" s="1211"/>
    </row>
    <row r="194" spans="5:5" ht="15.75" customHeight="1">
      <c r="E194" s="1211"/>
    </row>
    <row r="195" spans="5:5" ht="15.75" customHeight="1">
      <c r="E195" s="1211"/>
    </row>
    <row r="196" spans="5:5" ht="15.75" customHeight="1">
      <c r="E196" s="1211"/>
    </row>
    <row r="197" spans="5:5" ht="15.75" customHeight="1">
      <c r="E197" s="1211"/>
    </row>
    <row r="198" spans="5:5" ht="15.75" customHeight="1">
      <c r="E198" s="1211"/>
    </row>
    <row r="199" spans="5:5" ht="15.75" customHeight="1">
      <c r="E199" s="1211"/>
    </row>
    <row r="200" spans="5:5" ht="15.75" customHeight="1">
      <c r="E200" s="1211"/>
    </row>
    <row r="201" spans="5:5" ht="15.75" customHeight="1">
      <c r="E201" s="1211"/>
    </row>
    <row r="202" spans="5:5" ht="15.75" customHeight="1">
      <c r="E202" s="1211"/>
    </row>
    <row r="203" spans="5:5" ht="15.75" customHeight="1">
      <c r="E203" s="1211"/>
    </row>
    <row r="204" spans="5:5" ht="15.75" customHeight="1">
      <c r="E204" s="1211"/>
    </row>
    <row r="205" spans="5:5" ht="15.75" customHeight="1">
      <c r="E205" s="1211"/>
    </row>
    <row r="206" spans="5:5" ht="15.75" customHeight="1">
      <c r="E206" s="1211"/>
    </row>
    <row r="207" spans="5:5" ht="15.75" customHeight="1">
      <c r="E207" s="1211"/>
    </row>
    <row r="208" spans="5:5" ht="15.75" customHeight="1">
      <c r="E208" s="1211"/>
    </row>
    <row r="209" spans="5:5" ht="15.75" customHeight="1">
      <c r="E209" s="1211"/>
    </row>
    <row r="210" spans="5:5" ht="15.75" customHeight="1">
      <c r="E210" s="1211"/>
    </row>
    <row r="211" spans="5:5" ht="15.75" customHeight="1">
      <c r="E211" s="1211"/>
    </row>
    <row r="212" spans="5:5" ht="15.75" customHeight="1">
      <c r="E212" s="1211"/>
    </row>
    <row r="213" spans="5:5" ht="15.75" customHeight="1">
      <c r="E213" s="1211"/>
    </row>
    <row r="214" spans="5:5" ht="15.75" customHeight="1">
      <c r="E214" s="1211"/>
    </row>
    <row r="215" spans="5:5" ht="15.75" customHeight="1">
      <c r="E215" s="1211"/>
    </row>
    <row r="216" spans="5:5" ht="15.75" customHeight="1">
      <c r="E216" s="1211"/>
    </row>
    <row r="217" spans="5:5" ht="15.75" customHeight="1">
      <c r="E217" s="1211"/>
    </row>
    <row r="218" spans="5:5" ht="15.75" customHeight="1">
      <c r="E218" s="1211"/>
    </row>
    <row r="219" spans="5:5" ht="15.75" customHeight="1">
      <c r="E219" s="1211"/>
    </row>
    <row r="220" spans="5:5" ht="15.75" customHeight="1">
      <c r="E220" s="1211"/>
    </row>
    <row r="221" spans="5:5" ht="15.75" customHeight="1">
      <c r="E221" s="1211"/>
    </row>
    <row r="222" spans="5:5" ht="15.75" customHeight="1">
      <c r="E222" s="1211"/>
    </row>
    <row r="223" spans="5:5" ht="15.75" customHeight="1">
      <c r="E223" s="1211"/>
    </row>
    <row r="224" spans="5:5" ht="15.75" customHeight="1">
      <c r="E224" s="1211"/>
    </row>
    <row r="225" spans="5:5" ht="15.75" customHeight="1">
      <c r="E225" s="1211"/>
    </row>
    <row r="226" spans="5:5" ht="15.75" customHeight="1">
      <c r="E226" s="1211"/>
    </row>
    <row r="227" spans="5:5" ht="15.75" customHeight="1">
      <c r="E227" s="1211"/>
    </row>
    <row r="228" spans="5:5" ht="15.75" customHeight="1">
      <c r="E228" s="1211"/>
    </row>
    <row r="229" spans="5:5" ht="15.75" customHeight="1">
      <c r="E229" s="1211"/>
    </row>
    <row r="230" spans="5:5" ht="15.75" customHeight="1">
      <c r="E230" s="1211"/>
    </row>
    <row r="231" spans="5:5" ht="15.75" customHeight="1">
      <c r="E231" s="1211"/>
    </row>
    <row r="232" spans="5:5" ht="15.75" customHeight="1">
      <c r="E232" s="1211"/>
    </row>
    <row r="233" spans="5:5" ht="15.75" customHeight="1">
      <c r="E233" s="1211"/>
    </row>
    <row r="234" spans="5:5" ht="15.75" customHeight="1">
      <c r="E234" s="1211"/>
    </row>
    <row r="235" spans="5:5" ht="15.75" customHeight="1">
      <c r="E235" s="1211"/>
    </row>
    <row r="236" spans="5:5" ht="15.75" customHeight="1">
      <c r="E236" s="1211"/>
    </row>
    <row r="237" spans="5:5" ht="15.75" customHeight="1">
      <c r="E237" s="1211"/>
    </row>
    <row r="238" spans="5:5" ht="15.75" customHeight="1">
      <c r="E238" s="1211"/>
    </row>
    <row r="239" spans="5:5" ht="15.75" customHeight="1">
      <c r="E239" s="1211"/>
    </row>
    <row r="240" spans="5:5" ht="15.75" customHeight="1">
      <c r="E240" s="1211"/>
    </row>
    <row r="241" spans="5:5" ht="15.75" customHeight="1">
      <c r="E241" s="1211"/>
    </row>
    <row r="242" spans="5:5" ht="15.75" customHeight="1">
      <c r="E242" s="1211"/>
    </row>
    <row r="243" spans="5:5" ht="15.75" customHeight="1">
      <c r="E243" s="1211"/>
    </row>
    <row r="244" spans="5:5" ht="15.75" customHeight="1">
      <c r="E244" s="1211"/>
    </row>
    <row r="245" spans="5:5" ht="15.75" customHeight="1">
      <c r="E245" s="1211"/>
    </row>
    <row r="246" spans="5:5" ht="15.75" customHeight="1">
      <c r="E246" s="1211"/>
    </row>
    <row r="247" spans="5:5" ht="15.75" customHeight="1">
      <c r="E247" s="1211"/>
    </row>
    <row r="248" spans="5:5" ht="15.75" customHeight="1">
      <c r="E248" s="1211"/>
    </row>
    <row r="249" spans="5:5" ht="15.75" customHeight="1">
      <c r="E249" s="1211"/>
    </row>
    <row r="250" spans="5:5" ht="15.75" customHeight="1"/>
    <row r="251" spans="5:5" ht="15.75" customHeight="1"/>
    <row r="252" spans="5:5" ht="15.75" customHeight="1"/>
    <row r="253" spans="5:5" ht="15.75" customHeight="1"/>
    <row r="254" spans="5:5" ht="15.75" customHeight="1"/>
    <row r="255" spans="5:5" ht="15.75" customHeight="1"/>
    <row r="256" spans="5:5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topLeftCell="A7" workbookViewId="0">
      <selection activeCell="E17" sqref="E17"/>
    </sheetView>
  </sheetViews>
  <sheetFormatPr defaultColWidth="14.42578125" defaultRowHeight="15" customHeight="1"/>
  <cols>
    <col min="1" max="1" width="6.7109375" customWidth="1"/>
    <col min="2" max="2" width="19.28515625" customWidth="1"/>
    <col min="3" max="3" width="19.7109375" customWidth="1"/>
    <col min="4" max="4" width="19.5703125" customWidth="1"/>
    <col min="5" max="5" width="29.42578125" customWidth="1"/>
    <col min="6" max="6" width="21.7109375" customWidth="1"/>
  </cols>
  <sheetData>
    <row r="1" spans="1:26" ht="15.75">
      <c r="A1" s="956" t="s">
        <v>1877</v>
      </c>
      <c r="B1" s="890"/>
      <c r="C1" s="890"/>
      <c r="D1" s="890"/>
      <c r="E1" s="890"/>
      <c r="F1" s="890"/>
    </row>
    <row r="2" spans="1:26" ht="21" customHeight="1">
      <c r="A2" s="957" t="s">
        <v>16</v>
      </c>
      <c r="B2" s="890"/>
      <c r="C2" s="890"/>
      <c r="D2" s="890"/>
      <c r="E2" s="890"/>
      <c r="F2" s="890"/>
    </row>
    <row r="3" spans="1:26">
      <c r="D3" s="346"/>
      <c r="E3" s="346"/>
    </row>
    <row r="4" spans="1:26" ht="31.5">
      <c r="A4" s="528" t="s">
        <v>657</v>
      </c>
      <c r="B4" s="528" t="s">
        <v>1439</v>
      </c>
      <c r="C4" s="528" t="s">
        <v>1440</v>
      </c>
      <c r="D4" s="529" t="s">
        <v>661</v>
      </c>
      <c r="E4" s="529" t="s">
        <v>1441</v>
      </c>
      <c r="F4" s="528" t="s">
        <v>664</v>
      </c>
    </row>
    <row r="5" spans="1:26">
      <c r="A5" s="513">
        <v>1</v>
      </c>
      <c r="B5" s="242" t="s">
        <v>1878</v>
      </c>
      <c r="C5" s="242">
        <v>4</v>
      </c>
      <c r="D5" s="461">
        <v>3500000</v>
      </c>
      <c r="E5" s="461">
        <f t="shared" ref="E5:E8" si="0">C5*D5</f>
        <v>14000000</v>
      </c>
      <c r="F5" s="242" t="s">
        <v>671</v>
      </c>
      <c r="G5" s="241"/>
      <c r="H5" s="241"/>
      <c r="I5" s="241"/>
      <c r="J5" s="241"/>
      <c r="K5" s="241"/>
      <c r="L5" s="241"/>
      <c r="M5" s="241"/>
      <c r="N5" s="241"/>
      <c r="O5" s="241"/>
      <c r="P5" s="241"/>
      <c r="Q5" s="241"/>
      <c r="R5" s="241"/>
      <c r="S5" s="241"/>
      <c r="T5" s="241"/>
      <c r="U5" s="241"/>
      <c r="V5" s="241"/>
      <c r="W5" s="241"/>
      <c r="X5" s="241"/>
      <c r="Y5" s="241"/>
      <c r="Z5" s="241"/>
    </row>
    <row r="6" spans="1:26">
      <c r="A6" s="513">
        <v>2</v>
      </c>
      <c r="B6" s="242" t="s">
        <v>1879</v>
      </c>
      <c r="C6" s="242">
        <v>4</v>
      </c>
      <c r="D6" s="461">
        <v>350000</v>
      </c>
      <c r="E6" s="461">
        <f t="shared" si="0"/>
        <v>1400000</v>
      </c>
      <c r="F6" s="242" t="s">
        <v>671</v>
      </c>
      <c r="G6" s="241"/>
      <c r="H6" s="241"/>
      <c r="I6" s="241"/>
      <c r="J6" s="241"/>
      <c r="K6" s="241"/>
      <c r="L6" s="241"/>
      <c r="M6" s="241"/>
      <c r="N6" s="241"/>
      <c r="O6" s="241"/>
      <c r="P6" s="241"/>
      <c r="Q6" s="241"/>
      <c r="R6" s="241"/>
      <c r="S6" s="241"/>
      <c r="T6" s="241"/>
      <c r="U6" s="241"/>
      <c r="V6" s="241"/>
      <c r="W6" s="241"/>
      <c r="X6" s="241"/>
      <c r="Y6" s="241"/>
      <c r="Z6" s="241"/>
    </row>
    <row r="7" spans="1:26">
      <c r="A7" s="513">
        <v>3</v>
      </c>
      <c r="B7" s="242" t="s">
        <v>1880</v>
      </c>
      <c r="C7" s="242">
        <v>4</v>
      </c>
      <c r="D7" s="461">
        <v>1500000</v>
      </c>
      <c r="E7" s="461">
        <f t="shared" si="0"/>
        <v>6000000</v>
      </c>
      <c r="F7" s="242" t="s">
        <v>671</v>
      </c>
      <c r="G7" s="241"/>
      <c r="H7" s="241"/>
      <c r="I7" s="241"/>
      <c r="J7" s="241"/>
      <c r="K7" s="241"/>
      <c r="L7" s="241"/>
      <c r="M7" s="241"/>
      <c r="N7" s="241"/>
      <c r="O7" s="241"/>
      <c r="P7" s="241"/>
      <c r="Q7" s="241"/>
      <c r="R7" s="241"/>
      <c r="S7" s="241"/>
      <c r="T7" s="241"/>
      <c r="U7" s="241"/>
      <c r="V7" s="241"/>
      <c r="W7" s="241"/>
      <c r="X7" s="241"/>
      <c r="Y7" s="241"/>
      <c r="Z7" s="241"/>
    </row>
    <row r="8" spans="1:26">
      <c r="A8" s="513">
        <v>4</v>
      </c>
      <c r="B8" s="242" t="s">
        <v>1881</v>
      </c>
      <c r="C8" s="242">
        <v>4</v>
      </c>
      <c r="D8" s="461">
        <v>200000</v>
      </c>
      <c r="E8" s="461">
        <f t="shared" si="0"/>
        <v>800000</v>
      </c>
      <c r="F8" s="242" t="s">
        <v>671</v>
      </c>
      <c r="G8" s="241"/>
      <c r="H8" s="241"/>
      <c r="I8" s="241"/>
      <c r="J8" s="241"/>
      <c r="K8" s="241"/>
      <c r="L8" s="241"/>
      <c r="M8" s="241"/>
      <c r="N8" s="241"/>
      <c r="O8" s="241"/>
      <c r="P8" s="241"/>
      <c r="Q8" s="241"/>
      <c r="R8" s="241"/>
      <c r="S8" s="241"/>
      <c r="T8" s="241"/>
      <c r="U8" s="241"/>
      <c r="V8" s="241"/>
      <c r="W8" s="241"/>
      <c r="X8" s="241"/>
      <c r="Y8" s="241"/>
      <c r="Z8" s="241"/>
    </row>
    <row r="9" spans="1:26">
      <c r="A9" s="172"/>
      <c r="B9" s="9"/>
      <c r="C9" s="9"/>
      <c r="D9" s="10"/>
      <c r="E9" s="10"/>
      <c r="F9" s="9"/>
    </row>
    <row r="10" spans="1:26">
      <c r="A10" s="70"/>
      <c r="B10" s="530" t="s">
        <v>7</v>
      </c>
      <c r="C10" s="3"/>
      <c r="D10" s="5"/>
      <c r="E10" s="5">
        <f>SUM(E5:E8)</f>
        <v>22200000</v>
      </c>
      <c r="F10" s="3"/>
    </row>
    <row r="11" spans="1:26">
      <c r="A11" s="70"/>
      <c r="B11" s="3"/>
      <c r="C11" s="3"/>
      <c r="D11" s="5"/>
      <c r="E11" s="5"/>
      <c r="F11" s="3"/>
    </row>
    <row r="12" spans="1:26" ht="31.5">
      <c r="A12" s="1216" t="s">
        <v>657</v>
      </c>
      <c r="B12" s="1216" t="s">
        <v>1439</v>
      </c>
      <c r="C12" s="1216" t="s">
        <v>1440</v>
      </c>
      <c r="D12" s="1217" t="s">
        <v>661</v>
      </c>
      <c r="E12" s="1217" t="s">
        <v>1441</v>
      </c>
      <c r="F12" s="1216" t="s">
        <v>664</v>
      </c>
    </row>
    <row r="13" spans="1:26">
      <c r="A13" s="1218"/>
      <c r="B13" s="1218" t="s">
        <v>1882</v>
      </c>
      <c r="C13" s="1218">
        <v>12</v>
      </c>
      <c r="D13" s="1219">
        <v>3500000</v>
      </c>
      <c r="E13" s="1219">
        <f>D13*C13</f>
        <v>42000000</v>
      </c>
      <c r="F13" s="1218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spans="1:26">
      <c r="A14" s="1218"/>
      <c r="B14" s="1218" t="s">
        <v>1883</v>
      </c>
      <c r="C14" s="1218"/>
      <c r="D14" s="1219"/>
      <c r="E14" s="1219">
        <v>13000000</v>
      </c>
      <c r="F14" s="1218"/>
      <c r="G14" s="241"/>
      <c r="H14" s="241"/>
      <c r="I14" s="241"/>
      <c r="J14" s="241"/>
      <c r="K14" s="241"/>
      <c r="L14" s="241"/>
      <c r="M14" s="241"/>
      <c r="N14" s="241"/>
      <c r="O14" s="241"/>
      <c r="P14" s="241"/>
      <c r="Q14" s="241"/>
      <c r="R14" s="241"/>
      <c r="S14" s="241"/>
      <c r="T14" s="241"/>
      <c r="U14" s="241"/>
      <c r="V14" s="241"/>
      <c r="W14" s="241"/>
      <c r="X14" s="241"/>
      <c r="Y14" s="241"/>
      <c r="Z14" s="241"/>
    </row>
    <row r="15" spans="1:26">
      <c r="A15" s="1218"/>
      <c r="B15" s="1218" t="s">
        <v>1884</v>
      </c>
      <c r="C15" s="1218">
        <v>1</v>
      </c>
      <c r="D15" s="1219">
        <v>9000000</v>
      </c>
      <c r="E15" s="1219"/>
      <c r="F15" s="1218"/>
    </row>
    <row r="16" spans="1:26">
      <c r="A16" s="1220"/>
      <c r="B16" s="1218" t="s">
        <v>1885</v>
      </c>
      <c r="C16" s="1221">
        <v>1</v>
      </c>
      <c r="D16" s="1222">
        <v>2500000</v>
      </c>
      <c r="E16" s="1222"/>
      <c r="F16" s="1220"/>
    </row>
    <row r="17" spans="1:6">
      <c r="A17" s="1220"/>
      <c r="B17" s="1218" t="s">
        <v>1886</v>
      </c>
      <c r="C17" s="1218">
        <v>1</v>
      </c>
      <c r="D17" s="1222">
        <v>1256000</v>
      </c>
      <c r="E17" s="1222"/>
      <c r="F17" s="1220"/>
    </row>
    <row r="18" spans="1:6">
      <c r="D18" s="346"/>
      <c r="E18" s="346"/>
    </row>
    <row r="19" spans="1:6">
      <c r="D19" s="346"/>
      <c r="E19" s="346"/>
    </row>
    <row r="20" spans="1:6">
      <c r="D20" s="346"/>
      <c r="E20" s="346"/>
    </row>
    <row r="21" spans="1:6" ht="15.75" customHeight="1">
      <c r="D21" s="346"/>
      <c r="E21" s="346"/>
    </row>
    <row r="22" spans="1:6" ht="15.75" customHeight="1">
      <c r="D22" s="346"/>
      <c r="E22" s="346"/>
    </row>
    <row r="23" spans="1:6" ht="15.75" customHeight="1">
      <c r="D23" s="346"/>
      <c r="E23" s="346"/>
    </row>
    <row r="24" spans="1:6" ht="15.75" customHeight="1">
      <c r="D24" s="346"/>
      <c r="E24" s="346"/>
    </row>
    <row r="25" spans="1:6" ht="15.75" customHeight="1">
      <c r="D25" s="346"/>
      <c r="E25" s="346"/>
    </row>
    <row r="26" spans="1:6" ht="15.75" customHeight="1">
      <c r="D26" s="346"/>
      <c r="E26" s="346"/>
    </row>
    <row r="27" spans="1:6" ht="15.75" customHeight="1">
      <c r="D27" s="346"/>
      <c r="E27" s="346"/>
    </row>
    <row r="28" spans="1:6" ht="15.75" customHeight="1">
      <c r="D28" s="346"/>
      <c r="E28" s="346"/>
    </row>
    <row r="29" spans="1:6" ht="15.75" customHeight="1">
      <c r="D29" s="346"/>
      <c r="E29" s="346"/>
    </row>
    <row r="30" spans="1:6" ht="15.75" customHeight="1">
      <c r="D30" s="346"/>
      <c r="E30" s="346"/>
    </row>
    <row r="31" spans="1:6" ht="15.75" customHeight="1">
      <c r="D31" s="346"/>
      <c r="E31" s="346"/>
    </row>
    <row r="32" spans="1:6" ht="15.75" customHeight="1">
      <c r="D32" s="346"/>
      <c r="E32" s="346"/>
    </row>
    <row r="33" spans="4:5" ht="15.75" customHeight="1">
      <c r="D33" s="346"/>
      <c r="E33" s="346"/>
    </row>
    <row r="34" spans="4:5" ht="15.75" customHeight="1">
      <c r="D34" s="346"/>
      <c r="E34" s="346"/>
    </row>
    <row r="35" spans="4:5" ht="15.75" customHeight="1">
      <c r="D35" s="346"/>
      <c r="E35" s="346"/>
    </row>
    <row r="36" spans="4:5" ht="15.75" customHeight="1">
      <c r="D36" s="346"/>
      <c r="E36" s="346"/>
    </row>
    <row r="37" spans="4:5" ht="15.75" customHeight="1">
      <c r="D37" s="346"/>
      <c r="E37" s="346"/>
    </row>
    <row r="38" spans="4:5" ht="15.75" customHeight="1">
      <c r="D38" s="346"/>
      <c r="E38" s="346"/>
    </row>
    <row r="39" spans="4:5" ht="15.75" customHeight="1">
      <c r="D39" s="346"/>
      <c r="E39" s="346"/>
    </row>
    <row r="40" spans="4:5" ht="15.75" customHeight="1">
      <c r="D40" s="346"/>
      <c r="E40" s="346"/>
    </row>
    <row r="41" spans="4:5" ht="15.75" customHeight="1">
      <c r="D41" s="346"/>
      <c r="E41" s="346"/>
    </row>
    <row r="42" spans="4:5" ht="15.75" customHeight="1">
      <c r="D42" s="346"/>
      <c r="E42" s="346"/>
    </row>
    <row r="43" spans="4:5" ht="15.75" customHeight="1">
      <c r="D43" s="346"/>
      <c r="E43" s="346"/>
    </row>
    <row r="44" spans="4:5" ht="15.75" customHeight="1">
      <c r="D44" s="346"/>
      <c r="E44" s="346"/>
    </row>
    <row r="45" spans="4:5" ht="15.75" customHeight="1">
      <c r="D45" s="346"/>
      <c r="E45" s="346"/>
    </row>
    <row r="46" spans="4:5" ht="15.75" customHeight="1">
      <c r="D46" s="346"/>
      <c r="E46" s="346"/>
    </row>
    <row r="47" spans="4:5" ht="15.75" customHeight="1">
      <c r="D47" s="346"/>
      <c r="E47" s="346"/>
    </row>
    <row r="48" spans="4:5" ht="15.75" customHeight="1">
      <c r="D48" s="346"/>
      <c r="E48" s="346"/>
    </row>
    <row r="49" spans="4:5" ht="15.75" customHeight="1">
      <c r="D49" s="346"/>
      <c r="E49" s="346"/>
    </row>
    <row r="50" spans="4:5" ht="15.75" customHeight="1">
      <c r="D50" s="346"/>
      <c r="E50" s="346"/>
    </row>
    <row r="51" spans="4:5" ht="15.75" customHeight="1">
      <c r="D51" s="346"/>
      <c r="E51" s="346"/>
    </row>
    <row r="52" spans="4:5" ht="15.75" customHeight="1">
      <c r="D52" s="346"/>
      <c r="E52" s="346"/>
    </row>
    <row r="53" spans="4:5" ht="15.75" customHeight="1">
      <c r="D53" s="346"/>
      <c r="E53" s="346"/>
    </row>
    <row r="54" spans="4:5" ht="15.75" customHeight="1">
      <c r="D54" s="346"/>
      <c r="E54" s="346"/>
    </row>
    <row r="55" spans="4:5" ht="15.75" customHeight="1">
      <c r="D55" s="346"/>
      <c r="E55" s="346"/>
    </row>
    <row r="56" spans="4:5" ht="15.75" customHeight="1">
      <c r="D56" s="346"/>
      <c r="E56" s="346"/>
    </row>
    <row r="57" spans="4:5" ht="15.75" customHeight="1">
      <c r="D57" s="346"/>
      <c r="E57" s="346"/>
    </row>
    <row r="58" spans="4:5" ht="15.75" customHeight="1">
      <c r="D58" s="346"/>
      <c r="E58" s="346"/>
    </row>
    <row r="59" spans="4:5" ht="15.75" customHeight="1">
      <c r="D59" s="346"/>
      <c r="E59" s="346"/>
    </row>
    <row r="60" spans="4:5" ht="15.75" customHeight="1">
      <c r="D60" s="346"/>
      <c r="E60" s="346"/>
    </row>
    <row r="61" spans="4:5" ht="15.75" customHeight="1">
      <c r="D61" s="346"/>
      <c r="E61" s="346"/>
    </row>
    <row r="62" spans="4:5" ht="15.75" customHeight="1">
      <c r="D62" s="346"/>
      <c r="E62" s="346"/>
    </row>
    <row r="63" spans="4:5" ht="15.75" customHeight="1">
      <c r="D63" s="346"/>
      <c r="E63" s="346"/>
    </row>
    <row r="64" spans="4:5" ht="15.75" customHeight="1">
      <c r="D64" s="346"/>
      <c r="E64" s="346"/>
    </row>
    <row r="65" spans="4:5" ht="15.75" customHeight="1">
      <c r="D65" s="346"/>
      <c r="E65" s="346"/>
    </row>
    <row r="66" spans="4:5" ht="15.75" customHeight="1">
      <c r="D66" s="346"/>
      <c r="E66" s="346"/>
    </row>
    <row r="67" spans="4:5" ht="15.75" customHeight="1">
      <c r="D67" s="346"/>
      <c r="E67" s="346"/>
    </row>
    <row r="68" spans="4:5" ht="15.75" customHeight="1">
      <c r="D68" s="346"/>
      <c r="E68" s="346"/>
    </row>
    <row r="69" spans="4:5" ht="15.75" customHeight="1">
      <c r="D69" s="346"/>
      <c r="E69" s="346"/>
    </row>
    <row r="70" spans="4:5" ht="15.75" customHeight="1">
      <c r="D70" s="346"/>
      <c r="E70" s="346"/>
    </row>
    <row r="71" spans="4:5" ht="15.75" customHeight="1">
      <c r="D71" s="346"/>
      <c r="E71" s="346"/>
    </row>
    <row r="72" spans="4:5" ht="15.75" customHeight="1">
      <c r="D72" s="346"/>
      <c r="E72" s="346"/>
    </row>
    <row r="73" spans="4:5" ht="15.75" customHeight="1">
      <c r="D73" s="346"/>
      <c r="E73" s="346"/>
    </row>
    <row r="74" spans="4:5" ht="15.75" customHeight="1">
      <c r="D74" s="346"/>
      <c r="E74" s="346"/>
    </row>
    <row r="75" spans="4:5" ht="15.75" customHeight="1">
      <c r="D75" s="346"/>
      <c r="E75" s="346"/>
    </row>
    <row r="76" spans="4:5" ht="15.75" customHeight="1">
      <c r="D76" s="346"/>
      <c r="E76" s="346"/>
    </row>
    <row r="77" spans="4:5" ht="15.75" customHeight="1">
      <c r="D77" s="346"/>
      <c r="E77" s="346"/>
    </row>
    <row r="78" spans="4:5" ht="15.75" customHeight="1">
      <c r="D78" s="346"/>
      <c r="E78" s="346"/>
    </row>
    <row r="79" spans="4:5" ht="15.75" customHeight="1">
      <c r="D79" s="346"/>
      <c r="E79" s="346"/>
    </row>
    <row r="80" spans="4:5" ht="15.75" customHeight="1">
      <c r="D80" s="346"/>
      <c r="E80" s="346"/>
    </row>
    <row r="81" spans="4:5" ht="15.75" customHeight="1">
      <c r="D81" s="346"/>
      <c r="E81" s="346"/>
    </row>
    <row r="82" spans="4:5" ht="15.75" customHeight="1">
      <c r="D82" s="346"/>
      <c r="E82" s="346"/>
    </row>
    <row r="83" spans="4:5" ht="15.75" customHeight="1">
      <c r="D83" s="346"/>
      <c r="E83" s="346"/>
    </row>
    <row r="84" spans="4:5" ht="15.75" customHeight="1">
      <c r="D84" s="346"/>
      <c r="E84" s="346"/>
    </row>
    <row r="85" spans="4:5" ht="15.75" customHeight="1">
      <c r="D85" s="346"/>
      <c r="E85" s="346"/>
    </row>
    <row r="86" spans="4:5" ht="15.75" customHeight="1">
      <c r="D86" s="346"/>
      <c r="E86" s="346"/>
    </row>
    <row r="87" spans="4:5" ht="15.75" customHeight="1">
      <c r="D87" s="346"/>
      <c r="E87" s="346"/>
    </row>
    <row r="88" spans="4:5" ht="15.75" customHeight="1">
      <c r="D88" s="346"/>
      <c r="E88" s="346"/>
    </row>
    <row r="89" spans="4:5" ht="15.75" customHeight="1">
      <c r="D89" s="346"/>
      <c r="E89" s="346"/>
    </row>
    <row r="90" spans="4:5" ht="15.75" customHeight="1">
      <c r="D90" s="346"/>
      <c r="E90" s="346"/>
    </row>
    <row r="91" spans="4:5" ht="15.75" customHeight="1">
      <c r="D91" s="346"/>
      <c r="E91" s="346"/>
    </row>
    <row r="92" spans="4:5" ht="15.75" customHeight="1">
      <c r="D92" s="346"/>
      <c r="E92" s="346"/>
    </row>
    <row r="93" spans="4:5" ht="15.75" customHeight="1">
      <c r="D93" s="346"/>
      <c r="E93" s="346"/>
    </row>
    <row r="94" spans="4:5" ht="15.75" customHeight="1">
      <c r="D94" s="346"/>
      <c r="E94" s="346"/>
    </row>
    <row r="95" spans="4:5" ht="15.75" customHeight="1">
      <c r="D95" s="346"/>
      <c r="E95" s="346"/>
    </row>
    <row r="96" spans="4:5" ht="15.75" customHeight="1">
      <c r="D96" s="346"/>
      <c r="E96" s="346"/>
    </row>
    <row r="97" spans="4:5" ht="15.75" customHeight="1">
      <c r="D97" s="346"/>
      <c r="E97" s="346"/>
    </row>
    <row r="98" spans="4:5" ht="15.75" customHeight="1">
      <c r="D98" s="346"/>
      <c r="E98" s="346"/>
    </row>
    <row r="99" spans="4:5" ht="15.75" customHeight="1">
      <c r="D99" s="346"/>
      <c r="E99" s="346"/>
    </row>
    <row r="100" spans="4:5" ht="15.75" customHeight="1">
      <c r="D100" s="346"/>
      <c r="E100" s="346"/>
    </row>
    <row r="101" spans="4:5" ht="15.75" customHeight="1">
      <c r="D101" s="346"/>
      <c r="E101" s="346"/>
    </row>
    <row r="102" spans="4:5" ht="15.75" customHeight="1">
      <c r="D102" s="346"/>
      <c r="E102" s="346"/>
    </row>
    <row r="103" spans="4:5" ht="15.75" customHeight="1">
      <c r="D103" s="346"/>
      <c r="E103" s="346"/>
    </row>
    <row r="104" spans="4:5" ht="15.75" customHeight="1">
      <c r="D104" s="346"/>
      <c r="E104" s="346"/>
    </row>
    <row r="105" spans="4:5" ht="15.75" customHeight="1">
      <c r="D105" s="346"/>
      <c r="E105" s="346"/>
    </row>
    <row r="106" spans="4:5" ht="15.75" customHeight="1">
      <c r="D106" s="346"/>
      <c r="E106" s="346"/>
    </row>
    <row r="107" spans="4:5" ht="15.75" customHeight="1">
      <c r="D107" s="346"/>
      <c r="E107" s="346"/>
    </row>
    <row r="108" spans="4:5" ht="15.75" customHeight="1">
      <c r="D108" s="346"/>
      <c r="E108" s="346"/>
    </row>
    <row r="109" spans="4:5" ht="15.75" customHeight="1">
      <c r="D109" s="346"/>
      <c r="E109" s="346"/>
    </row>
    <row r="110" spans="4:5" ht="15.75" customHeight="1">
      <c r="D110" s="346"/>
      <c r="E110" s="346"/>
    </row>
    <row r="111" spans="4:5" ht="15.75" customHeight="1">
      <c r="D111" s="346"/>
      <c r="E111" s="346"/>
    </row>
    <row r="112" spans="4:5" ht="15.75" customHeight="1">
      <c r="D112" s="346"/>
      <c r="E112" s="346"/>
    </row>
    <row r="113" spans="4:5" ht="15.75" customHeight="1">
      <c r="D113" s="346"/>
      <c r="E113" s="346"/>
    </row>
    <row r="114" spans="4:5" ht="15.75" customHeight="1">
      <c r="D114" s="346"/>
      <c r="E114" s="346"/>
    </row>
    <row r="115" spans="4:5" ht="15.75" customHeight="1">
      <c r="D115" s="346"/>
      <c r="E115" s="346"/>
    </row>
    <row r="116" spans="4:5" ht="15.75" customHeight="1">
      <c r="D116" s="346"/>
      <c r="E116" s="346"/>
    </row>
    <row r="117" spans="4:5" ht="15.75" customHeight="1">
      <c r="D117" s="346"/>
      <c r="E117" s="346"/>
    </row>
    <row r="118" spans="4:5" ht="15.75" customHeight="1">
      <c r="D118" s="346"/>
      <c r="E118" s="346"/>
    </row>
    <row r="119" spans="4:5" ht="15.75" customHeight="1">
      <c r="D119" s="346"/>
      <c r="E119" s="346"/>
    </row>
    <row r="120" spans="4:5" ht="15.75" customHeight="1">
      <c r="D120" s="346"/>
      <c r="E120" s="346"/>
    </row>
    <row r="121" spans="4:5" ht="15.75" customHeight="1">
      <c r="D121" s="346"/>
      <c r="E121" s="346"/>
    </row>
    <row r="122" spans="4:5" ht="15.75" customHeight="1">
      <c r="D122" s="346"/>
      <c r="E122" s="346"/>
    </row>
    <row r="123" spans="4:5" ht="15.75" customHeight="1">
      <c r="D123" s="346"/>
      <c r="E123" s="346"/>
    </row>
    <row r="124" spans="4:5" ht="15.75" customHeight="1">
      <c r="D124" s="346"/>
      <c r="E124" s="346"/>
    </row>
    <row r="125" spans="4:5" ht="15.75" customHeight="1">
      <c r="D125" s="346"/>
      <c r="E125" s="346"/>
    </row>
    <row r="126" spans="4:5" ht="15.75" customHeight="1">
      <c r="D126" s="346"/>
      <c r="E126" s="346"/>
    </row>
    <row r="127" spans="4:5" ht="15.75" customHeight="1">
      <c r="D127" s="346"/>
      <c r="E127" s="346"/>
    </row>
    <row r="128" spans="4:5" ht="15.75" customHeight="1">
      <c r="D128" s="346"/>
      <c r="E128" s="346"/>
    </row>
    <row r="129" spans="4:5" ht="15.75" customHeight="1">
      <c r="D129" s="346"/>
      <c r="E129" s="346"/>
    </row>
    <row r="130" spans="4:5" ht="15.75" customHeight="1">
      <c r="D130" s="346"/>
      <c r="E130" s="346"/>
    </row>
    <row r="131" spans="4:5" ht="15.75" customHeight="1">
      <c r="D131" s="346"/>
      <c r="E131" s="346"/>
    </row>
    <row r="132" spans="4:5" ht="15.75" customHeight="1">
      <c r="D132" s="346"/>
      <c r="E132" s="346"/>
    </row>
    <row r="133" spans="4:5" ht="15.75" customHeight="1">
      <c r="D133" s="346"/>
      <c r="E133" s="346"/>
    </row>
    <row r="134" spans="4:5" ht="15.75" customHeight="1">
      <c r="D134" s="346"/>
      <c r="E134" s="346"/>
    </row>
    <row r="135" spans="4:5" ht="15.75" customHeight="1">
      <c r="D135" s="346"/>
      <c r="E135" s="346"/>
    </row>
    <row r="136" spans="4:5" ht="15.75" customHeight="1">
      <c r="D136" s="346"/>
      <c r="E136" s="346"/>
    </row>
    <row r="137" spans="4:5" ht="15.75" customHeight="1">
      <c r="D137" s="346"/>
      <c r="E137" s="346"/>
    </row>
    <row r="138" spans="4:5" ht="15.75" customHeight="1">
      <c r="D138" s="346"/>
      <c r="E138" s="346"/>
    </row>
    <row r="139" spans="4:5" ht="15.75" customHeight="1">
      <c r="D139" s="346"/>
      <c r="E139" s="346"/>
    </row>
    <row r="140" spans="4:5" ht="15.75" customHeight="1">
      <c r="D140" s="346"/>
      <c r="E140" s="346"/>
    </row>
    <row r="141" spans="4:5" ht="15.75" customHeight="1">
      <c r="D141" s="346"/>
      <c r="E141" s="346"/>
    </row>
    <row r="142" spans="4:5" ht="15.75" customHeight="1">
      <c r="D142" s="346"/>
      <c r="E142" s="346"/>
    </row>
    <row r="143" spans="4:5" ht="15.75" customHeight="1">
      <c r="D143" s="346"/>
      <c r="E143" s="346"/>
    </row>
    <row r="144" spans="4:5" ht="15.75" customHeight="1">
      <c r="D144" s="346"/>
      <c r="E144" s="346"/>
    </row>
    <row r="145" spans="4:5" ht="15.75" customHeight="1">
      <c r="D145" s="346"/>
      <c r="E145" s="346"/>
    </row>
    <row r="146" spans="4:5" ht="15.75" customHeight="1">
      <c r="D146" s="346"/>
      <c r="E146" s="346"/>
    </row>
    <row r="147" spans="4:5" ht="15.75" customHeight="1">
      <c r="D147" s="346"/>
      <c r="E147" s="346"/>
    </row>
    <row r="148" spans="4:5" ht="15.75" customHeight="1">
      <c r="D148" s="346"/>
      <c r="E148" s="346"/>
    </row>
    <row r="149" spans="4:5" ht="15.75" customHeight="1">
      <c r="D149" s="346"/>
      <c r="E149" s="346"/>
    </row>
    <row r="150" spans="4:5" ht="15.75" customHeight="1">
      <c r="D150" s="346"/>
      <c r="E150" s="346"/>
    </row>
    <row r="151" spans="4:5" ht="15.75" customHeight="1">
      <c r="D151" s="346"/>
      <c r="E151" s="346"/>
    </row>
    <row r="152" spans="4:5" ht="15.75" customHeight="1">
      <c r="D152" s="346"/>
      <c r="E152" s="346"/>
    </row>
    <row r="153" spans="4:5" ht="15.75" customHeight="1">
      <c r="D153" s="346"/>
      <c r="E153" s="346"/>
    </row>
    <row r="154" spans="4:5" ht="15.75" customHeight="1">
      <c r="D154" s="346"/>
      <c r="E154" s="346"/>
    </row>
    <row r="155" spans="4:5" ht="15.75" customHeight="1">
      <c r="D155" s="346"/>
      <c r="E155" s="346"/>
    </row>
    <row r="156" spans="4:5" ht="15.75" customHeight="1">
      <c r="D156" s="346"/>
      <c r="E156" s="346"/>
    </row>
    <row r="157" spans="4:5" ht="15.75" customHeight="1">
      <c r="D157" s="346"/>
      <c r="E157" s="346"/>
    </row>
    <row r="158" spans="4:5" ht="15.75" customHeight="1">
      <c r="D158" s="346"/>
      <c r="E158" s="346"/>
    </row>
    <row r="159" spans="4:5" ht="15.75" customHeight="1">
      <c r="D159" s="346"/>
      <c r="E159" s="346"/>
    </row>
    <row r="160" spans="4:5" ht="15.75" customHeight="1">
      <c r="D160" s="346"/>
      <c r="E160" s="346"/>
    </row>
    <row r="161" spans="4:5" ht="15.75" customHeight="1">
      <c r="D161" s="346"/>
      <c r="E161" s="346"/>
    </row>
    <row r="162" spans="4:5" ht="15.75" customHeight="1">
      <c r="D162" s="346"/>
      <c r="E162" s="346"/>
    </row>
    <row r="163" spans="4:5" ht="15.75" customHeight="1">
      <c r="D163" s="346"/>
      <c r="E163" s="346"/>
    </row>
    <row r="164" spans="4:5" ht="15.75" customHeight="1">
      <c r="D164" s="346"/>
      <c r="E164" s="346"/>
    </row>
    <row r="165" spans="4:5" ht="15.75" customHeight="1">
      <c r="D165" s="346"/>
      <c r="E165" s="346"/>
    </row>
    <row r="166" spans="4:5" ht="15.75" customHeight="1">
      <c r="D166" s="346"/>
      <c r="E166" s="346"/>
    </row>
    <row r="167" spans="4:5" ht="15.75" customHeight="1">
      <c r="D167" s="346"/>
      <c r="E167" s="346"/>
    </row>
    <row r="168" spans="4:5" ht="15.75" customHeight="1">
      <c r="D168" s="346"/>
      <c r="E168" s="346"/>
    </row>
    <row r="169" spans="4:5" ht="15.75" customHeight="1">
      <c r="D169" s="346"/>
      <c r="E169" s="346"/>
    </row>
    <row r="170" spans="4:5" ht="15.75" customHeight="1">
      <c r="D170" s="346"/>
      <c r="E170" s="346"/>
    </row>
    <row r="171" spans="4:5" ht="15.75" customHeight="1">
      <c r="D171" s="346"/>
      <c r="E171" s="346"/>
    </row>
    <row r="172" spans="4:5" ht="15.75" customHeight="1">
      <c r="D172" s="346"/>
      <c r="E172" s="346"/>
    </row>
    <row r="173" spans="4:5" ht="15.75" customHeight="1">
      <c r="D173" s="346"/>
      <c r="E173" s="346"/>
    </row>
    <row r="174" spans="4:5" ht="15.75" customHeight="1">
      <c r="D174" s="346"/>
      <c r="E174" s="346"/>
    </row>
    <row r="175" spans="4:5" ht="15.75" customHeight="1">
      <c r="D175" s="346"/>
      <c r="E175" s="346"/>
    </row>
    <row r="176" spans="4:5" ht="15.75" customHeight="1">
      <c r="D176" s="346"/>
      <c r="E176" s="346"/>
    </row>
    <row r="177" spans="4:5" ht="15.75" customHeight="1">
      <c r="D177" s="346"/>
      <c r="E177" s="346"/>
    </row>
    <row r="178" spans="4:5" ht="15.75" customHeight="1">
      <c r="D178" s="346"/>
      <c r="E178" s="346"/>
    </row>
    <row r="179" spans="4:5" ht="15.75" customHeight="1">
      <c r="D179" s="346"/>
      <c r="E179" s="346"/>
    </row>
    <row r="180" spans="4:5" ht="15.75" customHeight="1">
      <c r="D180" s="346"/>
      <c r="E180" s="346"/>
    </row>
    <row r="181" spans="4:5" ht="15.75" customHeight="1">
      <c r="D181" s="346"/>
      <c r="E181" s="346"/>
    </row>
    <row r="182" spans="4:5" ht="15.75" customHeight="1">
      <c r="D182" s="346"/>
      <c r="E182" s="346"/>
    </row>
    <row r="183" spans="4:5" ht="15.75" customHeight="1">
      <c r="D183" s="346"/>
      <c r="E183" s="346"/>
    </row>
    <row r="184" spans="4:5" ht="15.75" customHeight="1">
      <c r="D184" s="346"/>
      <c r="E184" s="346"/>
    </row>
    <row r="185" spans="4:5" ht="15.75" customHeight="1">
      <c r="D185" s="346"/>
      <c r="E185" s="346"/>
    </row>
    <row r="186" spans="4:5" ht="15.75" customHeight="1">
      <c r="D186" s="346"/>
      <c r="E186" s="346"/>
    </row>
    <row r="187" spans="4:5" ht="15.75" customHeight="1">
      <c r="D187" s="346"/>
      <c r="E187" s="346"/>
    </row>
    <row r="188" spans="4:5" ht="15.75" customHeight="1">
      <c r="D188" s="346"/>
      <c r="E188" s="346"/>
    </row>
    <row r="189" spans="4:5" ht="15.75" customHeight="1">
      <c r="D189" s="346"/>
      <c r="E189" s="346"/>
    </row>
    <row r="190" spans="4:5" ht="15.75" customHeight="1">
      <c r="D190" s="346"/>
      <c r="E190" s="346"/>
    </row>
    <row r="191" spans="4:5" ht="15.75" customHeight="1">
      <c r="D191" s="346"/>
      <c r="E191" s="346"/>
    </row>
    <row r="192" spans="4:5" ht="15.75" customHeight="1">
      <c r="D192" s="346"/>
      <c r="E192" s="346"/>
    </row>
    <row r="193" spans="4:5" ht="15.75" customHeight="1">
      <c r="D193" s="346"/>
      <c r="E193" s="346"/>
    </row>
    <row r="194" spans="4:5" ht="15.75" customHeight="1">
      <c r="D194" s="346"/>
      <c r="E194" s="346"/>
    </row>
    <row r="195" spans="4:5" ht="15.75" customHeight="1">
      <c r="D195" s="346"/>
      <c r="E195" s="346"/>
    </row>
    <row r="196" spans="4:5" ht="15.75" customHeight="1">
      <c r="D196" s="346"/>
      <c r="E196" s="346"/>
    </row>
    <row r="197" spans="4:5" ht="15.75" customHeight="1">
      <c r="D197" s="346"/>
      <c r="E197" s="346"/>
    </row>
    <row r="198" spans="4:5" ht="15.75" customHeight="1">
      <c r="D198" s="346"/>
      <c r="E198" s="346"/>
    </row>
    <row r="199" spans="4:5" ht="15.75" customHeight="1">
      <c r="D199" s="346"/>
      <c r="E199" s="346"/>
    </row>
    <row r="200" spans="4:5" ht="15.75" customHeight="1">
      <c r="D200" s="346"/>
      <c r="E200" s="346"/>
    </row>
    <row r="201" spans="4:5" ht="15.75" customHeight="1">
      <c r="D201" s="346"/>
      <c r="E201" s="346"/>
    </row>
    <row r="202" spans="4:5" ht="15.75" customHeight="1">
      <c r="D202" s="346"/>
      <c r="E202" s="346"/>
    </row>
    <row r="203" spans="4:5" ht="15.75" customHeight="1">
      <c r="D203" s="346"/>
      <c r="E203" s="346"/>
    </row>
    <row r="204" spans="4:5" ht="15.75" customHeight="1">
      <c r="D204" s="346"/>
      <c r="E204" s="346"/>
    </row>
    <row r="205" spans="4:5" ht="15.75" customHeight="1">
      <c r="D205" s="346"/>
      <c r="E205" s="346"/>
    </row>
    <row r="206" spans="4:5" ht="15.75" customHeight="1">
      <c r="D206" s="346"/>
      <c r="E206" s="346"/>
    </row>
    <row r="207" spans="4:5" ht="15.75" customHeight="1">
      <c r="D207" s="346"/>
      <c r="E207" s="346"/>
    </row>
    <row r="208" spans="4:5" ht="15.75" customHeight="1">
      <c r="D208" s="346"/>
      <c r="E208" s="346"/>
    </row>
    <row r="209" spans="4:5" ht="15.75" customHeight="1">
      <c r="D209" s="346"/>
      <c r="E209" s="346"/>
    </row>
    <row r="210" spans="4:5" ht="15.75" customHeight="1">
      <c r="D210" s="346"/>
      <c r="E210" s="346"/>
    </row>
    <row r="211" spans="4:5" ht="15.75" customHeight="1">
      <c r="D211" s="346"/>
      <c r="E211" s="346"/>
    </row>
    <row r="212" spans="4:5" ht="15.75" customHeight="1">
      <c r="D212" s="346"/>
      <c r="E212" s="346"/>
    </row>
    <row r="213" spans="4:5" ht="15.75" customHeight="1">
      <c r="D213" s="346"/>
      <c r="E213" s="346"/>
    </row>
    <row r="214" spans="4:5" ht="15.75" customHeight="1">
      <c r="D214" s="346"/>
      <c r="E214" s="346"/>
    </row>
    <row r="215" spans="4:5" ht="15.75" customHeight="1">
      <c r="D215" s="346"/>
      <c r="E215" s="346"/>
    </row>
    <row r="216" spans="4:5" ht="15.75" customHeight="1">
      <c r="D216" s="346"/>
      <c r="E216" s="346"/>
    </row>
    <row r="217" spans="4:5" ht="15.75" customHeight="1">
      <c r="D217" s="346"/>
      <c r="E217" s="346"/>
    </row>
    <row r="218" spans="4:5" ht="15.75" customHeight="1">
      <c r="D218" s="346"/>
      <c r="E218" s="346"/>
    </row>
    <row r="219" spans="4:5" ht="15.75" customHeight="1">
      <c r="D219" s="346"/>
      <c r="E219" s="346"/>
    </row>
    <row r="220" spans="4:5" ht="15.75" customHeight="1">
      <c r="D220" s="346"/>
      <c r="E220" s="346"/>
    </row>
    <row r="221" spans="4:5" ht="15.75" customHeight="1"/>
    <row r="222" spans="4:5" ht="15.75" customHeight="1"/>
    <row r="223" spans="4:5" ht="15.75" customHeight="1"/>
    <row r="224" spans="4:5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F1"/>
    <mergeCell ref="A2:F2"/>
  </mergeCells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topLeftCell="A13" workbookViewId="0">
      <selection activeCell="G10" sqref="G10"/>
    </sheetView>
  </sheetViews>
  <sheetFormatPr defaultColWidth="14.42578125" defaultRowHeight="15" customHeight="1"/>
  <cols>
    <col min="1" max="1" width="7.5703125" customWidth="1"/>
    <col min="2" max="2" width="12.7109375" customWidth="1"/>
    <col min="3" max="3" width="35.5703125" customWidth="1"/>
    <col min="4" max="4" width="30.28515625" customWidth="1"/>
    <col min="5" max="5" width="13" customWidth="1"/>
    <col min="6" max="6" width="17.28515625" style="1055" customWidth="1"/>
    <col min="7" max="7" width="17.42578125" style="1055" customWidth="1"/>
    <col min="8" max="8" width="19" customWidth="1"/>
    <col min="9" max="12" width="10" customWidth="1"/>
    <col min="13" max="13" width="15.85546875" customWidth="1"/>
    <col min="14" max="26" width="10" customWidth="1"/>
  </cols>
  <sheetData>
    <row r="1" spans="1:26">
      <c r="A1" s="954" t="s">
        <v>1887</v>
      </c>
      <c r="B1" s="890"/>
      <c r="C1" s="890"/>
      <c r="D1" s="890"/>
      <c r="E1" s="890"/>
      <c r="F1" s="890"/>
      <c r="G1" s="890"/>
      <c r="M1" s="347"/>
    </row>
    <row r="2" spans="1:26">
      <c r="A2" s="954" t="s">
        <v>15</v>
      </c>
      <c r="B2" s="890"/>
      <c r="C2" s="890"/>
      <c r="D2" s="890"/>
      <c r="E2" s="890"/>
      <c r="F2" s="890"/>
      <c r="G2" s="890"/>
      <c r="M2" s="347"/>
    </row>
    <row r="3" spans="1:26">
      <c r="A3" s="954" t="s">
        <v>1888</v>
      </c>
      <c r="B3" s="890"/>
      <c r="C3" s="890"/>
      <c r="D3" s="890"/>
      <c r="E3" s="890"/>
      <c r="F3" s="890"/>
      <c r="G3" s="890"/>
      <c r="M3" s="347"/>
    </row>
    <row r="4" spans="1:26">
      <c r="A4" s="954" t="s">
        <v>16</v>
      </c>
      <c r="B4" s="890"/>
      <c r="C4" s="890"/>
      <c r="D4" s="890"/>
      <c r="E4" s="890"/>
      <c r="F4" s="890"/>
      <c r="G4" s="890"/>
      <c r="M4" s="347"/>
    </row>
    <row r="5" spans="1:26">
      <c r="A5" s="208"/>
      <c r="B5" s="208"/>
      <c r="D5" s="66"/>
      <c r="F5" s="1211"/>
      <c r="G5" s="1211"/>
      <c r="M5" s="347"/>
    </row>
    <row r="6" spans="1:26">
      <c r="A6" s="208"/>
      <c r="B6" s="208"/>
      <c r="D6" s="66"/>
      <c r="F6" s="1211"/>
      <c r="G6" s="1211"/>
      <c r="M6" s="347"/>
    </row>
    <row r="7" spans="1:26" ht="60">
      <c r="A7" s="532" t="s">
        <v>657</v>
      </c>
      <c r="B7" s="532" t="s">
        <v>1889</v>
      </c>
      <c r="C7" s="533" t="s">
        <v>23</v>
      </c>
      <c r="D7" s="534" t="s">
        <v>1890</v>
      </c>
      <c r="E7" s="535" t="s">
        <v>1891</v>
      </c>
      <c r="F7" s="1230" t="s">
        <v>1892</v>
      </c>
      <c r="G7" s="1230" t="s">
        <v>1893</v>
      </c>
      <c r="H7" s="536" t="s">
        <v>664</v>
      </c>
      <c r="M7" s="347"/>
    </row>
    <row r="8" spans="1:26" ht="31.5" customHeight="1">
      <c r="A8" s="1223">
        <v>1</v>
      </c>
      <c r="B8" s="537" t="s">
        <v>828</v>
      </c>
      <c r="C8" s="538" t="s">
        <v>1894</v>
      </c>
      <c r="D8" s="539" t="s">
        <v>1437</v>
      </c>
      <c r="E8" s="540">
        <v>50</v>
      </c>
      <c r="F8" s="1231">
        <v>10000</v>
      </c>
      <c r="G8" s="1231">
        <f t="shared" ref="G8:G14" si="0">F8*E8</f>
        <v>500000</v>
      </c>
      <c r="H8" s="221" t="s">
        <v>1573</v>
      </c>
      <c r="I8" s="1226"/>
      <c r="J8" s="1226"/>
      <c r="K8" s="1226"/>
      <c r="L8" s="1226"/>
      <c r="M8" s="1226"/>
      <c r="N8" s="1226"/>
      <c r="O8" s="1226"/>
      <c r="P8" s="1226"/>
      <c r="Q8" s="1226"/>
      <c r="R8" s="1226"/>
      <c r="S8" s="1226"/>
      <c r="T8" s="1226"/>
      <c r="U8" s="1226"/>
      <c r="V8" s="1226"/>
      <c r="W8" s="1226"/>
      <c r="X8" s="1226"/>
      <c r="Y8" s="1226"/>
      <c r="Z8" s="1226"/>
    </row>
    <row r="9" spans="1:26">
      <c r="A9" s="1224">
        <v>2</v>
      </c>
      <c r="B9" s="541" t="s">
        <v>1895</v>
      </c>
      <c r="C9" s="542" t="s">
        <v>1896</v>
      </c>
      <c r="D9" s="543" t="s">
        <v>1897</v>
      </c>
      <c r="E9" s="2">
        <v>120</v>
      </c>
      <c r="F9" s="1232">
        <v>10000</v>
      </c>
      <c r="G9" s="1232">
        <f t="shared" si="0"/>
        <v>1200000</v>
      </c>
      <c r="H9" s="2" t="s">
        <v>1573</v>
      </c>
      <c r="I9" s="1226"/>
      <c r="J9" s="1226"/>
      <c r="K9" s="1226"/>
      <c r="L9" s="1226"/>
      <c r="M9" s="1226"/>
      <c r="N9" s="1226"/>
      <c r="O9" s="1226"/>
      <c r="P9" s="1226"/>
      <c r="Q9" s="1226"/>
      <c r="R9" s="1226"/>
      <c r="S9" s="1226"/>
      <c r="T9" s="1226"/>
      <c r="U9" s="1226"/>
      <c r="V9" s="1226"/>
      <c r="W9" s="1226"/>
      <c r="X9" s="1226"/>
      <c r="Y9" s="1226"/>
      <c r="Z9" s="1226"/>
    </row>
    <row r="10" spans="1:26" ht="45">
      <c r="A10" s="1225">
        <v>3</v>
      </c>
      <c r="B10" s="545" t="s">
        <v>1898</v>
      </c>
      <c r="C10" s="546" t="s">
        <v>1899</v>
      </c>
      <c r="D10" s="547" t="s">
        <v>1900</v>
      </c>
      <c r="E10" s="279">
        <v>15</v>
      </c>
      <c r="F10" s="1233">
        <v>10000</v>
      </c>
      <c r="G10" s="1233">
        <f t="shared" si="0"/>
        <v>150000</v>
      </c>
      <c r="H10" s="548" t="s">
        <v>1573</v>
      </c>
      <c r="I10" s="1226"/>
      <c r="J10" s="1226"/>
      <c r="K10" s="1226"/>
      <c r="L10" s="1226"/>
      <c r="M10" s="1226"/>
      <c r="N10" s="1226"/>
      <c r="O10" s="1226"/>
      <c r="P10" s="1226"/>
      <c r="Q10" s="1226"/>
      <c r="R10" s="1226"/>
      <c r="S10" s="1226"/>
      <c r="T10" s="1226"/>
      <c r="U10" s="1226"/>
      <c r="V10" s="1226"/>
      <c r="W10" s="1226"/>
      <c r="X10" s="1226"/>
      <c r="Y10" s="1226"/>
      <c r="Z10" s="1226"/>
    </row>
    <row r="11" spans="1:26">
      <c r="A11" s="1223">
        <v>4</v>
      </c>
      <c r="B11" s="549"/>
      <c r="C11" s="549"/>
      <c r="D11" s="547" t="s">
        <v>1437</v>
      </c>
      <c r="E11" s="279">
        <v>75</v>
      </c>
      <c r="F11" s="1233">
        <v>10000</v>
      </c>
      <c r="G11" s="1233">
        <f t="shared" si="0"/>
        <v>750000</v>
      </c>
      <c r="H11" s="549"/>
      <c r="I11" s="1226"/>
      <c r="J11" s="1226"/>
      <c r="K11" s="1226"/>
      <c r="L11" s="1226"/>
      <c r="M11" s="1226"/>
      <c r="N11" s="1226"/>
      <c r="O11" s="1226"/>
      <c r="P11" s="1226"/>
      <c r="Q11" s="1226"/>
      <c r="R11" s="1226"/>
      <c r="S11" s="1226"/>
      <c r="T11" s="1226"/>
      <c r="U11" s="1226"/>
      <c r="V11" s="1226"/>
      <c r="W11" s="1226"/>
      <c r="X11" s="1226"/>
      <c r="Y11" s="1226"/>
      <c r="Z11" s="1226"/>
    </row>
    <row r="12" spans="1:26">
      <c r="A12" s="1224">
        <v>5</v>
      </c>
      <c r="B12" s="549"/>
      <c r="C12" s="549"/>
      <c r="D12" s="547" t="s">
        <v>1901</v>
      </c>
      <c r="E12" s="279">
        <v>3</v>
      </c>
      <c r="F12" s="1233">
        <v>50000</v>
      </c>
      <c r="G12" s="1233">
        <f t="shared" si="0"/>
        <v>150000</v>
      </c>
      <c r="H12" s="549"/>
      <c r="I12" s="1226"/>
      <c r="J12" s="1226"/>
      <c r="K12" s="1226"/>
      <c r="L12" s="1226"/>
      <c r="M12" s="1226"/>
      <c r="N12" s="1226"/>
      <c r="O12" s="1226"/>
      <c r="P12" s="1226"/>
      <c r="Q12" s="1226"/>
      <c r="R12" s="1226"/>
      <c r="S12" s="1226"/>
      <c r="T12" s="1226"/>
      <c r="U12" s="1226"/>
      <c r="V12" s="1226"/>
      <c r="W12" s="1226"/>
      <c r="X12" s="1226"/>
      <c r="Y12" s="1226"/>
      <c r="Z12" s="1226"/>
    </row>
    <row r="13" spans="1:26">
      <c r="A13" s="1225">
        <v>6</v>
      </c>
      <c r="B13" s="550"/>
      <c r="C13" s="550"/>
      <c r="D13" s="547" t="s">
        <v>1902</v>
      </c>
      <c r="E13" s="279">
        <v>75</v>
      </c>
      <c r="F13" s="1233">
        <v>15000</v>
      </c>
      <c r="G13" s="1233">
        <f t="shared" si="0"/>
        <v>1125000</v>
      </c>
      <c r="H13" s="550"/>
      <c r="I13" s="1226"/>
      <c r="J13" s="1226"/>
      <c r="K13" s="1226"/>
      <c r="L13" s="1226"/>
      <c r="M13" s="1226"/>
      <c r="N13" s="1226"/>
      <c r="O13" s="1226"/>
      <c r="P13" s="1226"/>
      <c r="Q13" s="1226"/>
      <c r="R13" s="1226"/>
      <c r="S13" s="1226"/>
      <c r="T13" s="1226"/>
      <c r="U13" s="1226"/>
      <c r="V13" s="1226"/>
      <c r="W13" s="1226"/>
      <c r="X13" s="1226"/>
      <c r="Y13" s="1226"/>
      <c r="Z13" s="1226"/>
    </row>
    <row r="14" spans="1:26">
      <c r="A14" s="1223">
        <v>7</v>
      </c>
      <c r="B14" s="552" t="s">
        <v>1903</v>
      </c>
      <c r="C14" s="231" t="s">
        <v>1904</v>
      </c>
      <c r="D14" s="263" t="s">
        <v>1902</v>
      </c>
      <c r="E14" s="279">
        <v>30</v>
      </c>
      <c r="F14" s="1234">
        <v>15000</v>
      </c>
      <c r="G14" s="1234">
        <f t="shared" si="0"/>
        <v>450000</v>
      </c>
      <c r="H14" s="227" t="s">
        <v>1573</v>
      </c>
      <c r="I14" s="1226"/>
      <c r="J14" s="1226"/>
      <c r="K14" s="1226"/>
      <c r="L14" s="1226"/>
      <c r="M14" s="1226"/>
      <c r="N14" s="1226"/>
      <c r="O14" s="1226"/>
      <c r="P14" s="1226"/>
      <c r="Q14" s="1226"/>
      <c r="R14" s="1226"/>
      <c r="S14" s="1226"/>
      <c r="T14" s="1226"/>
      <c r="U14" s="1226"/>
      <c r="V14" s="1226"/>
      <c r="W14" s="1226"/>
      <c r="X14" s="1226"/>
      <c r="Y14" s="1226"/>
      <c r="Z14" s="1226"/>
    </row>
    <row r="15" spans="1:26" ht="30">
      <c r="A15" s="1224">
        <v>8</v>
      </c>
      <c r="B15" s="554" t="s">
        <v>1905</v>
      </c>
      <c r="C15" s="554" t="s">
        <v>627</v>
      </c>
      <c r="D15" s="242" t="s">
        <v>1906</v>
      </c>
      <c r="E15" s="555" t="s">
        <v>1907</v>
      </c>
      <c r="F15" s="1232">
        <v>23000000</v>
      </c>
      <c r="G15" s="1232">
        <v>23000000</v>
      </c>
      <c r="H15" s="466" t="s">
        <v>1348</v>
      </c>
      <c r="I15" s="1226"/>
      <c r="J15" s="1226"/>
      <c r="K15" s="1226"/>
      <c r="L15" s="1226"/>
      <c r="M15" s="1226"/>
      <c r="N15" s="1226"/>
      <c r="O15" s="1226"/>
      <c r="P15" s="1226"/>
      <c r="Q15" s="1226"/>
      <c r="R15" s="1226"/>
      <c r="S15" s="1226"/>
      <c r="T15" s="1226"/>
      <c r="U15" s="1226"/>
      <c r="V15" s="1226"/>
      <c r="W15" s="1226"/>
      <c r="X15" s="1226"/>
      <c r="Y15" s="1226"/>
      <c r="Z15" s="1226"/>
    </row>
    <row r="16" spans="1:26" ht="15.75" customHeight="1">
      <c r="A16" s="1225">
        <v>9</v>
      </c>
      <c r="B16" s="556"/>
      <c r="C16" s="556"/>
      <c r="D16" s="242" t="s">
        <v>1908</v>
      </c>
      <c r="E16" s="555"/>
      <c r="F16" s="1232">
        <v>500000</v>
      </c>
      <c r="G16" s="1232">
        <v>500000</v>
      </c>
      <c r="H16" s="242"/>
      <c r="I16" s="1226"/>
      <c r="J16" s="1226"/>
      <c r="K16" s="1226"/>
      <c r="L16" s="1226"/>
      <c r="M16" s="1226"/>
      <c r="N16" s="1226"/>
      <c r="O16" s="1226"/>
      <c r="P16" s="1226"/>
      <c r="Q16" s="1226"/>
      <c r="R16" s="1226"/>
      <c r="S16" s="1226"/>
      <c r="T16" s="1226"/>
      <c r="U16" s="1226"/>
      <c r="V16" s="1226"/>
      <c r="W16" s="1226"/>
      <c r="X16" s="1226"/>
      <c r="Y16" s="1226"/>
      <c r="Z16" s="1226"/>
    </row>
    <row r="17" spans="1:26" ht="15.75" customHeight="1">
      <c r="A17" s="1223">
        <v>10</v>
      </c>
      <c r="B17" s="556"/>
      <c r="C17" s="556"/>
      <c r="D17" s="242" t="s">
        <v>1909</v>
      </c>
      <c r="E17" s="2"/>
      <c r="F17" s="1199">
        <v>500000</v>
      </c>
      <c r="G17" s="1199">
        <v>500000</v>
      </c>
      <c r="H17" s="242"/>
      <c r="I17" s="1226"/>
      <c r="J17" s="1226"/>
      <c r="K17" s="1226"/>
      <c r="L17" s="1226"/>
      <c r="M17" s="1226"/>
      <c r="N17" s="1226"/>
      <c r="O17" s="1226"/>
      <c r="P17" s="1226"/>
      <c r="Q17" s="1226"/>
      <c r="R17" s="1226"/>
      <c r="S17" s="1226"/>
      <c r="T17" s="1226"/>
      <c r="U17" s="1226"/>
      <c r="V17" s="1226"/>
      <c r="W17" s="1226"/>
      <c r="X17" s="1226"/>
      <c r="Y17" s="1226"/>
      <c r="Z17" s="1226"/>
    </row>
    <row r="18" spans="1:26" ht="15.75" customHeight="1">
      <c r="A18" s="1224">
        <v>11</v>
      </c>
      <c r="B18" s="557"/>
      <c r="C18" s="557"/>
      <c r="D18" s="242" t="s">
        <v>1910</v>
      </c>
      <c r="E18" s="2"/>
      <c r="F18" s="1199">
        <v>300000</v>
      </c>
      <c r="G18" s="1199">
        <v>300000</v>
      </c>
      <c r="H18" s="242"/>
      <c r="I18" s="1226"/>
      <c r="J18" s="1226"/>
      <c r="K18" s="1226"/>
      <c r="L18" s="1226"/>
      <c r="M18" s="1226"/>
      <c r="N18" s="1226"/>
      <c r="O18" s="1226"/>
      <c r="P18" s="1226"/>
      <c r="Q18" s="1226"/>
      <c r="R18" s="1226"/>
      <c r="S18" s="1226"/>
      <c r="T18" s="1226"/>
      <c r="U18" s="1226"/>
      <c r="V18" s="1226"/>
      <c r="W18" s="1226"/>
      <c r="X18" s="1226"/>
      <c r="Y18" s="1226"/>
      <c r="Z18" s="1226"/>
    </row>
    <row r="19" spans="1:26" ht="15.75" customHeight="1">
      <c r="A19" s="1225">
        <v>12</v>
      </c>
      <c r="B19" s="554" t="s">
        <v>1905</v>
      </c>
      <c r="C19" s="558" t="s">
        <v>628</v>
      </c>
      <c r="D19" s="242" t="s">
        <v>1906</v>
      </c>
      <c r="E19" s="555" t="s">
        <v>1907</v>
      </c>
      <c r="F19" s="1199">
        <v>10000000</v>
      </c>
      <c r="G19" s="1199">
        <v>10000000</v>
      </c>
      <c r="H19" s="466" t="s">
        <v>1348</v>
      </c>
      <c r="I19" s="1226"/>
      <c r="J19" s="1226"/>
      <c r="K19" s="1226"/>
      <c r="L19" s="1226"/>
      <c r="M19" s="1226"/>
      <c r="N19" s="1226"/>
      <c r="O19" s="1226"/>
      <c r="P19" s="1226"/>
      <c r="Q19" s="1226"/>
      <c r="R19" s="1226"/>
      <c r="S19" s="1226"/>
      <c r="T19" s="1226"/>
      <c r="U19" s="1226"/>
      <c r="V19" s="1226"/>
      <c r="W19" s="1226"/>
      <c r="X19" s="1226"/>
      <c r="Y19" s="1226"/>
      <c r="Z19" s="1226"/>
    </row>
    <row r="20" spans="1:26" ht="15.75" customHeight="1">
      <c r="A20" s="1223">
        <v>13</v>
      </c>
      <c r="B20" s="556"/>
      <c r="C20" s="556"/>
      <c r="D20" s="242" t="s">
        <v>1908</v>
      </c>
      <c r="E20" s="2"/>
      <c r="F20" s="1199">
        <v>700000</v>
      </c>
      <c r="G20" s="1199">
        <v>700000</v>
      </c>
      <c r="H20" s="242"/>
      <c r="I20" s="1226"/>
      <c r="J20" s="1226"/>
      <c r="K20" s="1226"/>
      <c r="L20" s="1226"/>
      <c r="M20" s="1226"/>
      <c r="N20" s="1226"/>
      <c r="O20" s="1226"/>
      <c r="P20" s="1226"/>
      <c r="Q20" s="1226"/>
      <c r="R20" s="1226"/>
      <c r="S20" s="1226"/>
      <c r="T20" s="1226"/>
      <c r="U20" s="1226"/>
      <c r="V20" s="1226"/>
      <c r="W20" s="1226"/>
      <c r="X20" s="1226"/>
      <c r="Y20" s="1226"/>
      <c r="Z20" s="1226"/>
    </row>
    <row r="21" spans="1:26" ht="15.75" customHeight="1">
      <c r="A21" s="1224">
        <v>14</v>
      </c>
      <c r="B21" s="556"/>
      <c r="C21" s="556"/>
      <c r="D21" s="242" t="s">
        <v>1909</v>
      </c>
      <c r="E21" s="2"/>
      <c r="F21" s="1199">
        <v>2000000</v>
      </c>
      <c r="G21" s="1199">
        <v>2000000</v>
      </c>
      <c r="H21" s="242"/>
      <c r="I21" s="1226"/>
      <c r="J21" s="1226"/>
      <c r="K21" s="1226"/>
      <c r="L21" s="1226"/>
      <c r="M21" s="1226"/>
      <c r="N21" s="1226"/>
      <c r="O21" s="1226"/>
      <c r="P21" s="1226"/>
      <c r="Q21" s="1226"/>
      <c r="R21" s="1226"/>
      <c r="S21" s="1226"/>
      <c r="T21" s="1226"/>
      <c r="U21" s="1226"/>
      <c r="V21" s="1226"/>
      <c r="W21" s="1226"/>
      <c r="X21" s="1226"/>
      <c r="Y21" s="1226"/>
      <c r="Z21" s="1226"/>
    </row>
    <row r="22" spans="1:26" ht="15.75" customHeight="1">
      <c r="A22" s="1225">
        <v>15</v>
      </c>
      <c r="B22" s="557"/>
      <c r="C22" s="557"/>
      <c r="D22" s="242" t="s">
        <v>1910</v>
      </c>
      <c r="E22" s="2"/>
      <c r="F22" s="1199">
        <v>500000</v>
      </c>
      <c r="G22" s="1199">
        <v>500000</v>
      </c>
      <c r="H22" s="242"/>
      <c r="I22" s="1226"/>
      <c r="J22" s="1226"/>
      <c r="K22" s="1226"/>
      <c r="L22" s="1226"/>
      <c r="M22" s="1226"/>
      <c r="N22" s="1226"/>
      <c r="O22" s="1226"/>
      <c r="P22" s="1226"/>
      <c r="Q22" s="1226"/>
      <c r="R22" s="1226"/>
      <c r="S22" s="1226"/>
      <c r="T22" s="1226"/>
      <c r="U22" s="1226"/>
      <c r="V22" s="1226"/>
      <c r="W22" s="1226"/>
      <c r="X22" s="1226"/>
      <c r="Y22" s="1226"/>
      <c r="Z22" s="1226"/>
    </row>
    <row r="23" spans="1:26" ht="15.75" customHeight="1">
      <c r="A23" s="1223">
        <v>16</v>
      </c>
      <c r="B23" s="541" t="s">
        <v>1905</v>
      </c>
      <c r="C23" s="242" t="s">
        <v>630</v>
      </c>
      <c r="D23" s="242" t="s">
        <v>1906</v>
      </c>
      <c r="E23" s="2" t="s">
        <v>1911</v>
      </c>
      <c r="F23" s="1199">
        <v>100000</v>
      </c>
      <c r="G23" s="1199">
        <v>7200000</v>
      </c>
      <c r="H23" s="466" t="s">
        <v>1348</v>
      </c>
      <c r="I23" s="1226"/>
      <c r="J23" s="1226"/>
      <c r="K23" s="1226"/>
      <c r="L23" s="1226"/>
      <c r="M23" s="1226"/>
      <c r="N23" s="1226"/>
      <c r="O23" s="1226"/>
      <c r="P23" s="1226"/>
      <c r="Q23" s="1226"/>
      <c r="R23" s="1226"/>
      <c r="S23" s="1226"/>
      <c r="T23" s="1226"/>
      <c r="U23" s="1226"/>
      <c r="V23" s="1226"/>
      <c r="W23" s="1226"/>
      <c r="X23" s="1226"/>
      <c r="Y23" s="1226"/>
      <c r="Z23" s="1226"/>
    </row>
    <row r="24" spans="1:26" ht="15.75" customHeight="1">
      <c r="A24" s="1224">
        <v>17</v>
      </c>
      <c r="B24" s="541" t="s">
        <v>1905</v>
      </c>
      <c r="C24" s="242" t="s">
        <v>632</v>
      </c>
      <c r="D24" s="242" t="s">
        <v>1906</v>
      </c>
      <c r="E24" s="2" t="s">
        <v>1912</v>
      </c>
      <c r="F24" s="1199">
        <v>75000</v>
      </c>
      <c r="G24" s="1199">
        <v>1350000</v>
      </c>
      <c r="H24" s="466" t="s">
        <v>1348</v>
      </c>
      <c r="I24" s="1226"/>
      <c r="J24" s="1226"/>
      <c r="K24" s="1226"/>
      <c r="L24" s="1226"/>
      <c r="M24" s="1226"/>
      <c r="N24" s="1226"/>
      <c r="O24" s="1226"/>
      <c r="P24" s="1226"/>
      <c r="Q24" s="1226"/>
      <c r="R24" s="1226"/>
      <c r="S24" s="1226"/>
      <c r="T24" s="1226"/>
      <c r="U24" s="1226"/>
      <c r="V24" s="1226"/>
      <c r="W24" s="1226"/>
      <c r="X24" s="1226"/>
      <c r="Y24" s="1226"/>
      <c r="Z24" s="1226"/>
    </row>
    <row r="25" spans="1:26" ht="15.75" customHeight="1">
      <c r="A25" s="1225">
        <v>18</v>
      </c>
      <c r="B25" s="554" t="s">
        <v>1905</v>
      </c>
      <c r="C25" s="553" t="s">
        <v>633</v>
      </c>
      <c r="D25" s="242" t="s">
        <v>1906</v>
      </c>
      <c r="E25" s="2" t="s">
        <v>1913</v>
      </c>
      <c r="F25" s="1199">
        <v>300000</v>
      </c>
      <c r="G25" s="1199">
        <v>3600000</v>
      </c>
      <c r="H25" s="466" t="s">
        <v>1348</v>
      </c>
      <c r="I25" s="1226"/>
      <c r="J25" s="1226"/>
      <c r="K25" s="1226"/>
      <c r="L25" s="1226"/>
      <c r="M25" s="1226"/>
      <c r="N25" s="1226"/>
      <c r="O25" s="1226"/>
      <c r="P25" s="1226"/>
      <c r="Q25" s="1226"/>
      <c r="R25" s="1226"/>
      <c r="S25" s="1226"/>
      <c r="T25" s="1226"/>
      <c r="U25" s="1226"/>
      <c r="V25" s="1226"/>
      <c r="W25" s="1226"/>
      <c r="X25" s="1226"/>
      <c r="Y25" s="1226"/>
      <c r="Z25" s="1226"/>
    </row>
    <row r="26" spans="1:26" ht="15.75" customHeight="1">
      <c r="A26" s="1223">
        <v>19</v>
      </c>
      <c r="B26" s="557"/>
      <c r="C26" s="557"/>
      <c r="D26" s="242" t="s">
        <v>1914</v>
      </c>
      <c r="E26" s="2" t="s">
        <v>1913</v>
      </c>
      <c r="F26" s="1199">
        <v>15000</v>
      </c>
      <c r="G26" s="1199">
        <v>180000</v>
      </c>
      <c r="H26" s="466"/>
      <c r="I26" s="1226"/>
      <c r="J26" s="1226"/>
      <c r="K26" s="1226"/>
      <c r="L26" s="1226"/>
      <c r="M26" s="1226"/>
      <c r="N26" s="1226"/>
      <c r="O26" s="1226"/>
      <c r="P26" s="1226"/>
      <c r="Q26" s="1226"/>
      <c r="R26" s="1226"/>
      <c r="S26" s="1226"/>
      <c r="T26" s="1226"/>
      <c r="U26" s="1226"/>
      <c r="V26" s="1226"/>
      <c r="W26" s="1226"/>
      <c r="X26" s="1226"/>
      <c r="Y26" s="1226"/>
      <c r="Z26" s="1226"/>
    </row>
    <row r="27" spans="1:26" ht="15.75" customHeight="1">
      <c r="A27" s="1224">
        <v>20</v>
      </c>
      <c r="B27" s="554" t="s">
        <v>1905</v>
      </c>
      <c r="C27" s="553" t="s">
        <v>635</v>
      </c>
      <c r="D27" s="242" t="s">
        <v>1906</v>
      </c>
      <c r="E27" s="2" t="s">
        <v>1915</v>
      </c>
      <c r="F27" s="1199">
        <v>1500000</v>
      </c>
      <c r="G27" s="1199">
        <v>3000000</v>
      </c>
      <c r="H27" s="466" t="s">
        <v>1348</v>
      </c>
      <c r="I27" s="1226"/>
      <c r="J27" s="1226"/>
      <c r="K27" s="1226"/>
      <c r="L27" s="1226"/>
      <c r="M27" s="1226"/>
      <c r="N27" s="1226"/>
      <c r="O27" s="1226"/>
      <c r="P27" s="1226"/>
      <c r="Q27" s="1226"/>
      <c r="R27" s="1226"/>
      <c r="S27" s="1226"/>
      <c r="T27" s="1226"/>
      <c r="U27" s="1226"/>
      <c r="V27" s="1226"/>
      <c r="W27" s="1226"/>
      <c r="X27" s="1226"/>
      <c r="Y27" s="1226"/>
      <c r="Z27" s="1226"/>
    </row>
    <row r="28" spans="1:26" ht="15.75" customHeight="1">
      <c r="A28" s="1225">
        <v>21</v>
      </c>
      <c r="B28" s="556"/>
      <c r="C28" s="556"/>
      <c r="D28" s="242" t="s">
        <v>1916</v>
      </c>
      <c r="E28" s="2"/>
      <c r="F28" s="1199">
        <v>700000</v>
      </c>
      <c r="G28" s="1199">
        <v>1400000</v>
      </c>
      <c r="H28" s="242"/>
      <c r="I28" s="1226"/>
      <c r="J28" s="1226"/>
      <c r="K28" s="1226"/>
      <c r="L28" s="1226"/>
      <c r="M28" s="1226"/>
      <c r="N28" s="1226"/>
      <c r="O28" s="1226"/>
      <c r="P28" s="1226"/>
      <c r="Q28" s="1226"/>
      <c r="R28" s="1226"/>
      <c r="S28" s="1226"/>
      <c r="T28" s="1226"/>
      <c r="U28" s="1226"/>
      <c r="V28" s="1226"/>
      <c r="W28" s="1226"/>
      <c r="X28" s="1226"/>
      <c r="Y28" s="1226"/>
      <c r="Z28" s="1226"/>
    </row>
    <row r="29" spans="1:26" ht="15.75" customHeight="1">
      <c r="A29" s="1223">
        <v>22</v>
      </c>
      <c r="B29" s="557"/>
      <c r="C29" s="557"/>
      <c r="D29" s="242" t="s">
        <v>1917</v>
      </c>
      <c r="E29" s="2"/>
      <c r="F29" s="1199">
        <v>400000</v>
      </c>
      <c r="G29" s="1199">
        <v>400000</v>
      </c>
      <c r="H29" s="242"/>
      <c r="I29" s="1226"/>
      <c r="J29" s="1226"/>
      <c r="K29" s="1226"/>
      <c r="L29" s="1226"/>
      <c r="M29" s="1226"/>
      <c r="N29" s="1226"/>
      <c r="O29" s="1226"/>
      <c r="P29" s="1226"/>
      <c r="Q29" s="1226"/>
      <c r="R29" s="1226"/>
      <c r="S29" s="1226"/>
      <c r="T29" s="1226"/>
      <c r="U29" s="1226"/>
      <c r="V29" s="1226"/>
      <c r="W29" s="1226"/>
      <c r="X29" s="1226"/>
      <c r="Y29" s="1226"/>
      <c r="Z29" s="1226"/>
    </row>
    <row r="30" spans="1:26" ht="15.75" customHeight="1">
      <c r="A30" s="1224">
        <v>23</v>
      </c>
      <c r="B30" s="541" t="s">
        <v>1905</v>
      </c>
      <c r="C30" s="242" t="s">
        <v>636</v>
      </c>
      <c r="D30" s="242" t="s">
        <v>1906</v>
      </c>
      <c r="E30" s="2" t="s">
        <v>1918</v>
      </c>
      <c r="F30" s="1199">
        <v>75000</v>
      </c>
      <c r="G30" s="1199">
        <v>1800000</v>
      </c>
      <c r="H30" s="466" t="s">
        <v>1348</v>
      </c>
      <c r="I30" s="1226"/>
      <c r="J30" s="1226"/>
      <c r="K30" s="1226"/>
      <c r="L30" s="1226"/>
      <c r="M30" s="1226"/>
      <c r="N30" s="1226"/>
      <c r="O30" s="1226"/>
      <c r="P30" s="1226"/>
      <c r="Q30" s="1226"/>
      <c r="R30" s="1226"/>
      <c r="S30" s="1226"/>
      <c r="T30" s="1226"/>
      <c r="U30" s="1226"/>
      <c r="V30" s="1226"/>
      <c r="W30" s="1226"/>
      <c r="X30" s="1226"/>
      <c r="Y30" s="1226"/>
      <c r="Z30" s="1226"/>
    </row>
    <row r="31" spans="1:26" ht="15.75" customHeight="1">
      <c r="A31" s="1225">
        <v>24</v>
      </c>
      <c r="B31" s="541" t="s">
        <v>1905</v>
      </c>
      <c r="C31" s="242" t="s">
        <v>637</v>
      </c>
      <c r="D31" s="242" t="s">
        <v>1906</v>
      </c>
      <c r="E31" s="2" t="s">
        <v>1919</v>
      </c>
      <c r="F31" s="1199">
        <v>75000</v>
      </c>
      <c r="G31" s="1199">
        <v>600000</v>
      </c>
      <c r="H31" s="466" t="s">
        <v>1348</v>
      </c>
      <c r="I31" s="1226"/>
      <c r="J31" s="1226"/>
      <c r="K31" s="1226"/>
      <c r="L31" s="1226"/>
      <c r="M31" s="1226"/>
      <c r="N31" s="1226"/>
      <c r="O31" s="1226"/>
      <c r="P31" s="1226"/>
      <c r="Q31" s="1226"/>
      <c r="R31" s="1226"/>
      <c r="S31" s="1226"/>
      <c r="T31" s="1226"/>
      <c r="U31" s="1226"/>
      <c r="V31" s="1226"/>
      <c r="W31" s="1226"/>
      <c r="X31" s="1226"/>
      <c r="Y31" s="1226"/>
      <c r="Z31" s="1226"/>
    </row>
    <row r="32" spans="1:26" ht="15.75" customHeight="1">
      <c r="A32" s="1223">
        <v>25</v>
      </c>
      <c r="B32" s="541" t="s">
        <v>1905</v>
      </c>
      <c r="C32" s="242" t="s">
        <v>638</v>
      </c>
      <c r="D32" s="242" t="s">
        <v>1906</v>
      </c>
      <c r="E32" s="2" t="s">
        <v>1920</v>
      </c>
      <c r="F32" s="1199">
        <v>75000</v>
      </c>
      <c r="G32" s="1199">
        <v>750000</v>
      </c>
      <c r="H32" s="466" t="s">
        <v>1348</v>
      </c>
      <c r="I32" s="1226"/>
      <c r="J32" s="1226"/>
      <c r="K32" s="1226"/>
      <c r="L32" s="1226"/>
      <c r="M32" s="1226"/>
      <c r="N32" s="1226"/>
      <c r="O32" s="1226"/>
      <c r="P32" s="1226"/>
      <c r="Q32" s="1226"/>
      <c r="R32" s="1226"/>
      <c r="S32" s="1226"/>
      <c r="T32" s="1226"/>
      <c r="U32" s="1226"/>
      <c r="V32" s="1226"/>
      <c r="W32" s="1226"/>
      <c r="X32" s="1226"/>
      <c r="Y32" s="1226"/>
      <c r="Z32" s="1226"/>
    </row>
    <row r="33" spans="1:26" ht="15.75" customHeight="1">
      <c r="A33" s="1224">
        <v>26</v>
      </c>
      <c r="B33" s="554" t="s">
        <v>1905</v>
      </c>
      <c r="C33" s="553" t="s">
        <v>639</v>
      </c>
      <c r="D33" s="242" t="s">
        <v>1906</v>
      </c>
      <c r="E33" s="2" t="s">
        <v>1920</v>
      </c>
      <c r="F33" s="1199">
        <v>75000</v>
      </c>
      <c r="G33" s="1199">
        <v>750000</v>
      </c>
      <c r="H33" s="466" t="s">
        <v>1348</v>
      </c>
      <c r="I33" s="1226"/>
      <c r="J33" s="1226"/>
      <c r="K33" s="1226"/>
      <c r="L33" s="1226"/>
      <c r="M33" s="1226"/>
      <c r="N33" s="1226"/>
      <c r="O33" s="1226"/>
      <c r="P33" s="1226"/>
      <c r="Q33" s="1226"/>
      <c r="R33" s="1226"/>
      <c r="S33" s="1226"/>
      <c r="T33" s="1226"/>
      <c r="U33" s="1226"/>
      <c r="V33" s="1226"/>
      <c r="W33" s="1226"/>
      <c r="X33" s="1226"/>
      <c r="Y33" s="1226"/>
      <c r="Z33" s="1226"/>
    </row>
    <row r="34" spans="1:26" ht="15.75" customHeight="1">
      <c r="A34" s="1225">
        <v>27</v>
      </c>
      <c r="B34" s="556"/>
      <c r="C34" s="556"/>
      <c r="D34" s="242" t="s">
        <v>1916</v>
      </c>
      <c r="E34" s="2"/>
      <c r="F34" s="1199"/>
      <c r="G34" s="1199">
        <v>150000</v>
      </c>
      <c r="H34" s="242"/>
      <c r="I34" s="1226"/>
      <c r="J34" s="1226"/>
      <c r="K34" s="1226"/>
      <c r="L34" s="1226"/>
      <c r="M34" s="1226"/>
      <c r="N34" s="1226"/>
      <c r="O34" s="1226"/>
      <c r="P34" s="1226"/>
      <c r="Q34" s="1226"/>
      <c r="R34" s="1226"/>
      <c r="S34" s="1226"/>
      <c r="T34" s="1226"/>
      <c r="U34" s="1226"/>
      <c r="V34" s="1226"/>
      <c r="W34" s="1226"/>
      <c r="X34" s="1226"/>
      <c r="Y34" s="1226"/>
      <c r="Z34" s="1226"/>
    </row>
    <row r="35" spans="1:26" ht="15.75" customHeight="1">
      <c r="A35" s="1223">
        <v>28</v>
      </c>
      <c r="B35" s="557"/>
      <c r="C35" s="557"/>
      <c r="D35" s="242" t="s">
        <v>1917</v>
      </c>
      <c r="E35" s="2"/>
      <c r="F35" s="1199"/>
      <c r="G35" s="1199">
        <v>200000</v>
      </c>
      <c r="H35" s="242"/>
      <c r="I35" s="1226"/>
      <c r="J35" s="1226"/>
      <c r="K35" s="1226"/>
      <c r="L35" s="1226"/>
      <c r="M35" s="1226"/>
      <c r="N35" s="1226"/>
      <c r="O35" s="1226"/>
      <c r="P35" s="1226"/>
      <c r="Q35" s="1226"/>
      <c r="R35" s="1226"/>
      <c r="S35" s="1226"/>
      <c r="T35" s="1226"/>
      <c r="U35" s="1226"/>
      <c r="V35" s="1226"/>
      <c r="W35" s="1226"/>
      <c r="X35" s="1226"/>
      <c r="Y35" s="1226"/>
      <c r="Z35" s="1226"/>
    </row>
    <row r="36" spans="1:26" ht="15.75" customHeight="1">
      <c r="A36" s="1224">
        <v>29</v>
      </c>
      <c r="B36" s="541" t="s">
        <v>1905</v>
      </c>
      <c r="C36" s="236" t="s">
        <v>640</v>
      </c>
      <c r="D36" s="242" t="s">
        <v>1906</v>
      </c>
      <c r="E36" s="2" t="s">
        <v>1921</v>
      </c>
      <c r="F36" s="1199">
        <v>75000</v>
      </c>
      <c r="G36" s="1199">
        <v>1800000</v>
      </c>
      <c r="H36" s="466" t="s">
        <v>1348</v>
      </c>
      <c r="I36" s="1226"/>
      <c r="J36" s="1226"/>
      <c r="K36" s="1226"/>
      <c r="L36" s="1226"/>
      <c r="M36" s="1226"/>
      <c r="N36" s="1226"/>
      <c r="O36" s="1226"/>
      <c r="P36" s="1226"/>
      <c r="Q36" s="1226"/>
      <c r="R36" s="1226"/>
      <c r="S36" s="1226"/>
      <c r="T36" s="1226"/>
      <c r="U36" s="1226"/>
      <c r="V36" s="1226"/>
      <c r="W36" s="1226"/>
      <c r="X36" s="1226"/>
      <c r="Y36" s="1226"/>
      <c r="Z36" s="1226"/>
    </row>
    <row r="37" spans="1:26" ht="15.75" customHeight="1">
      <c r="A37" s="1225">
        <v>30</v>
      </c>
      <c r="B37" s="541" t="s">
        <v>1905</v>
      </c>
      <c r="C37" s="236" t="s">
        <v>641</v>
      </c>
      <c r="D37" s="242" t="s">
        <v>1906</v>
      </c>
      <c r="E37" s="2" t="s">
        <v>1921</v>
      </c>
      <c r="F37" s="1199">
        <v>75000</v>
      </c>
      <c r="G37" s="1199">
        <v>1800000</v>
      </c>
      <c r="H37" s="466" t="s">
        <v>1348</v>
      </c>
      <c r="I37" s="1226"/>
      <c r="J37" s="1226"/>
      <c r="K37" s="1226"/>
      <c r="L37" s="1226"/>
      <c r="M37" s="1226"/>
      <c r="N37" s="1226"/>
      <c r="O37" s="1226"/>
      <c r="P37" s="1226"/>
      <c r="Q37" s="1226"/>
      <c r="R37" s="1226"/>
      <c r="S37" s="1226"/>
      <c r="T37" s="1226"/>
      <c r="U37" s="1226"/>
      <c r="V37" s="1226"/>
      <c r="W37" s="1226"/>
      <c r="X37" s="1226"/>
      <c r="Y37" s="1226"/>
      <c r="Z37" s="1226"/>
    </row>
    <row r="38" spans="1:26" ht="15.75" customHeight="1">
      <c r="A38" s="1223">
        <v>31</v>
      </c>
      <c r="B38" s="541" t="s">
        <v>1905</v>
      </c>
      <c r="C38" s="236" t="s">
        <v>642</v>
      </c>
      <c r="D38" s="242" t="s">
        <v>1906</v>
      </c>
      <c r="E38" s="2" t="s">
        <v>1921</v>
      </c>
      <c r="F38" s="1199">
        <v>75000</v>
      </c>
      <c r="G38" s="1199">
        <v>1800000</v>
      </c>
      <c r="H38" s="466" t="s">
        <v>1348</v>
      </c>
      <c r="I38" s="1226"/>
      <c r="J38" s="1226"/>
      <c r="K38" s="1226"/>
      <c r="L38" s="1226"/>
      <c r="M38" s="1226"/>
      <c r="N38" s="1226"/>
      <c r="O38" s="1226"/>
      <c r="P38" s="1226"/>
      <c r="Q38" s="1226"/>
      <c r="R38" s="1226"/>
      <c r="S38" s="1226"/>
      <c r="T38" s="1226"/>
      <c r="U38" s="1226"/>
      <c r="V38" s="1226"/>
      <c r="W38" s="1226"/>
      <c r="X38" s="1226"/>
      <c r="Y38" s="1226"/>
      <c r="Z38" s="1226"/>
    </row>
    <row r="39" spans="1:26" ht="15.75" customHeight="1">
      <c r="A39" s="1224">
        <v>32</v>
      </c>
      <c r="B39" s="541" t="s">
        <v>1905</v>
      </c>
      <c r="C39" s="236" t="s">
        <v>643</v>
      </c>
      <c r="D39" s="242" t="s">
        <v>1906</v>
      </c>
      <c r="E39" s="2" t="s">
        <v>1921</v>
      </c>
      <c r="F39" s="1199">
        <v>75000</v>
      </c>
      <c r="G39" s="1199">
        <v>1800000</v>
      </c>
      <c r="H39" s="466" t="s">
        <v>1348</v>
      </c>
      <c r="I39" s="1226"/>
      <c r="J39" s="1226"/>
      <c r="K39" s="1226"/>
      <c r="L39" s="1226"/>
      <c r="M39" s="1226"/>
      <c r="N39" s="1226"/>
      <c r="O39" s="1226"/>
      <c r="P39" s="1226"/>
      <c r="Q39" s="1226"/>
      <c r="R39" s="1226"/>
      <c r="S39" s="1226"/>
      <c r="T39" s="1226"/>
      <c r="U39" s="1226"/>
      <c r="V39" s="1226"/>
      <c r="W39" s="1226"/>
      <c r="X39" s="1226"/>
      <c r="Y39" s="1226"/>
      <c r="Z39" s="1226"/>
    </row>
    <row r="40" spans="1:26" ht="15.75" customHeight="1">
      <c r="A40" s="1225">
        <v>33</v>
      </c>
      <c r="B40" s="554" t="s">
        <v>1905</v>
      </c>
      <c r="C40" s="553" t="s">
        <v>644</v>
      </c>
      <c r="D40" s="242" t="s">
        <v>1906</v>
      </c>
      <c r="E40" s="2" t="s">
        <v>1922</v>
      </c>
      <c r="F40" s="1199">
        <v>1000000</v>
      </c>
      <c r="G40" s="1199">
        <v>8000000</v>
      </c>
      <c r="H40" s="466" t="s">
        <v>1348</v>
      </c>
      <c r="I40" s="1226"/>
      <c r="J40" s="1226"/>
      <c r="K40" s="1226"/>
      <c r="L40" s="1226"/>
      <c r="M40" s="1226"/>
      <c r="N40" s="1226"/>
      <c r="O40" s="1226"/>
      <c r="P40" s="1226"/>
      <c r="Q40" s="1226"/>
      <c r="R40" s="1226"/>
      <c r="S40" s="1226"/>
      <c r="T40" s="1226"/>
      <c r="U40" s="1226"/>
      <c r="V40" s="1226"/>
      <c r="W40" s="1226"/>
      <c r="X40" s="1226"/>
      <c r="Y40" s="1226"/>
      <c r="Z40" s="1226"/>
    </row>
    <row r="41" spans="1:26" ht="15.75" customHeight="1">
      <c r="A41" s="1223">
        <v>34</v>
      </c>
      <c r="B41" s="556"/>
      <c r="C41" s="556"/>
      <c r="D41" s="242" t="s">
        <v>1916</v>
      </c>
      <c r="E41" s="2"/>
      <c r="F41" s="1199">
        <v>500000</v>
      </c>
      <c r="G41" s="1199">
        <v>1000000</v>
      </c>
      <c r="H41" s="242"/>
      <c r="I41" s="1226"/>
      <c r="J41" s="1226"/>
      <c r="K41" s="1226"/>
      <c r="L41" s="1226"/>
      <c r="M41" s="1226"/>
      <c r="N41" s="1226"/>
      <c r="O41" s="1226"/>
      <c r="P41" s="1226"/>
      <c r="Q41" s="1226"/>
      <c r="R41" s="1226"/>
      <c r="S41" s="1226"/>
      <c r="T41" s="1226"/>
      <c r="U41" s="1226"/>
      <c r="V41" s="1226"/>
      <c r="W41" s="1226"/>
      <c r="X41" s="1226"/>
      <c r="Y41" s="1226"/>
      <c r="Z41" s="1226"/>
    </row>
    <row r="42" spans="1:26" ht="15.75" customHeight="1">
      <c r="A42" s="1224">
        <v>35</v>
      </c>
      <c r="B42" s="557"/>
      <c r="C42" s="557"/>
      <c r="D42" s="242" t="s">
        <v>1917</v>
      </c>
      <c r="E42" s="2"/>
      <c r="F42" s="1199">
        <v>300000</v>
      </c>
      <c r="G42" s="1199">
        <v>300000</v>
      </c>
      <c r="H42" s="242"/>
      <c r="I42" s="1226"/>
      <c r="J42" s="1226"/>
      <c r="K42" s="1226"/>
      <c r="L42" s="1226"/>
      <c r="M42" s="1226"/>
      <c r="N42" s="1226"/>
      <c r="O42" s="1226"/>
      <c r="P42" s="1226"/>
      <c r="Q42" s="1226"/>
      <c r="R42" s="1226"/>
      <c r="S42" s="1226"/>
      <c r="T42" s="1226"/>
      <c r="U42" s="1226"/>
      <c r="V42" s="1226"/>
      <c r="W42" s="1226"/>
      <c r="X42" s="1226"/>
      <c r="Y42" s="1226"/>
      <c r="Z42" s="1226"/>
    </row>
    <row r="43" spans="1:26" ht="15.75" customHeight="1">
      <c r="A43" s="1225">
        <v>36</v>
      </c>
      <c r="B43" s="541" t="s">
        <v>1905</v>
      </c>
      <c r="C43" s="242" t="s">
        <v>645</v>
      </c>
      <c r="D43" s="242"/>
      <c r="E43" s="2"/>
      <c r="F43" s="1199"/>
      <c r="G43" s="1199">
        <v>1000000</v>
      </c>
      <c r="H43" s="242"/>
      <c r="I43" s="1226"/>
      <c r="J43" s="1226"/>
      <c r="K43" s="1226"/>
      <c r="L43" s="1226"/>
      <c r="M43" s="1226"/>
      <c r="N43" s="1226"/>
      <c r="O43" s="1226"/>
      <c r="P43" s="1226"/>
      <c r="Q43" s="1226"/>
      <c r="R43" s="1226"/>
      <c r="S43" s="1226"/>
      <c r="T43" s="1226"/>
      <c r="U43" s="1226"/>
      <c r="V43" s="1226"/>
      <c r="W43" s="1226"/>
      <c r="X43" s="1226"/>
      <c r="Y43" s="1226"/>
      <c r="Z43" s="1226"/>
    </row>
    <row r="44" spans="1:26" ht="15.75" customHeight="1">
      <c r="A44" s="1223">
        <v>37</v>
      </c>
      <c r="B44" s="236" t="s">
        <v>562</v>
      </c>
      <c r="C44" s="559" t="s">
        <v>1923</v>
      </c>
      <c r="D44" s="543" t="s">
        <v>1924</v>
      </c>
      <c r="E44" s="560"/>
      <c r="F44" s="1207"/>
      <c r="G44" s="1207">
        <v>20000000</v>
      </c>
      <c r="H44" s="541" t="s">
        <v>1925</v>
      </c>
      <c r="I44" s="1227"/>
      <c r="J44" s="1227"/>
      <c r="K44" s="1227"/>
      <c r="L44" s="1227"/>
      <c r="M44" s="1227"/>
      <c r="N44" s="1227"/>
      <c r="O44" s="1227"/>
      <c r="P44" s="1227"/>
      <c r="Q44" s="1227"/>
      <c r="R44" s="1227"/>
      <c r="S44" s="1227"/>
      <c r="T44" s="1227"/>
      <c r="U44" s="1227"/>
      <c r="V44" s="1227"/>
      <c r="W44" s="1227"/>
      <c r="X44" s="1227"/>
      <c r="Y44" s="1227"/>
      <c r="Z44" s="1227"/>
    </row>
    <row r="45" spans="1:26" ht="15.75" customHeight="1">
      <c r="A45" s="1224">
        <v>38</v>
      </c>
      <c r="B45" s="545" t="s">
        <v>788</v>
      </c>
      <c r="C45" s="546" t="s">
        <v>1926</v>
      </c>
      <c r="D45" s="547" t="s">
        <v>1437</v>
      </c>
      <c r="E45" s="551">
        <v>20</v>
      </c>
      <c r="F45" s="1233">
        <v>10000</v>
      </c>
      <c r="G45" s="1233">
        <f t="shared" ref="G45:G56" si="1">F45*E45</f>
        <v>200000</v>
      </c>
      <c r="H45" s="548" t="s">
        <v>1927</v>
      </c>
      <c r="I45" s="1226"/>
      <c r="J45" s="1226"/>
      <c r="K45" s="1226"/>
      <c r="L45" s="1226"/>
      <c r="M45" s="1226"/>
      <c r="N45" s="1226"/>
      <c r="O45" s="1226"/>
      <c r="P45" s="1226"/>
      <c r="Q45" s="1226"/>
      <c r="R45" s="1226"/>
      <c r="S45" s="1226"/>
      <c r="T45" s="1226"/>
      <c r="U45" s="1226"/>
      <c r="V45" s="1226"/>
      <c r="W45" s="1226"/>
      <c r="X45" s="1226"/>
      <c r="Y45" s="1226"/>
      <c r="Z45" s="1226"/>
    </row>
    <row r="46" spans="1:26" ht="15.75" customHeight="1">
      <c r="A46" s="1225">
        <v>39</v>
      </c>
      <c r="B46" s="550"/>
      <c r="C46" s="561"/>
      <c r="D46" s="547" t="s">
        <v>1902</v>
      </c>
      <c r="E46" s="551">
        <v>12</v>
      </c>
      <c r="F46" s="1233">
        <v>15000</v>
      </c>
      <c r="G46" s="1233">
        <f t="shared" si="1"/>
        <v>180000</v>
      </c>
      <c r="H46" s="550"/>
      <c r="I46" s="1226"/>
      <c r="J46" s="1226"/>
      <c r="K46" s="1226"/>
      <c r="L46" s="1226"/>
      <c r="M46" s="1226"/>
      <c r="N46" s="1226"/>
      <c r="O46" s="1226"/>
      <c r="P46" s="1226"/>
      <c r="Q46" s="1226"/>
      <c r="R46" s="1226"/>
      <c r="S46" s="1226"/>
      <c r="T46" s="1226"/>
      <c r="U46" s="1226"/>
      <c r="V46" s="1226"/>
      <c r="W46" s="1226"/>
      <c r="X46" s="1226"/>
      <c r="Y46" s="1226"/>
      <c r="Z46" s="1226"/>
    </row>
    <row r="47" spans="1:26" ht="15.75" customHeight="1">
      <c r="A47" s="1223">
        <v>40</v>
      </c>
      <c r="B47" s="246" t="s">
        <v>1864</v>
      </c>
      <c r="C47" s="227" t="s">
        <v>1928</v>
      </c>
      <c r="D47" s="227" t="s">
        <v>1437</v>
      </c>
      <c r="E47" s="246">
        <v>180</v>
      </c>
      <c r="F47" s="1234">
        <v>10000</v>
      </c>
      <c r="G47" s="1234">
        <f t="shared" si="1"/>
        <v>1800000</v>
      </c>
      <c r="H47" s="227" t="s">
        <v>671</v>
      </c>
      <c r="I47" s="1228"/>
      <c r="J47" s="1226"/>
      <c r="K47" s="1226"/>
      <c r="L47" s="1226"/>
      <c r="M47" s="1226"/>
      <c r="N47" s="1226"/>
      <c r="O47" s="1226"/>
      <c r="P47" s="1226"/>
      <c r="Q47" s="1226"/>
      <c r="R47" s="1226"/>
      <c r="S47" s="1226"/>
      <c r="T47" s="1226"/>
      <c r="U47" s="1226"/>
      <c r="V47" s="1226"/>
      <c r="W47" s="1226"/>
      <c r="X47" s="1226"/>
      <c r="Y47" s="1226"/>
      <c r="Z47" s="1226"/>
    </row>
    <row r="48" spans="1:26" ht="15.75" customHeight="1">
      <c r="A48" s="1224">
        <v>41</v>
      </c>
      <c r="B48" s="246" t="s">
        <v>1864</v>
      </c>
      <c r="C48" s="227" t="s">
        <v>1929</v>
      </c>
      <c r="D48" s="227" t="s">
        <v>1930</v>
      </c>
      <c r="E48" s="246">
        <v>60</v>
      </c>
      <c r="F48" s="1234">
        <v>25000</v>
      </c>
      <c r="G48" s="1234">
        <f t="shared" si="1"/>
        <v>1500000</v>
      </c>
      <c r="H48" s="227" t="s">
        <v>671</v>
      </c>
      <c r="I48" s="1228"/>
      <c r="J48" s="1226"/>
      <c r="K48" s="1226"/>
      <c r="L48" s="1226"/>
      <c r="M48" s="1226"/>
      <c r="N48" s="1226"/>
      <c r="O48" s="1226"/>
      <c r="P48" s="1226"/>
      <c r="Q48" s="1226"/>
      <c r="R48" s="1226"/>
      <c r="S48" s="1226"/>
      <c r="T48" s="1226"/>
      <c r="U48" s="1226"/>
      <c r="V48" s="1226"/>
      <c r="W48" s="1226"/>
      <c r="X48" s="1226"/>
      <c r="Y48" s="1226"/>
      <c r="Z48" s="1226"/>
    </row>
    <row r="49" spans="1:26" ht="15.75" customHeight="1">
      <c r="A49" s="1225">
        <v>42</v>
      </c>
      <c r="B49" s="552" t="s">
        <v>856</v>
      </c>
      <c r="C49" s="227" t="s">
        <v>1931</v>
      </c>
      <c r="D49" s="227" t="s">
        <v>1437</v>
      </c>
      <c r="E49" s="279">
        <v>72</v>
      </c>
      <c r="F49" s="1233">
        <v>10000</v>
      </c>
      <c r="G49" s="1234">
        <f t="shared" si="1"/>
        <v>720000</v>
      </c>
      <c r="H49" s="227" t="s">
        <v>1573</v>
      </c>
      <c r="I49" s="1226"/>
      <c r="J49" s="1226"/>
      <c r="K49" s="1226"/>
      <c r="L49" s="1226"/>
      <c r="M49" s="1226"/>
      <c r="N49" s="1226"/>
      <c r="O49" s="1226"/>
      <c r="P49" s="1226"/>
      <c r="Q49" s="1226"/>
      <c r="R49" s="1226"/>
      <c r="S49" s="1226"/>
      <c r="T49" s="1226"/>
      <c r="U49" s="1226"/>
      <c r="V49" s="1226"/>
      <c r="W49" s="1226"/>
      <c r="X49" s="1226"/>
      <c r="Y49" s="1226"/>
      <c r="Z49" s="1226"/>
    </row>
    <row r="50" spans="1:26" ht="15.75" customHeight="1">
      <c r="A50" s="1223">
        <v>43</v>
      </c>
      <c r="B50" s="545" t="s">
        <v>672</v>
      </c>
      <c r="C50" s="546" t="s">
        <v>1932</v>
      </c>
      <c r="D50" s="547" t="s">
        <v>1437</v>
      </c>
      <c r="E50" s="279">
        <v>60</v>
      </c>
      <c r="F50" s="1233">
        <v>10000</v>
      </c>
      <c r="G50" s="1233">
        <f t="shared" si="1"/>
        <v>600000</v>
      </c>
      <c r="H50" s="544" t="s">
        <v>1573</v>
      </c>
      <c r="I50" s="1226"/>
      <c r="J50" s="1226"/>
      <c r="K50" s="1226"/>
      <c r="L50" s="1226"/>
      <c r="M50" s="1226"/>
      <c r="N50" s="1226"/>
      <c r="O50" s="1226"/>
      <c r="P50" s="1226"/>
      <c r="Q50" s="1226"/>
      <c r="R50" s="1226"/>
      <c r="S50" s="1226"/>
      <c r="T50" s="1226"/>
      <c r="U50" s="1226"/>
      <c r="V50" s="1226"/>
      <c r="W50" s="1226"/>
      <c r="X50" s="1226"/>
      <c r="Y50" s="1226"/>
      <c r="Z50" s="1226"/>
    </row>
    <row r="51" spans="1:26" ht="15.75" customHeight="1">
      <c r="A51" s="1224">
        <v>44</v>
      </c>
      <c r="B51" s="550"/>
      <c r="C51" s="550"/>
      <c r="D51" s="547" t="s">
        <v>1902</v>
      </c>
      <c r="E51" s="279">
        <v>60</v>
      </c>
      <c r="F51" s="1233">
        <v>15000</v>
      </c>
      <c r="G51" s="1233">
        <f t="shared" si="1"/>
        <v>900000</v>
      </c>
      <c r="H51" s="550"/>
      <c r="I51" s="1226"/>
      <c r="J51" s="1226"/>
      <c r="K51" s="1226"/>
      <c r="L51" s="1226"/>
      <c r="M51" s="1226"/>
      <c r="N51" s="1226"/>
      <c r="O51" s="1226"/>
      <c r="P51" s="1226"/>
      <c r="Q51" s="1226"/>
      <c r="R51" s="1226"/>
      <c r="S51" s="1226"/>
      <c r="T51" s="1226"/>
      <c r="U51" s="1226"/>
      <c r="V51" s="1226"/>
      <c r="W51" s="1226"/>
      <c r="X51" s="1226"/>
      <c r="Y51" s="1226"/>
      <c r="Z51" s="1226"/>
    </row>
    <row r="52" spans="1:26" ht="15.75" customHeight="1">
      <c r="A52" s="1225">
        <v>45</v>
      </c>
      <c r="B52" s="545" t="s">
        <v>1933</v>
      </c>
      <c r="C52" s="546" t="s">
        <v>1934</v>
      </c>
      <c r="D52" s="547" t="s">
        <v>1437</v>
      </c>
      <c r="E52" s="279">
        <v>100</v>
      </c>
      <c r="F52" s="1233">
        <v>10000</v>
      </c>
      <c r="G52" s="1233">
        <f t="shared" si="1"/>
        <v>1000000</v>
      </c>
      <c r="H52" s="544" t="s">
        <v>1573</v>
      </c>
      <c r="I52" s="1226"/>
      <c r="J52" s="1226"/>
      <c r="K52" s="1226"/>
      <c r="L52" s="1226"/>
      <c r="M52" s="1226"/>
      <c r="N52" s="1226"/>
      <c r="O52" s="1226"/>
      <c r="P52" s="1226"/>
      <c r="Q52" s="1226"/>
      <c r="R52" s="1226"/>
      <c r="S52" s="1226"/>
      <c r="T52" s="1226"/>
      <c r="U52" s="1226"/>
      <c r="V52" s="1226"/>
      <c r="W52" s="1226"/>
      <c r="X52" s="1226"/>
      <c r="Y52" s="1226"/>
      <c r="Z52" s="1226"/>
    </row>
    <row r="53" spans="1:26" ht="15.75" customHeight="1">
      <c r="A53" s="1223">
        <v>46</v>
      </c>
      <c r="B53" s="550"/>
      <c r="C53" s="550"/>
      <c r="D53" s="547" t="s">
        <v>1902</v>
      </c>
      <c r="E53" s="279">
        <v>100</v>
      </c>
      <c r="F53" s="1233">
        <v>15000</v>
      </c>
      <c r="G53" s="1233">
        <f t="shared" si="1"/>
        <v>1500000</v>
      </c>
      <c r="H53" s="550"/>
      <c r="I53" s="1226"/>
      <c r="J53" s="1226"/>
      <c r="K53" s="1226"/>
      <c r="L53" s="1226"/>
      <c r="M53" s="1226"/>
      <c r="N53" s="1226"/>
      <c r="O53" s="1226"/>
      <c r="P53" s="1226"/>
      <c r="Q53" s="1226"/>
      <c r="R53" s="1226"/>
      <c r="S53" s="1226"/>
      <c r="T53" s="1226"/>
      <c r="U53" s="1226"/>
      <c r="V53" s="1226"/>
      <c r="W53" s="1226"/>
      <c r="X53" s="1226"/>
      <c r="Y53" s="1226"/>
      <c r="Z53" s="1226"/>
    </row>
    <row r="54" spans="1:26" ht="15.75" customHeight="1">
      <c r="A54" s="1224">
        <v>47</v>
      </c>
      <c r="B54" s="545" t="s">
        <v>1935</v>
      </c>
      <c r="C54" s="546" t="s">
        <v>1936</v>
      </c>
      <c r="D54" s="547" t="s">
        <v>1417</v>
      </c>
      <c r="E54" s="279">
        <v>5</v>
      </c>
      <c r="F54" s="1233">
        <v>15000</v>
      </c>
      <c r="G54" s="1233">
        <f t="shared" si="1"/>
        <v>75000</v>
      </c>
      <c r="H54" s="544" t="s">
        <v>1573</v>
      </c>
      <c r="I54" s="1226"/>
      <c r="J54" s="1226"/>
      <c r="K54" s="1226"/>
      <c r="L54" s="1226"/>
      <c r="M54" s="1226"/>
      <c r="N54" s="1226"/>
      <c r="O54" s="1226"/>
      <c r="P54" s="1226"/>
      <c r="Q54" s="1226"/>
      <c r="R54" s="1226"/>
      <c r="S54" s="1226"/>
      <c r="T54" s="1226"/>
      <c r="U54" s="1226"/>
      <c r="V54" s="1226"/>
      <c r="W54" s="1226"/>
      <c r="X54" s="1226"/>
      <c r="Y54" s="1226"/>
      <c r="Z54" s="1226"/>
    </row>
    <row r="55" spans="1:26" ht="15.75" customHeight="1">
      <c r="A55" s="1225">
        <v>48</v>
      </c>
      <c r="B55" s="550"/>
      <c r="C55" s="550"/>
      <c r="D55" s="547" t="s">
        <v>1937</v>
      </c>
      <c r="E55" s="279">
        <v>2</v>
      </c>
      <c r="F55" s="1233">
        <v>100000</v>
      </c>
      <c r="G55" s="1233">
        <f t="shared" si="1"/>
        <v>200000</v>
      </c>
      <c r="H55" s="550"/>
      <c r="I55" s="1226"/>
      <c r="J55" s="1226"/>
      <c r="K55" s="1226"/>
      <c r="L55" s="1226"/>
      <c r="M55" s="1226"/>
      <c r="N55" s="1226"/>
      <c r="O55" s="1226"/>
      <c r="P55" s="1226"/>
      <c r="Q55" s="1226"/>
      <c r="R55" s="1226"/>
      <c r="S55" s="1226"/>
      <c r="T55" s="1226"/>
      <c r="U55" s="1226"/>
      <c r="V55" s="1226"/>
      <c r="W55" s="1226"/>
      <c r="X55" s="1226"/>
      <c r="Y55" s="1226"/>
      <c r="Z55" s="1226"/>
    </row>
    <row r="56" spans="1:26" ht="15.75" customHeight="1">
      <c r="A56" s="1223">
        <v>49</v>
      </c>
      <c r="B56" s="563" t="s">
        <v>1938</v>
      </c>
      <c r="C56" s="563" t="s">
        <v>1939</v>
      </c>
      <c r="D56" s="564" t="s">
        <v>402</v>
      </c>
      <c r="E56" s="565">
        <v>350</v>
      </c>
      <c r="F56" s="1235">
        <v>20000</v>
      </c>
      <c r="G56" s="1235">
        <f t="shared" si="1"/>
        <v>7000000</v>
      </c>
      <c r="H56" s="566" t="s">
        <v>1940</v>
      </c>
      <c r="I56" s="1226"/>
      <c r="J56" s="1226"/>
      <c r="K56" s="1226"/>
      <c r="L56" s="1226"/>
      <c r="M56" s="1226"/>
      <c r="N56" s="1226"/>
      <c r="O56" s="1226"/>
      <c r="P56" s="1226"/>
      <c r="Q56" s="1226"/>
      <c r="R56" s="1226"/>
      <c r="S56" s="1226"/>
      <c r="T56" s="1226"/>
      <c r="U56" s="1226"/>
      <c r="V56" s="1226"/>
      <c r="W56" s="1226"/>
      <c r="X56" s="1226"/>
      <c r="Y56" s="1226"/>
      <c r="Z56" s="1226"/>
    </row>
    <row r="57" spans="1:26" ht="15.75" customHeight="1">
      <c r="A57" s="1224">
        <v>50</v>
      </c>
      <c r="B57" s="556"/>
      <c r="C57" s="556"/>
      <c r="D57" s="564" t="s">
        <v>404</v>
      </c>
      <c r="E57" s="565">
        <v>700</v>
      </c>
      <c r="F57" s="1235">
        <v>10000</v>
      </c>
      <c r="G57" s="1235">
        <f>SUM(E57*F57*2)</f>
        <v>14000000</v>
      </c>
      <c r="H57" s="556"/>
      <c r="I57" s="1226"/>
      <c r="J57" s="1226"/>
      <c r="K57" s="1226"/>
      <c r="L57" s="1226"/>
      <c r="M57" s="1226"/>
      <c r="N57" s="1226"/>
      <c r="O57" s="1226"/>
      <c r="P57" s="1226"/>
      <c r="Q57" s="1226"/>
      <c r="R57" s="1226"/>
      <c r="S57" s="1226"/>
      <c r="T57" s="1226"/>
      <c r="U57" s="1226"/>
      <c r="V57" s="1226"/>
      <c r="W57" s="1226"/>
      <c r="X57" s="1226"/>
      <c r="Y57" s="1226"/>
      <c r="Z57" s="1226"/>
    </row>
    <row r="58" spans="1:26" ht="15.75" customHeight="1">
      <c r="A58" s="1225">
        <v>51</v>
      </c>
      <c r="B58" s="556"/>
      <c r="C58" s="556"/>
      <c r="D58" s="564" t="s">
        <v>405</v>
      </c>
      <c r="E58" s="565">
        <v>24</v>
      </c>
      <c r="F58" s="1235">
        <v>300000</v>
      </c>
      <c r="G58" s="1235">
        <f>F58*E58</f>
        <v>7200000</v>
      </c>
      <c r="H58" s="557"/>
      <c r="I58" s="1226"/>
      <c r="J58" s="1226"/>
      <c r="K58" s="1226"/>
      <c r="L58" s="1226"/>
      <c r="M58" s="1226"/>
      <c r="N58" s="1226"/>
      <c r="O58" s="1226"/>
      <c r="P58" s="1226"/>
      <c r="Q58" s="1226"/>
      <c r="R58" s="1226"/>
      <c r="S58" s="1226"/>
      <c r="T58" s="1226"/>
      <c r="U58" s="1226"/>
      <c r="V58" s="1226"/>
      <c r="W58" s="1226"/>
      <c r="X58" s="1226"/>
      <c r="Y58" s="1226"/>
      <c r="Z58" s="1226"/>
    </row>
    <row r="59" spans="1:26" ht="15.75" customHeight="1">
      <c r="A59" s="1223">
        <v>52</v>
      </c>
      <c r="B59" s="557"/>
      <c r="C59" s="557"/>
      <c r="D59" s="564" t="s">
        <v>406</v>
      </c>
      <c r="E59" s="565">
        <v>350</v>
      </c>
      <c r="F59" s="1235">
        <v>5000</v>
      </c>
      <c r="G59" s="1235">
        <f>E59*F59</f>
        <v>1750000</v>
      </c>
      <c r="H59" s="567"/>
      <c r="I59" s="1226"/>
      <c r="J59" s="1226"/>
      <c r="K59" s="1226"/>
      <c r="L59" s="1226"/>
      <c r="M59" s="1226"/>
      <c r="N59" s="1226"/>
      <c r="O59" s="1226"/>
      <c r="P59" s="1226"/>
      <c r="Q59" s="1226"/>
      <c r="R59" s="1226"/>
      <c r="S59" s="1226"/>
      <c r="T59" s="1226"/>
      <c r="U59" s="1226"/>
      <c r="V59" s="1226"/>
      <c r="W59" s="1226"/>
      <c r="X59" s="1226"/>
      <c r="Y59" s="1226"/>
      <c r="Z59" s="1226"/>
    </row>
    <row r="60" spans="1:26" ht="15.75" customHeight="1">
      <c r="A60" s="1224">
        <v>53</v>
      </c>
      <c r="B60" s="563" t="s">
        <v>1938</v>
      </c>
      <c r="C60" s="563" t="s">
        <v>1941</v>
      </c>
      <c r="D60" s="564" t="s">
        <v>408</v>
      </c>
      <c r="E60" s="565">
        <v>75</v>
      </c>
      <c r="F60" s="1235">
        <v>5000</v>
      </c>
      <c r="G60" s="1235">
        <f>SUM(E60*F60*12)</f>
        <v>4500000</v>
      </c>
      <c r="H60" s="566" t="s">
        <v>1940</v>
      </c>
      <c r="I60" s="1226"/>
      <c r="J60" s="1226"/>
      <c r="K60" s="1226"/>
      <c r="L60" s="1226"/>
      <c r="M60" s="1226"/>
      <c r="N60" s="1226"/>
      <c r="O60" s="1226"/>
      <c r="P60" s="1226"/>
      <c r="Q60" s="1226"/>
      <c r="R60" s="1226"/>
      <c r="S60" s="1226"/>
      <c r="T60" s="1226"/>
      <c r="U60" s="1226"/>
      <c r="V60" s="1226"/>
      <c r="W60" s="1226"/>
      <c r="X60" s="1226"/>
      <c r="Y60" s="1226"/>
      <c r="Z60" s="1226"/>
    </row>
    <row r="61" spans="1:26" ht="15.75" customHeight="1">
      <c r="A61" s="1225">
        <v>54</v>
      </c>
      <c r="B61" s="557"/>
      <c r="C61" s="557"/>
      <c r="D61" s="564" t="s">
        <v>409</v>
      </c>
      <c r="E61" s="565">
        <v>24</v>
      </c>
      <c r="F61" s="1201">
        <v>200000</v>
      </c>
      <c r="G61" s="1201">
        <f t="shared" ref="G61:G62" si="2">(E61*F61)</f>
        <v>4800000</v>
      </c>
      <c r="H61" s="557"/>
      <c r="I61" s="1226"/>
      <c r="J61" s="1226"/>
      <c r="K61" s="1226"/>
      <c r="L61" s="1226"/>
      <c r="M61" s="1226"/>
      <c r="N61" s="1226"/>
      <c r="O61" s="1226"/>
      <c r="P61" s="1226"/>
      <c r="Q61" s="1226"/>
      <c r="R61" s="1226"/>
      <c r="S61" s="1226"/>
      <c r="T61" s="1226"/>
      <c r="U61" s="1226"/>
      <c r="V61" s="1226"/>
      <c r="W61" s="1226"/>
      <c r="X61" s="1226"/>
      <c r="Y61" s="1226"/>
      <c r="Z61" s="1226"/>
    </row>
    <row r="62" spans="1:26" ht="15.75" customHeight="1">
      <c r="A62" s="1223">
        <v>55</v>
      </c>
      <c r="B62" s="563" t="s">
        <v>1938</v>
      </c>
      <c r="C62" s="564" t="s">
        <v>1942</v>
      </c>
      <c r="D62" s="234" t="s">
        <v>411</v>
      </c>
      <c r="E62" s="565">
        <v>1</v>
      </c>
      <c r="F62" s="1201">
        <v>500000</v>
      </c>
      <c r="G62" s="1201">
        <f t="shared" si="2"/>
        <v>500000</v>
      </c>
      <c r="H62" s="566" t="s">
        <v>1940</v>
      </c>
      <c r="I62" s="1226"/>
      <c r="J62" s="1226"/>
      <c r="K62" s="1226"/>
      <c r="L62" s="1226"/>
      <c r="M62" s="1226"/>
      <c r="N62" s="1226"/>
      <c r="O62" s="1226"/>
      <c r="P62" s="1226"/>
      <c r="Q62" s="1226"/>
      <c r="R62" s="1226"/>
      <c r="S62" s="1226"/>
      <c r="T62" s="1226"/>
      <c r="U62" s="1226"/>
      <c r="V62" s="1226"/>
      <c r="W62" s="1226"/>
      <c r="X62" s="1226"/>
      <c r="Y62" s="1226"/>
      <c r="Z62" s="1226"/>
    </row>
    <row r="63" spans="1:26" ht="14.25" customHeight="1">
      <c r="A63" s="1224">
        <v>56</v>
      </c>
      <c r="B63" s="556"/>
      <c r="C63" s="564"/>
      <c r="D63" s="564" t="s">
        <v>412</v>
      </c>
      <c r="E63" s="565"/>
      <c r="F63" s="1201"/>
      <c r="G63" s="1201">
        <v>500000</v>
      </c>
      <c r="H63" s="556"/>
      <c r="I63" s="1226"/>
      <c r="J63" s="1226"/>
      <c r="K63" s="1226"/>
      <c r="L63" s="1226"/>
      <c r="M63" s="1226"/>
      <c r="N63" s="1226"/>
      <c r="O63" s="1226"/>
      <c r="P63" s="1226"/>
      <c r="Q63" s="1226"/>
      <c r="R63" s="1226"/>
      <c r="S63" s="1226"/>
      <c r="T63" s="1226"/>
      <c r="U63" s="1226"/>
      <c r="V63" s="1226"/>
      <c r="W63" s="1226"/>
      <c r="X63" s="1226"/>
      <c r="Y63" s="1226"/>
      <c r="Z63" s="1226"/>
    </row>
    <row r="64" spans="1:26" ht="15.75" customHeight="1">
      <c r="A64" s="1225">
        <v>57</v>
      </c>
      <c r="B64" s="556"/>
      <c r="C64" s="564"/>
      <c r="D64" s="564" t="s">
        <v>413</v>
      </c>
      <c r="E64" s="565"/>
      <c r="F64" s="1201"/>
      <c r="G64" s="1201">
        <v>500000</v>
      </c>
      <c r="H64" s="556"/>
      <c r="I64" s="1226"/>
      <c r="J64" s="1226"/>
      <c r="K64" s="1226"/>
      <c r="L64" s="1226"/>
      <c r="M64" s="1226"/>
      <c r="N64" s="1226"/>
      <c r="O64" s="1226"/>
      <c r="P64" s="1226"/>
      <c r="Q64" s="1226"/>
      <c r="R64" s="1226"/>
      <c r="S64" s="1226"/>
      <c r="T64" s="1226"/>
      <c r="U64" s="1226"/>
      <c r="V64" s="1226"/>
      <c r="W64" s="1226"/>
      <c r="X64" s="1226"/>
      <c r="Y64" s="1226"/>
      <c r="Z64" s="1226"/>
    </row>
    <row r="65" spans="1:26" ht="15.75" customHeight="1">
      <c r="A65" s="1223">
        <v>58</v>
      </c>
      <c r="B65" s="556"/>
      <c r="C65" s="564"/>
      <c r="D65" s="564" t="s">
        <v>1943</v>
      </c>
      <c r="E65" s="565" t="s">
        <v>1944</v>
      </c>
      <c r="F65" s="1201">
        <v>15000</v>
      </c>
      <c r="G65" s="1201">
        <f>(15000*360)</f>
        <v>5400000</v>
      </c>
      <c r="H65" s="556"/>
      <c r="I65" s="1226"/>
      <c r="J65" s="1226"/>
      <c r="K65" s="1226"/>
      <c r="L65" s="1226"/>
      <c r="M65" s="1226"/>
      <c r="N65" s="1226"/>
      <c r="O65" s="1226"/>
      <c r="P65" s="1226"/>
      <c r="Q65" s="1226"/>
      <c r="R65" s="1226"/>
      <c r="S65" s="1226"/>
      <c r="T65" s="1226"/>
      <c r="U65" s="1226"/>
      <c r="V65" s="1226"/>
      <c r="W65" s="1226"/>
      <c r="X65" s="1226"/>
      <c r="Y65" s="1226"/>
      <c r="Z65" s="1226"/>
    </row>
    <row r="66" spans="1:26" ht="15.75" customHeight="1">
      <c r="A66" s="1224">
        <v>59</v>
      </c>
      <c r="B66" s="556"/>
      <c r="C66" s="564"/>
      <c r="D66" s="564" t="s">
        <v>415</v>
      </c>
      <c r="E66" s="565"/>
      <c r="F66" s="1201"/>
      <c r="G66" s="1201">
        <v>500000</v>
      </c>
      <c r="H66" s="556"/>
      <c r="I66" s="1226"/>
      <c r="J66" s="1226"/>
      <c r="K66" s="1226"/>
      <c r="L66" s="1226"/>
      <c r="M66" s="1226"/>
      <c r="N66" s="1226"/>
      <c r="O66" s="1226"/>
      <c r="P66" s="1226"/>
      <c r="Q66" s="1226"/>
      <c r="R66" s="1226"/>
      <c r="S66" s="1226"/>
      <c r="T66" s="1226"/>
      <c r="U66" s="1226"/>
      <c r="V66" s="1226"/>
      <c r="W66" s="1226"/>
      <c r="X66" s="1226"/>
      <c r="Y66" s="1226"/>
      <c r="Z66" s="1226"/>
    </row>
    <row r="67" spans="1:26" ht="14.25" customHeight="1">
      <c r="A67" s="1225">
        <v>60</v>
      </c>
      <c r="B67" s="557"/>
      <c r="C67" s="564"/>
      <c r="D67" s="564" t="s">
        <v>416</v>
      </c>
      <c r="E67" s="565"/>
      <c r="F67" s="1201"/>
      <c r="G67" s="1201">
        <v>700000</v>
      </c>
      <c r="H67" s="557"/>
      <c r="I67" s="1226"/>
      <c r="J67" s="1226"/>
      <c r="K67" s="1226"/>
      <c r="L67" s="1226"/>
      <c r="M67" s="1226"/>
      <c r="N67" s="1226"/>
      <c r="O67" s="1226"/>
      <c r="P67" s="1226"/>
      <c r="Q67" s="1226"/>
      <c r="R67" s="1226"/>
      <c r="S67" s="1226"/>
      <c r="T67" s="1226"/>
      <c r="U67" s="1226"/>
      <c r="V67" s="1226"/>
      <c r="W67" s="1226"/>
      <c r="X67" s="1226"/>
      <c r="Y67" s="1226"/>
      <c r="Z67" s="1226"/>
    </row>
    <row r="68" spans="1:26" ht="15.75" customHeight="1">
      <c r="A68" s="1223">
        <v>61</v>
      </c>
      <c r="B68" s="522" t="s">
        <v>1938</v>
      </c>
      <c r="C68" s="565" t="s">
        <v>1945</v>
      </c>
      <c r="D68" s="564"/>
      <c r="E68" s="565"/>
      <c r="F68" s="1201"/>
      <c r="G68" s="1201">
        <v>25000000</v>
      </c>
      <c r="H68" s="565"/>
      <c r="I68" s="1226"/>
      <c r="J68" s="1226"/>
      <c r="K68" s="1226"/>
      <c r="L68" s="1226"/>
      <c r="M68" s="1226"/>
      <c r="N68" s="1226"/>
      <c r="O68" s="1226"/>
      <c r="P68" s="1226"/>
      <c r="Q68" s="1226"/>
      <c r="R68" s="1226"/>
      <c r="S68" s="1226"/>
      <c r="T68" s="1226"/>
      <c r="U68" s="1226"/>
      <c r="V68" s="1226"/>
      <c r="W68" s="1226"/>
      <c r="X68" s="1226"/>
      <c r="Y68" s="1226"/>
      <c r="Z68" s="1226"/>
    </row>
    <row r="69" spans="1:26" ht="15.75" customHeight="1">
      <c r="A69" s="1224">
        <v>62</v>
      </c>
      <c r="B69" s="563" t="s">
        <v>1938</v>
      </c>
      <c r="C69" s="566" t="s">
        <v>1946</v>
      </c>
      <c r="D69" s="568" t="s">
        <v>1947</v>
      </c>
      <c r="E69" s="565">
        <v>30</v>
      </c>
      <c r="F69" s="1235">
        <v>50000</v>
      </c>
      <c r="G69" s="1235">
        <f>SUM(E69*F69)</f>
        <v>1500000</v>
      </c>
      <c r="H69" s="566" t="s">
        <v>1940</v>
      </c>
      <c r="I69" s="1226"/>
      <c r="J69" s="1226"/>
      <c r="K69" s="1226"/>
      <c r="L69" s="1226"/>
      <c r="M69" s="1226"/>
      <c r="N69" s="1226"/>
      <c r="O69" s="1226"/>
      <c r="P69" s="1226"/>
      <c r="Q69" s="1226"/>
      <c r="R69" s="1226"/>
      <c r="S69" s="1226"/>
      <c r="T69" s="1226"/>
      <c r="U69" s="1226"/>
      <c r="V69" s="1226"/>
      <c r="W69" s="1226"/>
      <c r="X69" s="1226"/>
      <c r="Y69" s="1226"/>
      <c r="Z69" s="1226"/>
    </row>
    <row r="70" spans="1:26" ht="15.75" customHeight="1">
      <c r="A70" s="1225">
        <v>63</v>
      </c>
      <c r="B70" s="556"/>
      <c r="C70" s="569"/>
      <c r="D70" s="234" t="s">
        <v>1948</v>
      </c>
      <c r="E70" s="482" t="s">
        <v>1949</v>
      </c>
      <c r="F70" s="1201">
        <v>500000</v>
      </c>
      <c r="G70" s="1201">
        <v>1500000</v>
      </c>
      <c r="H70" s="556"/>
      <c r="I70" s="1226"/>
      <c r="J70" s="1226"/>
      <c r="K70" s="1226"/>
      <c r="L70" s="1226"/>
      <c r="M70" s="1226"/>
      <c r="N70" s="1226"/>
      <c r="O70" s="1226"/>
      <c r="P70" s="1226"/>
      <c r="Q70" s="1226"/>
      <c r="R70" s="1226"/>
      <c r="S70" s="1226"/>
      <c r="T70" s="1226"/>
      <c r="U70" s="1226"/>
      <c r="V70" s="1226"/>
      <c r="W70" s="1226"/>
      <c r="X70" s="1226"/>
      <c r="Y70" s="1226"/>
      <c r="Z70" s="1226"/>
    </row>
    <row r="71" spans="1:26" ht="15.75" customHeight="1">
      <c r="A71" s="1223">
        <v>64</v>
      </c>
      <c r="B71" s="556"/>
      <c r="C71" s="569"/>
      <c r="D71" s="234" t="s">
        <v>1950</v>
      </c>
      <c r="E71" s="482">
        <v>100</v>
      </c>
      <c r="F71" s="1201">
        <v>4000</v>
      </c>
      <c r="G71" s="1201">
        <f t="shared" ref="G71:G72" si="3">F71*E71*30</f>
        <v>12000000</v>
      </c>
      <c r="H71" s="556"/>
      <c r="I71" s="1226"/>
      <c r="J71" s="1226"/>
      <c r="K71" s="1226"/>
      <c r="L71" s="1226"/>
      <c r="M71" s="1226"/>
      <c r="N71" s="1226"/>
      <c r="O71" s="1226"/>
      <c r="P71" s="1226"/>
      <c r="Q71" s="1226"/>
      <c r="R71" s="1226"/>
      <c r="S71" s="1226"/>
      <c r="T71" s="1226"/>
      <c r="U71" s="1226"/>
      <c r="V71" s="1226"/>
      <c r="W71" s="1226"/>
      <c r="X71" s="1226"/>
      <c r="Y71" s="1226"/>
      <c r="Z71" s="1226"/>
    </row>
    <row r="72" spans="1:26" ht="15.75" customHeight="1">
      <c r="A72" s="1224">
        <v>65</v>
      </c>
      <c r="B72" s="556"/>
      <c r="C72" s="569"/>
      <c r="D72" s="234" t="s">
        <v>1951</v>
      </c>
      <c r="E72" s="482">
        <v>60</v>
      </c>
      <c r="F72" s="1201">
        <v>15000</v>
      </c>
      <c r="G72" s="1201">
        <f t="shared" si="3"/>
        <v>27000000</v>
      </c>
      <c r="H72" s="557"/>
      <c r="I72" s="1226"/>
      <c r="J72" s="1226"/>
      <c r="K72" s="1226"/>
      <c r="L72" s="1226"/>
      <c r="M72" s="1226"/>
      <c r="N72" s="1226"/>
      <c r="O72" s="1226"/>
      <c r="P72" s="1226"/>
      <c r="Q72" s="1226"/>
      <c r="R72" s="1226"/>
      <c r="S72" s="1226"/>
      <c r="T72" s="1226"/>
      <c r="U72" s="1226"/>
      <c r="V72" s="1226"/>
      <c r="W72" s="1226"/>
      <c r="X72" s="1226"/>
      <c r="Y72" s="1226"/>
      <c r="Z72" s="1226"/>
    </row>
    <row r="73" spans="1:26" ht="15.75" customHeight="1">
      <c r="A73" s="1225">
        <v>66</v>
      </c>
      <c r="B73" s="563" t="s">
        <v>1161</v>
      </c>
      <c r="C73" s="570" t="s">
        <v>1952</v>
      </c>
      <c r="D73" s="234" t="s">
        <v>395</v>
      </c>
      <c r="E73" s="482">
        <v>6</v>
      </c>
      <c r="F73" s="1201">
        <v>5000000</v>
      </c>
      <c r="G73" s="1201">
        <f>F73*E73</f>
        <v>30000000</v>
      </c>
      <c r="H73" s="566" t="s">
        <v>1940</v>
      </c>
      <c r="I73" s="1226"/>
      <c r="J73" s="1226"/>
      <c r="K73" s="1226"/>
      <c r="L73" s="1226"/>
      <c r="M73" s="1226"/>
      <c r="N73" s="1226"/>
      <c r="O73" s="1226"/>
      <c r="P73" s="1226"/>
      <c r="Q73" s="1226"/>
      <c r="R73" s="1226"/>
      <c r="S73" s="1226"/>
      <c r="T73" s="1226"/>
      <c r="U73" s="1226"/>
      <c r="V73" s="1226"/>
      <c r="W73" s="1226"/>
      <c r="X73" s="1226"/>
      <c r="Y73" s="1226"/>
      <c r="Z73" s="1226"/>
    </row>
    <row r="74" spans="1:26" ht="15.75" customHeight="1">
      <c r="A74" s="1223">
        <v>67</v>
      </c>
      <c r="B74" s="556"/>
      <c r="C74" s="569"/>
      <c r="D74" s="234" t="s">
        <v>396</v>
      </c>
      <c r="E74" s="482">
        <v>450</v>
      </c>
      <c r="F74" s="1201">
        <v>15000</v>
      </c>
      <c r="G74" s="1201">
        <f>F74*E74*2</f>
        <v>13500000</v>
      </c>
      <c r="H74" s="556"/>
      <c r="I74" s="1227" t="s">
        <v>1953</v>
      </c>
      <c r="J74" s="1226"/>
      <c r="K74" s="1226"/>
      <c r="L74" s="1226"/>
      <c r="M74" s="1226"/>
      <c r="N74" s="1226"/>
      <c r="O74" s="1226"/>
      <c r="P74" s="1226"/>
      <c r="Q74" s="1226"/>
      <c r="R74" s="1226"/>
      <c r="S74" s="1226"/>
      <c r="T74" s="1226"/>
      <c r="U74" s="1226"/>
      <c r="V74" s="1226"/>
      <c r="W74" s="1226"/>
      <c r="X74" s="1226"/>
      <c r="Y74" s="1226"/>
      <c r="Z74" s="1226"/>
    </row>
    <row r="75" spans="1:26" ht="15.75" customHeight="1">
      <c r="A75" s="1224">
        <v>68</v>
      </c>
      <c r="B75" s="556"/>
      <c r="C75" s="569"/>
      <c r="D75" s="234" t="s">
        <v>397</v>
      </c>
      <c r="E75" s="482">
        <v>450</v>
      </c>
      <c r="F75" s="1201">
        <v>60000</v>
      </c>
      <c r="G75" s="1201">
        <f>F75*E75</f>
        <v>27000000</v>
      </c>
      <c r="H75" s="556"/>
      <c r="I75" s="1226"/>
      <c r="J75" s="1226"/>
      <c r="K75" s="1226"/>
      <c r="L75" s="1226"/>
      <c r="M75" s="1226"/>
      <c r="N75" s="1226"/>
      <c r="O75" s="1226"/>
      <c r="P75" s="1226"/>
      <c r="Q75" s="1226"/>
      <c r="R75" s="1226"/>
      <c r="S75" s="1226"/>
      <c r="T75" s="1226"/>
      <c r="U75" s="1226"/>
      <c r="V75" s="1226"/>
      <c r="W75" s="1226"/>
      <c r="X75" s="1226"/>
      <c r="Y75" s="1226"/>
      <c r="Z75" s="1226"/>
    </row>
    <row r="76" spans="1:26" ht="15.75" customHeight="1">
      <c r="A76" s="1225">
        <v>69</v>
      </c>
      <c r="B76" s="556"/>
      <c r="C76" s="569"/>
      <c r="D76" s="234" t="s">
        <v>398</v>
      </c>
      <c r="E76" s="482">
        <v>450</v>
      </c>
      <c r="F76" s="1201">
        <v>100000</v>
      </c>
      <c r="G76" s="1201">
        <f>F76*E76*2</f>
        <v>90000000</v>
      </c>
      <c r="H76" s="556"/>
      <c r="I76" s="1226"/>
      <c r="J76" s="1226"/>
      <c r="K76" s="1226"/>
      <c r="L76" s="1226"/>
      <c r="M76" s="1226"/>
      <c r="N76" s="1226"/>
      <c r="O76" s="1226"/>
      <c r="P76" s="1226"/>
      <c r="Q76" s="1226"/>
      <c r="R76" s="1226"/>
      <c r="S76" s="1226"/>
      <c r="T76" s="1226"/>
      <c r="U76" s="1226"/>
      <c r="V76" s="1226"/>
      <c r="W76" s="1226"/>
      <c r="X76" s="1226"/>
      <c r="Y76" s="1226"/>
      <c r="Z76" s="1226"/>
    </row>
    <row r="77" spans="1:26" ht="15.75" customHeight="1">
      <c r="A77" s="1223">
        <v>70</v>
      </c>
      <c r="B77" s="556"/>
      <c r="C77" s="569"/>
      <c r="D77" s="234" t="s">
        <v>400</v>
      </c>
      <c r="E77" s="482">
        <v>450</v>
      </c>
      <c r="F77" s="1201">
        <v>150000</v>
      </c>
      <c r="G77" s="1201">
        <f t="shared" ref="G77:G81" si="4">F77*E77</f>
        <v>67500000</v>
      </c>
      <c r="H77" s="556"/>
      <c r="I77" s="1226"/>
      <c r="J77" s="1226"/>
      <c r="K77" s="1226"/>
      <c r="L77" s="1226"/>
      <c r="M77" s="1226"/>
      <c r="N77" s="1226"/>
      <c r="O77" s="1226"/>
      <c r="P77" s="1226"/>
      <c r="Q77" s="1226"/>
      <c r="R77" s="1226"/>
      <c r="S77" s="1226"/>
      <c r="T77" s="1226"/>
      <c r="U77" s="1226"/>
      <c r="V77" s="1226"/>
      <c r="W77" s="1226"/>
      <c r="X77" s="1226"/>
      <c r="Y77" s="1226"/>
      <c r="Z77" s="1226"/>
    </row>
    <row r="78" spans="1:26" ht="15.75" customHeight="1">
      <c r="A78" s="1224">
        <v>71</v>
      </c>
      <c r="B78" s="557"/>
      <c r="C78" s="571"/>
      <c r="D78" s="234" t="s">
        <v>399</v>
      </c>
      <c r="E78" s="482">
        <v>3</v>
      </c>
      <c r="F78" s="1201">
        <v>3000000</v>
      </c>
      <c r="G78" s="1201">
        <f t="shared" si="4"/>
        <v>9000000</v>
      </c>
      <c r="H78" s="557"/>
      <c r="I78" s="1226"/>
      <c r="J78" s="1226"/>
      <c r="K78" s="1226"/>
      <c r="L78" s="1226"/>
      <c r="M78" s="1226"/>
      <c r="N78" s="1226"/>
      <c r="O78" s="1226"/>
      <c r="P78" s="1226"/>
      <c r="Q78" s="1226"/>
      <c r="R78" s="1226"/>
      <c r="S78" s="1226"/>
      <c r="T78" s="1226"/>
      <c r="U78" s="1226"/>
      <c r="V78" s="1226"/>
      <c r="W78" s="1226"/>
      <c r="X78" s="1226"/>
      <c r="Y78" s="1226"/>
      <c r="Z78" s="1226"/>
    </row>
    <row r="79" spans="1:26" ht="15.75" customHeight="1">
      <c r="A79" s="1225">
        <v>72</v>
      </c>
      <c r="B79" s="563" t="s">
        <v>1161</v>
      </c>
      <c r="C79" s="570" t="s">
        <v>1954</v>
      </c>
      <c r="D79" s="234" t="s">
        <v>379</v>
      </c>
      <c r="E79" s="482">
        <v>350</v>
      </c>
      <c r="F79" s="1201">
        <v>85000</v>
      </c>
      <c r="G79" s="1201">
        <f t="shared" si="4"/>
        <v>29750000</v>
      </c>
      <c r="H79" s="566" t="s">
        <v>1940</v>
      </c>
      <c r="I79" s="1226"/>
      <c r="J79" s="1226"/>
      <c r="K79" s="1226"/>
      <c r="L79" s="1226"/>
      <c r="M79" s="1226"/>
      <c r="N79" s="1226"/>
      <c r="O79" s="1226"/>
      <c r="P79" s="1226"/>
      <c r="Q79" s="1226"/>
      <c r="R79" s="1226"/>
      <c r="S79" s="1226"/>
      <c r="T79" s="1226"/>
      <c r="U79" s="1226"/>
      <c r="V79" s="1226"/>
      <c r="W79" s="1226"/>
      <c r="X79" s="1226"/>
      <c r="Y79" s="1226"/>
      <c r="Z79" s="1226"/>
    </row>
    <row r="80" spans="1:26" ht="15.75" customHeight="1">
      <c r="A80" s="1223">
        <v>73</v>
      </c>
      <c r="B80" s="556"/>
      <c r="C80" s="569"/>
      <c r="D80" s="234" t="s">
        <v>380</v>
      </c>
      <c r="E80" s="482">
        <v>31</v>
      </c>
      <c r="F80" s="1201">
        <v>500000</v>
      </c>
      <c r="G80" s="1201">
        <f t="shared" si="4"/>
        <v>15500000</v>
      </c>
      <c r="H80" s="556"/>
      <c r="I80" s="1226"/>
      <c r="J80" s="1226"/>
      <c r="K80" s="1226"/>
      <c r="L80" s="1226"/>
      <c r="M80" s="1226"/>
      <c r="N80" s="1226"/>
      <c r="O80" s="1226"/>
      <c r="P80" s="1226"/>
      <c r="Q80" s="1226"/>
      <c r="R80" s="1226"/>
      <c r="S80" s="1226"/>
      <c r="T80" s="1226"/>
      <c r="U80" s="1226"/>
      <c r="V80" s="1226"/>
      <c r="W80" s="1226"/>
      <c r="X80" s="1226"/>
      <c r="Y80" s="1226"/>
      <c r="Z80" s="1226"/>
    </row>
    <row r="81" spans="1:26" ht="15.75" customHeight="1">
      <c r="A81" s="1224">
        <v>74</v>
      </c>
      <c r="B81" s="557"/>
      <c r="C81" s="571"/>
      <c r="D81" s="234" t="s">
        <v>381</v>
      </c>
      <c r="E81" s="482">
        <v>16</v>
      </c>
      <c r="F81" s="1201">
        <v>150000</v>
      </c>
      <c r="G81" s="1201">
        <f t="shared" si="4"/>
        <v>2400000</v>
      </c>
      <c r="H81" s="557"/>
      <c r="I81" s="1227"/>
      <c r="J81" s="1227"/>
      <c r="K81" s="1227"/>
      <c r="L81" s="1227"/>
      <c r="M81" s="1227"/>
      <c r="N81" s="1227"/>
      <c r="O81" s="1227"/>
      <c r="P81" s="1227"/>
      <c r="Q81" s="1227"/>
      <c r="R81" s="1227"/>
      <c r="S81" s="1227"/>
      <c r="T81" s="1227"/>
      <c r="U81" s="1227"/>
      <c r="V81" s="1227"/>
      <c r="W81" s="1227"/>
      <c r="X81" s="1227"/>
      <c r="Y81" s="1227"/>
      <c r="Z81" s="1227"/>
    </row>
    <row r="82" spans="1:26" ht="15.75" customHeight="1">
      <c r="A82" s="1225">
        <v>75</v>
      </c>
      <c r="B82" s="572" t="s">
        <v>1161</v>
      </c>
      <c r="C82" s="567" t="s">
        <v>1955</v>
      </c>
      <c r="D82" s="234" t="s">
        <v>1956</v>
      </c>
      <c r="E82" s="482">
        <v>1</v>
      </c>
      <c r="F82" s="1201"/>
      <c r="G82" s="1201">
        <v>55000000</v>
      </c>
      <c r="H82" s="567" t="s">
        <v>1940</v>
      </c>
      <c r="I82" s="1227"/>
      <c r="J82" s="1227"/>
      <c r="K82" s="1227"/>
      <c r="L82" s="1227"/>
      <c r="M82" s="1227"/>
      <c r="N82" s="1227"/>
      <c r="O82" s="1227"/>
      <c r="P82" s="1227"/>
      <c r="Q82" s="1227"/>
      <c r="R82" s="1227"/>
      <c r="S82" s="1227"/>
      <c r="T82" s="1227"/>
      <c r="U82" s="1227"/>
      <c r="V82" s="1227"/>
      <c r="W82" s="1227"/>
      <c r="X82" s="1227"/>
      <c r="Y82" s="1227"/>
      <c r="Z82" s="1227"/>
    </row>
    <row r="83" spans="1:26" ht="15" customHeight="1">
      <c r="A83" s="1223">
        <v>76</v>
      </c>
      <c r="B83" s="541" t="s">
        <v>1957</v>
      </c>
      <c r="C83" s="242" t="s">
        <v>1958</v>
      </c>
      <c r="D83" s="573" t="s">
        <v>1959</v>
      </c>
      <c r="E83" s="541">
        <v>30</v>
      </c>
      <c r="F83" s="1199">
        <v>5000</v>
      </c>
      <c r="G83" s="1232">
        <f t="shared" ref="G83:G86" si="5">E83*F83</f>
        <v>150000</v>
      </c>
      <c r="H83" s="379" t="s">
        <v>704</v>
      </c>
      <c r="I83" s="1226"/>
      <c r="J83" s="1226"/>
      <c r="K83" s="1226"/>
      <c r="L83" s="1226"/>
      <c r="M83" s="1226"/>
      <c r="N83" s="1226"/>
      <c r="O83" s="1226"/>
      <c r="P83" s="1226"/>
      <c r="Q83" s="1226"/>
      <c r="R83" s="1226"/>
      <c r="S83" s="1226"/>
      <c r="T83" s="1226"/>
      <c r="U83" s="1226"/>
      <c r="V83" s="1226"/>
      <c r="W83" s="1226"/>
      <c r="X83" s="1226"/>
      <c r="Y83" s="1226"/>
      <c r="Z83" s="1226"/>
    </row>
    <row r="84" spans="1:26" ht="15.75" customHeight="1">
      <c r="A84" s="1224">
        <v>77</v>
      </c>
      <c r="B84" s="541" t="s">
        <v>1957</v>
      </c>
      <c r="C84" s="2" t="s">
        <v>1960</v>
      </c>
      <c r="D84" s="543" t="s">
        <v>1961</v>
      </c>
      <c r="E84" s="236">
        <v>5</v>
      </c>
      <c r="F84" s="1207">
        <v>600000</v>
      </c>
      <c r="G84" s="1232">
        <f t="shared" si="5"/>
        <v>3000000</v>
      </c>
      <c r="H84" s="379" t="s">
        <v>704</v>
      </c>
      <c r="I84" s="1226"/>
      <c r="J84" s="1226"/>
      <c r="K84" s="1226"/>
      <c r="L84" s="1226"/>
      <c r="M84" s="1226"/>
      <c r="N84" s="1226"/>
      <c r="O84" s="1226"/>
      <c r="P84" s="1226"/>
      <c r="Q84" s="1226"/>
      <c r="R84" s="1226"/>
      <c r="S84" s="1226"/>
      <c r="T84" s="1226"/>
      <c r="U84" s="1226"/>
      <c r="V84" s="1226"/>
      <c r="W84" s="1226"/>
      <c r="X84" s="1226"/>
      <c r="Y84" s="1226"/>
      <c r="Z84" s="1226"/>
    </row>
    <row r="85" spans="1:26" ht="15.75" customHeight="1">
      <c r="A85" s="1225">
        <v>78</v>
      </c>
      <c r="B85" s="541" t="s">
        <v>1957</v>
      </c>
      <c r="C85" s="2" t="s">
        <v>1962</v>
      </c>
      <c r="D85" s="574" t="s">
        <v>1963</v>
      </c>
      <c r="E85" s="236">
        <v>35</v>
      </c>
      <c r="F85" s="1232">
        <v>400000</v>
      </c>
      <c r="G85" s="1232">
        <f t="shared" si="5"/>
        <v>14000000</v>
      </c>
      <c r="H85" s="379" t="s">
        <v>704</v>
      </c>
      <c r="I85" s="1226"/>
      <c r="J85" s="1226"/>
      <c r="K85" s="1226"/>
      <c r="L85" s="1226"/>
      <c r="M85" s="1226"/>
      <c r="N85" s="1226"/>
      <c r="O85" s="1226"/>
      <c r="P85" s="1226"/>
      <c r="Q85" s="1226"/>
      <c r="R85" s="1226"/>
      <c r="S85" s="1226"/>
      <c r="T85" s="1226"/>
      <c r="U85" s="1226"/>
      <c r="V85" s="1226"/>
      <c r="W85" s="1226"/>
      <c r="X85" s="1226"/>
      <c r="Y85" s="1226"/>
      <c r="Z85" s="1226"/>
    </row>
    <row r="86" spans="1:26" ht="15.75" customHeight="1">
      <c r="A86" s="1223">
        <v>79</v>
      </c>
      <c r="B86" s="541" t="s">
        <v>1957</v>
      </c>
      <c r="C86" s="519" t="s">
        <v>1964</v>
      </c>
      <c r="D86" s="575" t="s">
        <v>1965</v>
      </c>
      <c r="E86" s="236">
        <v>70</v>
      </c>
      <c r="F86" s="1199">
        <v>350000</v>
      </c>
      <c r="G86" s="1232">
        <f t="shared" si="5"/>
        <v>24500000</v>
      </c>
      <c r="H86" s="2" t="s">
        <v>671</v>
      </c>
      <c r="I86" s="1226"/>
      <c r="J86" s="1226"/>
      <c r="K86" s="1226"/>
      <c r="L86" s="1226"/>
      <c r="M86" s="1226"/>
      <c r="N86" s="1226"/>
      <c r="O86" s="1226"/>
      <c r="P86" s="1226"/>
      <c r="Q86" s="1226"/>
      <c r="R86" s="1226"/>
      <c r="S86" s="1226"/>
      <c r="T86" s="1226"/>
      <c r="U86" s="1226"/>
      <c r="V86" s="1226"/>
      <c r="W86" s="1226"/>
      <c r="X86" s="1226"/>
      <c r="Y86" s="1226"/>
      <c r="Z86" s="1226"/>
    </row>
    <row r="87" spans="1:26" ht="36" customHeight="1">
      <c r="A87" s="1224">
        <v>80</v>
      </c>
      <c r="B87" s="541" t="s">
        <v>1957</v>
      </c>
      <c r="C87" s="543" t="s">
        <v>447</v>
      </c>
      <c r="D87" s="2" t="s">
        <v>448</v>
      </c>
      <c r="E87" s="236"/>
      <c r="F87" s="1232"/>
      <c r="G87" s="1232">
        <v>30000000</v>
      </c>
      <c r="H87" s="379" t="s">
        <v>704</v>
      </c>
      <c r="I87" s="1226"/>
      <c r="J87" s="1226"/>
      <c r="K87" s="1226"/>
      <c r="L87" s="1226"/>
      <c r="M87" s="1226"/>
      <c r="N87" s="1226"/>
      <c r="O87" s="1226"/>
      <c r="P87" s="1226"/>
      <c r="Q87" s="1226"/>
      <c r="R87" s="1226"/>
      <c r="S87" s="1226"/>
      <c r="T87" s="1226"/>
      <c r="U87" s="1226"/>
      <c r="V87" s="1226"/>
      <c r="W87" s="1226"/>
      <c r="X87" s="1226"/>
      <c r="Y87" s="1226"/>
      <c r="Z87" s="1226"/>
    </row>
    <row r="88" spans="1:26" ht="15" customHeight="1">
      <c r="A88" s="1225">
        <v>81</v>
      </c>
      <c r="B88" s="541" t="s">
        <v>1957</v>
      </c>
      <c r="C88" s="242" t="s">
        <v>1966</v>
      </c>
      <c r="D88" s="242" t="s">
        <v>1967</v>
      </c>
      <c r="E88" s="236">
        <v>50</v>
      </c>
      <c r="F88" s="1199">
        <v>100000</v>
      </c>
      <c r="G88" s="1232">
        <f>E88*F88</f>
        <v>5000000</v>
      </c>
      <c r="H88" s="379" t="s">
        <v>704</v>
      </c>
      <c r="I88" s="1226"/>
      <c r="J88" s="1226"/>
      <c r="K88" s="1226"/>
      <c r="L88" s="1226"/>
      <c r="M88" s="1226"/>
      <c r="N88" s="1226"/>
      <c r="O88" s="1226"/>
      <c r="P88" s="1226"/>
      <c r="Q88" s="1226"/>
      <c r="R88" s="1226"/>
      <c r="S88" s="1226"/>
      <c r="T88" s="1226"/>
      <c r="U88" s="1226"/>
      <c r="V88" s="1226"/>
      <c r="W88" s="1226"/>
      <c r="X88" s="1226"/>
      <c r="Y88" s="1226"/>
      <c r="Z88" s="1226"/>
    </row>
    <row r="89" spans="1:26" ht="15.75" customHeight="1">
      <c r="A89" s="1223">
        <v>82</v>
      </c>
      <c r="B89" s="541" t="s">
        <v>1957</v>
      </c>
      <c r="C89" s="242" t="s">
        <v>442</v>
      </c>
      <c r="D89" s="573" t="s">
        <v>1968</v>
      </c>
      <c r="E89" s="236"/>
      <c r="F89" s="1199">
        <v>10000000</v>
      </c>
      <c r="G89" s="1232">
        <f t="shared" ref="G89:G95" si="6">F89</f>
        <v>10000000</v>
      </c>
      <c r="H89" s="379" t="s">
        <v>704</v>
      </c>
      <c r="I89" s="1226"/>
      <c r="J89" s="1226"/>
      <c r="K89" s="1226"/>
      <c r="L89" s="1226"/>
      <c r="M89" s="1226"/>
      <c r="N89" s="1226"/>
      <c r="O89" s="1226"/>
      <c r="P89" s="1226"/>
      <c r="Q89" s="1226"/>
      <c r="R89" s="1226"/>
      <c r="S89" s="1226"/>
      <c r="T89" s="1226"/>
      <c r="U89" s="1226"/>
      <c r="V89" s="1226"/>
      <c r="W89" s="1226"/>
      <c r="X89" s="1226"/>
      <c r="Y89" s="1226"/>
      <c r="Z89" s="1226"/>
    </row>
    <row r="90" spans="1:26" ht="15.75" customHeight="1">
      <c r="A90" s="1224">
        <v>83</v>
      </c>
      <c r="B90" s="541" t="s">
        <v>1957</v>
      </c>
      <c r="C90" s="242" t="s">
        <v>1969</v>
      </c>
      <c r="D90" s="573" t="s">
        <v>1968</v>
      </c>
      <c r="E90" s="236"/>
      <c r="F90" s="1199">
        <v>25000000</v>
      </c>
      <c r="G90" s="1232">
        <f t="shared" si="6"/>
        <v>25000000</v>
      </c>
      <c r="H90" s="379" t="s">
        <v>704</v>
      </c>
      <c r="I90" s="1226"/>
      <c r="J90" s="1226"/>
      <c r="K90" s="1226"/>
      <c r="L90" s="1226"/>
      <c r="M90" s="1226"/>
      <c r="N90" s="1226"/>
      <c r="O90" s="1226"/>
      <c r="P90" s="1226"/>
      <c r="Q90" s="1226"/>
      <c r="R90" s="1226"/>
      <c r="S90" s="1226"/>
      <c r="T90" s="1226"/>
      <c r="U90" s="1226"/>
      <c r="V90" s="1226"/>
      <c r="W90" s="1226"/>
      <c r="X90" s="1226"/>
      <c r="Y90" s="1226"/>
      <c r="Z90" s="1226"/>
    </row>
    <row r="91" spans="1:26" ht="15.75" customHeight="1">
      <c r="A91" s="1225">
        <v>84</v>
      </c>
      <c r="B91" s="541" t="s">
        <v>1957</v>
      </c>
      <c r="C91" s="242" t="s">
        <v>1970</v>
      </c>
      <c r="D91" s="573" t="s">
        <v>1968</v>
      </c>
      <c r="E91" s="236"/>
      <c r="F91" s="1199">
        <v>20000000</v>
      </c>
      <c r="G91" s="1232">
        <f t="shared" si="6"/>
        <v>20000000</v>
      </c>
      <c r="H91" s="2" t="s">
        <v>671</v>
      </c>
      <c r="I91" s="1226"/>
      <c r="J91" s="1226"/>
      <c r="K91" s="1226"/>
      <c r="L91" s="1226"/>
      <c r="M91" s="1226"/>
      <c r="N91" s="1226"/>
      <c r="O91" s="1226"/>
      <c r="P91" s="1226"/>
      <c r="Q91" s="1226"/>
      <c r="R91" s="1226"/>
      <c r="S91" s="1226"/>
      <c r="T91" s="1226"/>
      <c r="U91" s="1226"/>
      <c r="V91" s="1226"/>
      <c r="W91" s="1226"/>
      <c r="X91" s="1226"/>
      <c r="Y91" s="1226"/>
      <c r="Z91" s="1226"/>
    </row>
    <row r="92" spans="1:26" ht="15.75" customHeight="1">
      <c r="A92" s="1223">
        <v>85</v>
      </c>
      <c r="B92" s="541" t="s">
        <v>1971</v>
      </c>
      <c r="C92" s="242" t="s">
        <v>1972</v>
      </c>
      <c r="D92" s="573" t="s">
        <v>1968</v>
      </c>
      <c r="E92" s="236"/>
      <c r="F92" s="1199">
        <v>10000000</v>
      </c>
      <c r="G92" s="1232">
        <f t="shared" si="6"/>
        <v>10000000</v>
      </c>
      <c r="H92" s="379" t="s">
        <v>704</v>
      </c>
      <c r="I92" s="1226"/>
      <c r="J92" s="1226"/>
      <c r="K92" s="1226"/>
      <c r="L92" s="1226"/>
      <c r="M92" s="1226"/>
      <c r="N92" s="1226"/>
      <c r="O92" s="1226"/>
      <c r="P92" s="1226"/>
      <c r="Q92" s="1226"/>
      <c r="R92" s="1226"/>
      <c r="S92" s="1226"/>
      <c r="T92" s="1226"/>
      <c r="U92" s="1226"/>
      <c r="V92" s="1226"/>
      <c r="W92" s="1226"/>
      <c r="X92" s="1226"/>
      <c r="Y92" s="1226"/>
      <c r="Z92" s="1226"/>
    </row>
    <row r="93" spans="1:26" ht="15.75" customHeight="1">
      <c r="A93" s="1224">
        <v>86</v>
      </c>
      <c r="B93" s="541" t="s">
        <v>1957</v>
      </c>
      <c r="C93" s="242" t="s">
        <v>1973</v>
      </c>
      <c r="D93" s="573" t="s">
        <v>1968</v>
      </c>
      <c r="E93" s="236"/>
      <c r="F93" s="1199">
        <v>10000000</v>
      </c>
      <c r="G93" s="1232">
        <f t="shared" si="6"/>
        <v>10000000</v>
      </c>
      <c r="H93" s="2" t="s">
        <v>671</v>
      </c>
      <c r="I93" s="1226"/>
      <c r="J93" s="1226"/>
      <c r="K93" s="1226"/>
      <c r="L93" s="1226"/>
      <c r="M93" s="1226"/>
      <c r="N93" s="1226"/>
      <c r="O93" s="1226"/>
      <c r="P93" s="1226"/>
      <c r="Q93" s="1226"/>
      <c r="R93" s="1226"/>
      <c r="S93" s="1226"/>
      <c r="T93" s="1226"/>
      <c r="U93" s="1226"/>
      <c r="V93" s="1226"/>
      <c r="W93" s="1226"/>
      <c r="X93" s="1226"/>
      <c r="Y93" s="1226"/>
      <c r="Z93" s="1226"/>
    </row>
    <row r="94" spans="1:26" ht="15.75" customHeight="1">
      <c r="A94" s="1225">
        <v>87</v>
      </c>
      <c r="B94" s="541" t="s">
        <v>1957</v>
      </c>
      <c r="C94" s="242" t="s">
        <v>443</v>
      </c>
      <c r="D94" s="573" t="s">
        <v>1968</v>
      </c>
      <c r="E94" s="236"/>
      <c r="F94" s="1199">
        <v>1000000</v>
      </c>
      <c r="G94" s="1232">
        <f t="shared" si="6"/>
        <v>1000000</v>
      </c>
      <c r="H94" s="2" t="s">
        <v>671</v>
      </c>
      <c r="I94" s="1226"/>
      <c r="J94" s="1226"/>
      <c r="K94" s="1226"/>
      <c r="L94" s="1226"/>
      <c r="M94" s="1226"/>
      <c r="N94" s="1226"/>
      <c r="O94" s="1226"/>
      <c r="P94" s="1226"/>
      <c r="Q94" s="1226"/>
      <c r="R94" s="1226"/>
      <c r="S94" s="1226"/>
      <c r="T94" s="1226"/>
      <c r="U94" s="1226"/>
      <c r="V94" s="1226"/>
      <c r="W94" s="1226"/>
      <c r="X94" s="1226"/>
      <c r="Y94" s="1226"/>
      <c r="Z94" s="1226"/>
    </row>
    <row r="95" spans="1:26" ht="15.75" customHeight="1">
      <c r="A95" s="1223">
        <v>88</v>
      </c>
      <c r="B95" s="541" t="s">
        <v>1957</v>
      </c>
      <c r="C95" s="519" t="s">
        <v>1974</v>
      </c>
      <c r="D95" s="573" t="s">
        <v>1968</v>
      </c>
      <c r="E95" s="236"/>
      <c r="F95" s="1199">
        <v>10000000</v>
      </c>
      <c r="G95" s="1232">
        <f t="shared" si="6"/>
        <v>10000000</v>
      </c>
      <c r="H95" s="2" t="s">
        <v>671</v>
      </c>
      <c r="I95" s="1226"/>
      <c r="J95" s="1226"/>
      <c r="K95" s="1226"/>
      <c r="L95" s="1226"/>
      <c r="M95" s="1226"/>
      <c r="N95" s="1226"/>
      <c r="O95" s="1226"/>
      <c r="P95" s="1226"/>
      <c r="Q95" s="1226"/>
      <c r="R95" s="1226"/>
      <c r="S95" s="1226"/>
      <c r="T95" s="1226"/>
      <c r="U95" s="1226"/>
      <c r="V95" s="1226"/>
      <c r="W95" s="1226"/>
      <c r="X95" s="1226"/>
      <c r="Y95" s="1226"/>
      <c r="Z95" s="1226"/>
    </row>
    <row r="96" spans="1:26" ht="15.75" customHeight="1">
      <c r="A96" s="1224">
        <v>89</v>
      </c>
      <c r="B96" s="541" t="s">
        <v>1957</v>
      </c>
      <c r="C96" s="519" t="s">
        <v>1975</v>
      </c>
      <c r="D96" s="559" t="s">
        <v>1968</v>
      </c>
      <c r="E96" s="236" t="s">
        <v>1976</v>
      </c>
      <c r="F96" s="1199">
        <v>200000</v>
      </c>
      <c r="G96" s="1232">
        <f>12*200000</f>
        <v>2400000</v>
      </c>
      <c r="H96" s="2" t="s">
        <v>671</v>
      </c>
      <c r="I96" s="1226"/>
      <c r="J96" s="1226"/>
      <c r="K96" s="1226"/>
      <c r="L96" s="1226"/>
      <c r="M96" s="1226"/>
      <c r="N96" s="1226"/>
      <c r="O96" s="1226"/>
      <c r="P96" s="1226"/>
      <c r="Q96" s="1226"/>
      <c r="R96" s="1226"/>
      <c r="S96" s="1226"/>
      <c r="T96" s="1226"/>
      <c r="U96" s="1226"/>
      <c r="V96" s="1226"/>
      <c r="W96" s="1226"/>
      <c r="X96" s="1226"/>
      <c r="Y96" s="1226"/>
      <c r="Z96" s="1226"/>
    </row>
    <row r="97" spans="1:26" ht="15.75" customHeight="1">
      <c r="A97" s="1225">
        <v>90</v>
      </c>
      <c r="B97" s="541" t="s">
        <v>1957</v>
      </c>
      <c r="C97" s="242" t="s">
        <v>1977</v>
      </c>
      <c r="D97" s="573" t="s">
        <v>1978</v>
      </c>
      <c r="E97" s="236">
        <v>12</v>
      </c>
      <c r="F97" s="1199">
        <v>15000</v>
      </c>
      <c r="G97" s="1199">
        <f>E97*F97</f>
        <v>180000</v>
      </c>
      <c r="H97" s="242"/>
      <c r="I97" s="1226"/>
      <c r="J97" s="1226"/>
      <c r="K97" s="1226"/>
      <c r="L97" s="1226"/>
      <c r="M97" s="1226"/>
      <c r="N97" s="1226"/>
      <c r="O97" s="1226"/>
      <c r="P97" s="1226"/>
      <c r="Q97" s="1226"/>
      <c r="R97" s="1226"/>
      <c r="S97" s="1226"/>
      <c r="T97" s="1226"/>
      <c r="U97" s="1226"/>
      <c r="V97" s="1226"/>
      <c r="W97" s="1226"/>
      <c r="X97" s="1226"/>
      <c r="Y97" s="1226"/>
      <c r="Z97" s="1226"/>
    </row>
    <row r="98" spans="1:26" ht="15.75" customHeight="1">
      <c r="A98" s="1223">
        <v>91</v>
      </c>
      <c r="B98" s="541" t="s">
        <v>1971</v>
      </c>
      <c r="C98" s="519" t="s">
        <v>1979</v>
      </c>
      <c r="D98" s="573" t="s">
        <v>1968</v>
      </c>
      <c r="E98" s="236">
        <v>5</v>
      </c>
      <c r="F98" s="1199">
        <v>2000000</v>
      </c>
      <c r="G98" s="1199">
        <f>F98*E98</f>
        <v>10000000</v>
      </c>
      <c r="H98" s="242"/>
      <c r="I98" s="1226"/>
      <c r="J98" s="1226"/>
      <c r="K98" s="1226"/>
      <c r="L98" s="1226"/>
      <c r="M98" s="1226"/>
      <c r="N98" s="1226"/>
      <c r="O98" s="1226"/>
      <c r="P98" s="1226"/>
      <c r="Q98" s="1226"/>
      <c r="R98" s="1226"/>
      <c r="S98" s="1226"/>
      <c r="T98" s="1226"/>
      <c r="U98" s="1226"/>
      <c r="V98" s="1226"/>
      <c r="W98" s="1226"/>
      <c r="X98" s="1226"/>
      <c r="Y98" s="1226"/>
      <c r="Z98" s="1226"/>
    </row>
    <row r="99" spans="1:26" ht="15.75" customHeight="1">
      <c r="A99" s="1224">
        <v>92</v>
      </c>
      <c r="B99" s="541" t="s">
        <v>1971</v>
      </c>
      <c r="C99" s="519" t="s">
        <v>1980</v>
      </c>
      <c r="D99" s="573"/>
      <c r="E99" s="236"/>
      <c r="F99" s="1199"/>
      <c r="G99" s="1199">
        <v>6000000</v>
      </c>
      <c r="H99" s="242"/>
      <c r="I99" s="1226"/>
      <c r="J99" s="1226"/>
      <c r="K99" s="1226"/>
      <c r="L99" s="1226"/>
      <c r="M99" s="1226"/>
      <c r="N99" s="1226"/>
      <c r="O99" s="1226"/>
      <c r="P99" s="1226"/>
      <c r="Q99" s="1226"/>
      <c r="R99" s="1226"/>
      <c r="S99" s="1226"/>
      <c r="T99" s="1226"/>
      <c r="U99" s="1226"/>
      <c r="V99" s="1226"/>
      <c r="W99" s="1226"/>
      <c r="X99" s="1226"/>
      <c r="Y99" s="1226"/>
      <c r="Z99" s="1226"/>
    </row>
    <row r="100" spans="1:26" ht="15.75" customHeight="1">
      <c r="A100" s="1225">
        <v>93</v>
      </c>
      <c r="B100" s="541" t="s">
        <v>1957</v>
      </c>
      <c r="C100" s="242" t="s">
        <v>1981</v>
      </c>
      <c r="D100" s="573" t="s">
        <v>1968</v>
      </c>
      <c r="E100" s="236">
        <v>50</v>
      </c>
      <c r="F100" s="1199">
        <v>150000</v>
      </c>
      <c r="G100" s="1199">
        <f>E100*F100</f>
        <v>7500000</v>
      </c>
      <c r="H100" s="242"/>
      <c r="I100" s="1226"/>
      <c r="J100" s="1226"/>
      <c r="K100" s="1226"/>
      <c r="L100" s="1226"/>
      <c r="M100" s="1226"/>
      <c r="N100" s="1226"/>
      <c r="O100" s="1226"/>
      <c r="P100" s="1226"/>
      <c r="Q100" s="1226"/>
      <c r="R100" s="1226"/>
      <c r="S100" s="1226"/>
      <c r="T100" s="1226"/>
      <c r="U100" s="1226"/>
      <c r="V100" s="1226"/>
      <c r="W100" s="1226"/>
      <c r="X100" s="1226"/>
      <c r="Y100" s="1226"/>
      <c r="Z100" s="1226"/>
    </row>
    <row r="101" spans="1:26" ht="15.75" customHeight="1">
      <c r="A101" s="1223">
        <v>94</v>
      </c>
      <c r="B101" s="466" t="s">
        <v>1957</v>
      </c>
      <c r="C101" s="519" t="s">
        <v>446</v>
      </c>
      <c r="D101" s="573" t="s">
        <v>1982</v>
      </c>
      <c r="E101" s="236"/>
      <c r="F101" s="1199">
        <v>15000000</v>
      </c>
      <c r="G101" s="1199">
        <f>F101</f>
        <v>15000000</v>
      </c>
      <c r="H101" s="242"/>
      <c r="I101" s="1226"/>
      <c r="J101" s="1226"/>
      <c r="K101" s="1226"/>
      <c r="L101" s="1226"/>
      <c r="M101" s="1226"/>
      <c r="N101" s="1226"/>
      <c r="O101" s="1226"/>
      <c r="P101" s="1226"/>
      <c r="Q101" s="1226"/>
      <c r="R101" s="1226"/>
      <c r="S101" s="1226"/>
      <c r="T101" s="1226"/>
      <c r="U101" s="1226"/>
      <c r="V101" s="1226"/>
      <c r="W101" s="1226"/>
      <c r="X101" s="1226"/>
      <c r="Y101" s="1226"/>
      <c r="Z101" s="1226"/>
    </row>
    <row r="102" spans="1:26" ht="15.75" customHeight="1">
      <c r="A102" s="1224">
        <v>95</v>
      </c>
      <c r="B102" s="466" t="s">
        <v>1957</v>
      </c>
      <c r="C102" s="519" t="s">
        <v>488</v>
      </c>
      <c r="D102" s="573"/>
      <c r="E102" s="236"/>
      <c r="F102" s="1199"/>
      <c r="G102" s="1199">
        <v>20000000</v>
      </c>
      <c r="H102" s="242"/>
      <c r="I102" s="1227"/>
      <c r="J102" s="1227"/>
      <c r="K102" s="1227"/>
      <c r="L102" s="1227"/>
      <c r="M102" s="1227"/>
      <c r="N102" s="1227"/>
      <c r="O102" s="1227"/>
      <c r="P102" s="1227"/>
      <c r="Q102" s="1227"/>
      <c r="R102" s="1227"/>
      <c r="S102" s="1227"/>
      <c r="T102" s="1227"/>
      <c r="U102" s="1227"/>
      <c r="V102" s="1227"/>
      <c r="W102" s="1227"/>
      <c r="X102" s="1227"/>
      <c r="Y102" s="1227"/>
      <c r="Z102" s="1227"/>
    </row>
    <row r="103" spans="1:26" ht="15.75" customHeight="1">
      <c r="A103" s="1225">
        <v>96</v>
      </c>
      <c r="B103" s="541" t="s">
        <v>1278</v>
      </c>
      <c r="C103" s="2" t="s">
        <v>1983</v>
      </c>
      <c r="D103" s="543" t="s">
        <v>1984</v>
      </c>
      <c r="E103" s="2">
        <v>1</v>
      </c>
      <c r="F103" s="1232">
        <v>1000000</v>
      </c>
      <c r="G103" s="1232">
        <v>1000000</v>
      </c>
      <c r="H103" s="379" t="s">
        <v>704</v>
      </c>
      <c r="I103" s="1226"/>
      <c r="J103" s="1226"/>
      <c r="K103" s="1226"/>
      <c r="L103" s="1226"/>
      <c r="M103" s="1226"/>
      <c r="N103" s="1226"/>
      <c r="O103" s="1226"/>
      <c r="P103" s="1226"/>
      <c r="Q103" s="1226"/>
      <c r="R103" s="1226"/>
      <c r="S103" s="1226"/>
      <c r="T103" s="1226"/>
      <c r="U103" s="1226"/>
      <c r="V103" s="1226"/>
      <c r="W103" s="1226"/>
      <c r="X103" s="1226"/>
      <c r="Y103" s="1226"/>
      <c r="Z103" s="1226"/>
    </row>
    <row r="104" spans="1:26" ht="15.75" customHeight="1">
      <c r="A104" s="1223">
        <v>97</v>
      </c>
      <c r="B104" s="552" t="s">
        <v>1043</v>
      </c>
      <c r="C104" s="263" t="s">
        <v>1985</v>
      </c>
      <c r="D104" s="547" t="s">
        <v>1902</v>
      </c>
      <c r="E104" s="279">
        <v>60</v>
      </c>
      <c r="F104" s="1233">
        <v>15000</v>
      </c>
      <c r="G104" s="1233">
        <f t="shared" ref="G104:G109" si="7">F104*E104</f>
        <v>900000</v>
      </c>
      <c r="H104" s="551" t="s">
        <v>1573</v>
      </c>
      <c r="I104" s="1226"/>
      <c r="J104" s="1226"/>
      <c r="K104" s="1226"/>
      <c r="L104" s="1226"/>
      <c r="M104" s="1226"/>
      <c r="N104" s="1226"/>
      <c r="O104" s="1226"/>
      <c r="P104" s="1226"/>
      <c r="Q104" s="1226"/>
      <c r="R104" s="1226"/>
      <c r="S104" s="1226"/>
      <c r="T104" s="1226"/>
      <c r="U104" s="1226"/>
      <c r="V104" s="1226"/>
      <c r="W104" s="1226"/>
      <c r="X104" s="1226"/>
      <c r="Y104" s="1226"/>
      <c r="Z104" s="1226"/>
    </row>
    <row r="105" spans="1:26" ht="15.75" customHeight="1">
      <c r="A105" s="1224">
        <v>98</v>
      </c>
      <c r="B105" s="541" t="s">
        <v>1374</v>
      </c>
      <c r="C105" s="2" t="s">
        <v>1986</v>
      </c>
      <c r="D105" s="543" t="s">
        <v>1901</v>
      </c>
      <c r="E105" s="2">
        <v>12</v>
      </c>
      <c r="F105" s="1232">
        <v>55000</v>
      </c>
      <c r="G105" s="1232">
        <f t="shared" si="7"/>
        <v>660000</v>
      </c>
      <c r="H105" s="379"/>
      <c r="I105" s="1226"/>
      <c r="J105" s="1226"/>
      <c r="K105" s="1226"/>
      <c r="L105" s="1226"/>
      <c r="M105" s="1226"/>
      <c r="N105" s="1226"/>
      <c r="O105" s="1226"/>
      <c r="P105" s="1226"/>
      <c r="Q105" s="1226"/>
      <c r="R105" s="1226"/>
      <c r="S105" s="1226"/>
      <c r="T105" s="1226"/>
      <c r="U105" s="1226"/>
      <c r="V105" s="1226"/>
      <c r="W105" s="1226"/>
      <c r="X105" s="1226"/>
      <c r="Y105" s="1226"/>
      <c r="Z105" s="1226"/>
    </row>
    <row r="106" spans="1:26" ht="15.75" customHeight="1">
      <c r="A106" s="1225">
        <v>99</v>
      </c>
      <c r="B106" s="554" t="s">
        <v>1374</v>
      </c>
      <c r="C106" s="576" t="s">
        <v>341</v>
      </c>
      <c r="D106" s="543" t="s">
        <v>1437</v>
      </c>
      <c r="E106" s="2">
        <v>50</v>
      </c>
      <c r="F106" s="1232">
        <v>10000</v>
      </c>
      <c r="G106" s="1232">
        <f t="shared" si="7"/>
        <v>500000</v>
      </c>
      <c r="H106" s="379"/>
      <c r="I106" s="1226"/>
      <c r="J106" s="1226"/>
      <c r="K106" s="1226"/>
      <c r="L106" s="1226"/>
      <c r="M106" s="1226"/>
      <c r="N106" s="1226"/>
      <c r="O106" s="1226"/>
      <c r="P106" s="1226"/>
      <c r="Q106" s="1226"/>
      <c r="R106" s="1226"/>
      <c r="S106" s="1226"/>
      <c r="T106" s="1226"/>
      <c r="U106" s="1226"/>
      <c r="V106" s="1226"/>
      <c r="W106" s="1226"/>
      <c r="X106" s="1226"/>
      <c r="Y106" s="1226"/>
      <c r="Z106" s="1226"/>
    </row>
    <row r="107" spans="1:26" ht="30" customHeight="1">
      <c r="A107" s="1223">
        <v>100</v>
      </c>
      <c r="B107" s="557"/>
      <c r="C107" s="577"/>
      <c r="D107" s="543" t="s">
        <v>1902</v>
      </c>
      <c r="E107" s="2">
        <v>15</v>
      </c>
      <c r="F107" s="1199">
        <v>15000</v>
      </c>
      <c r="G107" s="1199">
        <f t="shared" si="7"/>
        <v>225000</v>
      </c>
      <c r="H107" s="242"/>
      <c r="I107" s="1226"/>
      <c r="J107" s="1226"/>
      <c r="K107" s="1226"/>
      <c r="L107" s="1226"/>
      <c r="M107" s="1226"/>
      <c r="N107" s="1226"/>
      <c r="O107" s="1226"/>
      <c r="P107" s="1226"/>
      <c r="Q107" s="1226"/>
      <c r="R107" s="1226"/>
      <c r="S107" s="1226"/>
      <c r="T107" s="1226"/>
      <c r="U107" s="1226"/>
      <c r="V107" s="1226"/>
      <c r="W107" s="1226"/>
      <c r="X107" s="1226"/>
      <c r="Y107" s="1226"/>
      <c r="Z107" s="1226"/>
    </row>
    <row r="108" spans="1:26" ht="15.75" customHeight="1">
      <c r="A108" s="1224">
        <v>101</v>
      </c>
      <c r="B108" s="246" t="s">
        <v>1987</v>
      </c>
      <c r="C108" s="227" t="s">
        <v>1928</v>
      </c>
      <c r="D108" s="227" t="s">
        <v>1437</v>
      </c>
      <c r="E108" s="246">
        <v>100</v>
      </c>
      <c r="F108" s="1234">
        <v>5000</v>
      </c>
      <c r="G108" s="1234">
        <f t="shared" si="7"/>
        <v>500000</v>
      </c>
      <c r="H108" s="227" t="s">
        <v>671</v>
      </c>
      <c r="I108" s="1226"/>
      <c r="J108" s="1226"/>
      <c r="K108" s="1226"/>
      <c r="L108" s="1226"/>
      <c r="M108" s="1226"/>
      <c r="N108" s="1226"/>
      <c r="O108" s="1226"/>
      <c r="P108" s="1226"/>
      <c r="Q108" s="1226"/>
      <c r="R108" s="1226"/>
      <c r="S108" s="1226"/>
      <c r="T108" s="1226"/>
      <c r="U108" s="1226"/>
      <c r="V108" s="1226"/>
      <c r="W108" s="1226"/>
      <c r="X108" s="1226"/>
      <c r="Y108" s="1226"/>
      <c r="Z108" s="1226"/>
    </row>
    <row r="109" spans="1:26" ht="15.75" customHeight="1">
      <c r="A109" s="1225">
        <v>102</v>
      </c>
      <c r="B109" s="246" t="s">
        <v>1987</v>
      </c>
      <c r="C109" s="227" t="s">
        <v>1929</v>
      </c>
      <c r="D109" s="227" t="s">
        <v>1930</v>
      </c>
      <c r="E109" s="246">
        <v>60</v>
      </c>
      <c r="F109" s="1234">
        <v>5000</v>
      </c>
      <c r="G109" s="1234">
        <f t="shared" si="7"/>
        <v>300000</v>
      </c>
      <c r="H109" s="227" t="s">
        <v>671</v>
      </c>
      <c r="I109" s="1226"/>
      <c r="J109" s="1226"/>
      <c r="K109" s="1226"/>
      <c r="L109" s="1226"/>
      <c r="M109" s="1226"/>
      <c r="N109" s="1226"/>
      <c r="O109" s="1226"/>
      <c r="P109" s="1226"/>
      <c r="Q109" s="1226"/>
      <c r="R109" s="1226"/>
      <c r="S109" s="1226"/>
      <c r="T109" s="1226"/>
      <c r="U109" s="1226"/>
      <c r="V109" s="1226"/>
      <c r="W109" s="1226"/>
      <c r="X109" s="1226"/>
      <c r="Y109" s="1226"/>
      <c r="Z109" s="1226"/>
    </row>
    <row r="110" spans="1:26" ht="15.75" customHeight="1">
      <c r="A110" s="1223">
        <v>103</v>
      </c>
      <c r="B110" s="552" t="s">
        <v>686</v>
      </c>
      <c r="C110" s="279" t="s">
        <v>1928</v>
      </c>
      <c r="D110" s="547" t="s">
        <v>1437</v>
      </c>
      <c r="E110" s="279" t="s">
        <v>1988</v>
      </c>
      <c r="F110" s="1233">
        <v>5000</v>
      </c>
      <c r="G110" s="1233">
        <v>80000</v>
      </c>
      <c r="H110" s="551" t="s">
        <v>671</v>
      </c>
      <c r="I110" s="1226"/>
      <c r="J110" s="1226"/>
      <c r="K110" s="1226"/>
      <c r="L110" s="1226"/>
      <c r="M110" s="1226"/>
      <c r="N110" s="1226"/>
      <c r="O110" s="1226"/>
      <c r="P110" s="1226"/>
      <c r="Q110" s="1226"/>
      <c r="R110" s="1226"/>
      <c r="S110" s="1226"/>
      <c r="T110" s="1226"/>
      <c r="U110" s="1226"/>
      <c r="V110" s="1226"/>
      <c r="W110" s="1226"/>
      <c r="X110" s="1226"/>
      <c r="Y110" s="1226"/>
      <c r="Z110" s="1226"/>
    </row>
    <row r="111" spans="1:26" ht="15.75" customHeight="1">
      <c r="A111" s="1224">
        <v>104</v>
      </c>
      <c r="B111" s="579" t="s">
        <v>775</v>
      </c>
      <c r="C111" s="580" t="s">
        <v>1989</v>
      </c>
      <c r="D111" s="581" t="s">
        <v>1437</v>
      </c>
      <c r="E111" s="582">
        <v>60</v>
      </c>
      <c r="F111" s="1236">
        <v>10000</v>
      </c>
      <c r="G111" s="1236">
        <f t="shared" ref="G111:G112" si="8">F111*E111</f>
        <v>600000</v>
      </c>
      <c r="H111" s="582" t="s">
        <v>1573</v>
      </c>
      <c r="I111" s="1226"/>
      <c r="J111" s="1226"/>
      <c r="K111" s="1226"/>
      <c r="L111" s="1226"/>
      <c r="M111" s="1226"/>
      <c r="N111" s="1226"/>
      <c r="O111" s="1226"/>
      <c r="P111" s="1226"/>
      <c r="Q111" s="1226"/>
      <c r="R111" s="1226"/>
      <c r="S111" s="1226"/>
      <c r="T111" s="1226"/>
      <c r="U111" s="1226"/>
      <c r="V111" s="1226"/>
      <c r="W111" s="1226"/>
      <c r="X111" s="1226"/>
      <c r="Y111" s="1226"/>
      <c r="Z111" s="1226"/>
    </row>
    <row r="112" spans="1:26" ht="15.75" customHeight="1">
      <c r="A112" s="1225">
        <v>105</v>
      </c>
      <c r="B112" s="584" t="s">
        <v>775</v>
      </c>
      <c r="C112" s="585" t="s">
        <v>1990</v>
      </c>
      <c r="D112" s="581" t="s">
        <v>1437</v>
      </c>
      <c r="E112" s="582">
        <v>60</v>
      </c>
      <c r="F112" s="1236">
        <v>10000</v>
      </c>
      <c r="G112" s="1236">
        <f t="shared" si="8"/>
        <v>600000</v>
      </c>
      <c r="H112" s="582" t="s">
        <v>1573</v>
      </c>
      <c r="I112" s="1226"/>
      <c r="J112" s="1226"/>
      <c r="K112" s="1226"/>
      <c r="L112" s="1226"/>
      <c r="M112" s="1226"/>
      <c r="N112" s="1226"/>
      <c r="O112" s="1226"/>
      <c r="P112" s="1226"/>
      <c r="Q112" s="1226"/>
      <c r="R112" s="1226"/>
      <c r="S112" s="1226"/>
      <c r="T112" s="1226"/>
      <c r="U112" s="1226"/>
      <c r="V112" s="1226"/>
      <c r="W112" s="1226"/>
      <c r="X112" s="1226"/>
      <c r="Y112" s="1226"/>
      <c r="Z112" s="1226"/>
    </row>
    <row r="113" spans="1:26" ht="15.75" customHeight="1">
      <c r="A113" s="1223">
        <v>106</v>
      </c>
      <c r="B113" s="586"/>
      <c r="C113" s="586"/>
      <c r="D113" s="581" t="s">
        <v>1991</v>
      </c>
      <c r="E113" s="582">
        <v>6</v>
      </c>
      <c r="F113" s="1236">
        <v>15000</v>
      </c>
      <c r="G113" s="1236">
        <v>13500000</v>
      </c>
      <c r="H113" s="582" t="s">
        <v>1573</v>
      </c>
      <c r="I113" s="1226"/>
      <c r="J113" s="1226"/>
      <c r="K113" s="1226"/>
      <c r="L113" s="1226"/>
      <c r="M113" s="1226"/>
      <c r="N113" s="1226"/>
      <c r="O113" s="1226"/>
      <c r="P113" s="1226"/>
      <c r="Q113" s="1226"/>
      <c r="R113" s="1226"/>
      <c r="S113" s="1226"/>
      <c r="T113" s="1226"/>
      <c r="U113" s="1226"/>
      <c r="V113" s="1226"/>
      <c r="W113" s="1226"/>
      <c r="X113" s="1226"/>
      <c r="Y113" s="1226"/>
      <c r="Z113" s="1226"/>
    </row>
    <row r="114" spans="1:26" ht="15.75" customHeight="1">
      <c r="A114" s="1224">
        <v>107</v>
      </c>
      <c r="B114" s="587"/>
      <c r="C114" s="587"/>
      <c r="D114" s="581" t="s">
        <v>1992</v>
      </c>
      <c r="E114" s="582">
        <v>12</v>
      </c>
      <c r="F114" s="1236">
        <v>150000</v>
      </c>
      <c r="G114" s="1236">
        <f t="shared" ref="G114:G121" si="9">F114*E114</f>
        <v>1800000</v>
      </c>
      <c r="H114" s="582" t="s">
        <v>1573</v>
      </c>
      <c r="I114" s="1226"/>
      <c r="J114" s="1226"/>
      <c r="K114" s="1226"/>
      <c r="L114" s="1226"/>
      <c r="M114" s="1226"/>
      <c r="N114" s="1226"/>
      <c r="O114" s="1226"/>
      <c r="P114" s="1226"/>
      <c r="Q114" s="1226"/>
      <c r="R114" s="1226"/>
      <c r="S114" s="1226"/>
      <c r="T114" s="1226"/>
      <c r="U114" s="1226"/>
      <c r="V114" s="1226"/>
      <c r="W114" s="1226"/>
      <c r="X114" s="1226"/>
      <c r="Y114" s="1226"/>
      <c r="Z114" s="1226"/>
    </row>
    <row r="115" spans="1:26" ht="15.75" customHeight="1">
      <c r="A115" s="1225">
        <v>108</v>
      </c>
      <c r="B115" s="584" t="s">
        <v>775</v>
      </c>
      <c r="C115" s="588" t="s">
        <v>1993</v>
      </c>
      <c r="D115" s="589" t="s">
        <v>1994</v>
      </c>
      <c r="E115" s="285">
        <v>4</v>
      </c>
      <c r="F115" s="1237">
        <v>150000</v>
      </c>
      <c r="G115" s="1237">
        <f t="shared" si="9"/>
        <v>600000</v>
      </c>
      <c r="H115" s="582" t="s">
        <v>1573</v>
      </c>
      <c r="I115" s="1226"/>
      <c r="J115" s="1226"/>
      <c r="K115" s="1226"/>
      <c r="L115" s="1226"/>
      <c r="M115" s="1226"/>
      <c r="N115" s="1226"/>
      <c r="O115" s="1226"/>
      <c r="P115" s="1226"/>
      <c r="Q115" s="1226"/>
      <c r="R115" s="1226"/>
      <c r="S115" s="1226"/>
      <c r="T115" s="1226"/>
      <c r="U115" s="1226"/>
      <c r="V115" s="1226"/>
      <c r="W115" s="1226"/>
      <c r="X115" s="1226"/>
      <c r="Y115" s="1226"/>
      <c r="Z115" s="1226"/>
    </row>
    <row r="116" spans="1:26" ht="15.75" customHeight="1">
      <c r="A116" s="1223">
        <v>109</v>
      </c>
      <c r="B116" s="587"/>
      <c r="C116" s="590"/>
      <c r="D116" s="285" t="s">
        <v>1897</v>
      </c>
      <c r="E116" s="582">
        <v>35</v>
      </c>
      <c r="F116" s="1237">
        <v>10000</v>
      </c>
      <c r="G116" s="1237">
        <f t="shared" si="9"/>
        <v>350000</v>
      </c>
      <c r="H116" s="582" t="s">
        <v>1573</v>
      </c>
      <c r="I116" s="1226"/>
      <c r="J116" s="1226"/>
      <c r="K116" s="1226"/>
      <c r="L116" s="1226"/>
      <c r="M116" s="1226"/>
      <c r="N116" s="1226"/>
      <c r="O116" s="1226"/>
      <c r="P116" s="1226"/>
      <c r="Q116" s="1226"/>
      <c r="R116" s="1226"/>
      <c r="S116" s="1226"/>
      <c r="T116" s="1226"/>
      <c r="U116" s="1226"/>
      <c r="V116" s="1226"/>
      <c r="W116" s="1226"/>
      <c r="X116" s="1226"/>
      <c r="Y116" s="1226"/>
      <c r="Z116" s="1226"/>
    </row>
    <row r="117" spans="1:26" ht="15.75" customHeight="1">
      <c r="A117" s="1224">
        <v>110</v>
      </c>
      <c r="B117" s="579" t="s">
        <v>775</v>
      </c>
      <c r="C117" s="285" t="s">
        <v>1995</v>
      </c>
      <c r="D117" s="285" t="s">
        <v>1996</v>
      </c>
      <c r="E117" s="582">
        <v>12</v>
      </c>
      <c r="F117" s="1237">
        <v>100000</v>
      </c>
      <c r="G117" s="1237">
        <f t="shared" si="9"/>
        <v>1200000</v>
      </c>
      <c r="H117" s="582" t="s">
        <v>1573</v>
      </c>
      <c r="I117" s="1226"/>
      <c r="J117" s="1226"/>
      <c r="K117" s="1226"/>
      <c r="L117" s="1226"/>
      <c r="M117" s="1226"/>
      <c r="N117" s="1226"/>
      <c r="O117" s="1226"/>
      <c r="P117" s="1226"/>
      <c r="Q117" s="1226"/>
      <c r="R117" s="1226"/>
      <c r="S117" s="1226"/>
      <c r="T117" s="1226"/>
      <c r="U117" s="1226"/>
      <c r="V117" s="1226"/>
      <c r="W117" s="1226"/>
      <c r="X117" s="1226"/>
      <c r="Y117" s="1226"/>
      <c r="Z117" s="1226"/>
    </row>
    <row r="118" spans="1:26" ht="15.75" customHeight="1">
      <c r="A118" s="1225">
        <v>111</v>
      </c>
      <c r="B118" s="553" t="s">
        <v>1997</v>
      </c>
      <c r="C118" s="591" t="s">
        <v>1998</v>
      </c>
      <c r="D118" s="573" t="s">
        <v>1999</v>
      </c>
      <c r="E118" s="242">
        <v>350</v>
      </c>
      <c r="F118" s="1199">
        <v>25000</v>
      </c>
      <c r="G118" s="1199">
        <f t="shared" si="9"/>
        <v>8750000</v>
      </c>
      <c r="H118" s="2" t="s">
        <v>1573</v>
      </c>
      <c r="I118" s="1228"/>
      <c r="J118" s="1226"/>
      <c r="K118" s="1226"/>
      <c r="L118" s="1226"/>
      <c r="M118" s="1226"/>
      <c r="N118" s="1226"/>
      <c r="O118" s="1226"/>
      <c r="P118" s="1226"/>
      <c r="Q118" s="1226"/>
      <c r="R118" s="1226"/>
      <c r="S118" s="1226"/>
      <c r="T118" s="1226"/>
      <c r="U118" s="1226"/>
      <c r="V118" s="1226"/>
      <c r="W118" s="1226"/>
      <c r="X118" s="1226"/>
      <c r="Y118" s="1226"/>
      <c r="Z118" s="1226"/>
    </row>
    <row r="119" spans="1:26" ht="15.75" customHeight="1">
      <c r="A119" s="1223">
        <v>112</v>
      </c>
      <c r="B119" s="556"/>
      <c r="C119" s="592"/>
      <c r="D119" s="573" t="s">
        <v>2000</v>
      </c>
      <c r="E119" s="242">
        <v>10</v>
      </c>
      <c r="F119" s="1199">
        <v>20000</v>
      </c>
      <c r="G119" s="1199">
        <f t="shared" si="9"/>
        <v>200000</v>
      </c>
      <c r="H119" s="2" t="s">
        <v>1573</v>
      </c>
      <c r="I119" s="1228"/>
      <c r="J119" s="1226"/>
      <c r="K119" s="1226"/>
      <c r="L119" s="1226"/>
      <c r="M119" s="1226"/>
      <c r="N119" s="1226"/>
      <c r="O119" s="1226"/>
      <c r="P119" s="1226"/>
      <c r="Q119" s="1226"/>
      <c r="R119" s="1226"/>
      <c r="S119" s="1226"/>
      <c r="T119" s="1226"/>
      <c r="U119" s="1226"/>
      <c r="V119" s="1226"/>
      <c r="W119" s="1226"/>
      <c r="X119" s="1226"/>
      <c r="Y119" s="1226"/>
      <c r="Z119" s="1226"/>
    </row>
    <row r="120" spans="1:26" ht="15.75" customHeight="1">
      <c r="A120" s="1224">
        <v>113</v>
      </c>
      <c r="B120" s="557"/>
      <c r="C120" s="593"/>
      <c r="D120" s="573" t="s">
        <v>2001</v>
      </c>
      <c r="E120" s="242">
        <v>1</v>
      </c>
      <c r="F120" s="1199">
        <v>500000</v>
      </c>
      <c r="G120" s="1199">
        <f t="shared" si="9"/>
        <v>500000</v>
      </c>
      <c r="H120" s="2" t="s">
        <v>1573</v>
      </c>
      <c r="I120" s="1228"/>
      <c r="J120" s="1226"/>
      <c r="K120" s="1226"/>
      <c r="L120" s="1226"/>
      <c r="M120" s="1226"/>
      <c r="N120" s="1226"/>
      <c r="O120" s="1226"/>
      <c r="P120" s="1226"/>
      <c r="Q120" s="1226"/>
      <c r="R120" s="1226"/>
      <c r="S120" s="1226"/>
      <c r="T120" s="1226"/>
      <c r="U120" s="1226"/>
      <c r="V120" s="1226"/>
      <c r="W120" s="1226"/>
      <c r="X120" s="1226"/>
      <c r="Y120" s="1226"/>
      <c r="Z120" s="1226"/>
    </row>
    <row r="121" spans="1:26" ht="30">
      <c r="A121" s="1225">
        <v>114</v>
      </c>
      <c r="B121" s="594" t="s">
        <v>2002</v>
      </c>
      <c r="C121" s="595" t="s">
        <v>2003</v>
      </c>
      <c r="D121" s="596" t="s">
        <v>2004</v>
      </c>
      <c r="E121" s="597">
        <v>10</v>
      </c>
      <c r="F121" s="1238">
        <v>200000</v>
      </c>
      <c r="G121" s="1238">
        <f t="shared" si="9"/>
        <v>2000000</v>
      </c>
      <c r="H121" s="598"/>
      <c r="I121" s="1226"/>
      <c r="J121" s="1226"/>
      <c r="K121" s="1226"/>
      <c r="L121" s="1226"/>
      <c r="M121" s="1229"/>
      <c r="N121" s="1226"/>
      <c r="O121" s="1226"/>
      <c r="P121" s="1226"/>
      <c r="Q121" s="1226"/>
      <c r="R121" s="1226"/>
      <c r="S121" s="1226"/>
      <c r="T121" s="1226"/>
      <c r="U121" s="1226"/>
      <c r="V121" s="1226"/>
      <c r="W121" s="1226"/>
      <c r="X121" s="1226"/>
      <c r="Y121" s="1226"/>
      <c r="Z121" s="1226"/>
    </row>
    <row r="122" spans="1:26" ht="15.75" customHeight="1">
      <c r="A122" s="1223">
        <v>115</v>
      </c>
      <c r="B122" s="578" t="s">
        <v>81</v>
      </c>
      <c r="C122" s="599" t="s">
        <v>2005</v>
      </c>
      <c r="D122" s="599"/>
      <c r="E122" s="600">
        <v>1</v>
      </c>
      <c r="F122" s="1239">
        <v>8000000</v>
      </c>
      <c r="G122" s="1240"/>
      <c r="H122" s="285" t="s">
        <v>1039</v>
      </c>
      <c r="I122" s="1227"/>
      <c r="J122" s="1227"/>
      <c r="K122" s="1227"/>
      <c r="L122" s="1227"/>
      <c r="M122" s="1227"/>
      <c r="N122" s="1227"/>
      <c r="O122" s="1227"/>
      <c r="P122" s="1227"/>
      <c r="Q122" s="1227"/>
      <c r="R122" s="1227"/>
      <c r="S122" s="1227"/>
      <c r="T122" s="1227"/>
      <c r="U122" s="1227"/>
      <c r="V122" s="1227"/>
      <c r="W122" s="1227"/>
      <c r="X122" s="1227"/>
      <c r="Y122" s="1227"/>
      <c r="Z122" s="1227"/>
    </row>
    <row r="123" spans="1:26" ht="15.75" customHeight="1">
      <c r="A123" s="1224">
        <v>116</v>
      </c>
      <c r="B123" s="578" t="s">
        <v>81</v>
      </c>
      <c r="C123" s="599" t="s">
        <v>2006</v>
      </c>
      <c r="D123" s="599"/>
      <c r="E123" s="600">
        <v>1</v>
      </c>
      <c r="F123" s="1239">
        <v>500000</v>
      </c>
      <c r="G123" s="1240">
        <f>E123*F123</f>
        <v>500000</v>
      </c>
      <c r="H123" s="285" t="s">
        <v>1348</v>
      </c>
      <c r="I123" s="1226"/>
      <c r="J123" s="1226"/>
      <c r="K123" s="1226"/>
      <c r="L123" s="1226"/>
      <c r="M123" s="1226"/>
      <c r="N123" s="1226"/>
      <c r="O123" s="1226"/>
      <c r="P123" s="1226"/>
      <c r="Q123" s="1226"/>
      <c r="R123" s="1226"/>
      <c r="S123" s="1226"/>
      <c r="T123" s="1226"/>
      <c r="U123" s="1226"/>
      <c r="V123" s="1226"/>
      <c r="W123" s="1226"/>
      <c r="X123" s="1226"/>
      <c r="Y123" s="1226"/>
      <c r="Z123" s="1226"/>
    </row>
    <row r="124" spans="1:26" ht="15.75" customHeight="1">
      <c r="A124" s="1225">
        <v>117</v>
      </c>
      <c r="B124" s="578" t="s">
        <v>775</v>
      </c>
      <c r="C124" s="285" t="s">
        <v>2007</v>
      </c>
      <c r="D124" s="601" t="s">
        <v>2008</v>
      </c>
      <c r="E124" s="582">
        <v>1</v>
      </c>
      <c r="F124" s="1241">
        <v>3500000</v>
      </c>
      <c r="G124" s="1241">
        <f t="shared" ref="G124:G130" si="10">F124*E124</f>
        <v>3500000</v>
      </c>
      <c r="H124" s="285"/>
      <c r="I124" s="1226"/>
      <c r="J124" s="1226"/>
      <c r="K124" s="1226"/>
      <c r="L124" s="1226"/>
      <c r="M124" s="1226"/>
      <c r="N124" s="1226"/>
      <c r="O124" s="1226"/>
      <c r="P124" s="1226"/>
      <c r="Q124" s="1226"/>
      <c r="R124" s="1226"/>
      <c r="S124" s="1226"/>
      <c r="T124" s="1226"/>
      <c r="U124" s="1226"/>
      <c r="V124" s="1226"/>
      <c r="W124" s="1226"/>
      <c r="X124" s="1226"/>
      <c r="Y124" s="1226"/>
      <c r="Z124" s="1226"/>
    </row>
    <row r="125" spans="1:26" ht="15.75" customHeight="1">
      <c r="A125" s="1223">
        <v>118</v>
      </c>
      <c r="B125" s="578" t="s">
        <v>775</v>
      </c>
      <c r="C125" s="285" t="s">
        <v>2009</v>
      </c>
      <c r="D125" s="601" t="s">
        <v>2010</v>
      </c>
      <c r="E125" s="582">
        <v>1</v>
      </c>
      <c r="F125" s="1241">
        <v>3500000</v>
      </c>
      <c r="G125" s="1241">
        <f t="shared" si="10"/>
        <v>3500000</v>
      </c>
      <c r="H125" s="285"/>
      <c r="I125" s="1226"/>
      <c r="J125" s="1226"/>
      <c r="K125" s="1226"/>
      <c r="L125" s="1226"/>
      <c r="M125" s="1226"/>
      <c r="N125" s="1226"/>
      <c r="O125" s="1226"/>
      <c r="P125" s="1226"/>
      <c r="Q125" s="1226"/>
      <c r="R125" s="1226"/>
      <c r="S125" s="1226"/>
      <c r="T125" s="1226"/>
      <c r="U125" s="1226"/>
      <c r="V125" s="1226"/>
      <c r="W125" s="1226"/>
      <c r="X125" s="1226"/>
      <c r="Y125" s="1226"/>
      <c r="Z125" s="1226"/>
    </row>
    <row r="126" spans="1:26" ht="15.75" customHeight="1">
      <c r="A126" s="1224">
        <v>119</v>
      </c>
      <c r="B126" s="602" t="s">
        <v>775</v>
      </c>
      <c r="C126" s="603" t="s">
        <v>2011</v>
      </c>
      <c r="D126" s="604" t="s">
        <v>2012</v>
      </c>
      <c r="E126" s="586">
        <v>1</v>
      </c>
      <c r="F126" s="1242">
        <v>3500000</v>
      </c>
      <c r="G126" s="1241">
        <f t="shared" si="10"/>
        <v>3500000</v>
      </c>
      <c r="H126" s="285"/>
      <c r="I126" s="1226"/>
      <c r="J126" s="1226"/>
      <c r="K126" s="1226"/>
      <c r="L126" s="1226"/>
      <c r="M126" s="1226"/>
      <c r="N126" s="1226"/>
      <c r="O126" s="1226"/>
      <c r="P126" s="1226"/>
      <c r="Q126" s="1226"/>
      <c r="R126" s="1226"/>
      <c r="S126" s="1226"/>
      <c r="T126" s="1226"/>
      <c r="U126" s="1226"/>
      <c r="V126" s="1226"/>
      <c r="W126" s="1226"/>
      <c r="X126" s="1226"/>
      <c r="Y126" s="1226"/>
      <c r="Z126" s="1226"/>
    </row>
    <row r="127" spans="1:26" ht="15.75" customHeight="1">
      <c r="A127" s="1225">
        <v>120</v>
      </c>
      <c r="B127" s="584" t="s">
        <v>2013</v>
      </c>
      <c r="C127" s="582" t="s">
        <v>2014</v>
      </c>
      <c r="D127" s="581" t="s">
        <v>1437</v>
      </c>
      <c r="E127" s="582">
        <v>60</v>
      </c>
      <c r="F127" s="1236">
        <v>5000</v>
      </c>
      <c r="G127" s="1236">
        <f t="shared" si="10"/>
        <v>300000</v>
      </c>
      <c r="H127" s="583" t="s">
        <v>1573</v>
      </c>
      <c r="I127" s="1226"/>
      <c r="J127" s="1226"/>
      <c r="K127" s="1226"/>
      <c r="L127" s="1226"/>
      <c r="M127" s="1226"/>
      <c r="N127" s="1226"/>
      <c r="O127" s="1226"/>
      <c r="P127" s="1226"/>
      <c r="Q127" s="1226"/>
      <c r="R127" s="1226"/>
      <c r="S127" s="1226"/>
      <c r="T127" s="1226"/>
      <c r="U127" s="1226"/>
      <c r="V127" s="1226"/>
      <c r="W127" s="1226"/>
      <c r="X127" s="1226"/>
      <c r="Y127" s="1226"/>
      <c r="Z127" s="1226"/>
    </row>
    <row r="128" spans="1:26" ht="15.75" customHeight="1">
      <c r="A128" s="1223">
        <v>121</v>
      </c>
      <c r="B128" s="587"/>
      <c r="C128" s="582"/>
      <c r="D128" s="581" t="s">
        <v>1902</v>
      </c>
      <c r="E128" s="582">
        <v>60</v>
      </c>
      <c r="F128" s="1236">
        <v>15000</v>
      </c>
      <c r="G128" s="1236">
        <f t="shared" si="10"/>
        <v>900000</v>
      </c>
      <c r="H128" s="587"/>
      <c r="I128" s="1226"/>
      <c r="J128" s="1226"/>
      <c r="K128" s="1226"/>
      <c r="L128" s="1226"/>
      <c r="M128" s="1226"/>
      <c r="N128" s="1226"/>
      <c r="O128" s="1226"/>
      <c r="P128" s="1226"/>
      <c r="Q128" s="1226"/>
      <c r="R128" s="1226"/>
      <c r="S128" s="1226"/>
      <c r="T128" s="1226"/>
      <c r="U128" s="1226"/>
      <c r="V128" s="1226"/>
      <c r="W128" s="1226"/>
      <c r="X128" s="1226"/>
      <c r="Y128" s="1226"/>
      <c r="Z128" s="1226"/>
    </row>
    <row r="129" spans="1:26" ht="15.75" customHeight="1">
      <c r="A129" s="1224">
        <v>122</v>
      </c>
      <c r="B129" s="579" t="s">
        <v>2013</v>
      </c>
      <c r="C129" s="285" t="s">
        <v>50</v>
      </c>
      <c r="D129" s="589" t="s">
        <v>2015</v>
      </c>
      <c r="E129" s="285">
        <v>40</v>
      </c>
      <c r="F129" s="1237">
        <v>200000</v>
      </c>
      <c r="G129" s="1237">
        <f t="shared" si="10"/>
        <v>8000000</v>
      </c>
      <c r="H129" s="285" t="s">
        <v>2016</v>
      </c>
      <c r="I129" s="1226"/>
      <c r="J129" s="1226"/>
      <c r="K129" s="1226"/>
      <c r="L129" s="1226"/>
      <c r="M129" s="1226"/>
      <c r="N129" s="1226"/>
      <c r="O129" s="1226"/>
      <c r="P129" s="1226"/>
      <c r="Q129" s="1226"/>
      <c r="R129" s="1226"/>
      <c r="S129" s="1226"/>
      <c r="T129" s="1226"/>
      <c r="U129" s="1226"/>
      <c r="V129" s="1226"/>
      <c r="W129" s="1226"/>
      <c r="X129" s="1226"/>
      <c r="Y129" s="1226"/>
      <c r="Z129" s="1226"/>
    </row>
    <row r="130" spans="1:26" ht="15.75" customHeight="1">
      <c r="A130" s="1225">
        <v>123</v>
      </c>
      <c r="B130" s="579" t="s">
        <v>2013</v>
      </c>
      <c r="C130" s="285" t="s">
        <v>53</v>
      </c>
      <c r="D130" s="285"/>
      <c r="E130" s="582">
        <v>6</v>
      </c>
      <c r="F130" s="1237">
        <v>500000</v>
      </c>
      <c r="G130" s="1237">
        <f t="shared" si="10"/>
        <v>3000000</v>
      </c>
      <c r="H130" s="583" t="s">
        <v>1573</v>
      </c>
      <c r="I130" s="1226"/>
      <c r="J130" s="1226"/>
      <c r="K130" s="1226"/>
      <c r="L130" s="1226"/>
      <c r="M130" s="1226"/>
      <c r="N130" s="1226"/>
      <c r="O130" s="1226"/>
      <c r="P130" s="1226"/>
      <c r="Q130" s="1226"/>
      <c r="R130" s="1226"/>
      <c r="S130" s="1226"/>
      <c r="T130" s="1226"/>
      <c r="U130" s="1226"/>
      <c r="V130" s="1226"/>
      <c r="W130" s="1226"/>
      <c r="X130" s="1226"/>
      <c r="Y130" s="1226"/>
      <c r="Z130" s="1226"/>
    </row>
    <row r="131" spans="1:26" ht="15.75" customHeight="1">
      <c r="A131" s="1223">
        <v>124</v>
      </c>
      <c r="B131" s="579" t="s">
        <v>2013</v>
      </c>
      <c r="C131" s="285" t="s">
        <v>61</v>
      </c>
      <c r="D131" s="285"/>
      <c r="E131" s="582">
        <v>6</v>
      </c>
      <c r="F131" s="1237">
        <v>500000</v>
      </c>
      <c r="G131" s="1237">
        <f>E131*F131</f>
        <v>3000000</v>
      </c>
      <c r="H131" s="587"/>
      <c r="I131" s="1226"/>
      <c r="J131" s="1226"/>
      <c r="K131" s="1226"/>
      <c r="L131" s="1226"/>
      <c r="M131" s="1226"/>
      <c r="N131" s="1226"/>
      <c r="O131" s="1226"/>
      <c r="P131" s="1226"/>
      <c r="Q131" s="1226"/>
      <c r="R131" s="1226"/>
      <c r="S131" s="1226"/>
      <c r="T131" s="1226"/>
      <c r="U131" s="1226"/>
      <c r="V131" s="1226"/>
      <c r="W131" s="1226"/>
      <c r="X131" s="1226"/>
      <c r="Y131" s="1226"/>
      <c r="Z131" s="1226"/>
    </row>
    <row r="132" spans="1:26" ht="15.75" customHeight="1">
      <c r="A132" s="208"/>
      <c r="B132" s="208"/>
      <c r="D132" s="66"/>
      <c r="F132" s="1211"/>
      <c r="G132" s="1211"/>
      <c r="M132" s="347"/>
    </row>
    <row r="133" spans="1:26" ht="15.75" customHeight="1">
      <c r="A133" s="208"/>
      <c r="B133" s="208"/>
      <c r="D133" s="66"/>
      <c r="F133" s="1211"/>
      <c r="G133" s="1211"/>
      <c r="M133" s="347"/>
    </row>
    <row r="134" spans="1:26" ht="15.75" customHeight="1">
      <c r="A134" s="208"/>
      <c r="B134" s="208"/>
      <c r="C134" s="3" t="s">
        <v>7</v>
      </c>
      <c r="D134" s="66"/>
      <c r="F134" s="1211"/>
      <c r="G134" s="1211">
        <f>SUM(G8:G131)</f>
        <v>847575000</v>
      </c>
      <c r="M134" s="347"/>
    </row>
    <row r="135" spans="1:26" ht="15.75" customHeight="1">
      <c r="A135" s="208"/>
      <c r="B135" s="208"/>
      <c r="D135" s="66"/>
      <c r="F135" s="1211"/>
      <c r="G135" s="1211"/>
      <c r="M135" s="347"/>
    </row>
    <row r="136" spans="1:26" ht="15.75" customHeight="1">
      <c r="A136" s="208"/>
      <c r="B136" s="208"/>
      <c r="D136" s="66"/>
      <c r="F136" s="1211"/>
      <c r="G136" s="1211"/>
      <c r="M136" s="347"/>
    </row>
    <row r="137" spans="1:26" ht="15.75" customHeight="1">
      <c r="A137" s="208"/>
      <c r="B137" s="208"/>
      <c r="D137" s="66"/>
      <c r="F137" s="1211"/>
      <c r="G137" s="1211">
        <f>SUM(G8,G10:G14,G45:G55,G104,G108:G110)</f>
        <v>13580000</v>
      </c>
      <c r="H137" s="605">
        <f>G137/3</f>
        <v>4526666.666666667</v>
      </c>
      <c r="M137" s="347"/>
    </row>
    <row r="138" spans="1:26" ht="15.75" customHeight="1">
      <c r="A138" s="208"/>
      <c r="B138" s="208"/>
      <c r="D138" s="66"/>
      <c r="F138" s="1211"/>
      <c r="G138" s="1211">
        <v>2000000</v>
      </c>
      <c r="M138" s="347"/>
    </row>
    <row r="139" spans="1:26" ht="15.75" customHeight="1">
      <c r="A139" s="208"/>
      <c r="B139" s="208"/>
      <c r="D139" s="66"/>
      <c r="F139" s="1211"/>
      <c r="G139" s="1211"/>
      <c r="M139" s="347"/>
    </row>
    <row r="140" spans="1:26" ht="15.75" customHeight="1">
      <c r="A140" s="208"/>
      <c r="B140" s="208"/>
      <c r="D140" s="66"/>
      <c r="F140" s="1211"/>
      <c r="G140" s="1211"/>
      <c r="M140" s="347">
        <v>12538500</v>
      </c>
    </row>
    <row r="141" spans="1:26" ht="15.75" customHeight="1">
      <c r="A141" s="208"/>
      <c r="B141" s="208"/>
      <c r="D141" s="66"/>
      <c r="F141" s="1211"/>
      <c r="G141" s="1211"/>
      <c r="M141" s="347">
        <v>20313350</v>
      </c>
    </row>
    <row r="142" spans="1:26" ht="15.75" customHeight="1">
      <c r="A142" s="208"/>
      <c r="B142" s="208"/>
      <c r="D142" s="66"/>
      <c r="F142" s="1211"/>
      <c r="G142" s="1211"/>
      <c r="M142" s="347">
        <v>95445750</v>
      </c>
    </row>
    <row r="143" spans="1:26" ht="15.75" customHeight="1">
      <c r="A143" s="208"/>
      <c r="B143" s="208"/>
      <c r="D143" s="66"/>
      <c r="F143" s="1211"/>
      <c r="G143" s="1211"/>
      <c r="M143" s="347">
        <v>1400000</v>
      </c>
    </row>
    <row r="144" spans="1:26" ht="15.75" customHeight="1">
      <c r="A144" s="208"/>
      <c r="B144" s="208"/>
      <c r="D144" s="66"/>
      <c r="F144" s="1211"/>
      <c r="G144" s="1211"/>
      <c r="M144" s="347">
        <v>29870000</v>
      </c>
    </row>
    <row r="145" spans="1:13" ht="15.75" customHeight="1">
      <c r="A145" s="208"/>
      <c r="B145" s="208"/>
      <c r="D145" s="66"/>
      <c r="F145" s="1211"/>
      <c r="G145" s="1211"/>
      <c r="M145" s="347">
        <v>300000</v>
      </c>
    </row>
    <row r="146" spans="1:13" ht="15.75" customHeight="1">
      <c r="A146" s="208"/>
      <c r="B146" s="208"/>
      <c r="D146" s="66"/>
      <c r="F146" s="1211"/>
      <c r="G146" s="1211"/>
      <c r="M146" s="347">
        <v>5572500</v>
      </c>
    </row>
    <row r="147" spans="1:13" ht="15.75" customHeight="1">
      <c r="A147" s="208"/>
      <c r="B147" s="208"/>
      <c r="D147" s="66"/>
      <c r="F147" s="1211"/>
      <c r="G147" s="1211"/>
      <c r="M147" s="347">
        <v>2400000</v>
      </c>
    </row>
    <row r="148" spans="1:13" ht="15.75" customHeight="1">
      <c r="A148" s="208"/>
      <c r="B148" s="208"/>
      <c r="D148" s="66"/>
      <c r="F148" s="1211"/>
      <c r="G148" s="1211"/>
      <c r="M148" s="347">
        <v>13580000</v>
      </c>
    </row>
    <row r="149" spans="1:13" ht="15.75" customHeight="1">
      <c r="A149" s="208"/>
      <c r="B149" s="208"/>
      <c r="D149" s="66"/>
      <c r="F149" s="1211"/>
      <c r="G149" s="1211"/>
      <c r="M149" s="347">
        <v>2000000</v>
      </c>
    </row>
    <row r="150" spans="1:13" ht="15.75" customHeight="1">
      <c r="A150" s="208"/>
      <c r="B150" s="208"/>
      <c r="D150" s="66"/>
      <c r="F150" s="1211"/>
      <c r="G150" s="1211"/>
      <c r="M150" s="347">
        <f>SUBTOTAL(9,M140:M149)</f>
        <v>183420100</v>
      </c>
    </row>
    <row r="151" spans="1:13" ht="15.75" customHeight="1">
      <c r="A151" s="208"/>
      <c r="B151" s="208"/>
      <c r="D151" s="66"/>
      <c r="F151" s="1211"/>
      <c r="G151" s="1211"/>
      <c r="M151" s="347"/>
    </row>
    <row r="152" spans="1:13" ht="15.75" customHeight="1">
      <c r="A152" s="208"/>
      <c r="B152" s="208"/>
      <c r="D152" s="66"/>
      <c r="F152" s="1211"/>
      <c r="G152" s="1211"/>
      <c r="M152" s="347"/>
    </row>
    <row r="153" spans="1:13" ht="15.75" customHeight="1">
      <c r="A153" s="208"/>
      <c r="B153" s="208"/>
      <c r="D153" s="66"/>
      <c r="F153" s="1211"/>
      <c r="G153" s="1211"/>
      <c r="M153" s="347"/>
    </row>
    <row r="154" spans="1:13" ht="15.75" customHeight="1">
      <c r="A154" s="208"/>
      <c r="B154" s="208"/>
      <c r="D154" s="66"/>
      <c r="F154" s="1211"/>
      <c r="G154" s="1211"/>
      <c r="M154" s="347"/>
    </row>
    <row r="155" spans="1:13" ht="15.75" customHeight="1">
      <c r="A155" s="208"/>
      <c r="B155" s="208"/>
      <c r="D155" s="66"/>
      <c r="F155" s="1211"/>
      <c r="G155" s="1211"/>
      <c r="M155" s="347"/>
    </row>
    <row r="156" spans="1:13" ht="15.75" customHeight="1">
      <c r="A156" s="208"/>
      <c r="B156" s="208"/>
      <c r="D156" s="66"/>
      <c r="F156" s="1211"/>
      <c r="G156" s="1211"/>
      <c r="M156" s="347"/>
    </row>
    <row r="157" spans="1:13" ht="15.75" customHeight="1">
      <c r="A157" s="208"/>
      <c r="B157" s="208"/>
      <c r="D157" s="66"/>
      <c r="F157" s="1211"/>
      <c r="G157" s="1211"/>
      <c r="M157" s="347"/>
    </row>
    <row r="158" spans="1:13" ht="15.75" customHeight="1">
      <c r="A158" s="208"/>
      <c r="B158" s="208"/>
      <c r="D158" s="66"/>
      <c r="F158" s="1211"/>
      <c r="G158" s="1211"/>
      <c r="M158" s="347"/>
    </row>
    <row r="159" spans="1:13" ht="15.75" customHeight="1">
      <c r="A159" s="208"/>
      <c r="B159" s="208"/>
      <c r="D159" s="66"/>
      <c r="F159" s="1211"/>
      <c r="G159" s="1211"/>
      <c r="M159" s="347"/>
    </row>
    <row r="160" spans="1:13" ht="15.75" customHeight="1">
      <c r="A160" s="208"/>
      <c r="B160" s="208"/>
      <c r="D160" s="66"/>
      <c r="F160" s="1211"/>
      <c r="G160" s="1211"/>
      <c r="M160" s="347"/>
    </row>
    <row r="161" spans="1:13" ht="15.75" customHeight="1">
      <c r="A161" s="208"/>
      <c r="B161" s="208"/>
      <c r="D161" s="66"/>
      <c r="F161" s="1211"/>
      <c r="G161" s="1211"/>
      <c r="M161" s="347"/>
    </row>
    <row r="162" spans="1:13" ht="15.75" customHeight="1">
      <c r="A162" s="208"/>
      <c r="B162" s="208"/>
      <c r="D162" s="66"/>
      <c r="F162" s="1211"/>
      <c r="G162" s="1211"/>
      <c r="M162" s="347"/>
    </row>
    <row r="163" spans="1:13" ht="15.75" customHeight="1">
      <c r="A163" s="208"/>
      <c r="B163" s="208"/>
      <c r="D163" s="66"/>
      <c r="F163" s="1211"/>
      <c r="G163" s="1211"/>
      <c r="M163" s="347"/>
    </row>
    <row r="164" spans="1:13" ht="15.75" customHeight="1">
      <c r="A164" s="208"/>
      <c r="B164" s="208"/>
      <c r="D164" s="66"/>
      <c r="F164" s="1211"/>
      <c r="G164" s="1211"/>
      <c r="M164" s="347"/>
    </row>
    <row r="165" spans="1:13" ht="15.75" customHeight="1">
      <c r="A165" s="208"/>
      <c r="B165" s="208"/>
      <c r="D165" s="66"/>
      <c r="F165" s="1211"/>
      <c r="G165" s="1211"/>
      <c r="M165" s="347"/>
    </row>
    <row r="166" spans="1:13" ht="15.75" customHeight="1">
      <c r="A166" s="208"/>
      <c r="B166" s="208"/>
      <c r="D166" s="66"/>
      <c r="F166" s="1211"/>
      <c r="G166" s="1211"/>
      <c r="M166" s="347"/>
    </row>
    <row r="167" spans="1:13" ht="15.75" customHeight="1">
      <c r="A167" s="208"/>
      <c r="B167" s="208"/>
      <c r="D167" s="66"/>
      <c r="F167" s="1211"/>
      <c r="G167" s="1211"/>
      <c r="M167" s="347"/>
    </row>
    <row r="168" spans="1:13" ht="15.75" customHeight="1">
      <c r="A168" s="208"/>
      <c r="B168" s="208"/>
      <c r="D168" s="66"/>
      <c r="F168" s="1211"/>
      <c r="G168" s="1211"/>
      <c r="M168" s="347"/>
    </row>
    <row r="169" spans="1:13" ht="15.75" customHeight="1">
      <c r="A169" s="208"/>
      <c r="B169" s="208"/>
      <c r="D169" s="66"/>
      <c r="F169" s="1211"/>
      <c r="G169" s="1211"/>
      <c r="M169" s="347"/>
    </row>
    <row r="170" spans="1:13" ht="15.75" customHeight="1">
      <c r="A170" s="208"/>
      <c r="B170" s="208"/>
      <c r="D170" s="66"/>
      <c r="F170" s="1211"/>
      <c r="G170" s="1211"/>
      <c r="M170" s="347"/>
    </row>
    <row r="171" spans="1:13" ht="15.75" customHeight="1">
      <c r="A171" s="208"/>
      <c r="B171" s="208"/>
      <c r="D171" s="66"/>
      <c r="F171" s="1211"/>
      <c r="G171" s="1211"/>
      <c r="M171" s="347"/>
    </row>
    <row r="172" spans="1:13" ht="15.75" customHeight="1">
      <c r="A172" s="208"/>
      <c r="B172" s="208"/>
      <c r="D172" s="66"/>
      <c r="F172" s="1211"/>
      <c r="G172" s="1211"/>
      <c r="M172" s="347"/>
    </row>
    <row r="173" spans="1:13" ht="15.75" customHeight="1">
      <c r="A173" s="208"/>
      <c r="B173" s="208"/>
      <c r="D173" s="66"/>
      <c r="F173" s="1211"/>
      <c r="G173" s="1211"/>
      <c r="M173" s="347"/>
    </row>
    <row r="174" spans="1:13" ht="15.75" customHeight="1">
      <c r="A174" s="208"/>
      <c r="B174" s="208"/>
      <c r="D174" s="66"/>
      <c r="F174" s="1211"/>
      <c r="G174" s="1211"/>
      <c r="M174" s="347"/>
    </row>
    <row r="175" spans="1:13" ht="15.75" customHeight="1">
      <c r="A175" s="208"/>
      <c r="B175" s="208"/>
      <c r="D175" s="66"/>
      <c r="F175" s="1211"/>
      <c r="G175" s="1211"/>
      <c r="M175" s="347"/>
    </row>
    <row r="176" spans="1:13" ht="15.75" customHeight="1">
      <c r="A176" s="208"/>
      <c r="B176" s="208"/>
      <c r="D176" s="66"/>
      <c r="F176" s="1211"/>
      <c r="G176" s="1211"/>
      <c r="M176" s="347"/>
    </row>
    <row r="177" spans="1:13" ht="15.75" customHeight="1">
      <c r="A177" s="208"/>
      <c r="B177" s="208"/>
      <c r="D177" s="66"/>
      <c r="F177" s="1211"/>
      <c r="G177" s="1211"/>
      <c r="M177" s="347"/>
    </row>
    <row r="178" spans="1:13" ht="15.75" customHeight="1">
      <c r="A178" s="208"/>
      <c r="B178" s="208"/>
      <c r="D178" s="66"/>
      <c r="F178" s="1211"/>
      <c r="G178" s="1211"/>
      <c r="M178" s="347"/>
    </row>
    <row r="179" spans="1:13" ht="15.75" customHeight="1">
      <c r="A179" s="208"/>
      <c r="B179" s="208"/>
      <c r="D179" s="66"/>
      <c r="F179" s="1211"/>
      <c r="G179" s="1211"/>
      <c r="M179" s="347"/>
    </row>
    <row r="180" spans="1:13" ht="15.75" customHeight="1">
      <c r="A180" s="208"/>
      <c r="B180" s="208"/>
      <c r="D180" s="66"/>
      <c r="F180" s="1211"/>
      <c r="G180" s="1211"/>
      <c r="M180" s="347"/>
    </row>
    <row r="181" spans="1:13" ht="15.75" customHeight="1">
      <c r="A181" s="208"/>
      <c r="B181" s="208"/>
      <c r="D181" s="66"/>
      <c r="F181" s="1211"/>
      <c r="G181" s="1211"/>
      <c r="M181" s="347"/>
    </row>
    <row r="182" spans="1:13" ht="15.75" customHeight="1">
      <c r="A182" s="208"/>
      <c r="B182" s="208"/>
      <c r="D182" s="66"/>
      <c r="F182" s="1211"/>
      <c r="G182" s="1211"/>
      <c r="M182" s="347"/>
    </row>
    <row r="183" spans="1:13" ht="15.75" customHeight="1">
      <c r="A183" s="208"/>
      <c r="B183" s="208"/>
      <c r="D183" s="66"/>
      <c r="F183" s="1211"/>
      <c r="G183" s="1211"/>
      <c r="M183" s="347"/>
    </row>
    <row r="184" spans="1:13" ht="15.75" customHeight="1">
      <c r="A184" s="208"/>
      <c r="B184" s="208"/>
      <c r="D184" s="66"/>
      <c r="F184" s="1211"/>
      <c r="G184" s="1211"/>
      <c r="M184" s="347"/>
    </row>
    <row r="185" spans="1:13" ht="15.75" customHeight="1">
      <c r="A185" s="208"/>
      <c r="B185" s="208"/>
      <c r="D185" s="66"/>
      <c r="F185" s="1211"/>
      <c r="G185" s="1211"/>
      <c r="M185" s="347"/>
    </row>
    <row r="186" spans="1:13" ht="15.75" customHeight="1">
      <c r="A186" s="208"/>
      <c r="B186" s="208"/>
      <c r="D186" s="66"/>
      <c r="F186" s="1211"/>
      <c r="G186" s="1211"/>
      <c r="M186" s="347"/>
    </row>
    <row r="187" spans="1:13" ht="15.75" customHeight="1">
      <c r="A187" s="208"/>
      <c r="B187" s="208"/>
      <c r="D187" s="66"/>
      <c r="F187" s="1211"/>
      <c r="G187" s="1211"/>
      <c r="M187" s="347"/>
    </row>
    <row r="188" spans="1:13" ht="15.75" customHeight="1">
      <c r="A188" s="208"/>
      <c r="B188" s="208"/>
      <c r="D188" s="66"/>
      <c r="F188" s="1211"/>
      <c r="G188" s="1211"/>
      <c r="M188" s="347"/>
    </row>
    <row r="189" spans="1:13" ht="15.75" customHeight="1">
      <c r="A189" s="208"/>
      <c r="B189" s="208"/>
      <c r="D189" s="66"/>
      <c r="F189" s="1211"/>
      <c r="G189" s="1211"/>
      <c r="M189" s="347"/>
    </row>
    <row r="190" spans="1:13" ht="15.75" customHeight="1">
      <c r="A190" s="208"/>
      <c r="B190" s="208"/>
      <c r="D190" s="66"/>
      <c r="F190" s="1211"/>
      <c r="G190" s="1211"/>
      <c r="M190" s="347"/>
    </row>
    <row r="191" spans="1:13" ht="15.75" customHeight="1">
      <c r="A191" s="208"/>
      <c r="B191" s="208"/>
      <c r="D191" s="66"/>
      <c r="F191" s="1211"/>
      <c r="G191" s="1211"/>
      <c r="M191" s="347"/>
    </row>
    <row r="192" spans="1:13" ht="15.75" customHeight="1">
      <c r="A192" s="208"/>
      <c r="B192" s="208"/>
      <c r="D192" s="66"/>
      <c r="F192" s="1211"/>
      <c r="G192" s="1211"/>
      <c r="M192" s="347"/>
    </row>
    <row r="193" spans="1:13" ht="15.75" customHeight="1">
      <c r="A193" s="208"/>
      <c r="B193" s="208"/>
      <c r="D193" s="66"/>
      <c r="F193" s="1211"/>
      <c r="G193" s="1211"/>
      <c r="M193" s="347"/>
    </row>
    <row r="194" spans="1:13" ht="15.75" customHeight="1">
      <c r="A194" s="208"/>
      <c r="B194" s="208"/>
      <c r="D194" s="66"/>
      <c r="F194" s="1211"/>
      <c r="G194" s="1211"/>
      <c r="M194" s="347"/>
    </row>
    <row r="195" spans="1:13" ht="15.75" customHeight="1">
      <c r="A195" s="208"/>
      <c r="B195" s="208"/>
      <c r="D195" s="66"/>
      <c r="F195" s="1211"/>
      <c r="G195" s="1211"/>
      <c r="M195" s="347"/>
    </row>
    <row r="196" spans="1:13" ht="15.75" customHeight="1">
      <c r="A196" s="208"/>
      <c r="B196" s="208"/>
      <c r="D196" s="66"/>
      <c r="F196" s="1211"/>
      <c r="G196" s="1211"/>
      <c r="M196" s="347"/>
    </row>
    <row r="197" spans="1:13" ht="15.75" customHeight="1">
      <c r="A197" s="208"/>
      <c r="B197" s="208"/>
      <c r="D197" s="66"/>
      <c r="F197" s="1211"/>
      <c r="G197" s="1211"/>
      <c r="M197" s="347"/>
    </row>
    <row r="198" spans="1:13" ht="15.75" customHeight="1">
      <c r="A198" s="208"/>
      <c r="B198" s="208"/>
      <c r="D198" s="66"/>
      <c r="F198" s="1211"/>
      <c r="G198" s="1211"/>
      <c r="M198" s="347"/>
    </row>
    <row r="199" spans="1:13" ht="15.75" customHeight="1">
      <c r="A199" s="208"/>
      <c r="B199" s="208"/>
      <c r="D199" s="66"/>
      <c r="F199" s="1211"/>
      <c r="G199" s="1211"/>
      <c r="M199" s="347"/>
    </row>
    <row r="200" spans="1:13" ht="15.75" customHeight="1">
      <c r="A200" s="208"/>
      <c r="B200" s="208"/>
      <c r="D200" s="66"/>
      <c r="F200" s="1211"/>
      <c r="G200" s="1211"/>
      <c r="M200" s="347"/>
    </row>
    <row r="201" spans="1:13" ht="15.75" customHeight="1">
      <c r="A201" s="208"/>
      <c r="B201" s="208"/>
      <c r="D201" s="66"/>
      <c r="F201" s="1211"/>
      <c r="G201" s="1211"/>
      <c r="M201" s="347"/>
    </row>
    <row r="202" spans="1:13" ht="15.75" customHeight="1">
      <c r="A202" s="208"/>
      <c r="B202" s="208"/>
      <c r="D202" s="66"/>
      <c r="F202" s="1211"/>
      <c r="G202" s="1211"/>
      <c r="M202" s="347"/>
    </row>
    <row r="203" spans="1:13" ht="15.75" customHeight="1">
      <c r="A203" s="208"/>
      <c r="B203" s="208"/>
      <c r="D203" s="66"/>
      <c r="F203" s="1211"/>
      <c r="G203" s="1211"/>
      <c r="M203" s="347"/>
    </row>
    <row r="204" spans="1:13" ht="15.75" customHeight="1">
      <c r="A204" s="208"/>
      <c r="B204" s="208"/>
      <c r="D204" s="66"/>
      <c r="F204" s="1211"/>
      <c r="G204" s="1211"/>
      <c r="M204" s="347"/>
    </row>
    <row r="205" spans="1:13" ht="15.75" customHeight="1">
      <c r="A205" s="208"/>
      <c r="B205" s="208"/>
      <c r="D205" s="66"/>
      <c r="F205" s="1211"/>
      <c r="G205" s="1211"/>
      <c r="M205" s="347"/>
    </row>
    <row r="206" spans="1:13" ht="15.75" customHeight="1">
      <c r="A206" s="208"/>
      <c r="B206" s="208"/>
      <c r="D206" s="66"/>
      <c r="F206" s="1211"/>
      <c r="G206" s="1211"/>
      <c r="M206" s="347"/>
    </row>
    <row r="207" spans="1:13" ht="15.75" customHeight="1">
      <c r="A207" s="208"/>
      <c r="B207" s="208"/>
      <c r="D207" s="66"/>
      <c r="F207" s="1211"/>
      <c r="G207" s="1211"/>
      <c r="M207" s="347"/>
    </row>
    <row r="208" spans="1:13" ht="15.75" customHeight="1">
      <c r="A208" s="208"/>
      <c r="B208" s="208"/>
      <c r="D208" s="66"/>
      <c r="F208" s="1211"/>
      <c r="G208" s="1211"/>
      <c r="M208" s="347"/>
    </row>
    <row r="209" spans="1:13" ht="15.75" customHeight="1">
      <c r="A209" s="208"/>
      <c r="B209" s="208"/>
      <c r="D209" s="66"/>
      <c r="F209" s="1211"/>
      <c r="G209" s="1211"/>
      <c r="M209" s="347"/>
    </row>
    <row r="210" spans="1:13" ht="15.75" customHeight="1">
      <c r="A210" s="208"/>
      <c r="B210" s="208"/>
      <c r="D210" s="66"/>
      <c r="F210" s="1211"/>
      <c r="G210" s="1211"/>
      <c r="M210" s="347"/>
    </row>
    <row r="211" spans="1:13" ht="15.75" customHeight="1">
      <c r="A211" s="208"/>
      <c r="B211" s="208"/>
      <c r="D211" s="66"/>
      <c r="F211" s="1211"/>
      <c r="G211" s="1211"/>
      <c r="M211" s="347"/>
    </row>
    <row r="212" spans="1:13" ht="15.75" customHeight="1">
      <c r="A212" s="208"/>
      <c r="B212" s="208"/>
      <c r="D212" s="66"/>
      <c r="F212" s="1211"/>
      <c r="G212" s="1211"/>
      <c r="M212" s="347"/>
    </row>
    <row r="213" spans="1:13" ht="15.75" customHeight="1">
      <c r="A213" s="208"/>
      <c r="B213" s="208"/>
      <c r="D213" s="66"/>
      <c r="F213" s="1211"/>
      <c r="G213" s="1211"/>
      <c r="M213" s="347"/>
    </row>
    <row r="214" spans="1:13" ht="15.75" customHeight="1">
      <c r="A214" s="208"/>
      <c r="B214" s="208"/>
      <c r="D214" s="66"/>
      <c r="F214" s="1211"/>
      <c r="G214" s="1211"/>
      <c r="M214" s="347"/>
    </row>
    <row r="215" spans="1:13" ht="15.75" customHeight="1">
      <c r="A215" s="208"/>
      <c r="B215" s="208"/>
      <c r="D215" s="66"/>
      <c r="F215" s="1211"/>
      <c r="G215" s="1211"/>
      <c r="M215" s="347"/>
    </row>
    <row r="216" spans="1:13" ht="15.75" customHeight="1">
      <c r="A216" s="208"/>
      <c r="B216" s="208"/>
      <c r="D216" s="66"/>
      <c r="F216" s="1211"/>
      <c r="G216" s="1211"/>
      <c r="M216" s="347"/>
    </row>
    <row r="217" spans="1:13" ht="15.75" customHeight="1">
      <c r="A217" s="208"/>
      <c r="B217" s="208"/>
      <c r="D217" s="66"/>
      <c r="F217" s="1211"/>
      <c r="G217" s="1211"/>
      <c r="M217" s="347"/>
    </row>
    <row r="218" spans="1:13" ht="15.75" customHeight="1">
      <c r="A218" s="208"/>
      <c r="B218" s="208"/>
      <c r="D218" s="66"/>
      <c r="F218" s="1211"/>
      <c r="G218" s="1211"/>
      <c r="M218" s="347"/>
    </row>
    <row r="219" spans="1:13" ht="15.75" customHeight="1">
      <c r="A219" s="208"/>
      <c r="B219" s="208"/>
      <c r="D219" s="66"/>
      <c r="F219" s="1211"/>
      <c r="G219" s="1211"/>
      <c r="M219" s="347"/>
    </row>
    <row r="220" spans="1:13" ht="15.75" customHeight="1">
      <c r="A220" s="208"/>
      <c r="B220" s="208"/>
      <c r="D220" s="66"/>
      <c r="F220" s="1211"/>
      <c r="G220" s="1211"/>
      <c r="M220" s="347"/>
    </row>
    <row r="221" spans="1:13" ht="15.75" customHeight="1">
      <c r="A221" s="208"/>
      <c r="B221" s="208"/>
      <c r="D221" s="66"/>
      <c r="F221" s="1211"/>
      <c r="G221" s="1211"/>
      <c r="M221" s="347"/>
    </row>
    <row r="222" spans="1:13" ht="15.75" customHeight="1">
      <c r="A222" s="208"/>
      <c r="B222" s="208"/>
      <c r="D222" s="66"/>
      <c r="F222" s="1211"/>
      <c r="G222" s="1211"/>
      <c r="M222" s="347"/>
    </row>
    <row r="223" spans="1:13" ht="15.75" customHeight="1">
      <c r="A223" s="208"/>
      <c r="B223" s="208"/>
      <c r="D223" s="66"/>
      <c r="F223" s="1211"/>
      <c r="G223" s="1211"/>
      <c r="M223" s="347"/>
    </row>
    <row r="224" spans="1:13" ht="15.75" customHeight="1">
      <c r="A224" s="208"/>
      <c r="B224" s="208"/>
      <c r="D224" s="66"/>
      <c r="F224" s="1211"/>
      <c r="G224" s="1211"/>
      <c r="M224" s="347"/>
    </row>
    <row r="225" spans="1:13" ht="15.75" customHeight="1">
      <c r="A225" s="208"/>
      <c r="B225" s="208"/>
      <c r="D225" s="66"/>
      <c r="F225" s="1211"/>
      <c r="G225" s="1211"/>
      <c r="M225" s="347"/>
    </row>
    <row r="226" spans="1:13" ht="15.75" customHeight="1">
      <c r="A226" s="208"/>
      <c r="B226" s="208"/>
      <c r="D226" s="66"/>
      <c r="F226" s="1211"/>
      <c r="G226" s="1211"/>
      <c r="M226" s="347"/>
    </row>
    <row r="227" spans="1:13" ht="15.75" customHeight="1">
      <c r="A227" s="208"/>
      <c r="B227" s="208"/>
      <c r="D227" s="66"/>
      <c r="F227" s="1211"/>
      <c r="G227" s="1211"/>
      <c r="M227" s="347"/>
    </row>
    <row r="228" spans="1:13" ht="15.75" customHeight="1">
      <c r="A228" s="208"/>
      <c r="B228" s="208"/>
      <c r="D228" s="66"/>
      <c r="F228" s="1211"/>
      <c r="G228" s="1211"/>
      <c r="M228" s="347"/>
    </row>
    <row r="229" spans="1:13" ht="15.75" customHeight="1">
      <c r="A229" s="208"/>
      <c r="B229" s="208"/>
      <c r="D229" s="66"/>
      <c r="F229" s="1211"/>
      <c r="G229" s="1211"/>
      <c r="M229" s="347"/>
    </row>
    <row r="230" spans="1:13" ht="15.75" customHeight="1">
      <c r="A230" s="208"/>
      <c r="B230" s="208"/>
      <c r="D230" s="66"/>
      <c r="F230" s="1211"/>
      <c r="G230" s="1211"/>
      <c r="M230" s="347"/>
    </row>
    <row r="231" spans="1:13" ht="15.75" customHeight="1">
      <c r="A231" s="208"/>
      <c r="B231" s="208"/>
      <c r="D231" s="66"/>
      <c r="F231" s="1211"/>
      <c r="G231" s="1211"/>
      <c r="M231" s="347"/>
    </row>
    <row r="232" spans="1:13" ht="15.75" customHeight="1">
      <c r="A232" s="208"/>
      <c r="B232" s="208"/>
      <c r="D232" s="66"/>
      <c r="F232" s="1211"/>
      <c r="G232" s="1211"/>
      <c r="M232" s="347"/>
    </row>
    <row r="233" spans="1:13" ht="15.75" customHeight="1">
      <c r="A233" s="208"/>
      <c r="B233" s="208"/>
      <c r="D233" s="66"/>
      <c r="F233" s="1211"/>
      <c r="G233" s="1211"/>
      <c r="M233" s="347"/>
    </row>
    <row r="234" spans="1:13" ht="15.75" customHeight="1">
      <c r="A234" s="208"/>
      <c r="B234" s="208"/>
      <c r="D234" s="66"/>
      <c r="F234" s="1211"/>
      <c r="G234" s="1211"/>
      <c r="M234" s="347"/>
    </row>
    <row r="235" spans="1:13" ht="15.75" customHeight="1">
      <c r="A235" s="208"/>
      <c r="B235" s="208"/>
      <c r="D235" s="66"/>
      <c r="F235" s="1211"/>
      <c r="G235" s="1211"/>
      <c r="M235" s="347"/>
    </row>
    <row r="236" spans="1:13" ht="15.75" customHeight="1">
      <c r="A236" s="208"/>
      <c r="B236" s="208"/>
      <c r="D236" s="66"/>
      <c r="F236" s="1211"/>
      <c r="G236" s="1211"/>
      <c r="M236" s="347"/>
    </row>
    <row r="237" spans="1:13" ht="15.75" customHeight="1">
      <c r="A237" s="208"/>
      <c r="B237" s="208"/>
      <c r="D237" s="66"/>
      <c r="F237" s="1211"/>
      <c r="G237" s="1211"/>
      <c r="M237" s="347"/>
    </row>
    <row r="238" spans="1:13" ht="15.75" customHeight="1">
      <c r="A238" s="208"/>
      <c r="B238" s="208"/>
      <c r="D238" s="66"/>
      <c r="F238" s="1211"/>
      <c r="G238" s="1211"/>
      <c r="M238" s="347"/>
    </row>
    <row r="239" spans="1:13" ht="15.75" customHeight="1">
      <c r="A239" s="208"/>
      <c r="B239" s="208"/>
      <c r="D239" s="66"/>
      <c r="F239" s="1211"/>
      <c r="G239" s="1211"/>
      <c r="M239" s="347"/>
    </row>
    <row r="240" spans="1:13" ht="15.75" customHeight="1">
      <c r="A240" s="208"/>
      <c r="B240" s="208"/>
      <c r="D240" s="66"/>
      <c r="F240" s="1211"/>
      <c r="G240" s="1211"/>
      <c r="M240" s="347"/>
    </row>
    <row r="241" spans="1:13" ht="15.75" customHeight="1">
      <c r="A241" s="208"/>
      <c r="B241" s="208"/>
      <c r="D241" s="66"/>
      <c r="F241" s="1211"/>
      <c r="G241" s="1211"/>
      <c r="M241" s="347"/>
    </row>
    <row r="242" spans="1:13" ht="15.75" customHeight="1">
      <c r="A242" s="208"/>
      <c r="B242" s="208"/>
      <c r="D242" s="66"/>
      <c r="F242" s="1211"/>
      <c r="G242" s="1211"/>
      <c r="M242" s="347"/>
    </row>
    <row r="243" spans="1:13" ht="15.75" customHeight="1">
      <c r="A243" s="208"/>
      <c r="B243" s="208"/>
      <c r="D243" s="66"/>
      <c r="F243" s="1211"/>
      <c r="G243" s="1211"/>
      <c r="M243" s="347"/>
    </row>
    <row r="244" spans="1:13" ht="15.75" customHeight="1">
      <c r="A244" s="208"/>
      <c r="B244" s="208"/>
      <c r="D244" s="66"/>
      <c r="F244" s="1211"/>
      <c r="G244" s="1211"/>
      <c r="M244" s="347"/>
    </row>
    <row r="245" spans="1:13" ht="15.75" customHeight="1">
      <c r="A245" s="208"/>
      <c r="B245" s="208"/>
      <c r="D245" s="66"/>
      <c r="F245" s="1211"/>
      <c r="G245" s="1211"/>
      <c r="M245" s="347"/>
    </row>
    <row r="246" spans="1:13" ht="15.75" customHeight="1">
      <c r="A246" s="208"/>
      <c r="B246" s="208"/>
      <c r="D246" s="66"/>
      <c r="F246" s="1211"/>
      <c r="G246" s="1211"/>
      <c r="M246" s="347"/>
    </row>
    <row r="247" spans="1:13" ht="15.75" customHeight="1">
      <c r="A247" s="208"/>
      <c r="B247" s="208"/>
      <c r="D247" s="66"/>
      <c r="F247" s="1211"/>
      <c r="G247" s="1211"/>
      <c r="M247" s="347"/>
    </row>
    <row r="248" spans="1:13" ht="15.75" customHeight="1">
      <c r="A248" s="208"/>
      <c r="B248" s="208"/>
      <c r="D248" s="66"/>
      <c r="F248" s="1211"/>
      <c r="G248" s="1211"/>
      <c r="M248" s="347"/>
    </row>
    <row r="249" spans="1:13" ht="15.75" customHeight="1">
      <c r="A249" s="208"/>
      <c r="B249" s="208"/>
      <c r="D249" s="66"/>
      <c r="F249" s="1211"/>
      <c r="G249" s="1211"/>
      <c r="M249" s="347"/>
    </row>
    <row r="250" spans="1:13" ht="15.75" customHeight="1">
      <c r="A250" s="208"/>
      <c r="B250" s="208"/>
      <c r="D250" s="66"/>
      <c r="F250" s="1211"/>
      <c r="G250" s="1211"/>
      <c r="M250" s="347"/>
    </row>
    <row r="251" spans="1:13" ht="15.75" customHeight="1">
      <c r="A251" s="208"/>
      <c r="B251" s="208"/>
      <c r="D251" s="66"/>
      <c r="F251" s="1211"/>
      <c r="G251" s="1211"/>
      <c r="M251" s="347"/>
    </row>
    <row r="252" spans="1:13" ht="15.75" customHeight="1">
      <c r="A252" s="208"/>
      <c r="B252" s="208"/>
      <c r="D252" s="66"/>
      <c r="F252" s="1211"/>
      <c r="G252" s="1211"/>
      <c r="M252" s="347"/>
    </row>
    <row r="253" spans="1:13" ht="15.75" customHeight="1">
      <c r="A253" s="208"/>
      <c r="B253" s="208"/>
      <c r="D253" s="66"/>
      <c r="F253" s="1211"/>
      <c r="G253" s="1211"/>
      <c r="M253" s="347"/>
    </row>
    <row r="254" spans="1:13" ht="15.75" customHeight="1">
      <c r="A254" s="208"/>
      <c r="B254" s="208"/>
      <c r="D254" s="66"/>
      <c r="F254" s="1211"/>
      <c r="G254" s="1211"/>
      <c r="M254" s="347"/>
    </row>
    <row r="255" spans="1:13" ht="15.75" customHeight="1">
      <c r="A255" s="208"/>
      <c r="B255" s="208"/>
      <c r="D255" s="66"/>
      <c r="F255" s="1211"/>
      <c r="G255" s="1211"/>
      <c r="M255" s="347"/>
    </row>
    <row r="256" spans="1:13" ht="15.75" customHeight="1">
      <c r="A256" s="208"/>
      <c r="B256" s="208"/>
      <c r="D256" s="66"/>
      <c r="F256" s="1211"/>
      <c r="G256" s="1211"/>
      <c r="M256" s="347"/>
    </row>
    <row r="257" spans="1:13" ht="15.75" customHeight="1">
      <c r="A257" s="208"/>
      <c r="B257" s="208"/>
      <c r="D257" s="66"/>
      <c r="F257" s="1211"/>
      <c r="G257" s="1211"/>
      <c r="M257" s="347"/>
    </row>
    <row r="258" spans="1:13" ht="15.75" customHeight="1">
      <c r="A258" s="208"/>
      <c r="B258" s="208"/>
      <c r="D258" s="66"/>
      <c r="F258" s="1211"/>
      <c r="G258" s="1211"/>
      <c r="M258" s="347"/>
    </row>
    <row r="259" spans="1:13" ht="15.75" customHeight="1">
      <c r="A259" s="208"/>
      <c r="B259" s="208"/>
      <c r="D259" s="66"/>
      <c r="F259" s="1211"/>
      <c r="G259" s="1211"/>
      <c r="M259" s="347"/>
    </row>
    <row r="260" spans="1:13" ht="15.75" customHeight="1">
      <c r="A260" s="208"/>
      <c r="B260" s="208"/>
      <c r="D260" s="66"/>
      <c r="F260" s="1211"/>
      <c r="G260" s="1211"/>
      <c r="M260" s="347"/>
    </row>
    <row r="261" spans="1:13" ht="15.75" customHeight="1">
      <c r="A261" s="208"/>
      <c r="B261" s="208"/>
      <c r="D261" s="66"/>
      <c r="F261" s="1211"/>
      <c r="G261" s="1211"/>
      <c r="M261" s="347"/>
    </row>
    <row r="262" spans="1:13" ht="15.75" customHeight="1">
      <c r="A262" s="208"/>
      <c r="B262" s="208"/>
      <c r="D262" s="66"/>
      <c r="F262" s="1211"/>
      <c r="G262" s="1211"/>
      <c r="M262" s="347"/>
    </row>
    <row r="263" spans="1:13" ht="15.75" customHeight="1">
      <c r="A263" s="208"/>
      <c r="B263" s="208"/>
      <c r="D263" s="66"/>
      <c r="F263" s="1211"/>
      <c r="G263" s="1211"/>
      <c r="M263" s="347"/>
    </row>
    <row r="264" spans="1:13" ht="15.75" customHeight="1">
      <c r="A264" s="208"/>
      <c r="B264" s="208"/>
      <c r="D264" s="66"/>
      <c r="F264" s="1211"/>
      <c r="G264" s="1211"/>
      <c r="M264" s="347"/>
    </row>
    <row r="265" spans="1:13" ht="15.75" customHeight="1">
      <c r="A265" s="208"/>
      <c r="B265" s="208"/>
      <c r="D265" s="66"/>
      <c r="F265" s="1211"/>
      <c r="G265" s="1211"/>
      <c r="M265" s="347"/>
    </row>
    <row r="266" spans="1:13" ht="15.75" customHeight="1">
      <c r="A266" s="208"/>
      <c r="B266" s="208"/>
      <c r="D266" s="66"/>
      <c r="F266" s="1211"/>
      <c r="G266" s="1211"/>
      <c r="M266" s="347"/>
    </row>
    <row r="267" spans="1:13" ht="15.75" customHeight="1">
      <c r="A267" s="208"/>
      <c r="B267" s="208"/>
      <c r="D267" s="66"/>
      <c r="F267" s="1211"/>
      <c r="G267" s="1211"/>
      <c r="M267" s="347"/>
    </row>
    <row r="268" spans="1:13" ht="15.75" customHeight="1">
      <c r="A268" s="208"/>
      <c r="B268" s="208"/>
      <c r="D268" s="66"/>
      <c r="F268" s="1211"/>
      <c r="G268" s="1211"/>
      <c r="M268" s="347"/>
    </row>
    <row r="269" spans="1:13" ht="15.75" customHeight="1">
      <c r="A269" s="208"/>
      <c r="B269" s="208"/>
      <c r="D269" s="66"/>
      <c r="F269" s="1211"/>
      <c r="G269" s="1211"/>
      <c r="M269" s="347"/>
    </row>
    <row r="270" spans="1:13" ht="15.75" customHeight="1">
      <c r="A270" s="208"/>
      <c r="B270" s="208"/>
      <c r="D270" s="66"/>
      <c r="F270" s="1211"/>
      <c r="G270" s="1211"/>
      <c r="M270" s="347"/>
    </row>
    <row r="271" spans="1:13" ht="15.75" customHeight="1">
      <c r="A271" s="208"/>
      <c r="B271" s="208"/>
      <c r="D271" s="66"/>
      <c r="F271" s="1211"/>
      <c r="G271" s="1211"/>
      <c r="M271" s="347"/>
    </row>
    <row r="272" spans="1:13" ht="15.75" customHeight="1">
      <c r="A272" s="208"/>
      <c r="B272" s="208"/>
      <c r="D272" s="66"/>
      <c r="F272" s="1211"/>
      <c r="G272" s="1211"/>
      <c r="M272" s="347"/>
    </row>
    <row r="273" spans="1:13" ht="15.75" customHeight="1">
      <c r="A273" s="208"/>
      <c r="B273" s="208"/>
      <c r="D273" s="66"/>
      <c r="F273" s="1211"/>
      <c r="G273" s="1211"/>
      <c r="M273" s="347"/>
    </row>
    <row r="274" spans="1:13" ht="15.75" customHeight="1">
      <c r="A274" s="208"/>
      <c r="B274" s="208"/>
      <c r="D274" s="66"/>
      <c r="F274" s="1211"/>
      <c r="G274" s="1211"/>
      <c r="M274" s="347"/>
    </row>
    <row r="275" spans="1:13" ht="15.75" customHeight="1">
      <c r="A275" s="208"/>
      <c r="B275" s="208"/>
      <c r="D275" s="66"/>
      <c r="F275" s="1211"/>
      <c r="G275" s="1211"/>
      <c r="M275" s="347"/>
    </row>
    <row r="276" spans="1:13" ht="15.75" customHeight="1">
      <c r="A276" s="208"/>
      <c r="B276" s="208"/>
      <c r="D276" s="66"/>
      <c r="F276" s="1211"/>
      <c r="G276" s="1211"/>
      <c r="M276" s="347"/>
    </row>
    <row r="277" spans="1:13" ht="15.75" customHeight="1">
      <c r="A277" s="208"/>
      <c r="B277" s="208"/>
      <c r="D277" s="66"/>
      <c r="F277" s="1211"/>
      <c r="G277" s="1211"/>
      <c r="M277" s="347"/>
    </row>
    <row r="278" spans="1:13" ht="15.75" customHeight="1">
      <c r="A278" s="208"/>
      <c r="B278" s="208"/>
      <c r="D278" s="66"/>
      <c r="F278" s="1211"/>
      <c r="G278" s="1211"/>
      <c r="M278" s="347"/>
    </row>
    <row r="279" spans="1:13" ht="15.75" customHeight="1">
      <c r="A279" s="208"/>
      <c r="B279" s="208"/>
      <c r="D279" s="66"/>
      <c r="F279" s="1211"/>
      <c r="G279" s="1211"/>
      <c r="M279" s="347"/>
    </row>
    <row r="280" spans="1:13" ht="15.75" customHeight="1">
      <c r="A280" s="208"/>
      <c r="B280" s="208"/>
      <c r="D280" s="66"/>
      <c r="F280" s="1211"/>
      <c r="G280" s="1211"/>
      <c r="M280" s="347"/>
    </row>
    <row r="281" spans="1:13" ht="15.75" customHeight="1">
      <c r="A281" s="208"/>
      <c r="B281" s="208"/>
      <c r="D281" s="66"/>
      <c r="F281" s="1211"/>
      <c r="G281" s="1211"/>
      <c r="M281" s="347"/>
    </row>
    <row r="282" spans="1:13" ht="15.75" customHeight="1">
      <c r="A282" s="208"/>
      <c r="B282" s="208"/>
      <c r="D282" s="66"/>
      <c r="F282" s="1211"/>
      <c r="G282" s="1211"/>
      <c r="M282" s="347"/>
    </row>
    <row r="283" spans="1:13" ht="15.75" customHeight="1">
      <c r="A283" s="208"/>
      <c r="B283" s="208"/>
      <c r="D283" s="66"/>
      <c r="F283" s="1211"/>
      <c r="G283" s="1211"/>
      <c r="M283" s="347"/>
    </row>
    <row r="284" spans="1:13" ht="15.75" customHeight="1">
      <c r="A284" s="208"/>
      <c r="B284" s="208"/>
      <c r="D284" s="66"/>
      <c r="F284" s="1211"/>
      <c r="G284" s="1211"/>
      <c r="M284" s="347"/>
    </row>
    <row r="285" spans="1:13" ht="15.75" customHeight="1">
      <c r="A285" s="208"/>
      <c r="B285" s="208"/>
      <c r="D285" s="66"/>
      <c r="F285" s="1211"/>
      <c r="G285" s="1211"/>
      <c r="M285" s="347"/>
    </row>
    <row r="286" spans="1:13" ht="15.75" customHeight="1">
      <c r="A286" s="208"/>
      <c r="B286" s="208"/>
      <c r="D286" s="66"/>
      <c r="F286" s="1211"/>
      <c r="G286" s="1211"/>
      <c r="M286" s="347"/>
    </row>
    <row r="287" spans="1:13" ht="15.75" customHeight="1">
      <c r="A287" s="208"/>
      <c r="B287" s="208"/>
      <c r="D287" s="66"/>
      <c r="F287" s="1211"/>
      <c r="G287" s="1211"/>
      <c r="M287" s="347"/>
    </row>
    <row r="288" spans="1:13" ht="15.75" customHeight="1">
      <c r="A288" s="208"/>
      <c r="B288" s="208"/>
      <c r="D288" s="66"/>
      <c r="F288" s="1211"/>
      <c r="G288" s="1211"/>
      <c r="M288" s="347"/>
    </row>
    <row r="289" spans="1:13" ht="15.75" customHeight="1">
      <c r="A289" s="208"/>
      <c r="B289" s="208"/>
      <c r="D289" s="66"/>
      <c r="F289" s="1211"/>
      <c r="G289" s="1211"/>
      <c r="M289" s="347"/>
    </row>
    <row r="290" spans="1:13" ht="15.75" customHeight="1">
      <c r="A290" s="208"/>
      <c r="B290" s="208"/>
      <c r="D290" s="66"/>
      <c r="F290" s="1211"/>
      <c r="G290" s="1211"/>
      <c r="M290" s="347"/>
    </row>
    <row r="291" spans="1:13" ht="15.75" customHeight="1">
      <c r="A291" s="208"/>
      <c r="B291" s="208"/>
      <c r="D291" s="66"/>
      <c r="F291" s="1211"/>
      <c r="G291" s="1211"/>
      <c r="M291" s="347"/>
    </row>
    <row r="292" spans="1:13" ht="15.75" customHeight="1">
      <c r="A292" s="208"/>
      <c r="B292" s="208"/>
      <c r="D292" s="66"/>
      <c r="F292" s="1211"/>
      <c r="G292" s="1211"/>
      <c r="M292" s="347"/>
    </row>
    <row r="293" spans="1:13" ht="15.75" customHeight="1">
      <c r="A293" s="208"/>
      <c r="B293" s="208"/>
      <c r="D293" s="66"/>
      <c r="F293" s="1211"/>
      <c r="G293" s="1211"/>
      <c r="M293" s="347"/>
    </row>
    <row r="294" spans="1:13" ht="15.75" customHeight="1">
      <c r="A294" s="208"/>
      <c r="B294" s="208"/>
      <c r="D294" s="66"/>
      <c r="F294" s="1211"/>
      <c r="G294" s="1211"/>
      <c r="M294" s="347"/>
    </row>
    <row r="295" spans="1:13" ht="15.75" customHeight="1">
      <c r="A295" s="208"/>
      <c r="B295" s="208"/>
      <c r="D295" s="66"/>
      <c r="F295" s="1211"/>
      <c r="G295" s="1211"/>
      <c r="M295" s="347"/>
    </row>
    <row r="296" spans="1:13" ht="15.75" customHeight="1">
      <c r="A296" s="208"/>
      <c r="B296" s="208"/>
      <c r="D296" s="66"/>
      <c r="F296" s="1211"/>
      <c r="G296" s="1211"/>
      <c r="M296" s="347"/>
    </row>
    <row r="297" spans="1:13" ht="15.75" customHeight="1">
      <c r="A297" s="208"/>
      <c r="B297" s="208"/>
      <c r="D297" s="66"/>
      <c r="F297" s="1211"/>
      <c r="G297" s="1211"/>
      <c r="M297" s="347"/>
    </row>
    <row r="298" spans="1:13" ht="15.75" customHeight="1">
      <c r="A298" s="208"/>
      <c r="B298" s="208"/>
      <c r="D298" s="66"/>
      <c r="F298" s="1211"/>
      <c r="G298" s="1211"/>
      <c r="M298" s="347"/>
    </row>
    <row r="299" spans="1:13" ht="15.75" customHeight="1">
      <c r="A299" s="208"/>
      <c r="B299" s="208"/>
      <c r="D299" s="66"/>
      <c r="F299" s="1211"/>
      <c r="G299" s="1211"/>
      <c r="M299" s="347"/>
    </row>
    <row r="300" spans="1:13" ht="15.75" customHeight="1">
      <c r="A300" s="208"/>
      <c r="B300" s="208"/>
      <c r="D300" s="66"/>
      <c r="F300" s="1211"/>
      <c r="G300" s="1211"/>
      <c r="M300" s="347"/>
    </row>
    <row r="301" spans="1:13" ht="15.75" customHeight="1">
      <c r="A301" s="208"/>
      <c r="B301" s="208"/>
      <c r="D301" s="66"/>
      <c r="F301" s="1211"/>
      <c r="G301" s="1211"/>
      <c r="M301" s="347"/>
    </row>
    <row r="302" spans="1:13" ht="15.75" customHeight="1">
      <c r="A302" s="208"/>
      <c r="B302" s="208"/>
      <c r="D302" s="66"/>
      <c r="F302" s="1211"/>
      <c r="G302" s="1211"/>
      <c r="M302" s="347"/>
    </row>
    <row r="303" spans="1:13" ht="15.75" customHeight="1">
      <c r="A303" s="208"/>
      <c r="B303" s="208"/>
      <c r="D303" s="66"/>
      <c r="F303" s="1211"/>
      <c r="G303" s="1211"/>
      <c r="M303" s="347"/>
    </row>
    <row r="304" spans="1:13" ht="15.75" customHeight="1">
      <c r="A304" s="208"/>
      <c r="B304" s="208"/>
      <c r="D304" s="66"/>
      <c r="F304" s="1211"/>
      <c r="G304" s="1211"/>
      <c r="M304" s="347"/>
    </row>
    <row r="305" spans="1:13" ht="15.75" customHeight="1">
      <c r="A305" s="208"/>
      <c r="B305" s="208"/>
      <c r="D305" s="66"/>
      <c r="F305" s="1211"/>
      <c r="G305" s="1211"/>
      <c r="M305" s="347"/>
    </row>
    <row r="306" spans="1:13" ht="15.75" customHeight="1">
      <c r="A306" s="208"/>
      <c r="B306" s="208"/>
      <c r="D306" s="66"/>
      <c r="F306" s="1211"/>
      <c r="G306" s="1211"/>
      <c r="M306" s="347"/>
    </row>
    <row r="307" spans="1:13" ht="15.75" customHeight="1">
      <c r="A307" s="208"/>
      <c r="B307" s="208"/>
      <c r="D307" s="66"/>
      <c r="F307" s="1211"/>
      <c r="G307" s="1211"/>
      <c r="M307" s="347"/>
    </row>
    <row r="308" spans="1:13" ht="15.75" customHeight="1">
      <c r="A308" s="208"/>
      <c r="B308" s="208"/>
      <c r="D308" s="66"/>
      <c r="F308" s="1211"/>
      <c r="G308" s="1211"/>
      <c r="M308" s="347"/>
    </row>
    <row r="309" spans="1:13" ht="15.75" customHeight="1">
      <c r="A309" s="208"/>
      <c r="B309" s="208"/>
      <c r="D309" s="66"/>
      <c r="F309" s="1211"/>
      <c r="G309" s="1211"/>
      <c r="M309" s="347"/>
    </row>
    <row r="310" spans="1:13" ht="15.75" customHeight="1">
      <c r="A310" s="208"/>
      <c r="B310" s="208"/>
      <c r="D310" s="66"/>
      <c r="F310" s="1211"/>
      <c r="G310" s="1211"/>
      <c r="M310" s="347"/>
    </row>
    <row r="311" spans="1:13" ht="15.75" customHeight="1">
      <c r="A311" s="208"/>
      <c r="B311" s="208"/>
      <c r="D311" s="66"/>
      <c r="F311" s="1211"/>
      <c r="G311" s="1211"/>
      <c r="M311" s="347"/>
    </row>
    <row r="312" spans="1:13" ht="15.75" customHeight="1">
      <c r="A312" s="208"/>
      <c r="B312" s="208"/>
      <c r="D312" s="66"/>
      <c r="F312" s="1211"/>
      <c r="G312" s="1211"/>
      <c r="M312" s="347"/>
    </row>
    <row r="313" spans="1:13" ht="15.75" customHeight="1">
      <c r="A313" s="208"/>
      <c r="B313" s="208"/>
      <c r="D313" s="66"/>
      <c r="F313" s="1211"/>
      <c r="G313" s="1211"/>
      <c r="M313" s="347"/>
    </row>
    <row r="314" spans="1:13" ht="15.75" customHeight="1">
      <c r="A314" s="208"/>
      <c r="B314" s="208"/>
      <c r="D314" s="66"/>
      <c r="F314" s="1211"/>
      <c r="G314" s="1211"/>
      <c r="M314" s="347"/>
    </row>
    <row r="315" spans="1:13" ht="15.75" customHeight="1">
      <c r="A315" s="208"/>
      <c r="B315" s="208"/>
      <c r="D315" s="66"/>
      <c r="F315" s="1211"/>
      <c r="G315" s="1211"/>
      <c r="M315" s="347"/>
    </row>
    <row r="316" spans="1:13" ht="15.75" customHeight="1">
      <c r="A316" s="208"/>
      <c r="B316" s="208"/>
      <c r="D316" s="66"/>
      <c r="F316" s="1211"/>
      <c r="G316" s="1211"/>
      <c r="M316" s="347"/>
    </row>
    <row r="317" spans="1:13" ht="15.75" customHeight="1">
      <c r="A317" s="208"/>
      <c r="B317" s="208"/>
      <c r="D317" s="66"/>
      <c r="F317" s="1211"/>
      <c r="G317" s="1211"/>
      <c r="M317" s="347"/>
    </row>
    <row r="318" spans="1:13" ht="15.75" customHeight="1">
      <c r="A318" s="208"/>
      <c r="B318" s="208"/>
      <c r="D318" s="66"/>
      <c r="F318" s="1211"/>
      <c r="G318" s="1211"/>
      <c r="M318" s="347"/>
    </row>
    <row r="319" spans="1:13" ht="15.75" customHeight="1">
      <c r="A319" s="208"/>
      <c r="B319" s="208"/>
      <c r="D319" s="66"/>
      <c r="F319" s="1211"/>
      <c r="G319" s="1211"/>
      <c r="M319" s="347"/>
    </row>
    <row r="320" spans="1:13" ht="15.75" customHeight="1">
      <c r="A320" s="208"/>
      <c r="B320" s="208"/>
      <c r="D320" s="66"/>
      <c r="F320" s="1211"/>
      <c r="G320" s="1211"/>
      <c r="M320" s="347"/>
    </row>
    <row r="321" spans="1:13" ht="15.75" customHeight="1">
      <c r="A321" s="208"/>
      <c r="B321" s="208"/>
      <c r="D321" s="66"/>
      <c r="F321" s="1211"/>
      <c r="G321" s="1211"/>
      <c r="M321" s="347"/>
    </row>
    <row r="322" spans="1:13" ht="15.75" customHeight="1">
      <c r="A322" s="208"/>
      <c r="B322" s="208"/>
      <c r="D322" s="66"/>
      <c r="F322" s="1211"/>
      <c r="G322" s="1211"/>
      <c r="M322" s="347"/>
    </row>
    <row r="323" spans="1:13" ht="15.75" customHeight="1">
      <c r="A323" s="208"/>
      <c r="B323" s="208"/>
      <c r="D323" s="66"/>
      <c r="F323" s="1211"/>
      <c r="G323" s="1211"/>
      <c r="M323" s="347"/>
    </row>
    <row r="324" spans="1:13" ht="15.75" customHeight="1">
      <c r="A324" s="208"/>
      <c r="B324" s="208"/>
      <c r="D324" s="66"/>
      <c r="F324" s="1211"/>
      <c r="G324" s="1211"/>
      <c r="M324" s="347"/>
    </row>
    <row r="325" spans="1:13" ht="15.75" customHeight="1">
      <c r="A325" s="208"/>
      <c r="B325" s="208"/>
      <c r="D325" s="66"/>
      <c r="F325" s="1211"/>
      <c r="G325" s="1211"/>
      <c r="M325" s="347"/>
    </row>
    <row r="326" spans="1:13" ht="15.75" customHeight="1">
      <c r="A326" s="208"/>
      <c r="B326" s="208"/>
      <c r="D326" s="66"/>
      <c r="F326" s="1211"/>
      <c r="G326" s="1211"/>
      <c r="M326" s="347"/>
    </row>
    <row r="327" spans="1:13" ht="15.75" customHeight="1">
      <c r="A327" s="208"/>
      <c r="B327" s="208"/>
      <c r="D327" s="66"/>
      <c r="F327" s="1211"/>
      <c r="G327" s="1211"/>
      <c r="M327" s="347"/>
    </row>
    <row r="328" spans="1:13" ht="15.75" customHeight="1">
      <c r="A328" s="208"/>
      <c r="B328" s="208"/>
      <c r="D328" s="66"/>
      <c r="F328" s="1211"/>
      <c r="G328" s="1211"/>
      <c r="M328" s="347"/>
    </row>
    <row r="329" spans="1:13" ht="15.75" customHeight="1">
      <c r="A329" s="208"/>
      <c r="B329" s="208"/>
      <c r="D329" s="66"/>
      <c r="F329" s="1211"/>
      <c r="G329" s="1211"/>
      <c r="M329" s="347"/>
    </row>
    <row r="330" spans="1:13" ht="15.75" customHeight="1">
      <c r="A330" s="208"/>
      <c r="B330" s="208"/>
      <c r="D330" s="66"/>
      <c r="F330" s="1211"/>
      <c r="G330" s="1211"/>
      <c r="M330" s="347"/>
    </row>
    <row r="331" spans="1:13" ht="15.75" customHeight="1">
      <c r="A331" s="208"/>
      <c r="B331" s="208"/>
      <c r="D331" s="66"/>
      <c r="F331" s="1211"/>
      <c r="G331" s="1211"/>
      <c r="M331" s="347"/>
    </row>
    <row r="332" spans="1:13" ht="15.75" customHeight="1">
      <c r="A332" s="208"/>
      <c r="B332" s="208"/>
      <c r="D332" s="66"/>
      <c r="F332" s="1211"/>
      <c r="G332" s="1211"/>
      <c r="M332" s="347"/>
    </row>
    <row r="333" spans="1:13" ht="15.75" customHeight="1">
      <c r="A333" s="208"/>
      <c r="B333" s="208"/>
      <c r="D333" s="66"/>
      <c r="F333" s="1211"/>
      <c r="G333" s="1211"/>
      <c r="M333" s="347"/>
    </row>
    <row r="334" spans="1:13" ht="15.75" customHeight="1">
      <c r="A334" s="208"/>
      <c r="B334" s="208"/>
      <c r="D334" s="66"/>
      <c r="F334" s="1211"/>
      <c r="G334" s="1211"/>
      <c r="M334" s="347"/>
    </row>
    <row r="335" spans="1:13" ht="15.75" customHeight="1">
      <c r="A335" s="208"/>
      <c r="B335" s="208"/>
      <c r="D335" s="66"/>
      <c r="F335" s="1211"/>
      <c r="G335" s="1211"/>
      <c r="M335" s="347"/>
    </row>
    <row r="336" spans="1:13" ht="15.75" customHeight="1">
      <c r="A336" s="208"/>
      <c r="B336" s="208"/>
      <c r="D336" s="66"/>
      <c r="F336" s="1211"/>
      <c r="G336" s="1211"/>
      <c r="M336" s="347"/>
    </row>
    <row r="337" spans="1:13" ht="15.75" customHeight="1">
      <c r="A337" s="208"/>
      <c r="B337" s="208"/>
      <c r="D337" s="66"/>
      <c r="F337" s="1211"/>
      <c r="G337" s="1211"/>
      <c r="M337" s="347"/>
    </row>
    <row r="338" spans="1:13" ht="15.75" customHeight="1">
      <c r="A338" s="208"/>
      <c r="B338" s="208"/>
      <c r="D338" s="66"/>
      <c r="F338" s="1211"/>
      <c r="G338" s="1211"/>
      <c r="M338" s="347"/>
    </row>
    <row r="339" spans="1:13" ht="15.75" customHeight="1">
      <c r="A339" s="208"/>
      <c r="B339" s="208"/>
      <c r="D339" s="66"/>
      <c r="F339" s="1211"/>
      <c r="G339" s="1211"/>
      <c r="M339" s="347"/>
    </row>
    <row r="340" spans="1:13" ht="15.75" customHeight="1">
      <c r="A340" s="208"/>
      <c r="B340" s="208"/>
      <c r="D340" s="66"/>
      <c r="F340" s="1211"/>
      <c r="G340" s="1211"/>
      <c r="M340" s="347"/>
    </row>
    <row r="341" spans="1:13" ht="15.75" customHeight="1">
      <c r="A341" s="208"/>
      <c r="B341" s="208"/>
      <c r="D341" s="66"/>
      <c r="F341" s="1211"/>
      <c r="G341" s="1211"/>
      <c r="M341" s="347"/>
    </row>
    <row r="342" spans="1:13" ht="15.75" customHeight="1">
      <c r="A342" s="208"/>
      <c r="B342" s="208"/>
      <c r="D342" s="66"/>
      <c r="F342" s="1211"/>
      <c r="G342" s="1211"/>
      <c r="M342" s="347"/>
    </row>
    <row r="343" spans="1:13" ht="15.75" customHeight="1">
      <c r="A343" s="208"/>
      <c r="B343" s="208"/>
      <c r="D343" s="66"/>
      <c r="F343" s="1211"/>
      <c r="G343" s="1211"/>
      <c r="M343" s="347"/>
    </row>
    <row r="344" spans="1:13" ht="15.75" customHeight="1">
      <c r="A344" s="208"/>
      <c r="B344" s="208"/>
      <c r="D344" s="66"/>
      <c r="F344" s="1211"/>
      <c r="G344" s="1211"/>
      <c r="M344" s="347"/>
    </row>
    <row r="345" spans="1:13" ht="15.75" customHeight="1">
      <c r="A345" s="208"/>
      <c r="B345" s="208"/>
      <c r="D345" s="66"/>
      <c r="F345" s="1211"/>
      <c r="G345" s="1211"/>
      <c r="M345" s="347"/>
    </row>
    <row r="346" spans="1:13" ht="15.75" customHeight="1">
      <c r="A346" s="208"/>
      <c r="B346" s="208"/>
      <c r="D346" s="66"/>
      <c r="F346" s="1211"/>
      <c r="G346" s="1211"/>
      <c r="M346" s="347"/>
    </row>
    <row r="347" spans="1:13" ht="15.75" customHeight="1">
      <c r="A347" s="208"/>
      <c r="B347" s="208"/>
      <c r="D347" s="66"/>
      <c r="F347" s="1211"/>
      <c r="G347" s="1211"/>
      <c r="M347" s="347"/>
    </row>
    <row r="348" spans="1:13" ht="15.75" customHeight="1">
      <c r="A348" s="208"/>
      <c r="B348" s="208"/>
      <c r="D348" s="66"/>
      <c r="F348" s="1211"/>
      <c r="G348" s="1211"/>
      <c r="M348" s="347"/>
    </row>
    <row r="349" spans="1:13" ht="15.75" customHeight="1">
      <c r="A349" s="208"/>
      <c r="B349" s="208"/>
      <c r="D349" s="66"/>
      <c r="F349" s="1211"/>
      <c r="G349" s="1211"/>
      <c r="M349" s="347"/>
    </row>
    <row r="350" spans="1:13" ht="15.75" customHeight="1">
      <c r="A350" s="208"/>
      <c r="B350" s="208"/>
      <c r="D350" s="66"/>
      <c r="F350" s="1211"/>
      <c r="G350" s="1211"/>
      <c r="M350" s="347"/>
    </row>
    <row r="351" spans="1:13" ht="15.75" customHeight="1">
      <c r="M351" s="347"/>
    </row>
    <row r="352" spans="1:13" ht="15.75" customHeight="1">
      <c r="M352" s="347"/>
    </row>
    <row r="353" spans="13:13" ht="15.75" customHeight="1">
      <c r="M353" s="347"/>
    </row>
    <row r="354" spans="13:13" ht="15.75" customHeight="1">
      <c r="M354" s="347"/>
    </row>
    <row r="355" spans="13:13" ht="15.75" customHeight="1">
      <c r="M355" s="347"/>
    </row>
    <row r="356" spans="13:13" ht="15.75" customHeight="1">
      <c r="M356" s="347"/>
    </row>
    <row r="357" spans="13:13" ht="15.75" customHeight="1">
      <c r="M357" s="347"/>
    </row>
    <row r="358" spans="13:13" ht="15.75" customHeight="1">
      <c r="M358" s="347"/>
    </row>
    <row r="359" spans="13:13" ht="15.75" customHeight="1">
      <c r="M359" s="347"/>
    </row>
    <row r="360" spans="13:13" ht="15.75" customHeight="1">
      <c r="M360" s="347"/>
    </row>
    <row r="361" spans="13:13" ht="15.75" customHeight="1">
      <c r="M361" s="347"/>
    </row>
    <row r="362" spans="13:13" ht="15.75" customHeight="1">
      <c r="M362" s="347"/>
    </row>
    <row r="363" spans="13:13" ht="15.75" customHeight="1">
      <c r="M363" s="347"/>
    </row>
    <row r="364" spans="13:13" ht="15.75" customHeight="1">
      <c r="M364" s="347"/>
    </row>
    <row r="365" spans="13:13" ht="15.75" customHeight="1">
      <c r="M365" s="347"/>
    </row>
    <row r="366" spans="13:13" ht="15.75" customHeight="1">
      <c r="M366" s="347"/>
    </row>
    <row r="367" spans="13:13" ht="15.75" customHeight="1">
      <c r="M367" s="347"/>
    </row>
    <row r="368" spans="13:13" ht="15.75" customHeight="1">
      <c r="M368" s="347"/>
    </row>
    <row r="369" spans="13:13" ht="15.75" customHeight="1">
      <c r="M369" s="347"/>
    </row>
    <row r="370" spans="13:13" ht="15.75" customHeight="1">
      <c r="M370" s="347"/>
    </row>
    <row r="371" spans="13:13" ht="15.75" customHeight="1">
      <c r="M371" s="347"/>
    </row>
    <row r="372" spans="13:13" ht="15.75" customHeight="1">
      <c r="M372" s="347"/>
    </row>
    <row r="373" spans="13:13" ht="15.75" customHeight="1">
      <c r="M373" s="347"/>
    </row>
    <row r="374" spans="13:13" ht="15.75" customHeight="1">
      <c r="M374" s="347"/>
    </row>
    <row r="375" spans="13:13" ht="15.75" customHeight="1">
      <c r="M375" s="347"/>
    </row>
    <row r="376" spans="13:13" ht="15.75" customHeight="1">
      <c r="M376" s="347"/>
    </row>
    <row r="377" spans="13:13" ht="15.75" customHeight="1">
      <c r="M377" s="347"/>
    </row>
    <row r="378" spans="13:13" ht="15.75" customHeight="1">
      <c r="M378" s="347"/>
    </row>
    <row r="379" spans="13:13" ht="15.75" customHeight="1">
      <c r="M379" s="347"/>
    </row>
    <row r="380" spans="13:13" ht="15.75" customHeight="1">
      <c r="M380" s="347"/>
    </row>
    <row r="381" spans="13:13" ht="15.75" customHeight="1">
      <c r="M381" s="347"/>
    </row>
    <row r="382" spans="13:13" ht="15.75" customHeight="1">
      <c r="M382" s="347"/>
    </row>
    <row r="383" spans="13:13" ht="15.75" customHeight="1">
      <c r="M383" s="347"/>
    </row>
    <row r="384" spans="13:13" ht="15.75" customHeight="1">
      <c r="M384" s="347"/>
    </row>
    <row r="385" spans="13:13" ht="15.75" customHeight="1">
      <c r="M385" s="347"/>
    </row>
    <row r="386" spans="13:13" ht="15.75" customHeight="1">
      <c r="M386" s="347"/>
    </row>
    <row r="387" spans="13:13" ht="15.75" customHeight="1">
      <c r="M387" s="347"/>
    </row>
    <row r="388" spans="13:13" ht="15.75" customHeight="1">
      <c r="M388" s="347"/>
    </row>
    <row r="389" spans="13:13" ht="15.75" customHeight="1">
      <c r="M389" s="347"/>
    </row>
    <row r="390" spans="13:13" ht="15.75" customHeight="1">
      <c r="M390" s="347"/>
    </row>
    <row r="391" spans="13:13" ht="15.75" customHeight="1">
      <c r="M391" s="347"/>
    </row>
    <row r="392" spans="13:13" ht="15.75" customHeight="1">
      <c r="M392" s="347"/>
    </row>
    <row r="393" spans="13:13" ht="15.75" customHeight="1">
      <c r="M393" s="347"/>
    </row>
    <row r="394" spans="13:13" ht="15.75" customHeight="1">
      <c r="M394" s="347"/>
    </row>
    <row r="395" spans="13:13" ht="15.75" customHeight="1">
      <c r="M395" s="347"/>
    </row>
    <row r="396" spans="13:13" ht="15.75" customHeight="1">
      <c r="M396" s="347"/>
    </row>
    <row r="397" spans="13:13" ht="15.75" customHeight="1">
      <c r="M397" s="347"/>
    </row>
    <row r="398" spans="13:13" ht="15.75" customHeight="1">
      <c r="M398" s="347"/>
    </row>
    <row r="399" spans="13:13" ht="15.75" customHeight="1">
      <c r="M399" s="347"/>
    </row>
    <row r="400" spans="13:13" ht="15.75" customHeight="1">
      <c r="M400" s="347"/>
    </row>
    <row r="401" spans="13:13" ht="15.75" customHeight="1">
      <c r="M401" s="347"/>
    </row>
    <row r="402" spans="13:13" ht="15.75" customHeight="1">
      <c r="M402" s="347"/>
    </row>
    <row r="403" spans="13:13" ht="15.75" customHeight="1">
      <c r="M403" s="347"/>
    </row>
    <row r="404" spans="13:13" ht="15.75" customHeight="1">
      <c r="M404" s="347"/>
    </row>
    <row r="405" spans="13:13" ht="15.75" customHeight="1">
      <c r="M405" s="347"/>
    </row>
    <row r="406" spans="13:13" ht="15.75" customHeight="1">
      <c r="M406" s="347"/>
    </row>
    <row r="407" spans="13:13" ht="15.75" customHeight="1">
      <c r="M407" s="347"/>
    </row>
    <row r="408" spans="13:13" ht="15.75" customHeight="1">
      <c r="M408" s="347"/>
    </row>
    <row r="409" spans="13:13" ht="15.75" customHeight="1">
      <c r="M409" s="347"/>
    </row>
    <row r="410" spans="13:13" ht="15.75" customHeight="1">
      <c r="M410" s="347"/>
    </row>
    <row r="411" spans="13:13" ht="15.75" customHeight="1">
      <c r="M411" s="347"/>
    </row>
    <row r="412" spans="13:13" ht="15.75" customHeight="1">
      <c r="M412" s="347"/>
    </row>
    <row r="413" spans="13:13" ht="15.75" customHeight="1">
      <c r="M413" s="347"/>
    </row>
    <row r="414" spans="13:13" ht="15.75" customHeight="1">
      <c r="M414" s="347"/>
    </row>
    <row r="415" spans="13:13" ht="15.75" customHeight="1">
      <c r="M415" s="347"/>
    </row>
    <row r="416" spans="13:13" ht="15.75" customHeight="1">
      <c r="M416" s="347"/>
    </row>
    <row r="417" spans="13:13" ht="15.75" customHeight="1">
      <c r="M417" s="347"/>
    </row>
    <row r="418" spans="13:13" ht="15.75" customHeight="1">
      <c r="M418" s="347"/>
    </row>
    <row r="419" spans="13:13" ht="15.75" customHeight="1">
      <c r="M419" s="347"/>
    </row>
    <row r="420" spans="13:13" ht="15.75" customHeight="1">
      <c r="M420" s="347"/>
    </row>
    <row r="421" spans="13:13" ht="15.75" customHeight="1">
      <c r="M421" s="347"/>
    </row>
    <row r="422" spans="13:13" ht="15.75" customHeight="1">
      <c r="M422" s="347"/>
    </row>
    <row r="423" spans="13:13" ht="15.75" customHeight="1">
      <c r="M423" s="347"/>
    </row>
    <row r="424" spans="13:13" ht="15.75" customHeight="1">
      <c r="M424" s="347"/>
    </row>
    <row r="425" spans="13:13" ht="15.75" customHeight="1">
      <c r="M425" s="347"/>
    </row>
    <row r="426" spans="13:13" ht="15.75" customHeight="1">
      <c r="M426" s="347"/>
    </row>
    <row r="427" spans="13:13" ht="15.75" customHeight="1">
      <c r="M427" s="347"/>
    </row>
    <row r="428" spans="13:13" ht="15.75" customHeight="1">
      <c r="M428" s="347"/>
    </row>
    <row r="429" spans="13:13" ht="15.75" customHeight="1">
      <c r="M429" s="347"/>
    </row>
    <row r="430" spans="13:13" ht="15.75" customHeight="1">
      <c r="M430" s="347"/>
    </row>
    <row r="431" spans="13:13" ht="15.75" customHeight="1">
      <c r="M431" s="347"/>
    </row>
    <row r="432" spans="13:13" ht="15.75" customHeight="1">
      <c r="M432" s="347"/>
    </row>
    <row r="433" spans="13:13" ht="15.75" customHeight="1">
      <c r="M433" s="347"/>
    </row>
    <row r="434" spans="13:13" ht="15.75" customHeight="1">
      <c r="M434" s="347"/>
    </row>
    <row r="435" spans="13:13" ht="15.75" customHeight="1">
      <c r="M435" s="347"/>
    </row>
    <row r="436" spans="13:13" ht="15.75" customHeight="1">
      <c r="M436" s="347"/>
    </row>
    <row r="437" spans="13:13" ht="15.75" customHeight="1">
      <c r="M437" s="347"/>
    </row>
    <row r="438" spans="13:13" ht="15.75" customHeight="1">
      <c r="M438" s="347"/>
    </row>
    <row r="439" spans="13:13" ht="15.75" customHeight="1">
      <c r="M439" s="347"/>
    </row>
    <row r="440" spans="13:13" ht="15.75" customHeight="1">
      <c r="M440" s="347"/>
    </row>
    <row r="441" spans="13:13" ht="15.75" customHeight="1">
      <c r="M441" s="347"/>
    </row>
    <row r="442" spans="13:13" ht="15.75" customHeight="1">
      <c r="M442" s="347"/>
    </row>
    <row r="443" spans="13:13" ht="15.75" customHeight="1">
      <c r="M443" s="347"/>
    </row>
    <row r="444" spans="13:13" ht="15.75" customHeight="1">
      <c r="M444" s="347"/>
    </row>
    <row r="445" spans="13:13" ht="15.75" customHeight="1">
      <c r="M445" s="347"/>
    </row>
    <row r="446" spans="13:13" ht="15.75" customHeight="1">
      <c r="M446" s="347"/>
    </row>
    <row r="447" spans="13:13" ht="15.75" customHeight="1">
      <c r="M447" s="347"/>
    </row>
    <row r="448" spans="13:13" ht="15.75" customHeight="1">
      <c r="M448" s="347"/>
    </row>
    <row r="449" spans="13:13" ht="15.75" customHeight="1">
      <c r="M449" s="347"/>
    </row>
    <row r="450" spans="13:13" ht="15.75" customHeight="1">
      <c r="M450" s="347"/>
    </row>
    <row r="451" spans="13:13" ht="15.75" customHeight="1">
      <c r="M451" s="347"/>
    </row>
    <row r="452" spans="13:13" ht="15.75" customHeight="1">
      <c r="M452" s="347"/>
    </row>
    <row r="453" spans="13:13" ht="15.75" customHeight="1">
      <c r="M453" s="347"/>
    </row>
    <row r="454" spans="13:13" ht="15.75" customHeight="1">
      <c r="M454" s="347"/>
    </row>
    <row r="455" spans="13:13" ht="15.75" customHeight="1">
      <c r="M455" s="347"/>
    </row>
    <row r="456" spans="13:13" ht="15.75" customHeight="1">
      <c r="M456" s="347"/>
    </row>
    <row r="457" spans="13:13" ht="15.75" customHeight="1">
      <c r="M457" s="347"/>
    </row>
    <row r="458" spans="13:13" ht="15.75" customHeight="1">
      <c r="M458" s="347"/>
    </row>
    <row r="459" spans="13:13" ht="15.75" customHeight="1">
      <c r="M459" s="347"/>
    </row>
    <row r="460" spans="13:13" ht="15.75" customHeight="1">
      <c r="M460" s="347"/>
    </row>
    <row r="461" spans="13:13" ht="15.75" customHeight="1">
      <c r="M461" s="347"/>
    </row>
    <row r="462" spans="13:13" ht="15.75" customHeight="1">
      <c r="M462" s="347"/>
    </row>
    <row r="463" spans="13:13" ht="15.75" customHeight="1">
      <c r="M463" s="347"/>
    </row>
    <row r="464" spans="13:13" ht="15.75" customHeight="1">
      <c r="M464" s="347"/>
    </row>
    <row r="465" spans="13:13" ht="15.75" customHeight="1">
      <c r="M465" s="347"/>
    </row>
    <row r="466" spans="13:13" ht="15.75" customHeight="1">
      <c r="M466" s="347"/>
    </row>
    <row r="467" spans="13:13" ht="15.75" customHeight="1">
      <c r="M467" s="347"/>
    </row>
    <row r="468" spans="13:13" ht="15.75" customHeight="1">
      <c r="M468" s="347"/>
    </row>
    <row r="469" spans="13:13" ht="15.75" customHeight="1">
      <c r="M469" s="347"/>
    </row>
    <row r="470" spans="13:13" ht="15.75" customHeight="1">
      <c r="M470" s="347"/>
    </row>
    <row r="471" spans="13:13" ht="15.75" customHeight="1">
      <c r="M471" s="347"/>
    </row>
    <row r="472" spans="13:13" ht="15.75" customHeight="1">
      <c r="M472" s="347"/>
    </row>
    <row r="473" spans="13:13" ht="15.75" customHeight="1">
      <c r="M473" s="347"/>
    </row>
    <row r="474" spans="13:13" ht="15.75" customHeight="1">
      <c r="M474" s="347"/>
    </row>
    <row r="475" spans="13:13" ht="15.75" customHeight="1">
      <c r="M475" s="347"/>
    </row>
    <row r="476" spans="13:13" ht="15.75" customHeight="1">
      <c r="M476" s="347"/>
    </row>
    <row r="477" spans="13:13" ht="15.75" customHeight="1">
      <c r="M477" s="347"/>
    </row>
    <row r="478" spans="13:13" ht="15.75" customHeight="1">
      <c r="M478" s="347"/>
    </row>
    <row r="479" spans="13:13" ht="15.75" customHeight="1">
      <c r="M479" s="347"/>
    </row>
    <row r="480" spans="13:13" ht="15.75" customHeight="1">
      <c r="M480" s="347"/>
    </row>
    <row r="481" spans="13:13" ht="15.75" customHeight="1">
      <c r="M481" s="347"/>
    </row>
    <row r="482" spans="13:13" ht="15.75" customHeight="1">
      <c r="M482" s="347"/>
    </row>
    <row r="483" spans="13:13" ht="15.75" customHeight="1">
      <c r="M483" s="347"/>
    </row>
    <row r="484" spans="13:13" ht="15.75" customHeight="1">
      <c r="M484" s="347"/>
    </row>
    <row r="485" spans="13:13" ht="15.75" customHeight="1">
      <c r="M485" s="347"/>
    </row>
    <row r="486" spans="13:13" ht="15.75" customHeight="1">
      <c r="M486" s="347"/>
    </row>
    <row r="487" spans="13:13" ht="15.75" customHeight="1">
      <c r="M487" s="347"/>
    </row>
    <row r="488" spans="13:13" ht="15.75" customHeight="1">
      <c r="M488" s="347"/>
    </row>
    <row r="489" spans="13:13" ht="15.75" customHeight="1">
      <c r="M489" s="347"/>
    </row>
    <row r="490" spans="13:13" ht="15.75" customHeight="1">
      <c r="M490" s="347"/>
    </row>
    <row r="491" spans="13:13" ht="15.75" customHeight="1">
      <c r="M491" s="347"/>
    </row>
    <row r="492" spans="13:13" ht="15.75" customHeight="1">
      <c r="M492" s="347"/>
    </row>
    <row r="493" spans="13:13" ht="15.75" customHeight="1">
      <c r="M493" s="347"/>
    </row>
    <row r="494" spans="13:13" ht="15.75" customHeight="1">
      <c r="M494" s="347"/>
    </row>
    <row r="495" spans="13:13" ht="15.75" customHeight="1">
      <c r="M495" s="347"/>
    </row>
    <row r="496" spans="13:13" ht="15.75" customHeight="1">
      <c r="M496" s="347"/>
    </row>
    <row r="497" spans="13:13" ht="15.75" customHeight="1">
      <c r="M497" s="347"/>
    </row>
    <row r="498" spans="13:13" ht="15.75" customHeight="1">
      <c r="M498" s="347"/>
    </row>
    <row r="499" spans="13:13" ht="15.75" customHeight="1">
      <c r="M499" s="347"/>
    </row>
    <row r="500" spans="13:13" ht="15.75" customHeight="1">
      <c r="M500" s="347"/>
    </row>
    <row r="501" spans="13:13" ht="15.75" customHeight="1">
      <c r="M501" s="347"/>
    </row>
    <row r="502" spans="13:13" ht="15.75" customHeight="1">
      <c r="M502" s="347"/>
    </row>
    <row r="503" spans="13:13" ht="15.75" customHeight="1">
      <c r="M503" s="347"/>
    </row>
    <row r="504" spans="13:13" ht="15.75" customHeight="1">
      <c r="M504" s="347"/>
    </row>
    <row r="505" spans="13:13" ht="15.75" customHeight="1">
      <c r="M505" s="347"/>
    </row>
    <row r="506" spans="13:13" ht="15.75" customHeight="1">
      <c r="M506" s="347"/>
    </row>
    <row r="507" spans="13:13" ht="15.75" customHeight="1">
      <c r="M507" s="347"/>
    </row>
    <row r="508" spans="13:13" ht="15.75" customHeight="1">
      <c r="M508" s="347"/>
    </row>
    <row r="509" spans="13:13" ht="15.75" customHeight="1">
      <c r="M509" s="347"/>
    </row>
    <row r="510" spans="13:13" ht="15.75" customHeight="1">
      <c r="M510" s="347"/>
    </row>
    <row r="511" spans="13:13" ht="15.75" customHeight="1">
      <c r="M511" s="347"/>
    </row>
    <row r="512" spans="13:13" ht="15.75" customHeight="1">
      <c r="M512" s="347"/>
    </row>
    <row r="513" spans="13:13" ht="15.75" customHeight="1">
      <c r="M513" s="347"/>
    </row>
    <row r="514" spans="13:13" ht="15.75" customHeight="1">
      <c r="M514" s="347"/>
    </row>
    <row r="515" spans="13:13" ht="15.75" customHeight="1">
      <c r="M515" s="347"/>
    </row>
    <row r="516" spans="13:13" ht="15.75" customHeight="1">
      <c r="M516" s="347"/>
    </row>
    <row r="517" spans="13:13" ht="15.75" customHeight="1">
      <c r="M517" s="347"/>
    </row>
    <row r="518" spans="13:13" ht="15.75" customHeight="1">
      <c r="M518" s="347"/>
    </row>
    <row r="519" spans="13:13" ht="15.75" customHeight="1">
      <c r="M519" s="347"/>
    </row>
    <row r="520" spans="13:13" ht="15.75" customHeight="1">
      <c r="M520" s="347"/>
    </row>
    <row r="521" spans="13:13" ht="15.75" customHeight="1">
      <c r="M521" s="347"/>
    </row>
    <row r="522" spans="13:13" ht="15.75" customHeight="1">
      <c r="M522" s="347"/>
    </row>
    <row r="523" spans="13:13" ht="15.75" customHeight="1">
      <c r="M523" s="347"/>
    </row>
    <row r="524" spans="13:13" ht="15.75" customHeight="1">
      <c r="M524" s="347"/>
    </row>
    <row r="525" spans="13:13" ht="15.75" customHeight="1">
      <c r="M525" s="347"/>
    </row>
    <row r="526" spans="13:13" ht="15.75" customHeight="1">
      <c r="M526" s="347"/>
    </row>
    <row r="527" spans="13:13" ht="15.75" customHeight="1">
      <c r="M527" s="347"/>
    </row>
    <row r="528" spans="13:13" ht="15.75" customHeight="1">
      <c r="M528" s="347"/>
    </row>
    <row r="529" spans="13:13" ht="15.75" customHeight="1">
      <c r="M529" s="347"/>
    </row>
    <row r="530" spans="13:13" ht="15.75" customHeight="1">
      <c r="M530" s="347"/>
    </row>
    <row r="531" spans="13:13" ht="15.75" customHeight="1">
      <c r="M531" s="347"/>
    </row>
    <row r="532" spans="13:13" ht="15.75" customHeight="1">
      <c r="M532" s="347"/>
    </row>
    <row r="533" spans="13:13" ht="15.75" customHeight="1">
      <c r="M533" s="347"/>
    </row>
    <row r="534" spans="13:13" ht="15.75" customHeight="1">
      <c r="M534" s="347"/>
    </row>
    <row r="535" spans="13:13" ht="15.75" customHeight="1">
      <c r="M535" s="347"/>
    </row>
    <row r="536" spans="13:13" ht="15.75" customHeight="1">
      <c r="M536" s="347"/>
    </row>
    <row r="537" spans="13:13" ht="15.75" customHeight="1">
      <c r="M537" s="347"/>
    </row>
    <row r="538" spans="13:13" ht="15.75" customHeight="1">
      <c r="M538" s="347"/>
    </row>
    <row r="539" spans="13:13" ht="15.75" customHeight="1">
      <c r="M539" s="347"/>
    </row>
    <row r="540" spans="13:13" ht="15.75" customHeight="1">
      <c r="M540" s="347"/>
    </row>
    <row r="541" spans="13:13" ht="15.75" customHeight="1">
      <c r="M541" s="347"/>
    </row>
    <row r="542" spans="13:13" ht="15.75" customHeight="1">
      <c r="M542" s="347"/>
    </row>
    <row r="543" spans="13:13" ht="15.75" customHeight="1">
      <c r="M543" s="347"/>
    </row>
    <row r="544" spans="13:13" ht="15.75" customHeight="1">
      <c r="M544" s="347"/>
    </row>
    <row r="545" spans="13:13" ht="15.75" customHeight="1">
      <c r="M545" s="347"/>
    </row>
    <row r="546" spans="13:13" ht="15.75" customHeight="1">
      <c r="M546" s="347"/>
    </row>
    <row r="547" spans="13:13" ht="15.75" customHeight="1">
      <c r="M547" s="347"/>
    </row>
    <row r="548" spans="13:13" ht="15.75" customHeight="1">
      <c r="M548" s="347"/>
    </row>
    <row r="549" spans="13:13" ht="15.75" customHeight="1">
      <c r="M549" s="347"/>
    </row>
    <row r="550" spans="13:13" ht="15.75" customHeight="1">
      <c r="M550" s="347"/>
    </row>
    <row r="551" spans="13:13" ht="15.75" customHeight="1">
      <c r="M551" s="347"/>
    </row>
    <row r="552" spans="13:13" ht="15.75" customHeight="1">
      <c r="M552" s="347"/>
    </row>
    <row r="553" spans="13:13" ht="15.75" customHeight="1">
      <c r="M553" s="347"/>
    </row>
    <row r="554" spans="13:13" ht="15.75" customHeight="1">
      <c r="M554" s="347"/>
    </row>
    <row r="555" spans="13:13" ht="15.75" customHeight="1">
      <c r="M555" s="347"/>
    </row>
    <row r="556" spans="13:13" ht="15.75" customHeight="1">
      <c r="M556" s="347"/>
    </row>
    <row r="557" spans="13:13" ht="15.75" customHeight="1">
      <c r="M557" s="347"/>
    </row>
    <row r="558" spans="13:13" ht="15.75" customHeight="1">
      <c r="M558" s="347"/>
    </row>
    <row r="559" spans="13:13" ht="15.75" customHeight="1">
      <c r="M559" s="347"/>
    </row>
    <row r="560" spans="13:13" ht="15.75" customHeight="1">
      <c r="M560" s="347"/>
    </row>
    <row r="561" spans="13:13" ht="15.75" customHeight="1">
      <c r="M561" s="347"/>
    </row>
    <row r="562" spans="13:13" ht="15.75" customHeight="1">
      <c r="M562" s="347"/>
    </row>
    <row r="563" spans="13:13" ht="15.75" customHeight="1">
      <c r="M563" s="347"/>
    </row>
    <row r="564" spans="13:13" ht="15.75" customHeight="1">
      <c r="M564" s="347"/>
    </row>
    <row r="565" spans="13:13" ht="15.75" customHeight="1">
      <c r="M565" s="347"/>
    </row>
    <row r="566" spans="13:13" ht="15.75" customHeight="1">
      <c r="M566" s="347"/>
    </row>
    <row r="567" spans="13:13" ht="15.75" customHeight="1">
      <c r="M567" s="347"/>
    </row>
    <row r="568" spans="13:13" ht="15.75" customHeight="1">
      <c r="M568" s="347"/>
    </row>
    <row r="569" spans="13:13" ht="15.75" customHeight="1">
      <c r="M569" s="347"/>
    </row>
    <row r="570" spans="13:13" ht="15.75" customHeight="1">
      <c r="M570" s="347"/>
    </row>
    <row r="571" spans="13:13" ht="15.75" customHeight="1">
      <c r="M571" s="347"/>
    </row>
    <row r="572" spans="13:13" ht="15.75" customHeight="1">
      <c r="M572" s="347"/>
    </row>
    <row r="573" spans="13:13" ht="15.75" customHeight="1">
      <c r="M573" s="347"/>
    </row>
    <row r="574" spans="13:13" ht="15.75" customHeight="1">
      <c r="M574" s="347"/>
    </row>
    <row r="575" spans="13:13" ht="15.75" customHeight="1">
      <c r="M575" s="347"/>
    </row>
    <row r="576" spans="13:13" ht="15.75" customHeight="1">
      <c r="M576" s="347"/>
    </row>
    <row r="577" spans="13:13" ht="15.75" customHeight="1">
      <c r="M577" s="347"/>
    </row>
    <row r="578" spans="13:13" ht="15.75" customHeight="1">
      <c r="M578" s="347"/>
    </row>
    <row r="579" spans="13:13" ht="15.75" customHeight="1">
      <c r="M579" s="347"/>
    </row>
    <row r="580" spans="13:13" ht="15.75" customHeight="1">
      <c r="M580" s="347"/>
    </row>
    <row r="581" spans="13:13" ht="15.75" customHeight="1">
      <c r="M581" s="347"/>
    </row>
    <row r="582" spans="13:13" ht="15.75" customHeight="1">
      <c r="M582" s="347"/>
    </row>
    <row r="583" spans="13:13" ht="15.75" customHeight="1">
      <c r="M583" s="347"/>
    </row>
    <row r="584" spans="13:13" ht="15.75" customHeight="1">
      <c r="M584" s="347"/>
    </row>
    <row r="585" spans="13:13" ht="15.75" customHeight="1">
      <c r="M585" s="347"/>
    </row>
    <row r="586" spans="13:13" ht="15.75" customHeight="1">
      <c r="M586" s="347"/>
    </row>
    <row r="587" spans="13:13" ht="15.75" customHeight="1">
      <c r="M587" s="347"/>
    </row>
    <row r="588" spans="13:13" ht="15.75" customHeight="1">
      <c r="M588" s="347"/>
    </row>
    <row r="589" spans="13:13" ht="15.75" customHeight="1">
      <c r="M589" s="347"/>
    </row>
    <row r="590" spans="13:13" ht="15.75" customHeight="1">
      <c r="M590" s="347"/>
    </row>
    <row r="591" spans="13:13" ht="15.75" customHeight="1">
      <c r="M591" s="347"/>
    </row>
    <row r="592" spans="13:13" ht="15.75" customHeight="1">
      <c r="M592" s="347"/>
    </row>
    <row r="593" spans="13:13" ht="15.75" customHeight="1">
      <c r="M593" s="347"/>
    </row>
    <row r="594" spans="13:13" ht="15.75" customHeight="1">
      <c r="M594" s="347"/>
    </row>
    <row r="595" spans="13:13" ht="15.75" customHeight="1">
      <c r="M595" s="347"/>
    </row>
    <row r="596" spans="13:13" ht="15.75" customHeight="1">
      <c r="M596" s="347"/>
    </row>
    <row r="597" spans="13:13" ht="15.75" customHeight="1">
      <c r="M597" s="347"/>
    </row>
    <row r="598" spans="13:13" ht="15.75" customHeight="1">
      <c r="M598" s="347"/>
    </row>
    <row r="599" spans="13:13" ht="15.75" customHeight="1">
      <c r="M599" s="347"/>
    </row>
    <row r="600" spans="13:13" ht="15.75" customHeight="1">
      <c r="M600" s="347"/>
    </row>
    <row r="601" spans="13:13" ht="15.75" customHeight="1">
      <c r="M601" s="347"/>
    </row>
    <row r="602" spans="13:13" ht="15.75" customHeight="1">
      <c r="M602" s="347"/>
    </row>
    <row r="603" spans="13:13" ht="15.75" customHeight="1">
      <c r="M603" s="347"/>
    </row>
    <row r="604" spans="13:13" ht="15.75" customHeight="1">
      <c r="M604" s="347"/>
    </row>
    <row r="605" spans="13:13" ht="15.75" customHeight="1">
      <c r="M605" s="347"/>
    </row>
    <row r="606" spans="13:13" ht="15.75" customHeight="1">
      <c r="M606" s="347"/>
    </row>
    <row r="607" spans="13:13" ht="15.75" customHeight="1">
      <c r="M607" s="347"/>
    </row>
    <row r="608" spans="13:13" ht="15.75" customHeight="1">
      <c r="M608" s="347"/>
    </row>
    <row r="609" spans="13:13" ht="15.75" customHeight="1">
      <c r="M609" s="347"/>
    </row>
    <row r="610" spans="13:13" ht="15.75" customHeight="1">
      <c r="M610" s="347"/>
    </row>
    <row r="611" spans="13:13" ht="15.75" customHeight="1">
      <c r="M611" s="347"/>
    </row>
    <row r="612" spans="13:13" ht="15.75" customHeight="1">
      <c r="M612" s="347"/>
    </row>
    <row r="613" spans="13:13" ht="15.75" customHeight="1">
      <c r="M613" s="347"/>
    </row>
    <row r="614" spans="13:13" ht="15.75" customHeight="1">
      <c r="M614" s="347"/>
    </row>
    <row r="615" spans="13:13" ht="15.75" customHeight="1">
      <c r="M615" s="347"/>
    </row>
    <row r="616" spans="13:13" ht="15.75" customHeight="1">
      <c r="M616" s="347"/>
    </row>
    <row r="617" spans="13:13" ht="15.75" customHeight="1">
      <c r="M617" s="347"/>
    </row>
    <row r="618" spans="13:13" ht="15.75" customHeight="1">
      <c r="M618" s="347"/>
    </row>
    <row r="619" spans="13:13" ht="15.75" customHeight="1">
      <c r="M619" s="347"/>
    </row>
    <row r="620" spans="13:13" ht="15.75" customHeight="1">
      <c r="M620" s="347"/>
    </row>
    <row r="621" spans="13:13" ht="15.75" customHeight="1">
      <c r="M621" s="347"/>
    </row>
    <row r="622" spans="13:13" ht="15.75" customHeight="1">
      <c r="M622" s="347"/>
    </row>
    <row r="623" spans="13:13" ht="15.75" customHeight="1">
      <c r="M623" s="347"/>
    </row>
    <row r="624" spans="13:13" ht="15.75" customHeight="1">
      <c r="M624" s="347"/>
    </row>
    <row r="625" spans="13:13" ht="15.75" customHeight="1">
      <c r="M625" s="347"/>
    </row>
    <row r="626" spans="13:13" ht="15.75" customHeight="1">
      <c r="M626" s="347"/>
    </row>
    <row r="627" spans="13:13" ht="15.75" customHeight="1">
      <c r="M627" s="347"/>
    </row>
    <row r="628" spans="13:13" ht="15.75" customHeight="1">
      <c r="M628" s="347"/>
    </row>
    <row r="629" spans="13:13" ht="15.75" customHeight="1">
      <c r="M629" s="347"/>
    </row>
    <row r="630" spans="13:13" ht="15.75" customHeight="1">
      <c r="M630" s="347"/>
    </row>
    <row r="631" spans="13:13" ht="15.75" customHeight="1">
      <c r="M631" s="347"/>
    </row>
    <row r="632" spans="13:13" ht="15.75" customHeight="1">
      <c r="M632" s="347"/>
    </row>
    <row r="633" spans="13:13" ht="15.75" customHeight="1">
      <c r="M633" s="347"/>
    </row>
    <row r="634" spans="13:13" ht="15.75" customHeight="1">
      <c r="M634" s="347"/>
    </row>
    <row r="635" spans="13:13" ht="15.75" customHeight="1">
      <c r="M635" s="347"/>
    </row>
    <row r="636" spans="13:13" ht="15.75" customHeight="1">
      <c r="M636" s="347"/>
    </row>
    <row r="637" spans="13:13" ht="15.75" customHeight="1">
      <c r="M637" s="347"/>
    </row>
    <row r="638" spans="13:13" ht="15.75" customHeight="1">
      <c r="M638" s="347"/>
    </row>
    <row r="639" spans="13:13" ht="15.75" customHeight="1">
      <c r="M639" s="347"/>
    </row>
    <row r="640" spans="13:13" ht="15.75" customHeight="1">
      <c r="M640" s="347"/>
    </row>
    <row r="641" spans="13:13" ht="15.75" customHeight="1">
      <c r="M641" s="347"/>
    </row>
    <row r="642" spans="13:13" ht="15.75" customHeight="1">
      <c r="M642" s="347"/>
    </row>
    <row r="643" spans="13:13" ht="15.75" customHeight="1">
      <c r="M643" s="347"/>
    </row>
    <row r="644" spans="13:13" ht="15.75" customHeight="1">
      <c r="M644" s="347"/>
    </row>
    <row r="645" spans="13:13" ht="15.75" customHeight="1">
      <c r="M645" s="347"/>
    </row>
    <row r="646" spans="13:13" ht="15.75" customHeight="1">
      <c r="M646" s="347"/>
    </row>
    <row r="647" spans="13:13" ht="15.75" customHeight="1">
      <c r="M647" s="347"/>
    </row>
    <row r="648" spans="13:13" ht="15.75" customHeight="1">
      <c r="M648" s="347"/>
    </row>
    <row r="649" spans="13:13" ht="15.75" customHeight="1">
      <c r="M649" s="347"/>
    </row>
    <row r="650" spans="13:13" ht="15.75" customHeight="1">
      <c r="M650" s="347"/>
    </row>
    <row r="651" spans="13:13" ht="15.75" customHeight="1">
      <c r="M651" s="347"/>
    </row>
    <row r="652" spans="13:13" ht="15.75" customHeight="1">
      <c r="M652" s="347"/>
    </row>
    <row r="653" spans="13:13" ht="15.75" customHeight="1">
      <c r="M653" s="347"/>
    </row>
    <row r="654" spans="13:13" ht="15.75" customHeight="1">
      <c r="M654" s="347"/>
    </row>
    <row r="655" spans="13:13" ht="15.75" customHeight="1">
      <c r="M655" s="347"/>
    </row>
    <row r="656" spans="13:13" ht="15.75" customHeight="1">
      <c r="M656" s="347"/>
    </row>
    <row r="657" spans="13:13" ht="15.75" customHeight="1">
      <c r="M657" s="347"/>
    </row>
    <row r="658" spans="13:13" ht="15.75" customHeight="1">
      <c r="M658" s="347"/>
    </row>
    <row r="659" spans="13:13" ht="15.75" customHeight="1">
      <c r="M659" s="347"/>
    </row>
    <row r="660" spans="13:13" ht="15.75" customHeight="1">
      <c r="M660" s="347"/>
    </row>
    <row r="661" spans="13:13" ht="15.75" customHeight="1">
      <c r="M661" s="347"/>
    </row>
    <row r="662" spans="13:13" ht="15.75" customHeight="1">
      <c r="M662" s="347"/>
    </row>
    <row r="663" spans="13:13" ht="15.75" customHeight="1">
      <c r="M663" s="347"/>
    </row>
    <row r="664" spans="13:13" ht="15.75" customHeight="1">
      <c r="M664" s="347"/>
    </row>
    <row r="665" spans="13:13" ht="15.75" customHeight="1">
      <c r="M665" s="347"/>
    </row>
    <row r="666" spans="13:13" ht="15.75" customHeight="1">
      <c r="M666" s="347"/>
    </row>
    <row r="667" spans="13:13" ht="15.75" customHeight="1">
      <c r="M667" s="347"/>
    </row>
    <row r="668" spans="13:13" ht="15.75" customHeight="1">
      <c r="M668" s="347"/>
    </row>
    <row r="669" spans="13:13" ht="15.75" customHeight="1">
      <c r="M669" s="347"/>
    </row>
    <row r="670" spans="13:13" ht="15.75" customHeight="1">
      <c r="M670" s="347"/>
    </row>
    <row r="671" spans="13:13" ht="15.75" customHeight="1">
      <c r="M671" s="347"/>
    </row>
    <row r="672" spans="13:13" ht="15.75" customHeight="1">
      <c r="M672" s="347"/>
    </row>
    <row r="673" spans="13:13" ht="15.75" customHeight="1">
      <c r="M673" s="347"/>
    </row>
    <row r="674" spans="13:13" ht="15.75" customHeight="1">
      <c r="M674" s="347"/>
    </row>
    <row r="675" spans="13:13" ht="15.75" customHeight="1">
      <c r="M675" s="347"/>
    </row>
    <row r="676" spans="13:13" ht="15.75" customHeight="1">
      <c r="M676" s="347"/>
    </row>
    <row r="677" spans="13:13" ht="15.75" customHeight="1">
      <c r="M677" s="347"/>
    </row>
    <row r="678" spans="13:13" ht="15.75" customHeight="1">
      <c r="M678" s="347"/>
    </row>
    <row r="679" spans="13:13" ht="15.75" customHeight="1">
      <c r="M679" s="347"/>
    </row>
    <row r="680" spans="13:13" ht="15.75" customHeight="1">
      <c r="M680" s="347"/>
    </row>
    <row r="681" spans="13:13" ht="15.75" customHeight="1">
      <c r="M681" s="347"/>
    </row>
    <row r="682" spans="13:13" ht="15.75" customHeight="1">
      <c r="M682" s="347"/>
    </row>
    <row r="683" spans="13:13" ht="15.75" customHeight="1">
      <c r="M683" s="347"/>
    </row>
    <row r="684" spans="13:13" ht="15.75" customHeight="1">
      <c r="M684" s="347"/>
    </row>
    <row r="685" spans="13:13" ht="15.75" customHeight="1">
      <c r="M685" s="347"/>
    </row>
    <row r="686" spans="13:13" ht="15.75" customHeight="1">
      <c r="M686" s="347"/>
    </row>
    <row r="687" spans="13:13" ht="15.75" customHeight="1">
      <c r="M687" s="347"/>
    </row>
    <row r="688" spans="13:13" ht="15.75" customHeight="1">
      <c r="M688" s="347"/>
    </row>
    <row r="689" spans="13:13" ht="15.75" customHeight="1">
      <c r="M689" s="347"/>
    </row>
    <row r="690" spans="13:13" ht="15.75" customHeight="1">
      <c r="M690" s="347"/>
    </row>
    <row r="691" spans="13:13" ht="15.75" customHeight="1">
      <c r="M691" s="347"/>
    </row>
    <row r="692" spans="13:13" ht="15.75" customHeight="1">
      <c r="M692" s="347"/>
    </row>
    <row r="693" spans="13:13" ht="15.75" customHeight="1">
      <c r="M693" s="347"/>
    </row>
    <row r="694" spans="13:13" ht="15.75" customHeight="1">
      <c r="M694" s="347"/>
    </row>
    <row r="695" spans="13:13" ht="15.75" customHeight="1">
      <c r="M695" s="347"/>
    </row>
    <row r="696" spans="13:13" ht="15.75" customHeight="1">
      <c r="M696" s="347"/>
    </row>
    <row r="697" spans="13:13" ht="15.75" customHeight="1">
      <c r="M697" s="347"/>
    </row>
    <row r="698" spans="13:13" ht="15.75" customHeight="1">
      <c r="M698" s="347"/>
    </row>
    <row r="699" spans="13:13" ht="15.75" customHeight="1">
      <c r="M699" s="347"/>
    </row>
    <row r="700" spans="13:13" ht="15.75" customHeight="1">
      <c r="M700" s="347"/>
    </row>
    <row r="701" spans="13:13" ht="15.75" customHeight="1">
      <c r="M701" s="347"/>
    </row>
    <row r="702" spans="13:13" ht="15.75" customHeight="1">
      <c r="M702" s="347"/>
    </row>
    <row r="703" spans="13:13" ht="15.75" customHeight="1">
      <c r="M703" s="347"/>
    </row>
    <row r="704" spans="13:13" ht="15.75" customHeight="1">
      <c r="M704" s="347"/>
    </row>
    <row r="705" spans="13:13" ht="15.75" customHeight="1">
      <c r="M705" s="347"/>
    </row>
    <row r="706" spans="13:13" ht="15.75" customHeight="1">
      <c r="M706" s="347"/>
    </row>
    <row r="707" spans="13:13" ht="15.75" customHeight="1">
      <c r="M707" s="347"/>
    </row>
    <row r="708" spans="13:13" ht="15.75" customHeight="1">
      <c r="M708" s="347"/>
    </row>
    <row r="709" spans="13:13" ht="15.75" customHeight="1">
      <c r="M709" s="347"/>
    </row>
    <row r="710" spans="13:13" ht="15.75" customHeight="1">
      <c r="M710" s="347"/>
    </row>
    <row r="711" spans="13:13" ht="15.75" customHeight="1">
      <c r="M711" s="347"/>
    </row>
    <row r="712" spans="13:13" ht="15.75" customHeight="1">
      <c r="M712" s="347"/>
    </row>
    <row r="713" spans="13:13" ht="15.75" customHeight="1">
      <c r="M713" s="347"/>
    </row>
    <row r="714" spans="13:13" ht="15.75" customHeight="1">
      <c r="M714" s="347"/>
    </row>
    <row r="715" spans="13:13" ht="15.75" customHeight="1">
      <c r="M715" s="347"/>
    </row>
    <row r="716" spans="13:13" ht="15.75" customHeight="1">
      <c r="M716" s="347"/>
    </row>
    <row r="717" spans="13:13" ht="15.75" customHeight="1">
      <c r="M717" s="347"/>
    </row>
    <row r="718" spans="13:13" ht="15.75" customHeight="1">
      <c r="M718" s="347"/>
    </row>
    <row r="719" spans="13:13" ht="15.75" customHeight="1">
      <c r="M719" s="347"/>
    </row>
    <row r="720" spans="13:13" ht="15.75" customHeight="1">
      <c r="M720" s="347"/>
    </row>
    <row r="721" spans="13:13" ht="15.75" customHeight="1">
      <c r="M721" s="347"/>
    </row>
    <row r="722" spans="13:13" ht="15.75" customHeight="1">
      <c r="M722" s="347"/>
    </row>
    <row r="723" spans="13:13" ht="15.75" customHeight="1">
      <c r="M723" s="347"/>
    </row>
    <row r="724" spans="13:13" ht="15.75" customHeight="1">
      <c r="M724" s="347"/>
    </row>
    <row r="725" spans="13:13" ht="15.75" customHeight="1">
      <c r="M725" s="347"/>
    </row>
    <row r="726" spans="13:13" ht="15.75" customHeight="1">
      <c r="M726" s="347"/>
    </row>
    <row r="727" spans="13:13" ht="15.75" customHeight="1">
      <c r="M727" s="347"/>
    </row>
    <row r="728" spans="13:13" ht="15.75" customHeight="1">
      <c r="M728" s="347"/>
    </row>
    <row r="729" spans="13:13" ht="15.75" customHeight="1">
      <c r="M729" s="347"/>
    </row>
    <row r="730" spans="13:13" ht="15.75" customHeight="1">
      <c r="M730" s="347"/>
    </row>
    <row r="731" spans="13:13" ht="15.75" customHeight="1">
      <c r="M731" s="347"/>
    </row>
    <row r="732" spans="13:13" ht="15.75" customHeight="1">
      <c r="M732" s="347"/>
    </row>
    <row r="733" spans="13:13" ht="15.75" customHeight="1">
      <c r="M733" s="347"/>
    </row>
    <row r="734" spans="13:13" ht="15.75" customHeight="1">
      <c r="M734" s="347"/>
    </row>
    <row r="735" spans="13:13" ht="15.75" customHeight="1">
      <c r="M735" s="347"/>
    </row>
    <row r="736" spans="13:13" ht="15.75" customHeight="1">
      <c r="M736" s="347"/>
    </row>
    <row r="737" spans="13:13" ht="15.75" customHeight="1">
      <c r="M737" s="347"/>
    </row>
    <row r="738" spans="13:13" ht="15.75" customHeight="1">
      <c r="M738" s="347"/>
    </row>
    <row r="739" spans="13:13" ht="15.75" customHeight="1">
      <c r="M739" s="347"/>
    </row>
    <row r="740" spans="13:13" ht="15.75" customHeight="1">
      <c r="M740" s="347"/>
    </row>
    <row r="741" spans="13:13" ht="15.75" customHeight="1">
      <c r="M741" s="347"/>
    </row>
    <row r="742" spans="13:13" ht="15.75" customHeight="1">
      <c r="M742" s="347"/>
    </row>
    <row r="743" spans="13:13" ht="15.75" customHeight="1">
      <c r="M743" s="347"/>
    </row>
    <row r="744" spans="13:13" ht="15.75" customHeight="1">
      <c r="M744" s="347"/>
    </row>
    <row r="745" spans="13:13" ht="15.75" customHeight="1">
      <c r="M745" s="347"/>
    </row>
    <row r="746" spans="13:13" ht="15.75" customHeight="1">
      <c r="M746" s="347"/>
    </row>
    <row r="747" spans="13:13" ht="15.75" customHeight="1">
      <c r="M747" s="347"/>
    </row>
    <row r="748" spans="13:13" ht="15.75" customHeight="1">
      <c r="M748" s="347"/>
    </row>
    <row r="749" spans="13:13" ht="15.75" customHeight="1">
      <c r="M749" s="347"/>
    </row>
    <row r="750" spans="13:13" ht="15.75" customHeight="1">
      <c r="M750" s="347"/>
    </row>
    <row r="751" spans="13:13" ht="15.75" customHeight="1">
      <c r="M751" s="347"/>
    </row>
    <row r="752" spans="13:13" ht="15.75" customHeight="1">
      <c r="M752" s="347"/>
    </row>
    <row r="753" spans="13:13" ht="15.75" customHeight="1">
      <c r="M753" s="347"/>
    </row>
    <row r="754" spans="13:13" ht="15.75" customHeight="1">
      <c r="M754" s="347"/>
    </row>
    <row r="755" spans="13:13" ht="15.75" customHeight="1">
      <c r="M755" s="347"/>
    </row>
    <row r="756" spans="13:13" ht="15.75" customHeight="1">
      <c r="M756" s="347"/>
    </row>
    <row r="757" spans="13:13" ht="15.75" customHeight="1">
      <c r="M757" s="347"/>
    </row>
    <row r="758" spans="13:13" ht="15.75" customHeight="1">
      <c r="M758" s="347"/>
    </row>
    <row r="759" spans="13:13" ht="15.75" customHeight="1">
      <c r="M759" s="347"/>
    </row>
    <row r="760" spans="13:13" ht="15.75" customHeight="1">
      <c r="M760" s="347"/>
    </row>
    <row r="761" spans="13:13" ht="15.75" customHeight="1">
      <c r="M761" s="347"/>
    </row>
    <row r="762" spans="13:13" ht="15.75" customHeight="1">
      <c r="M762" s="347"/>
    </row>
    <row r="763" spans="13:13" ht="15.75" customHeight="1">
      <c r="M763" s="347"/>
    </row>
    <row r="764" spans="13:13" ht="15.75" customHeight="1">
      <c r="M764" s="347"/>
    </row>
    <row r="765" spans="13:13" ht="15.75" customHeight="1">
      <c r="M765" s="347"/>
    </row>
    <row r="766" spans="13:13" ht="15.75" customHeight="1">
      <c r="M766" s="347"/>
    </row>
    <row r="767" spans="13:13" ht="15.75" customHeight="1">
      <c r="M767" s="347"/>
    </row>
    <row r="768" spans="13:13" ht="15.75" customHeight="1">
      <c r="M768" s="347"/>
    </row>
    <row r="769" spans="13:13" ht="15.75" customHeight="1">
      <c r="M769" s="347"/>
    </row>
    <row r="770" spans="13:13" ht="15.75" customHeight="1">
      <c r="M770" s="347"/>
    </row>
    <row r="771" spans="13:13" ht="15.75" customHeight="1">
      <c r="M771" s="347"/>
    </row>
    <row r="772" spans="13:13" ht="15.75" customHeight="1">
      <c r="M772" s="347"/>
    </row>
    <row r="773" spans="13:13" ht="15.75" customHeight="1">
      <c r="M773" s="347"/>
    </row>
    <row r="774" spans="13:13" ht="15.75" customHeight="1">
      <c r="M774" s="347"/>
    </row>
    <row r="775" spans="13:13" ht="15.75" customHeight="1">
      <c r="M775" s="347"/>
    </row>
    <row r="776" spans="13:13" ht="15.75" customHeight="1">
      <c r="M776" s="347"/>
    </row>
    <row r="777" spans="13:13" ht="15.75" customHeight="1">
      <c r="M777" s="347"/>
    </row>
    <row r="778" spans="13:13" ht="15.75" customHeight="1">
      <c r="M778" s="347"/>
    </row>
    <row r="779" spans="13:13" ht="15.75" customHeight="1">
      <c r="M779" s="347"/>
    </row>
    <row r="780" spans="13:13" ht="15.75" customHeight="1">
      <c r="M780" s="347"/>
    </row>
    <row r="781" spans="13:13" ht="15.75" customHeight="1">
      <c r="M781" s="347"/>
    </row>
    <row r="782" spans="13:13" ht="15.75" customHeight="1">
      <c r="M782" s="347"/>
    </row>
    <row r="783" spans="13:13" ht="15.75" customHeight="1">
      <c r="M783" s="347"/>
    </row>
    <row r="784" spans="13:13" ht="15.75" customHeight="1">
      <c r="M784" s="347"/>
    </row>
    <row r="785" spans="13:13" ht="15.75" customHeight="1">
      <c r="M785" s="347"/>
    </row>
    <row r="786" spans="13:13" ht="15.75" customHeight="1">
      <c r="M786" s="347"/>
    </row>
    <row r="787" spans="13:13" ht="15.75" customHeight="1">
      <c r="M787" s="347"/>
    </row>
    <row r="788" spans="13:13" ht="15.75" customHeight="1">
      <c r="M788" s="347"/>
    </row>
    <row r="789" spans="13:13" ht="15.75" customHeight="1">
      <c r="M789" s="347"/>
    </row>
    <row r="790" spans="13:13" ht="15.75" customHeight="1">
      <c r="M790" s="347"/>
    </row>
    <row r="791" spans="13:13" ht="15.75" customHeight="1">
      <c r="M791" s="347"/>
    </row>
    <row r="792" spans="13:13" ht="15.75" customHeight="1">
      <c r="M792" s="347"/>
    </row>
    <row r="793" spans="13:13" ht="15.75" customHeight="1">
      <c r="M793" s="347"/>
    </row>
    <row r="794" spans="13:13" ht="15.75" customHeight="1">
      <c r="M794" s="347"/>
    </row>
    <row r="795" spans="13:13" ht="15.75" customHeight="1">
      <c r="M795" s="347"/>
    </row>
    <row r="796" spans="13:13" ht="15.75" customHeight="1">
      <c r="M796" s="347"/>
    </row>
    <row r="797" spans="13:13" ht="15.75" customHeight="1">
      <c r="M797" s="347"/>
    </row>
    <row r="798" spans="13:13" ht="15.75" customHeight="1">
      <c r="M798" s="347"/>
    </row>
    <row r="799" spans="13:13" ht="15.75" customHeight="1">
      <c r="M799" s="347"/>
    </row>
    <row r="800" spans="13:13" ht="15.75" customHeight="1">
      <c r="M800" s="347"/>
    </row>
    <row r="801" spans="13:13" ht="15.75" customHeight="1">
      <c r="M801" s="347"/>
    </row>
    <row r="802" spans="13:13" ht="15.75" customHeight="1">
      <c r="M802" s="347"/>
    </row>
    <row r="803" spans="13:13" ht="15.75" customHeight="1">
      <c r="M803" s="347"/>
    </row>
    <row r="804" spans="13:13" ht="15.75" customHeight="1">
      <c r="M804" s="347"/>
    </row>
    <row r="805" spans="13:13" ht="15.75" customHeight="1">
      <c r="M805" s="347"/>
    </row>
    <row r="806" spans="13:13" ht="15.75" customHeight="1">
      <c r="M806" s="347"/>
    </row>
    <row r="807" spans="13:13" ht="15.75" customHeight="1">
      <c r="M807" s="347"/>
    </row>
    <row r="808" spans="13:13" ht="15.75" customHeight="1">
      <c r="M808" s="347"/>
    </row>
    <row r="809" spans="13:13" ht="15.75" customHeight="1">
      <c r="M809" s="347"/>
    </row>
    <row r="810" spans="13:13" ht="15.75" customHeight="1">
      <c r="M810" s="347"/>
    </row>
    <row r="811" spans="13:13" ht="15.75" customHeight="1">
      <c r="M811" s="347"/>
    </row>
    <row r="812" spans="13:13" ht="15.75" customHeight="1">
      <c r="M812" s="347"/>
    </row>
    <row r="813" spans="13:13" ht="15.75" customHeight="1">
      <c r="M813" s="347"/>
    </row>
    <row r="814" spans="13:13" ht="15.75" customHeight="1">
      <c r="M814" s="347"/>
    </row>
    <row r="815" spans="13:13" ht="15.75" customHeight="1">
      <c r="M815" s="347"/>
    </row>
    <row r="816" spans="13:13" ht="15.75" customHeight="1">
      <c r="M816" s="347"/>
    </row>
    <row r="817" spans="13:13" ht="15.75" customHeight="1">
      <c r="M817" s="347"/>
    </row>
    <row r="818" spans="13:13" ht="15.75" customHeight="1">
      <c r="M818" s="347"/>
    </row>
    <row r="819" spans="13:13" ht="15.75" customHeight="1">
      <c r="M819" s="347"/>
    </row>
    <row r="820" spans="13:13" ht="15.75" customHeight="1">
      <c r="M820" s="347"/>
    </row>
    <row r="821" spans="13:13" ht="15.75" customHeight="1">
      <c r="M821" s="347"/>
    </row>
    <row r="822" spans="13:13" ht="15.75" customHeight="1">
      <c r="M822" s="347"/>
    </row>
    <row r="823" spans="13:13" ht="15.75" customHeight="1">
      <c r="M823" s="347"/>
    </row>
    <row r="824" spans="13:13" ht="15.75" customHeight="1">
      <c r="M824" s="347"/>
    </row>
    <row r="825" spans="13:13" ht="15.75" customHeight="1">
      <c r="M825" s="347"/>
    </row>
    <row r="826" spans="13:13" ht="15.75" customHeight="1">
      <c r="M826" s="347"/>
    </row>
    <row r="827" spans="13:13" ht="15.75" customHeight="1">
      <c r="M827" s="347"/>
    </row>
    <row r="828" spans="13:13" ht="15.75" customHeight="1">
      <c r="M828" s="347"/>
    </row>
    <row r="829" spans="13:13" ht="15.75" customHeight="1">
      <c r="M829" s="347"/>
    </row>
    <row r="830" spans="13:13" ht="15.75" customHeight="1">
      <c r="M830" s="347"/>
    </row>
    <row r="831" spans="13:13" ht="15.75" customHeight="1">
      <c r="M831" s="347"/>
    </row>
    <row r="832" spans="13:13" ht="15.75" customHeight="1">
      <c r="M832" s="347"/>
    </row>
    <row r="833" spans="13:13" ht="15.75" customHeight="1">
      <c r="M833" s="347"/>
    </row>
    <row r="834" spans="13:13" ht="15.75" customHeight="1">
      <c r="M834" s="347"/>
    </row>
    <row r="835" spans="13:13" ht="15.75" customHeight="1">
      <c r="M835" s="347"/>
    </row>
    <row r="836" spans="13:13" ht="15.75" customHeight="1">
      <c r="M836" s="347"/>
    </row>
    <row r="837" spans="13:13" ht="15.75" customHeight="1">
      <c r="M837" s="347"/>
    </row>
    <row r="838" spans="13:13" ht="15.75" customHeight="1">
      <c r="M838" s="347"/>
    </row>
    <row r="839" spans="13:13" ht="15.75" customHeight="1">
      <c r="M839" s="347"/>
    </row>
    <row r="840" spans="13:13" ht="15.75" customHeight="1">
      <c r="M840" s="347"/>
    </row>
    <row r="841" spans="13:13" ht="15.75" customHeight="1">
      <c r="M841" s="347"/>
    </row>
    <row r="842" spans="13:13" ht="15.75" customHeight="1">
      <c r="M842" s="347"/>
    </row>
    <row r="843" spans="13:13" ht="15.75" customHeight="1">
      <c r="M843" s="347"/>
    </row>
    <row r="844" spans="13:13" ht="15.75" customHeight="1">
      <c r="M844" s="347"/>
    </row>
    <row r="845" spans="13:13" ht="15.75" customHeight="1">
      <c r="M845" s="347"/>
    </row>
    <row r="846" spans="13:13" ht="15.75" customHeight="1">
      <c r="M846" s="347"/>
    </row>
    <row r="847" spans="13:13" ht="15.75" customHeight="1">
      <c r="M847" s="347"/>
    </row>
    <row r="848" spans="13:13" ht="15.75" customHeight="1">
      <c r="M848" s="347"/>
    </row>
    <row r="849" spans="13:13" ht="15.75" customHeight="1">
      <c r="M849" s="347"/>
    </row>
    <row r="850" spans="13:13" ht="15.75" customHeight="1">
      <c r="M850" s="347"/>
    </row>
    <row r="851" spans="13:13" ht="15.75" customHeight="1">
      <c r="M851" s="347"/>
    </row>
    <row r="852" spans="13:13" ht="15.75" customHeight="1">
      <c r="M852" s="347"/>
    </row>
    <row r="853" spans="13:13" ht="15.75" customHeight="1">
      <c r="M853" s="347"/>
    </row>
    <row r="854" spans="13:13" ht="15.75" customHeight="1">
      <c r="M854" s="347"/>
    </row>
    <row r="855" spans="13:13" ht="15.75" customHeight="1">
      <c r="M855" s="347"/>
    </row>
    <row r="856" spans="13:13" ht="15.75" customHeight="1">
      <c r="M856" s="347"/>
    </row>
    <row r="857" spans="13:13" ht="15.75" customHeight="1">
      <c r="M857" s="347"/>
    </row>
    <row r="858" spans="13:13" ht="15.75" customHeight="1">
      <c r="M858" s="347"/>
    </row>
    <row r="859" spans="13:13" ht="15.75" customHeight="1">
      <c r="M859" s="347"/>
    </row>
    <row r="860" spans="13:13" ht="15.75" customHeight="1">
      <c r="M860" s="347"/>
    </row>
    <row r="861" spans="13:13" ht="15.75" customHeight="1">
      <c r="M861" s="347"/>
    </row>
    <row r="862" spans="13:13" ht="15.75" customHeight="1">
      <c r="M862" s="347"/>
    </row>
    <row r="863" spans="13:13" ht="15.75" customHeight="1">
      <c r="M863" s="347"/>
    </row>
    <row r="864" spans="13:13" ht="15.75" customHeight="1">
      <c r="M864" s="347"/>
    </row>
    <row r="865" spans="13:13" ht="15.75" customHeight="1">
      <c r="M865" s="347"/>
    </row>
    <row r="866" spans="13:13" ht="15.75" customHeight="1">
      <c r="M866" s="347"/>
    </row>
    <row r="867" spans="13:13" ht="15.75" customHeight="1">
      <c r="M867" s="347"/>
    </row>
    <row r="868" spans="13:13" ht="15.75" customHeight="1">
      <c r="M868" s="347"/>
    </row>
    <row r="869" spans="13:13" ht="15.75" customHeight="1">
      <c r="M869" s="347"/>
    </row>
    <row r="870" spans="13:13" ht="15.75" customHeight="1">
      <c r="M870" s="347"/>
    </row>
    <row r="871" spans="13:13" ht="15.75" customHeight="1">
      <c r="M871" s="347"/>
    </row>
    <row r="872" spans="13:13" ht="15.75" customHeight="1">
      <c r="M872" s="347"/>
    </row>
    <row r="873" spans="13:13" ht="15.75" customHeight="1">
      <c r="M873" s="347"/>
    </row>
    <row r="874" spans="13:13" ht="15.75" customHeight="1">
      <c r="M874" s="347"/>
    </row>
    <row r="875" spans="13:13" ht="15.75" customHeight="1">
      <c r="M875" s="347"/>
    </row>
    <row r="876" spans="13:13" ht="15.75" customHeight="1">
      <c r="M876" s="347"/>
    </row>
    <row r="877" spans="13:13" ht="15.75" customHeight="1">
      <c r="M877" s="347"/>
    </row>
    <row r="878" spans="13:13" ht="15.75" customHeight="1">
      <c r="M878" s="347"/>
    </row>
    <row r="879" spans="13:13" ht="15.75" customHeight="1">
      <c r="M879" s="347"/>
    </row>
    <row r="880" spans="13:13" ht="15.75" customHeight="1">
      <c r="M880" s="347"/>
    </row>
    <row r="881" spans="13:13" ht="15.75" customHeight="1">
      <c r="M881" s="347"/>
    </row>
    <row r="882" spans="13:13" ht="15.75" customHeight="1">
      <c r="M882" s="347"/>
    </row>
    <row r="883" spans="13:13" ht="15.75" customHeight="1">
      <c r="M883" s="347"/>
    </row>
    <row r="884" spans="13:13" ht="15.75" customHeight="1">
      <c r="M884" s="347"/>
    </row>
    <row r="885" spans="13:13" ht="15.75" customHeight="1">
      <c r="M885" s="347"/>
    </row>
    <row r="886" spans="13:13" ht="15.75" customHeight="1">
      <c r="M886" s="347"/>
    </row>
    <row r="887" spans="13:13" ht="15.75" customHeight="1">
      <c r="M887" s="347"/>
    </row>
    <row r="888" spans="13:13" ht="15.75" customHeight="1">
      <c r="M888" s="347"/>
    </row>
    <row r="889" spans="13:13" ht="15.75" customHeight="1">
      <c r="M889" s="347"/>
    </row>
    <row r="890" spans="13:13" ht="15.75" customHeight="1">
      <c r="M890" s="347"/>
    </row>
    <row r="891" spans="13:13" ht="15.75" customHeight="1">
      <c r="M891" s="347"/>
    </row>
    <row r="892" spans="13:13" ht="15.75" customHeight="1">
      <c r="M892" s="347"/>
    </row>
    <row r="893" spans="13:13" ht="15.75" customHeight="1">
      <c r="M893" s="347"/>
    </row>
    <row r="894" spans="13:13" ht="15.75" customHeight="1">
      <c r="M894" s="347"/>
    </row>
    <row r="895" spans="13:13" ht="15.75" customHeight="1">
      <c r="M895" s="347"/>
    </row>
    <row r="896" spans="13:13" ht="15.75" customHeight="1">
      <c r="M896" s="347"/>
    </row>
    <row r="897" spans="13:13" ht="15.75" customHeight="1">
      <c r="M897" s="347"/>
    </row>
    <row r="898" spans="13:13" ht="15.75" customHeight="1">
      <c r="M898" s="347"/>
    </row>
    <row r="899" spans="13:13" ht="15.75" customHeight="1">
      <c r="M899" s="347"/>
    </row>
    <row r="900" spans="13:13" ht="15.75" customHeight="1">
      <c r="M900" s="347"/>
    </row>
    <row r="901" spans="13:13" ht="15.75" customHeight="1">
      <c r="M901" s="347"/>
    </row>
    <row r="902" spans="13:13" ht="15.75" customHeight="1">
      <c r="M902" s="347"/>
    </row>
    <row r="903" spans="13:13" ht="15.75" customHeight="1">
      <c r="M903" s="347"/>
    </row>
    <row r="904" spans="13:13" ht="15.75" customHeight="1">
      <c r="M904" s="347"/>
    </row>
    <row r="905" spans="13:13" ht="15.75" customHeight="1">
      <c r="M905" s="347"/>
    </row>
    <row r="906" spans="13:13" ht="15.75" customHeight="1">
      <c r="M906" s="347"/>
    </row>
    <row r="907" spans="13:13" ht="15.75" customHeight="1">
      <c r="M907" s="347"/>
    </row>
    <row r="908" spans="13:13" ht="15.75" customHeight="1">
      <c r="M908" s="347"/>
    </row>
    <row r="909" spans="13:13" ht="15.75" customHeight="1">
      <c r="M909" s="347"/>
    </row>
    <row r="910" spans="13:13" ht="15.75" customHeight="1">
      <c r="M910" s="347"/>
    </row>
    <row r="911" spans="13:13" ht="15.75" customHeight="1">
      <c r="M911" s="347"/>
    </row>
    <row r="912" spans="13:13" ht="15.75" customHeight="1">
      <c r="M912" s="347"/>
    </row>
    <row r="913" spans="13:13" ht="15.75" customHeight="1">
      <c r="M913" s="347"/>
    </row>
    <row r="914" spans="13:13" ht="15.75" customHeight="1">
      <c r="M914" s="347"/>
    </row>
    <row r="915" spans="13:13" ht="15.75" customHeight="1">
      <c r="M915" s="347"/>
    </row>
    <row r="916" spans="13:13" ht="15.75" customHeight="1">
      <c r="M916" s="347"/>
    </row>
    <row r="917" spans="13:13" ht="15.75" customHeight="1">
      <c r="M917" s="347"/>
    </row>
    <row r="918" spans="13:13" ht="15.75" customHeight="1">
      <c r="M918" s="347"/>
    </row>
    <row r="919" spans="13:13" ht="15.75" customHeight="1">
      <c r="M919" s="347"/>
    </row>
    <row r="920" spans="13:13" ht="15.75" customHeight="1">
      <c r="M920" s="347"/>
    </row>
    <row r="921" spans="13:13" ht="15.75" customHeight="1">
      <c r="M921" s="347"/>
    </row>
    <row r="922" spans="13:13" ht="15.75" customHeight="1">
      <c r="M922" s="347"/>
    </row>
    <row r="923" spans="13:13" ht="15.75" customHeight="1">
      <c r="M923" s="347"/>
    </row>
    <row r="924" spans="13:13" ht="15.75" customHeight="1">
      <c r="M924" s="347"/>
    </row>
    <row r="925" spans="13:13" ht="15.75" customHeight="1">
      <c r="M925" s="347"/>
    </row>
    <row r="926" spans="13:13" ht="15.75" customHeight="1">
      <c r="M926" s="347"/>
    </row>
    <row r="927" spans="13:13" ht="15.75" customHeight="1">
      <c r="M927" s="347"/>
    </row>
    <row r="928" spans="13:13" ht="15.75" customHeight="1">
      <c r="M928" s="347"/>
    </row>
    <row r="929" spans="13:13" ht="15.75" customHeight="1">
      <c r="M929" s="347"/>
    </row>
    <row r="930" spans="13:13" ht="15.75" customHeight="1">
      <c r="M930" s="347"/>
    </row>
    <row r="931" spans="13:13" ht="15.75" customHeight="1">
      <c r="M931" s="347"/>
    </row>
    <row r="932" spans="13:13" ht="15.75" customHeight="1">
      <c r="M932" s="347"/>
    </row>
    <row r="933" spans="13:13" ht="15.75" customHeight="1">
      <c r="M933" s="347"/>
    </row>
    <row r="934" spans="13:13" ht="15.75" customHeight="1">
      <c r="M934" s="347"/>
    </row>
    <row r="935" spans="13:13" ht="15.75" customHeight="1">
      <c r="M935" s="347"/>
    </row>
    <row r="936" spans="13:13" ht="15.75" customHeight="1">
      <c r="M936" s="347"/>
    </row>
    <row r="937" spans="13:13" ht="15.75" customHeight="1">
      <c r="M937" s="347"/>
    </row>
    <row r="938" spans="13:13" ht="15.75" customHeight="1">
      <c r="M938" s="347"/>
    </row>
    <row r="939" spans="13:13" ht="15.75" customHeight="1">
      <c r="M939" s="347"/>
    </row>
    <row r="940" spans="13:13" ht="15.75" customHeight="1">
      <c r="M940" s="347"/>
    </row>
    <row r="941" spans="13:13" ht="15.75" customHeight="1">
      <c r="M941" s="347"/>
    </row>
    <row r="942" spans="13:13" ht="15.75" customHeight="1">
      <c r="M942" s="347"/>
    </row>
    <row r="943" spans="13:13" ht="15.75" customHeight="1">
      <c r="M943" s="347"/>
    </row>
    <row r="944" spans="13:13" ht="15.75" customHeight="1">
      <c r="M944" s="347"/>
    </row>
    <row r="945" spans="13:13" ht="15.75" customHeight="1">
      <c r="M945" s="347"/>
    </row>
    <row r="946" spans="13:13" ht="15.75" customHeight="1">
      <c r="M946" s="347"/>
    </row>
    <row r="947" spans="13:13" ht="15.75" customHeight="1">
      <c r="M947" s="347"/>
    </row>
    <row r="948" spans="13:13" ht="15.75" customHeight="1">
      <c r="M948" s="347"/>
    </row>
    <row r="949" spans="13:13" ht="15.75" customHeight="1">
      <c r="M949" s="347"/>
    </row>
    <row r="950" spans="13:13" ht="15.75" customHeight="1">
      <c r="M950" s="347"/>
    </row>
    <row r="951" spans="13:13" ht="15.75" customHeight="1">
      <c r="M951" s="347"/>
    </row>
    <row r="952" spans="13:13" ht="15.75" customHeight="1">
      <c r="M952" s="347"/>
    </row>
    <row r="953" spans="13:13" ht="15.75" customHeight="1">
      <c r="M953" s="347"/>
    </row>
    <row r="954" spans="13:13" ht="15.75" customHeight="1">
      <c r="M954" s="347"/>
    </row>
    <row r="955" spans="13:13" ht="15.75" customHeight="1">
      <c r="M955" s="347"/>
    </row>
    <row r="956" spans="13:13" ht="15.75" customHeight="1">
      <c r="M956" s="347"/>
    </row>
    <row r="957" spans="13:13" ht="15.75" customHeight="1">
      <c r="M957" s="347"/>
    </row>
    <row r="958" spans="13:13" ht="15.75" customHeight="1">
      <c r="M958" s="347"/>
    </row>
    <row r="959" spans="13:13" ht="15.75" customHeight="1">
      <c r="M959" s="347"/>
    </row>
    <row r="960" spans="13:13" ht="15.75" customHeight="1">
      <c r="M960" s="347"/>
    </row>
    <row r="961" spans="13:13" ht="15.75" customHeight="1">
      <c r="M961" s="347"/>
    </row>
    <row r="962" spans="13:13" ht="15.75" customHeight="1">
      <c r="M962" s="347"/>
    </row>
    <row r="963" spans="13:13" ht="15.75" customHeight="1">
      <c r="M963" s="347"/>
    </row>
    <row r="964" spans="13:13" ht="15.75" customHeight="1">
      <c r="M964" s="347"/>
    </row>
    <row r="965" spans="13:13" ht="15.75" customHeight="1">
      <c r="M965" s="347"/>
    </row>
    <row r="966" spans="13:13" ht="15.75" customHeight="1">
      <c r="M966" s="347"/>
    </row>
    <row r="967" spans="13:13" ht="15.75" customHeight="1">
      <c r="M967" s="347"/>
    </row>
    <row r="968" spans="13:13" ht="15.75" customHeight="1">
      <c r="M968" s="347"/>
    </row>
    <row r="969" spans="13:13" ht="15.75" customHeight="1">
      <c r="M969" s="347"/>
    </row>
    <row r="970" spans="13:13" ht="15.75" customHeight="1">
      <c r="M970" s="347"/>
    </row>
    <row r="971" spans="13:13" ht="15.75" customHeight="1">
      <c r="M971" s="347"/>
    </row>
    <row r="972" spans="13:13" ht="15.75" customHeight="1">
      <c r="M972" s="347"/>
    </row>
    <row r="973" spans="13:13" ht="15.75" customHeight="1">
      <c r="M973" s="347"/>
    </row>
    <row r="974" spans="13:13" ht="15.75" customHeight="1">
      <c r="M974" s="347"/>
    </row>
    <row r="975" spans="13:13" ht="15.75" customHeight="1">
      <c r="M975" s="347"/>
    </row>
    <row r="976" spans="13:13" ht="15.75" customHeight="1">
      <c r="M976" s="347"/>
    </row>
    <row r="977" spans="13:13" ht="15.75" customHeight="1">
      <c r="M977" s="347"/>
    </row>
    <row r="978" spans="13:13" ht="15.75" customHeight="1">
      <c r="M978" s="347"/>
    </row>
    <row r="979" spans="13:13" ht="15.75" customHeight="1">
      <c r="M979" s="347"/>
    </row>
    <row r="980" spans="13:13" ht="15.75" customHeight="1">
      <c r="M980" s="347"/>
    </row>
    <row r="981" spans="13:13" ht="15.75" customHeight="1">
      <c r="M981" s="347"/>
    </row>
    <row r="982" spans="13:13" ht="15.75" customHeight="1">
      <c r="M982" s="347"/>
    </row>
    <row r="983" spans="13:13" ht="15.75" customHeight="1">
      <c r="M983" s="347"/>
    </row>
    <row r="984" spans="13:13" ht="15.75" customHeight="1">
      <c r="M984" s="347"/>
    </row>
    <row r="985" spans="13:13" ht="15.75" customHeight="1">
      <c r="M985" s="347"/>
    </row>
    <row r="986" spans="13:13" ht="15.75" customHeight="1">
      <c r="M986" s="347"/>
    </row>
    <row r="987" spans="13:13" ht="15.75" customHeight="1">
      <c r="M987" s="347"/>
    </row>
    <row r="988" spans="13:13" ht="15.75" customHeight="1">
      <c r="M988" s="347"/>
    </row>
    <row r="989" spans="13:13" ht="15.75" customHeight="1">
      <c r="M989" s="347"/>
    </row>
    <row r="990" spans="13:13" ht="15.75" customHeight="1">
      <c r="M990" s="347"/>
    </row>
    <row r="991" spans="13:13" ht="15.75" customHeight="1">
      <c r="M991" s="347"/>
    </row>
    <row r="992" spans="13:13" ht="15.75" customHeight="1">
      <c r="M992" s="347"/>
    </row>
    <row r="993" spans="13:13" ht="15.75" customHeight="1">
      <c r="M993" s="347"/>
    </row>
    <row r="994" spans="13:13" ht="15.75" customHeight="1">
      <c r="M994" s="347"/>
    </row>
    <row r="995" spans="13:13" ht="15.75" customHeight="1">
      <c r="M995" s="347"/>
    </row>
    <row r="996" spans="13:13" ht="15.75" customHeight="1">
      <c r="M996" s="347"/>
    </row>
    <row r="997" spans="13:13" ht="15.75" customHeight="1">
      <c r="M997" s="347"/>
    </row>
    <row r="998" spans="13:13" ht="15.75" customHeight="1">
      <c r="M998" s="347"/>
    </row>
    <row r="999" spans="13:13" ht="15.75" customHeight="1">
      <c r="M999" s="347"/>
    </row>
    <row r="1000" spans="13:13" ht="15.75" customHeight="1">
      <c r="M1000" s="347"/>
    </row>
  </sheetData>
  <mergeCells count="4">
    <mergeCell ref="A1:G1"/>
    <mergeCell ref="A2:G2"/>
    <mergeCell ref="A3:G3"/>
    <mergeCell ref="A4:G4"/>
  </mergeCells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3:XFD238"/>
  <sheetViews>
    <sheetView topLeftCell="A25" workbookViewId="0">
      <selection activeCell="G7" sqref="G7"/>
    </sheetView>
  </sheetViews>
  <sheetFormatPr defaultColWidth="14.42578125" defaultRowHeight="15" customHeight="1"/>
  <cols>
    <col min="1" max="2" width="8.7109375" customWidth="1"/>
    <col min="3" max="3" width="11.5703125" customWidth="1"/>
    <col min="4" max="4" width="41.42578125" customWidth="1"/>
    <col min="5" max="5" width="19" customWidth="1"/>
    <col min="6" max="6" width="18.5703125" style="1055" customWidth="1"/>
    <col min="7" max="7" width="18.28515625" style="1055" customWidth="1"/>
    <col min="8" max="8" width="26.42578125" customWidth="1"/>
    <col min="9" max="9" width="19.5703125" customWidth="1"/>
    <col min="10" max="26" width="8.7109375" customWidth="1"/>
  </cols>
  <sheetData>
    <row r="3" spans="2:9" ht="15.75">
      <c r="B3" s="958" t="s">
        <v>657</v>
      </c>
      <c r="C3" s="959" t="s">
        <v>2017</v>
      </c>
      <c r="D3" s="958" t="s">
        <v>1890</v>
      </c>
      <c r="E3" s="606" t="s">
        <v>8</v>
      </c>
      <c r="F3" s="1243" t="s">
        <v>661</v>
      </c>
      <c r="G3" s="1243" t="s">
        <v>662</v>
      </c>
      <c r="H3" s="958" t="s">
        <v>663</v>
      </c>
      <c r="I3" s="958" t="s">
        <v>664</v>
      </c>
    </row>
    <row r="4" spans="2:9" ht="15.75">
      <c r="B4" s="893"/>
      <c r="C4" s="893"/>
      <c r="D4" s="893"/>
      <c r="E4" s="607" t="s">
        <v>667</v>
      </c>
      <c r="F4" s="1244"/>
      <c r="G4" s="1244"/>
      <c r="H4" s="893"/>
      <c r="I4" s="893"/>
    </row>
    <row r="5" spans="2:9" ht="47.25">
      <c r="B5" s="302">
        <v>1</v>
      </c>
      <c r="C5" s="136" t="s">
        <v>2018</v>
      </c>
      <c r="D5" s="32" t="s">
        <v>2019</v>
      </c>
      <c r="E5" s="608">
        <v>2</v>
      </c>
      <c r="F5" s="1245">
        <v>2500000</v>
      </c>
      <c r="G5" s="1245">
        <f t="shared" ref="G5:G7" si="0">F5*E5</f>
        <v>5000000</v>
      </c>
      <c r="H5" s="136" t="s">
        <v>2020</v>
      </c>
      <c r="I5" s="32" t="s">
        <v>704</v>
      </c>
    </row>
    <row r="6" spans="2:9" ht="47.25">
      <c r="B6" s="302">
        <v>2</v>
      </c>
      <c r="C6" s="136" t="s">
        <v>2018</v>
      </c>
      <c r="D6" s="32" t="s">
        <v>2021</v>
      </c>
      <c r="E6" s="608">
        <v>1</v>
      </c>
      <c r="F6" s="1245">
        <v>100000</v>
      </c>
      <c r="G6" s="1245">
        <f t="shared" si="0"/>
        <v>100000</v>
      </c>
      <c r="H6" s="136" t="s">
        <v>2022</v>
      </c>
      <c r="I6" s="32" t="s">
        <v>704</v>
      </c>
    </row>
    <row r="7" spans="2:9" ht="15.75">
      <c r="B7" s="1">
        <v>4</v>
      </c>
      <c r="C7" s="111" t="s">
        <v>2018</v>
      </c>
      <c r="D7" s="32" t="s">
        <v>2023</v>
      </c>
      <c r="E7" s="1">
        <v>21</v>
      </c>
      <c r="F7" s="1246">
        <v>10000</v>
      </c>
      <c r="G7" s="1245">
        <f t="shared" si="0"/>
        <v>210000</v>
      </c>
      <c r="H7" s="609"/>
      <c r="I7" s="32"/>
    </row>
    <row r="8" spans="2:9" ht="45">
      <c r="B8" s="1">
        <v>5</v>
      </c>
      <c r="C8" s="111" t="s">
        <v>2024</v>
      </c>
      <c r="D8" s="146" t="s">
        <v>2025</v>
      </c>
      <c r="E8" s="1">
        <v>5</v>
      </c>
      <c r="F8" s="1246">
        <v>1000000</v>
      </c>
      <c r="G8" s="1246">
        <v>5000000</v>
      </c>
      <c r="H8" s="32"/>
      <c r="I8" s="32" t="s">
        <v>1573</v>
      </c>
    </row>
    <row r="9" spans="2:9">
      <c r="B9" s="1">
        <v>6</v>
      </c>
      <c r="C9" s="610" t="s">
        <v>2026</v>
      </c>
      <c r="D9" s="146" t="s">
        <v>2027</v>
      </c>
      <c r="E9" s="1">
        <v>20</v>
      </c>
      <c r="F9" s="1246">
        <v>50000</v>
      </c>
      <c r="G9" s="1246">
        <f>F9*E9</f>
        <v>1000000</v>
      </c>
      <c r="H9" s="32"/>
      <c r="I9" s="32" t="s">
        <v>1573</v>
      </c>
    </row>
    <row r="10" spans="2:9" ht="15.75">
      <c r="B10" s="1">
        <v>7</v>
      </c>
      <c r="C10" s="32" t="s">
        <v>2028</v>
      </c>
      <c r="D10" s="32" t="s">
        <v>2029</v>
      </c>
      <c r="E10" s="1">
        <v>30</v>
      </c>
      <c r="F10" s="1246">
        <v>20000</v>
      </c>
      <c r="G10" s="1246">
        <v>600000</v>
      </c>
      <c r="H10" s="32" t="s">
        <v>2030</v>
      </c>
      <c r="I10" s="612" t="s">
        <v>671</v>
      </c>
    </row>
    <row r="11" spans="2:9" ht="30">
      <c r="B11" s="1">
        <v>8</v>
      </c>
      <c r="C11" s="32" t="s">
        <v>2028</v>
      </c>
      <c r="D11" s="111" t="s">
        <v>2031</v>
      </c>
      <c r="E11" s="1">
        <v>30</v>
      </c>
      <c r="F11" s="1246">
        <v>3000</v>
      </c>
      <c r="G11" s="1246">
        <v>90000</v>
      </c>
      <c r="H11" s="32" t="s">
        <v>2030</v>
      </c>
      <c r="I11" s="612" t="s">
        <v>671</v>
      </c>
    </row>
    <row r="12" spans="2:9" ht="15.75">
      <c r="B12" s="1"/>
      <c r="C12" s="963" t="s">
        <v>2032</v>
      </c>
      <c r="D12" s="111" t="s">
        <v>2033</v>
      </c>
      <c r="E12" s="1">
        <v>1</v>
      </c>
      <c r="F12" s="1246"/>
      <c r="G12" s="1246"/>
      <c r="H12" s="32"/>
      <c r="I12" s="612"/>
    </row>
    <row r="13" spans="2:9" ht="15.75">
      <c r="B13" s="1"/>
      <c r="C13" s="893"/>
      <c r="D13" s="111" t="s">
        <v>2034</v>
      </c>
      <c r="E13" s="1">
        <v>1</v>
      </c>
      <c r="F13" s="1246"/>
      <c r="G13" s="1246"/>
      <c r="H13" s="32"/>
      <c r="I13" s="612"/>
    </row>
    <row r="14" spans="2:9" ht="30">
      <c r="B14" s="1"/>
      <c r="C14" s="613" t="s">
        <v>2035</v>
      </c>
      <c r="D14" s="111" t="s">
        <v>2036</v>
      </c>
      <c r="E14" s="1">
        <v>1</v>
      </c>
      <c r="F14" s="1246" t="s">
        <v>2037</v>
      </c>
      <c r="G14" s="1246">
        <v>2000000</v>
      </c>
      <c r="H14" s="32"/>
      <c r="I14" s="612"/>
    </row>
    <row r="15" spans="2:9" ht="15.75">
      <c r="B15" s="1"/>
      <c r="C15" s="963" t="s">
        <v>2038</v>
      </c>
      <c r="D15" s="111" t="s">
        <v>2039</v>
      </c>
      <c r="E15" s="1">
        <v>1</v>
      </c>
      <c r="F15" s="1246"/>
      <c r="G15" s="1246">
        <v>5000000</v>
      </c>
      <c r="H15" s="32"/>
      <c r="I15" s="612"/>
    </row>
    <row r="16" spans="2:9" ht="15.75">
      <c r="B16" s="1"/>
      <c r="C16" s="893"/>
      <c r="D16" s="111" t="s">
        <v>2040</v>
      </c>
      <c r="E16" s="1"/>
      <c r="F16" s="1246"/>
      <c r="G16" s="1246" t="s">
        <v>2041</v>
      </c>
      <c r="H16" s="32"/>
      <c r="I16" s="612"/>
    </row>
    <row r="17" spans="1:9" ht="15.75">
      <c r="B17" s="1"/>
      <c r="C17" s="613" t="s">
        <v>2042</v>
      </c>
      <c r="D17" s="111" t="s">
        <v>2043</v>
      </c>
      <c r="E17" s="1">
        <v>1</v>
      </c>
      <c r="F17" s="1246">
        <v>300000</v>
      </c>
      <c r="G17" s="1246">
        <v>300000</v>
      </c>
      <c r="H17" s="32"/>
      <c r="I17" s="612"/>
    </row>
    <row r="18" spans="1:9" ht="15.75">
      <c r="B18" s="1"/>
      <c r="C18" s="960" t="s">
        <v>2044</v>
      </c>
      <c r="D18" s="111" t="s">
        <v>2045</v>
      </c>
      <c r="E18" s="1">
        <v>3</v>
      </c>
      <c r="F18" s="1246">
        <v>1500000</v>
      </c>
      <c r="G18" s="1246">
        <v>4500000</v>
      </c>
      <c r="H18" s="32"/>
      <c r="I18" s="612"/>
    </row>
    <row r="19" spans="1:9" ht="15.75">
      <c r="B19" s="1"/>
      <c r="C19" s="904"/>
      <c r="D19" s="111" t="s">
        <v>2046</v>
      </c>
      <c r="E19" s="1">
        <v>4</v>
      </c>
      <c r="F19" s="1246">
        <v>200000</v>
      </c>
      <c r="G19" s="1246">
        <v>800000</v>
      </c>
      <c r="H19" s="32"/>
      <c r="I19" s="612"/>
    </row>
    <row r="20" spans="1:9" ht="15.75">
      <c r="B20" s="1"/>
      <c r="C20" s="893"/>
      <c r="D20" s="111" t="s">
        <v>2047</v>
      </c>
      <c r="E20" s="1">
        <v>1</v>
      </c>
      <c r="F20" s="1246">
        <v>300000</v>
      </c>
      <c r="G20" s="1246">
        <v>300000</v>
      </c>
      <c r="H20" s="32"/>
      <c r="I20" s="612"/>
    </row>
    <row r="21" spans="1:9" ht="15.75" customHeight="1">
      <c r="B21" s="1"/>
      <c r="C21" s="960" t="s">
        <v>2048</v>
      </c>
      <c r="D21" s="111" t="s">
        <v>2049</v>
      </c>
      <c r="E21" s="1">
        <v>1</v>
      </c>
      <c r="F21" s="1246">
        <v>1000000</v>
      </c>
      <c r="G21" s="1246">
        <v>1000000</v>
      </c>
      <c r="H21" s="32"/>
      <c r="I21" s="612"/>
    </row>
    <row r="22" spans="1:9" ht="15.75" customHeight="1">
      <c r="B22" s="1"/>
      <c r="C22" s="904"/>
      <c r="D22" s="111" t="s">
        <v>2050</v>
      </c>
      <c r="E22" s="1">
        <v>6</v>
      </c>
      <c r="F22" s="1246">
        <v>600000</v>
      </c>
      <c r="G22" s="1246">
        <v>3600000</v>
      </c>
      <c r="H22" s="32"/>
      <c r="I22" s="612"/>
    </row>
    <row r="23" spans="1:9" ht="15.75" customHeight="1">
      <c r="B23" s="1"/>
      <c r="C23" s="904"/>
      <c r="D23" s="111" t="s">
        <v>2051</v>
      </c>
      <c r="E23" s="1">
        <v>6</v>
      </c>
      <c r="F23" s="1246">
        <v>400000</v>
      </c>
      <c r="G23" s="1246">
        <v>2400000</v>
      </c>
      <c r="H23" s="32"/>
      <c r="I23" s="612"/>
    </row>
    <row r="24" spans="1:9" ht="15.75" customHeight="1">
      <c r="B24" s="1"/>
      <c r="C24" s="893"/>
      <c r="D24" s="111" t="s">
        <v>2052</v>
      </c>
      <c r="E24" s="1">
        <v>1</v>
      </c>
      <c r="F24" s="1246">
        <v>1000000</v>
      </c>
      <c r="G24" s="1246">
        <v>1000000</v>
      </c>
      <c r="H24" s="32"/>
      <c r="I24" s="612"/>
    </row>
    <row r="25" spans="1:9" ht="30">
      <c r="B25" s="1">
        <v>9</v>
      </c>
      <c r="C25" s="129" t="s">
        <v>2053</v>
      </c>
      <c r="D25" s="614" t="s">
        <v>2054</v>
      </c>
      <c r="E25" s="614">
        <v>4</v>
      </c>
      <c r="F25" s="1247">
        <v>300000</v>
      </c>
      <c r="G25" s="1247">
        <f>F25*E25</f>
        <v>1200000</v>
      </c>
      <c r="H25" s="32"/>
      <c r="I25" s="32"/>
    </row>
    <row r="26" spans="1:9" ht="30">
      <c r="B26" s="1">
        <v>10</v>
      </c>
      <c r="C26" s="129" t="s">
        <v>2053</v>
      </c>
      <c r="D26" s="616" t="s">
        <v>2055</v>
      </c>
      <c r="E26" s="617">
        <v>1</v>
      </c>
      <c r="F26" s="1247">
        <v>40000000</v>
      </c>
      <c r="G26" s="1247">
        <v>40000000</v>
      </c>
      <c r="H26" s="32"/>
      <c r="I26" s="32"/>
    </row>
    <row r="27" spans="1:9" ht="15.75" customHeight="1">
      <c r="B27" s="32"/>
      <c r="C27" s="32" t="s">
        <v>594</v>
      </c>
      <c r="D27" s="32"/>
      <c r="E27" s="1"/>
      <c r="F27" s="1246"/>
      <c r="G27" s="1247">
        <v>5000000</v>
      </c>
      <c r="H27" s="32"/>
      <c r="I27" s="32"/>
    </row>
    <row r="28" spans="1:9" ht="15.75" customHeight="1">
      <c r="A28" s="960"/>
      <c r="B28" s="964"/>
      <c r="C28" s="960" t="s">
        <v>2056</v>
      </c>
      <c r="D28" s="111" t="s">
        <v>1437</v>
      </c>
      <c r="E28" s="32">
        <v>35</v>
      </c>
      <c r="F28" s="1246">
        <v>10000</v>
      </c>
      <c r="G28" s="1246">
        <f t="shared" ref="G28:G36" si="1">F28*E28</f>
        <v>350000</v>
      </c>
      <c r="H28" s="965" t="s">
        <v>1573</v>
      </c>
    </row>
    <row r="29" spans="1:9" ht="15.75" customHeight="1">
      <c r="A29" s="904"/>
      <c r="B29" s="904"/>
      <c r="C29" s="904"/>
      <c r="D29" s="111" t="s">
        <v>2057</v>
      </c>
      <c r="E29" s="32">
        <v>8</v>
      </c>
      <c r="F29" s="1246">
        <v>25000</v>
      </c>
      <c r="G29" s="1246">
        <f t="shared" si="1"/>
        <v>200000</v>
      </c>
      <c r="H29" s="904"/>
    </row>
    <row r="30" spans="1:9" ht="15.75" customHeight="1">
      <c r="A30" s="904"/>
      <c r="B30" s="904"/>
      <c r="C30" s="904"/>
      <c r="D30" s="111" t="s">
        <v>1902</v>
      </c>
      <c r="E30" s="32">
        <v>35</v>
      </c>
      <c r="F30" s="1246">
        <v>20000</v>
      </c>
      <c r="G30" s="1246">
        <f t="shared" si="1"/>
        <v>700000</v>
      </c>
      <c r="H30" s="904"/>
    </row>
    <row r="31" spans="1:9" ht="15.75" customHeight="1">
      <c r="A31" s="904"/>
      <c r="B31" s="904"/>
      <c r="C31" s="904"/>
      <c r="D31" s="111" t="s">
        <v>2058</v>
      </c>
      <c r="E31" s="32">
        <v>35</v>
      </c>
      <c r="F31" s="1246">
        <v>5000</v>
      </c>
      <c r="G31" s="1246">
        <f t="shared" si="1"/>
        <v>175000</v>
      </c>
      <c r="H31" s="904"/>
    </row>
    <row r="32" spans="1:9" ht="15.75" customHeight="1">
      <c r="A32" s="893"/>
      <c r="B32" s="893"/>
      <c r="C32" s="893"/>
      <c r="D32" s="111" t="s">
        <v>2059</v>
      </c>
      <c r="E32" s="32">
        <v>35</v>
      </c>
      <c r="F32" s="1246">
        <v>35000</v>
      </c>
      <c r="G32" s="1246">
        <f t="shared" si="1"/>
        <v>1225000</v>
      </c>
      <c r="H32" s="893"/>
    </row>
    <row r="33" spans="1:16384" ht="15.75" customHeight="1">
      <c r="A33" s="960">
        <v>35</v>
      </c>
      <c r="B33" s="961" t="s">
        <v>2060</v>
      </c>
      <c r="C33" s="962" t="s">
        <v>2061</v>
      </c>
      <c r="D33" s="9" t="s">
        <v>1437</v>
      </c>
      <c r="E33" s="32">
        <v>20</v>
      </c>
      <c r="F33" s="1248">
        <v>15000</v>
      </c>
      <c r="G33" s="1248">
        <f t="shared" si="1"/>
        <v>300000</v>
      </c>
      <c r="H33" s="960" t="s">
        <v>1573</v>
      </c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  <c r="AA33" s="16"/>
      <c r="AB33" s="16"/>
      <c r="AC33" s="16"/>
      <c r="AD33" s="16"/>
      <c r="AE33" s="16"/>
      <c r="AF33" s="16"/>
      <c r="AG33" s="16"/>
      <c r="AH33" s="16"/>
      <c r="AI33" s="16"/>
      <c r="AJ33" s="16"/>
      <c r="AK33" s="16"/>
      <c r="AL33" s="16"/>
      <c r="AM33" s="16"/>
      <c r="AN33" s="16"/>
      <c r="AO33" s="16"/>
      <c r="AP33" s="16"/>
      <c r="AQ33" s="16"/>
      <c r="AR33" s="16"/>
      <c r="AS33" s="16"/>
      <c r="AT33" s="16"/>
      <c r="AU33" s="16"/>
      <c r="AV33" s="16"/>
      <c r="AW33" s="16"/>
      <c r="AX33" s="16"/>
      <c r="AY33" s="16"/>
      <c r="AZ33" s="16"/>
      <c r="BA33" s="16"/>
      <c r="BB33" s="16"/>
      <c r="BC33" s="16"/>
      <c r="BD33" s="16"/>
      <c r="BE33" s="16"/>
      <c r="BF33" s="16"/>
      <c r="BG33" s="16"/>
      <c r="BH33" s="16"/>
      <c r="BI33" s="16"/>
      <c r="BJ33" s="16"/>
      <c r="BK33" s="16"/>
      <c r="BL33" s="16"/>
      <c r="BM33" s="16"/>
      <c r="BN33" s="16"/>
      <c r="BO33" s="16"/>
      <c r="BP33" s="16"/>
      <c r="BQ33" s="16"/>
      <c r="BR33" s="16"/>
      <c r="BS33" s="16"/>
      <c r="BT33" s="16"/>
      <c r="BU33" s="16"/>
      <c r="BV33" s="16"/>
      <c r="BW33" s="16"/>
      <c r="BX33" s="16"/>
      <c r="BY33" s="16"/>
      <c r="BZ33" s="16"/>
      <c r="CA33" s="16"/>
      <c r="CB33" s="16"/>
      <c r="CC33" s="16"/>
      <c r="CD33" s="16"/>
      <c r="CE33" s="16"/>
      <c r="CF33" s="16"/>
      <c r="CG33" s="16"/>
      <c r="CH33" s="16"/>
      <c r="CI33" s="16"/>
      <c r="CJ33" s="16"/>
      <c r="CK33" s="16"/>
      <c r="CL33" s="16"/>
      <c r="CM33" s="16"/>
      <c r="CN33" s="16"/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6"/>
      <c r="DA33" s="16"/>
      <c r="DB33" s="16"/>
      <c r="DC33" s="16"/>
      <c r="DD33" s="16"/>
      <c r="DE33" s="16"/>
      <c r="DF33" s="16"/>
      <c r="DG33" s="16"/>
      <c r="DH33" s="16"/>
      <c r="DI33" s="16"/>
      <c r="DJ33" s="16"/>
      <c r="DK33" s="16"/>
      <c r="DL33" s="16"/>
      <c r="DM33" s="16"/>
      <c r="DN33" s="16"/>
      <c r="DO33" s="16"/>
      <c r="DP33" s="16"/>
      <c r="DQ33" s="16"/>
      <c r="DR33" s="16"/>
      <c r="DS33" s="16"/>
      <c r="DT33" s="16"/>
      <c r="DU33" s="16"/>
      <c r="DV33" s="16"/>
      <c r="DW33" s="16"/>
      <c r="DX33" s="16"/>
      <c r="DY33" s="16"/>
      <c r="DZ33" s="16"/>
      <c r="EA33" s="16"/>
      <c r="EB33" s="16"/>
      <c r="EC33" s="16"/>
      <c r="ED33" s="16"/>
      <c r="EE33" s="16"/>
      <c r="EF33" s="16"/>
      <c r="EG33" s="16"/>
      <c r="EH33" s="16"/>
      <c r="EI33" s="16"/>
      <c r="EJ33" s="16"/>
      <c r="EK33" s="16"/>
      <c r="EL33" s="16"/>
      <c r="EM33" s="16"/>
      <c r="EN33" s="16"/>
      <c r="EO33" s="16"/>
      <c r="EP33" s="16"/>
      <c r="EQ33" s="16"/>
      <c r="ER33" s="16"/>
      <c r="ES33" s="16"/>
      <c r="ET33" s="16"/>
      <c r="EU33" s="16"/>
      <c r="EV33" s="16"/>
      <c r="EW33" s="16"/>
      <c r="EX33" s="16"/>
      <c r="EY33" s="16"/>
      <c r="EZ33" s="16"/>
      <c r="FA33" s="16"/>
      <c r="FB33" s="16"/>
      <c r="FC33" s="16"/>
      <c r="FD33" s="16"/>
      <c r="FE33" s="16"/>
      <c r="FF33" s="16"/>
      <c r="FG33" s="16"/>
      <c r="FH33" s="16"/>
      <c r="FI33" s="16"/>
      <c r="FJ33" s="16"/>
      <c r="FK33" s="16"/>
      <c r="FL33" s="16"/>
      <c r="FM33" s="16"/>
      <c r="FN33" s="16"/>
      <c r="FO33" s="16"/>
      <c r="FP33" s="16"/>
      <c r="FQ33" s="16"/>
      <c r="FR33" s="16"/>
      <c r="FS33" s="16"/>
      <c r="FT33" s="16"/>
      <c r="FU33" s="16"/>
      <c r="FV33" s="16"/>
      <c r="FW33" s="16"/>
      <c r="FX33" s="16"/>
      <c r="FY33" s="16"/>
      <c r="FZ33" s="16"/>
      <c r="GA33" s="16"/>
      <c r="GB33" s="16"/>
      <c r="GC33" s="16"/>
      <c r="GD33" s="16"/>
      <c r="GE33" s="16"/>
      <c r="GF33" s="16"/>
      <c r="GG33" s="16"/>
      <c r="GH33" s="16"/>
      <c r="GI33" s="16"/>
      <c r="GJ33" s="16"/>
      <c r="GK33" s="16"/>
      <c r="GL33" s="16"/>
      <c r="GM33" s="16"/>
      <c r="GN33" s="16"/>
      <c r="GO33" s="16"/>
      <c r="GP33" s="16"/>
      <c r="GQ33" s="16"/>
      <c r="GR33" s="16"/>
      <c r="GS33" s="16"/>
      <c r="GT33" s="16"/>
      <c r="GU33" s="16"/>
      <c r="GV33" s="16"/>
      <c r="GW33" s="16"/>
      <c r="GX33" s="16"/>
      <c r="GY33" s="16"/>
      <c r="GZ33" s="16"/>
      <c r="HA33" s="16"/>
      <c r="HB33" s="16"/>
      <c r="HC33" s="16"/>
      <c r="HD33" s="16"/>
      <c r="HE33" s="16"/>
      <c r="HF33" s="16"/>
      <c r="HG33" s="16"/>
      <c r="HH33" s="16"/>
      <c r="HI33" s="16"/>
      <c r="HJ33" s="16"/>
      <c r="HK33" s="16"/>
      <c r="HL33" s="16"/>
      <c r="HM33" s="16"/>
      <c r="HN33" s="16"/>
      <c r="HO33" s="16"/>
      <c r="HP33" s="16"/>
      <c r="HQ33" s="16"/>
      <c r="HR33" s="16"/>
      <c r="HS33" s="16"/>
      <c r="HT33" s="16"/>
      <c r="HU33" s="16"/>
      <c r="HV33" s="16"/>
      <c r="HW33" s="16"/>
      <c r="HX33" s="16"/>
      <c r="HY33" s="16"/>
      <c r="HZ33" s="16"/>
      <c r="IA33" s="16"/>
      <c r="IB33" s="16"/>
      <c r="IC33" s="16"/>
      <c r="ID33" s="16"/>
      <c r="IE33" s="16"/>
      <c r="IF33" s="16"/>
      <c r="IG33" s="16"/>
      <c r="IH33" s="16"/>
      <c r="II33" s="16"/>
      <c r="IJ33" s="16"/>
      <c r="IK33" s="16"/>
      <c r="IL33" s="16"/>
      <c r="IM33" s="16"/>
      <c r="IN33" s="16"/>
      <c r="IO33" s="16"/>
      <c r="IP33" s="16"/>
      <c r="IQ33" s="16"/>
      <c r="IR33" s="16"/>
      <c r="IS33" s="16"/>
      <c r="IT33" s="16"/>
      <c r="IU33" s="16"/>
      <c r="IV33" s="16"/>
      <c r="IW33" s="16"/>
      <c r="IX33" s="16"/>
      <c r="IY33" s="16"/>
      <c r="IZ33" s="16"/>
      <c r="JA33" s="16"/>
      <c r="JB33" s="16"/>
      <c r="JC33" s="16"/>
      <c r="JD33" s="16"/>
      <c r="JE33" s="16"/>
      <c r="JF33" s="16"/>
      <c r="JG33" s="16"/>
      <c r="JH33" s="16"/>
      <c r="JI33" s="16"/>
      <c r="JJ33" s="16"/>
      <c r="JK33" s="16"/>
      <c r="JL33" s="16"/>
      <c r="JM33" s="16"/>
      <c r="JN33" s="16"/>
      <c r="JO33" s="16"/>
      <c r="JP33" s="16"/>
      <c r="JQ33" s="16"/>
      <c r="JR33" s="16"/>
      <c r="JS33" s="16"/>
      <c r="JT33" s="16"/>
      <c r="JU33" s="16"/>
      <c r="JV33" s="16"/>
      <c r="JW33" s="16"/>
      <c r="JX33" s="16"/>
      <c r="JY33" s="16"/>
      <c r="JZ33" s="16"/>
      <c r="KA33" s="16"/>
      <c r="KB33" s="16"/>
      <c r="KC33" s="16"/>
      <c r="KD33" s="16"/>
      <c r="KE33" s="16"/>
      <c r="KF33" s="16"/>
      <c r="KG33" s="16"/>
      <c r="KH33" s="16"/>
      <c r="KI33" s="16"/>
      <c r="KJ33" s="16"/>
      <c r="KK33" s="16"/>
      <c r="KL33" s="16"/>
      <c r="KM33" s="16"/>
      <c r="KN33" s="16"/>
      <c r="KO33" s="16"/>
      <c r="KP33" s="16"/>
      <c r="KQ33" s="16"/>
      <c r="KR33" s="16"/>
      <c r="KS33" s="16"/>
      <c r="KT33" s="16"/>
      <c r="KU33" s="16"/>
      <c r="KV33" s="16"/>
      <c r="KW33" s="16"/>
      <c r="KX33" s="16"/>
      <c r="KY33" s="16"/>
      <c r="KZ33" s="16"/>
      <c r="LA33" s="16"/>
      <c r="LB33" s="16"/>
      <c r="LC33" s="16"/>
      <c r="LD33" s="16"/>
      <c r="LE33" s="16"/>
      <c r="LF33" s="16"/>
      <c r="LG33" s="16"/>
      <c r="LH33" s="16"/>
      <c r="LI33" s="16"/>
      <c r="LJ33" s="16"/>
      <c r="LK33" s="16"/>
      <c r="LL33" s="16"/>
      <c r="LM33" s="16"/>
      <c r="LN33" s="16"/>
      <c r="LO33" s="16"/>
      <c r="LP33" s="16"/>
      <c r="LQ33" s="16"/>
      <c r="LR33" s="16"/>
      <c r="LS33" s="16"/>
      <c r="LT33" s="16"/>
      <c r="LU33" s="16"/>
      <c r="LV33" s="16"/>
      <c r="LW33" s="16"/>
      <c r="LX33" s="16"/>
      <c r="LY33" s="16"/>
      <c r="LZ33" s="16"/>
      <c r="MA33" s="16"/>
      <c r="MB33" s="16"/>
      <c r="MC33" s="16"/>
      <c r="MD33" s="16"/>
      <c r="ME33" s="16"/>
      <c r="MF33" s="16"/>
      <c r="MG33" s="16"/>
      <c r="MH33" s="16"/>
      <c r="MI33" s="16"/>
      <c r="MJ33" s="16"/>
      <c r="MK33" s="16"/>
      <c r="ML33" s="16"/>
      <c r="MM33" s="16"/>
      <c r="MN33" s="16"/>
      <c r="MO33" s="16"/>
      <c r="MP33" s="16"/>
      <c r="MQ33" s="16"/>
      <c r="MR33" s="16"/>
      <c r="MS33" s="16"/>
      <c r="MT33" s="16"/>
      <c r="MU33" s="16"/>
      <c r="MV33" s="16"/>
      <c r="MW33" s="16"/>
      <c r="MX33" s="16"/>
      <c r="MY33" s="16"/>
      <c r="MZ33" s="16"/>
      <c r="NA33" s="16"/>
      <c r="NB33" s="16"/>
      <c r="NC33" s="16"/>
      <c r="ND33" s="16"/>
      <c r="NE33" s="16"/>
      <c r="NF33" s="16"/>
      <c r="NG33" s="16"/>
      <c r="NH33" s="16"/>
      <c r="NI33" s="16"/>
      <c r="NJ33" s="16"/>
      <c r="NK33" s="16"/>
      <c r="NL33" s="16"/>
      <c r="NM33" s="16"/>
      <c r="NN33" s="16"/>
      <c r="NO33" s="16"/>
      <c r="NP33" s="16"/>
      <c r="NQ33" s="16"/>
      <c r="NR33" s="16"/>
      <c r="NS33" s="16"/>
      <c r="NT33" s="16"/>
      <c r="NU33" s="16"/>
      <c r="NV33" s="16"/>
      <c r="NW33" s="16"/>
      <c r="NX33" s="16"/>
      <c r="NY33" s="16"/>
      <c r="NZ33" s="16"/>
      <c r="OA33" s="16"/>
      <c r="OB33" s="16"/>
      <c r="OC33" s="16"/>
      <c r="OD33" s="16"/>
      <c r="OE33" s="16"/>
      <c r="OF33" s="16"/>
      <c r="OG33" s="16"/>
      <c r="OH33" s="16"/>
      <c r="OI33" s="16"/>
      <c r="OJ33" s="16"/>
      <c r="OK33" s="16"/>
      <c r="OL33" s="16"/>
      <c r="OM33" s="16"/>
      <c r="ON33" s="16"/>
      <c r="OO33" s="16"/>
      <c r="OP33" s="16"/>
      <c r="OQ33" s="16"/>
      <c r="OR33" s="16"/>
      <c r="OS33" s="16"/>
      <c r="OT33" s="16"/>
      <c r="OU33" s="16"/>
      <c r="OV33" s="16"/>
      <c r="OW33" s="16"/>
      <c r="OX33" s="16"/>
      <c r="OY33" s="16"/>
      <c r="OZ33" s="16"/>
      <c r="PA33" s="16"/>
      <c r="PB33" s="16"/>
      <c r="PC33" s="16"/>
      <c r="PD33" s="16"/>
      <c r="PE33" s="16"/>
      <c r="PF33" s="16"/>
      <c r="PG33" s="16"/>
      <c r="PH33" s="16"/>
      <c r="PI33" s="16"/>
      <c r="PJ33" s="16"/>
      <c r="PK33" s="16"/>
      <c r="PL33" s="16"/>
      <c r="PM33" s="16"/>
      <c r="PN33" s="16"/>
      <c r="PO33" s="16"/>
      <c r="PP33" s="16"/>
      <c r="PQ33" s="16"/>
      <c r="PR33" s="16"/>
      <c r="PS33" s="16"/>
      <c r="PT33" s="16"/>
      <c r="PU33" s="16"/>
      <c r="PV33" s="16"/>
      <c r="PW33" s="16"/>
      <c r="PX33" s="16"/>
      <c r="PY33" s="16"/>
      <c r="PZ33" s="16"/>
      <c r="QA33" s="16"/>
      <c r="QB33" s="16"/>
      <c r="QC33" s="16"/>
      <c r="QD33" s="16"/>
      <c r="QE33" s="16"/>
      <c r="QF33" s="16"/>
      <c r="QG33" s="16"/>
      <c r="QH33" s="16"/>
      <c r="QI33" s="16"/>
      <c r="QJ33" s="16"/>
      <c r="QK33" s="16"/>
      <c r="QL33" s="16"/>
      <c r="QM33" s="16"/>
      <c r="QN33" s="16"/>
      <c r="QO33" s="16"/>
      <c r="QP33" s="16"/>
      <c r="QQ33" s="16"/>
      <c r="QR33" s="16"/>
      <c r="QS33" s="16"/>
      <c r="QT33" s="16"/>
      <c r="QU33" s="16"/>
      <c r="QV33" s="16"/>
      <c r="QW33" s="16"/>
      <c r="QX33" s="16"/>
      <c r="QY33" s="16"/>
      <c r="QZ33" s="16"/>
      <c r="RA33" s="16"/>
      <c r="RB33" s="16"/>
      <c r="RC33" s="16"/>
      <c r="RD33" s="16"/>
      <c r="RE33" s="16"/>
      <c r="RF33" s="16"/>
      <c r="RG33" s="16"/>
      <c r="RH33" s="16"/>
      <c r="RI33" s="16"/>
      <c r="RJ33" s="16"/>
      <c r="RK33" s="16"/>
      <c r="RL33" s="16"/>
      <c r="RM33" s="16"/>
      <c r="RN33" s="16"/>
      <c r="RO33" s="16"/>
      <c r="RP33" s="16"/>
      <c r="RQ33" s="16"/>
      <c r="RR33" s="16"/>
      <c r="RS33" s="16"/>
      <c r="RT33" s="16"/>
      <c r="RU33" s="16"/>
      <c r="RV33" s="16"/>
      <c r="RW33" s="16"/>
      <c r="RX33" s="16"/>
      <c r="RY33" s="16"/>
      <c r="RZ33" s="16"/>
      <c r="SA33" s="16"/>
      <c r="SB33" s="16"/>
      <c r="SC33" s="16"/>
      <c r="SD33" s="16"/>
      <c r="SE33" s="16"/>
      <c r="SF33" s="16"/>
      <c r="SG33" s="16"/>
      <c r="SH33" s="16"/>
      <c r="SI33" s="16"/>
      <c r="SJ33" s="16"/>
      <c r="SK33" s="16"/>
      <c r="SL33" s="16"/>
      <c r="SM33" s="16"/>
      <c r="SN33" s="16"/>
      <c r="SO33" s="16"/>
      <c r="SP33" s="16"/>
      <c r="SQ33" s="16"/>
      <c r="SR33" s="16"/>
      <c r="SS33" s="16"/>
      <c r="ST33" s="16"/>
      <c r="SU33" s="16"/>
      <c r="SV33" s="16"/>
      <c r="SW33" s="16"/>
      <c r="SX33" s="16"/>
      <c r="SY33" s="16"/>
      <c r="SZ33" s="16"/>
      <c r="TA33" s="16"/>
      <c r="TB33" s="16"/>
      <c r="TC33" s="16"/>
      <c r="TD33" s="16"/>
      <c r="TE33" s="16"/>
      <c r="TF33" s="16"/>
      <c r="TG33" s="16"/>
      <c r="TH33" s="16"/>
      <c r="TI33" s="16"/>
      <c r="TJ33" s="16"/>
      <c r="TK33" s="16"/>
      <c r="TL33" s="16"/>
      <c r="TM33" s="16"/>
      <c r="TN33" s="16"/>
      <c r="TO33" s="16"/>
      <c r="TP33" s="16"/>
      <c r="TQ33" s="16"/>
      <c r="TR33" s="16"/>
      <c r="TS33" s="16"/>
      <c r="TT33" s="16"/>
      <c r="TU33" s="16"/>
      <c r="TV33" s="16"/>
      <c r="TW33" s="16"/>
      <c r="TX33" s="16"/>
      <c r="TY33" s="16"/>
      <c r="TZ33" s="16"/>
      <c r="UA33" s="16"/>
      <c r="UB33" s="16"/>
      <c r="UC33" s="16"/>
      <c r="UD33" s="16"/>
      <c r="UE33" s="16"/>
      <c r="UF33" s="16"/>
      <c r="UG33" s="16"/>
      <c r="UH33" s="16"/>
      <c r="UI33" s="16"/>
      <c r="UJ33" s="16"/>
      <c r="UK33" s="16"/>
      <c r="UL33" s="16"/>
      <c r="UM33" s="16"/>
      <c r="UN33" s="16"/>
      <c r="UO33" s="16"/>
      <c r="UP33" s="16"/>
      <c r="UQ33" s="16"/>
      <c r="UR33" s="16"/>
      <c r="US33" s="16"/>
      <c r="UT33" s="16"/>
      <c r="UU33" s="16"/>
      <c r="UV33" s="16"/>
      <c r="UW33" s="16"/>
      <c r="UX33" s="16"/>
      <c r="UY33" s="16"/>
      <c r="UZ33" s="16"/>
      <c r="VA33" s="16"/>
      <c r="VB33" s="16"/>
      <c r="VC33" s="16"/>
      <c r="VD33" s="16"/>
      <c r="VE33" s="16"/>
      <c r="VF33" s="16"/>
      <c r="VG33" s="16"/>
      <c r="VH33" s="16"/>
      <c r="VI33" s="16"/>
      <c r="VJ33" s="16"/>
      <c r="VK33" s="16"/>
      <c r="VL33" s="16"/>
      <c r="VM33" s="16"/>
      <c r="VN33" s="16"/>
      <c r="VO33" s="16"/>
      <c r="VP33" s="16"/>
      <c r="VQ33" s="16"/>
      <c r="VR33" s="16"/>
      <c r="VS33" s="16"/>
      <c r="VT33" s="16"/>
      <c r="VU33" s="16"/>
      <c r="VV33" s="16"/>
      <c r="VW33" s="16"/>
      <c r="VX33" s="16"/>
      <c r="VY33" s="16"/>
      <c r="VZ33" s="16"/>
      <c r="WA33" s="16"/>
      <c r="WB33" s="16"/>
      <c r="WC33" s="16"/>
      <c r="WD33" s="16"/>
      <c r="WE33" s="16"/>
      <c r="WF33" s="16"/>
      <c r="WG33" s="16"/>
      <c r="WH33" s="16"/>
      <c r="WI33" s="16"/>
      <c r="WJ33" s="16"/>
      <c r="WK33" s="16"/>
      <c r="WL33" s="16"/>
      <c r="WM33" s="16"/>
      <c r="WN33" s="16"/>
      <c r="WO33" s="16"/>
      <c r="WP33" s="16"/>
      <c r="WQ33" s="16"/>
      <c r="WR33" s="16"/>
      <c r="WS33" s="16"/>
      <c r="WT33" s="16"/>
      <c r="WU33" s="16"/>
      <c r="WV33" s="16"/>
      <c r="WW33" s="16"/>
      <c r="WX33" s="16"/>
      <c r="WY33" s="16"/>
      <c r="WZ33" s="16"/>
      <c r="XA33" s="16"/>
      <c r="XB33" s="16"/>
      <c r="XC33" s="16"/>
      <c r="XD33" s="16"/>
      <c r="XE33" s="16"/>
      <c r="XF33" s="16"/>
      <c r="XG33" s="16"/>
      <c r="XH33" s="16"/>
      <c r="XI33" s="16"/>
      <c r="XJ33" s="16"/>
      <c r="XK33" s="16"/>
      <c r="XL33" s="16"/>
      <c r="XM33" s="16"/>
      <c r="XN33" s="16"/>
      <c r="XO33" s="16"/>
      <c r="XP33" s="16"/>
      <c r="XQ33" s="16"/>
      <c r="XR33" s="16"/>
      <c r="XS33" s="16"/>
      <c r="XT33" s="16"/>
      <c r="XU33" s="16"/>
      <c r="XV33" s="16"/>
      <c r="XW33" s="16"/>
      <c r="XX33" s="16"/>
      <c r="XY33" s="16"/>
      <c r="XZ33" s="16"/>
      <c r="YA33" s="16"/>
      <c r="YB33" s="16"/>
      <c r="YC33" s="16"/>
      <c r="YD33" s="16"/>
      <c r="YE33" s="16"/>
      <c r="YF33" s="16"/>
      <c r="YG33" s="16"/>
      <c r="YH33" s="16"/>
      <c r="YI33" s="16"/>
      <c r="YJ33" s="16"/>
      <c r="YK33" s="16"/>
      <c r="YL33" s="16"/>
      <c r="YM33" s="16"/>
      <c r="YN33" s="16"/>
      <c r="YO33" s="16"/>
      <c r="YP33" s="16"/>
      <c r="YQ33" s="16"/>
      <c r="YR33" s="16"/>
      <c r="YS33" s="16"/>
      <c r="YT33" s="16"/>
      <c r="YU33" s="16"/>
      <c r="YV33" s="16"/>
      <c r="YW33" s="16"/>
      <c r="YX33" s="16"/>
      <c r="YY33" s="16"/>
      <c r="YZ33" s="16"/>
      <c r="ZA33" s="16"/>
      <c r="ZB33" s="16"/>
      <c r="ZC33" s="16"/>
      <c r="ZD33" s="16"/>
      <c r="ZE33" s="16"/>
      <c r="ZF33" s="16"/>
      <c r="ZG33" s="16"/>
      <c r="ZH33" s="16"/>
      <c r="ZI33" s="16"/>
      <c r="ZJ33" s="16"/>
      <c r="ZK33" s="16"/>
      <c r="ZL33" s="16"/>
      <c r="ZM33" s="16"/>
      <c r="ZN33" s="16"/>
      <c r="ZO33" s="16"/>
      <c r="ZP33" s="16"/>
      <c r="ZQ33" s="16"/>
      <c r="ZR33" s="16"/>
      <c r="ZS33" s="16"/>
      <c r="ZT33" s="16"/>
      <c r="ZU33" s="16"/>
      <c r="ZV33" s="16"/>
      <c r="ZW33" s="16"/>
      <c r="ZX33" s="16"/>
      <c r="ZY33" s="16"/>
      <c r="ZZ33" s="16"/>
      <c r="AAA33" s="16"/>
      <c r="AAB33" s="16"/>
      <c r="AAC33" s="16"/>
      <c r="AAD33" s="16"/>
      <c r="AAE33" s="16"/>
      <c r="AAF33" s="16"/>
      <c r="AAG33" s="16"/>
      <c r="AAH33" s="16"/>
      <c r="AAI33" s="16"/>
      <c r="AAJ33" s="16"/>
      <c r="AAK33" s="16"/>
      <c r="AAL33" s="16"/>
      <c r="AAM33" s="16"/>
      <c r="AAN33" s="16"/>
      <c r="AAO33" s="16"/>
      <c r="AAP33" s="16"/>
      <c r="AAQ33" s="16"/>
      <c r="AAR33" s="16"/>
      <c r="AAS33" s="16"/>
      <c r="AAT33" s="16"/>
      <c r="AAU33" s="16"/>
      <c r="AAV33" s="16"/>
      <c r="AAW33" s="16"/>
      <c r="AAX33" s="16"/>
      <c r="AAY33" s="16"/>
      <c r="AAZ33" s="16"/>
      <c r="ABA33" s="16"/>
      <c r="ABB33" s="16"/>
      <c r="ABC33" s="16"/>
      <c r="ABD33" s="16"/>
      <c r="ABE33" s="16"/>
      <c r="ABF33" s="16"/>
      <c r="ABG33" s="16"/>
      <c r="ABH33" s="16"/>
      <c r="ABI33" s="16"/>
      <c r="ABJ33" s="16"/>
      <c r="ABK33" s="16"/>
      <c r="ABL33" s="16"/>
      <c r="ABM33" s="16"/>
      <c r="ABN33" s="16"/>
      <c r="ABO33" s="16"/>
      <c r="ABP33" s="16"/>
      <c r="ABQ33" s="16"/>
      <c r="ABR33" s="16"/>
      <c r="ABS33" s="16"/>
      <c r="ABT33" s="16"/>
      <c r="ABU33" s="16"/>
      <c r="ABV33" s="16"/>
      <c r="ABW33" s="16"/>
      <c r="ABX33" s="16"/>
      <c r="ABY33" s="16"/>
      <c r="ABZ33" s="16"/>
      <c r="ACA33" s="16"/>
      <c r="ACB33" s="16"/>
      <c r="ACC33" s="16"/>
      <c r="ACD33" s="16"/>
      <c r="ACE33" s="16"/>
      <c r="ACF33" s="16"/>
      <c r="ACG33" s="16"/>
      <c r="ACH33" s="16"/>
      <c r="ACI33" s="16"/>
      <c r="ACJ33" s="16"/>
      <c r="ACK33" s="16"/>
      <c r="ACL33" s="16"/>
      <c r="ACM33" s="16"/>
      <c r="ACN33" s="16"/>
      <c r="ACO33" s="16"/>
      <c r="ACP33" s="16"/>
      <c r="ACQ33" s="16"/>
      <c r="ACR33" s="16"/>
      <c r="ACS33" s="16"/>
      <c r="ACT33" s="16"/>
      <c r="ACU33" s="16"/>
      <c r="ACV33" s="16"/>
      <c r="ACW33" s="16"/>
      <c r="ACX33" s="16"/>
      <c r="ACY33" s="16"/>
      <c r="ACZ33" s="16"/>
      <c r="ADA33" s="16"/>
      <c r="ADB33" s="16"/>
      <c r="ADC33" s="16"/>
      <c r="ADD33" s="16"/>
      <c r="ADE33" s="16"/>
      <c r="ADF33" s="16"/>
      <c r="ADG33" s="16"/>
      <c r="ADH33" s="16"/>
      <c r="ADI33" s="16"/>
      <c r="ADJ33" s="16"/>
      <c r="ADK33" s="16"/>
      <c r="ADL33" s="16"/>
      <c r="ADM33" s="16"/>
      <c r="ADN33" s="16"/>
      <c r="ADO33" s="16"/>
      <c r="ADP33" s="16"/>
      <c r="ADQ33" s="16"/>
      <c r="ADR33" s="16"/>
      <c r="ADS33" s="16"/>
      <c r="ADT33" s="16"/>
      <c r="ADU33" s="16"/>
      <c r="ADV33" s="16"/>
      <c r="ADW33" s="16"/>
      <c r="ADX33" s="16"/>
      <c r="ADY33" s="16"/>
      <c r="ADZ33" s="16"/>
      <c r="AEA33" s="16"/>
      <c r="AEB33" s="16"/>
      <c r="AEC33" s="16"/>
      <c r="AED33" s="16"/>
      <c r="AEE33" s="16"/>
      <c r="AEF33" s="16"/>
      <c r="AEG33" s="16"/>
      <c r="AEH33" s="16"/>
      <c r="AEI33" s="16"/>
      <c r="AEJ33" s="16"/>
      <c r="AEK33" s="16"/>
      <c r="AEL33" s="16"/>
      <c r="AEM33" s="16"/>
      <c r="AEN33" s="16"/>
      <c r="AEO33" s="16"/>
      <c r="AEP33" s="16"/>
      <c r="AEQ33" s="16"/>
      <c r="AER33" s="16"/>
      <c r="AES33" s="16"/>
      <c r="AET33" s="16"/>
      <c r="AEU33" s="16"/>
      <c r="AEV33" s="16"/>
      <c r="AEW33" s="16"/>
      <c r="AEX33" s="16"/>
      <c r="AEY33" s="16"/>
      <c r="AEZ33" s="16"/>
      <c r="AFA33" s="16"/>
      <c r="AFB33" s="16"/>
      <c r="AFC33" s="16"/>
      <c r="AFD33" s="16"/>
      <c r="AFE33" s="16"/>
      <c r="AFF33" s="16"/>
      <c r="AFG33" s="16"/>
      <c r="AFH33" s="16"/>
      <c r="AFI33" s="16"/>
      <c r="AFJ33" s="16"/>
      <c r="AFK33" s="16"/>
      <c r="AFL33" s="16"/>
      <c r="AFM33" s="16"/>
      <c r="AFN33" s="16"/>
      <c r="AFO33" s="16"/>
      <c r="AFP33" s="16"/>
      <c r="AFQ33" s="16"/>
      <c r="AFR33" s="16"/>
      <c r="AFS33" s="16"/>
      <c r="AFT33" s="16"/>
      <c r="AFU33" s="16"/>
      <c r="AFV33" s="16"/>
      <c r="AFW33" s="16"/>
      <c r="AFX33" s="16"/>
      <c r="AFY33" s="16"/>
      <c r="AFZ33" s="16"/>
      <c r="AGA33" s="16"/>
      <c r="AGB33" s="16"/>
      <c r="AGC33" s="16"/>
      <c r="AGD33" s="16"/>
      <c r="AGE33" s="16"/>
      <c r="AGF33" s="16"/>
      <c r="AGG33" s="16"/>
      <c r="AGH33" s="16"/>
      <c r="AGI33" s="16"/>
      <c r="AGJ33" s="16"/>
      <c r="AGK33" s="16"/>
      <c r="AGL33" s="16"/>
      <c r="AGM33" s="16"/>
      <c r="AGN33" s="16"/>
      <c r="AGO33" s="16"/>
      <c r="AGP33" s="16"/>
      <c r="AGQ33" s="16"/>
      <c r="AGR33" s="16"/>
      <c r="AGS33" s="16"/>
      <c r="AGT33" s="16"/>
      <c r="AGU33" s="16"/>
      <c r="AGV33" s="16"/>
      <c r="AGW33" s="16"/>
      <c r="AGX33" s="16"/>
      <c r="AGY33" s="16"/>
      <c r="AGZ33" s="16"/>
      <c r="AHA33" s="16"/>
      <c r="AHB33" s="16"/>
      <c r="AHC33" s="16"/>
      <c r="AHD33" s="16"/>
      <c r="AHE33" s="16"/>
      <c r="AHF33" s="16"/>
      <c r="AHG33" s="16"/>
      <c r="AHH33" s="16"/>
      <c r="AHI33" s="16"/>
      <c r="AHJ33" s="16"/>
      <c r="AHK33" s="16"/>
      <c r="AHL33" s="16"/>
      <c r="AHM33" s="16"/>
      <c r="AHN33" s="16"/>
      <c r="AHO33" s="16"/>
      <c r="AHP33" s="16"/>
      <c r="AHQ33" s="16"/>
      <c r="AHR33" s="16"/>
      <c r="AHS33" s="16"/>
      <c r="AHT33" s="16"/>
      <c r="AHU33" s="16"/>
      <c r="AHV33" s="16"/>
      <c r="AHW33" s="16"/>
      <c r="AHX33" s="16"/>
      <c r="AHY33" s="16"/>
      <c r="AHZ33" s="16"/>
      <c r="AIA33" s="16"/>
      <c r="AIB33" s="16"/>
      <c r="AIC33" s="16"/>
      <c r="AID33" s="16"/>
      <c r="AIE33" s="16"/>
      <c r="AIF33" s="16"/>
      <c r="AIG33" s="16"/>
      <c r="AIH33" s="16"/>
      <c r="AII33" s="16"/>
      <c r="AIJ33" s="16"/>
      <c r="AIK33" s="16"/>
      <c r="AIL33" s="16"/>
      <c r="AIM33" s="16"/>
      <c r="AIN33" s="16"/>
      <c r="AIO33" s="16"/>
      <c r="AIP33" s="16"/>
      <c r="AIQ33" s="16"/>
      <c r="AIR33" s="16"/>
      <c r="AIS33" s="16"/>
      <c r="AIT33" s="16"/>
      <c r="AIU33" s="16"/>
      <c r="AIV33" s="16"/>
      <c r="AIW33" s="16"/>
      <c r="AIX33" s="16"/>
      <c r="AIY33" s="16"/>
      <c r="AIZ33" s="16"/>
      <c r="AJA33" s="16"/>
      <c r="AJB33" s="16"/>
      <c r="AJC33" s="16"/>
      <c r="AJD33" s="16"/>
      <c r="AJE33" s="16"/>
      <c r="AJF33" s="16"/>
      <c r="AJG33" s="16"/>
      <c r="AJH33" s="16"/>
      <c r="AJI33" s="16"/>
      <c r="AJJ33" s="16"/>
      <c r="AJK33" s="16"/>
      <c r="AJL33" s="16"/>
      <c r="AJM33" s="16"/>
      <c r="AJN33" s="16"/>
      <c r="AJO33" s="16"/>
      <c r="AJP33" s="16"/>
      <c r="AJQ33" s="16"/>
      <c r="AJR33" s="16"/>
      <c r="AJS33" s="16"/>
      <c r="AJT33" s="16"/>
      <c r="AJU33" s="16"/>
      <c r="AJV33" s="16"/>
      <c r="AJW33" s="16"/>
      <c r="AJX33" s="16"/>
      <c r="AJY33" s="16"/>
      <c r="AJZ33" s="16"/>
      <c r="AKA33" s="16"/>
      <c r="AKB33" s="16"/>
      <c r="AKC33" s="16"/>
      <c r="AKD33" s="16"/>
      <c r="AKE33" s="16"/>
      <c r="AKF33" s="16"/>
      <c r="AKG33" s="16"/>
      <c r="AKH33" s="16"/>
      <c r="AKI33" s="16"/>
      <c r="AKJ33" s="16"/>
      <c r="AKK33" s="16"/>
      <c r="AKL33" s="16"/>
      <c r="AKM33" s="16"/>
      <c r="AKN33" s="16"/>
      <c r="AKO33" s="16"/>
      <c r="AKP33" s="16"/>
      <c r="AKQ33" s="16"/>
      <c r="AKR33" s="16"/>
      <c r="AKS33" s="16"/>
      <c r="AKT33" s="16"/>
      <c r="AKU33" s="16"/>
      <c r="AKV33" s="16"/>
      <c r="AKW33" s="16"/>
      <c r="AKX33" s="16"/>
      <c r="AKY33" s="16"/>
      <c r="AKZ33" s="16"/>
      <c r="ALA33" s="16"/>
      <c r="ALB33" s="16"/>
      <c r="ALC33" s="16"/>
      <c r="ALD33" s="16"/>
      <c r="ALE33" s="16"/>
      <c r="ALF33" s="16"/>
      <c r="ALG33" s="16"/>
      <c r="ALH33" s="16"/>
      <c r="ALI33" s="16"/>
      <c r="ALJ33" s="16"/>
      <c r="ALK33" s="16"/>
      <c r="ALL33" s="16"/>
      <c r="ALM33" s="16"/>
      <c r="ALN33" s="16"/>
      <c r="ALO33" s="16"/>
      <c r="ALP33" s="16"/>
      <c r="ALQ33" s="16"/>
      <c r="ALR33" s="16"/>
      <c r="ALS33" s="16"/>
      <c r="ALT33" s="16"/>
      <c r="ALU33" s="16"/>
      <c r="ALV33" s="16"/>
      <c r="ALW33" s="16"/>
      <c r="ALX33" s="16"/>
      <c r="ALY33" s="16"/>
      <c r="ALZ33" s="16"/>
      <c r="AMA33" s="16"/>
      <c r="AMB33" s="16"/>
      <c r="AMC33" s="16"/>
      <c r="AMD33" s="16"/>
      <c r="AME33" s="16"/>
      <c r="AMF33" s="16"/>
      <c r="AMG33" s="16"/>
      <c r="AMH33" s="16"/>
      <c r="AMI33" s="16"/>
      <c r="AMJ33" s="16"/>
      <c r="AMK33" s="16"/>
      <c r="AML33" s="16"/>
      <c r="AMM33" s="16"/>
      <c r="AMN33" s="16"/>
      <c r="AMO33" s="16"/>
      <c r="AMP33" s="16"/>
      <c r="AMQ33" s="16"/>
      <c r="AMR33" s="16"/>
      <c r="AMS33" s="16"/>
      <c r="AMT33" s="16"/>
      <c r="AMU33" s="16"/>
      <c r="AMV33" s="16"/>
      <c r="AMW33" s="16"/>
      <c r="AMX33" s="16"/>
      <c r="AMY33" s="16"/>
      <c r="AMZ33" s="16"/>
      <c r="ANA33" s="16"/>
      <c r="ANB33" s="16"/>
      <c r="ANC33" s="16"/>
      <c r="AND33" s="16"/>
      <c r="ANE33" s="16"/>
      <c r="ANF33" s="16"/>
      <c r="ANG33" s="16"/>
      <c r="ANH33" s="16"/>
      <c r="ANI33" s="16"/>
      <c r="ANJ33" s="16"/>
      <c r="ANK33" s="16"/>
      <c r="ANL33" s="16"/>
      <c r="ANM33" s="16"/>
      <c r="ANN33" s="16"/>
      <c r="ANO33" s="16"/>
      <c r="ANP33" s="16"/>
      <c r="ANQ33" s="16"/>
      <c r="ANR33" s="16"/>
      <c r="ANS33" s="16"/>
      <c r="ANT33" s="16"/>
      <c r="ANU33" s="16"/>
      <c r="ANV33" s="16"/>
      <c r="ANW33" s="16"/>
      <c r="ANX33" s="16"/>
      <c r="ANY33" s="16"/>
      <c r="ANZ33" s="16"/>
      <c r="AOA33" s="16"/>
      <c r="AOB33" s="16"/>
      <c r="AOC33" s="16"/>
      <c r="AOD33" s="16"/>
      <c r="AOE33" s="16"/>
      <c r="AOF33" s="16"/>
      <c r="AOG33" s="16"/>
      <c r="AOH33" s="16"/>
      <c r="AOI33" s="16"/>
      <c r="AOJ33" s="16"/>
      <c r="AOK33" s="16"/>
      <c r="AOL33" s="16"/>
      <c r="AOM33" s="16"/>
      <c r="AON33" s="16"/>
      <c r="AOO33" s="16"/>
      <c r="AOP33" s="16"/>
      <c r="AOQ33" s="16"/>
      <c r="AOR33" s="16"/>
      <c r="AOS33" s="16"/>
      <c r="AOT33" s="16"/>
      <c r="AOU33" s="16"/>
      <c r="AOV33" s="16"/>
      <c r="AOW33" s="16"/>
      <c r="AOX33" s="16"/>
      <c r="AOY33" s="16"/>
      <c r="AOZ33" s="16"/>
      <c r="APA33" s="16"/>
      <c r="APB33" s="16"/>
      <c r="APC33" s="16"/>
      <c r="APD33" s="16"/>
      <c r="APE33" s="16"/>
      <c r="APF33" s="16"/>
      <c r="APG33" s="16"/>
      <c r="APH33" s="16"/>
      <c r="API33" s="16"/>
      <c r="APJ33" s="16"/>
      <c r="APK33" s="16"/>
      <c r="APL33" s="16"/>
      <c r="APM33" s="16"/>
      <c r="APN33" s="16"/>
      <c r="APO33" s="16"/>
      <c r="APP33" s="16"/>
      <c r="APQ33" s="16"/>
      <c r="APR33" s="16"/>
      <c r="APS33" s="16"/>
      <c r="APT33" s="16"/>
      <c r="APU33" s="16"/>
      <c r="APV33" s="16"/>
      <c r="APW33" s="16"/>
      <c r="APX33" s="16"/>
      <c r="APY33" s="16"/>
      <c r="APZ33" s="16"/>
      <c r="AQA33" s="16"/>
      <c r="AQB33" s="16"/>
      <c r="AQC33" s="16"/>
      <c r="AQD33" s="16"/>
      <c r="AQE33" s="16"/>
      <c r="AQF33" s="16"/>
      <c r="AQG33" s="16"/>
      <c r="AQH33" s="16"/>
      <c r="AQI33" s="16"/>
      <c r="AQJ33" s="16"/>
      <c r="AQK33" s="16"/>
      <c r="AQL33" s="16"/>
      <c r="AQM33" s="16"/>
      <c r="AQN33" s="16"/>
      <c r="AQO33" s="16"/>
      <c r="AQP33" s="16"/>
      <c r="AQQ33" s="16"/>
      <c r="AQR33" s="16"/>
      <c r="AQS33" s="16"/>
      <c r="AQT33" s="16"/>
      <c r="AQU33" s="16"/>
      <c r="AQV33" s="16"/>
      <c r="AQW33" s="16"/>
      <c r="AQX33" s="16"/>
      <c r="AQY33" s="16"/>
      <c r="AQZ33" s="16"/>
      <c r="ARA33" s="16"/>
      <c r="ARB33" s="16"/>
      <c r="ARC33" s="16"/>
      <c r="ARD33" s="16"/>
      <c r="ARE33" s="16"/>
      <c r="ARF33" s="16"/>
      <c r="ARG33" s="16"/>
      <c r="ARH33" s="16"/>
      <c r="ARI33" s="16"/>
      <c r="ARJ33" s="16"/>
      <c r="ARK33" s="16"/>
      <c r="ARL33" s="16"/>
      <c r="ARM33" s="16"/>
      <c r="ARN33" s="16"/>
      <c r="ARO33" s="16"/>
      <c r="ARP33" s="16"/>
      <c r="ARQ33" s="16"/>
      <c r="ARR33" s="16"/>
      <c r="ARS33" s="16"/>
      <c r="ART33" s="16"/>
      <c r="ARU33" s="16"/>
      <c r="ARV33" s="16"/>
      <c r="ARW33" s="16"/>
      <c r="ARX33" s="16"/>
      <c r="ARY33" s="16"/>
      <c r="ARZ33" s="16"/>
      <c r="ASA33" s="16"/>
      <c r="ASB33" s="16"/>
      <c r="ASC33" s="16"/>
      <c r="ASD33" s="16"/>
      <c r="ASE33" s="16"/>
      <c r="ASF33" s="16"/>
      <c r="ASG33" s="16"/>
      <c r="ASH33" s="16"/>
      <c r="ASI33" s="16"/>
      <c r="ASJ33" s="16"/>
      <c r="ASK33" s="16"/>
      <c r="ASL33" s="16"/>
      <c r="ASM33" s="16"/>
      <c r="ASN33" s="16"/>
      <c r="ASO33" s="16"/>
      <c r="ASP33" s="16"/>
      <c r="ASQ33" s="16"/>
      <c r="ASR33" s="16"/>
      <c r="ASS33" s="16"/>
      <c r="AST33" s="16"/>
      <c r="ASU33" s="16"/>
      <c r="ASV33" s="16"/>
      <c r="ASW33" s="16"/>
      <c r="ASX33" s="16"/>
      <c r="ASY33" s="16"/>
      <c r="ASZ33" s="16"/>
      <c r="ATA33" s="16"/>
      <c r="ATB33" s="16"/>
      <c r="ATC33" s="16"/>
      <c r="ATD33" s="16"/>
      <c r="ATE33" s="16"/>
      <c r="ATF33" s="16"/>
      <c r="ATG33" s="16"/>
      <c r="ATH33" s="16"/>
      <c r="ATI33" s="16"/>
      <c r="ATJ33" s="16"/>
      <c r="ATK33" s="16"/>
      <c r="ATL33" s="16"/>
      <c r="ATM33" s="16"/>
      <c r="ATN33" s="16"/>
      <c r="ATO33" s="16"/>
      <c r="ATP33" s="16"/>
      <c r="ATQ33" s="16"/>
      <c r="ATR33" s="16"/>
      <c r="ATS33" s="16"/>
      <c r="ATT33" s="16"/>
      <c r="ATU33" s="16"/>
      <c r="ATV33" s="16"/>
      <c r="ATW33" s="16"/>
      <c r="ATX33" s="16"/>
      <c r="ATY33" s="16"/>
      <c r="ATZ33" s="16"/>
      <c r="AUA33" s="16"/>
      <c r="AUB33" s="16"/>
      <c r="AUC33" s="16"/>
      <c r="AUD33" s="16"/>
      <c r="AUE33" s="16"/>
      <c r="AUF33" s="16"/>
      <c r="AUG33" s="16"/>
      <c r="AUH33" s="16"/>
      <c r="AUI33" s="16"/>
      <c r="AUJ33" s="16"/>
      <c r="AUK33" s="16"/>
      <c r="AUL33" s="16"/>
      <c r="AUM33" s="16"/>
      <c r="AUN33" s="16"/>
      <c r="AUO33" s="16"/>
      <c r="AUP33" s="16"/>
      <c r="AUQ33" s="16"/>
      <c r="AUR33" s="16"/>
      <c r="AUS33" s="16"/>
      <c r="AUT33" s="16"/>
      <c r="AUU33" s="16"/>
      <c r="AUV33" s="16"/>
      <c r="AUW33" s="16"/>
      <c r="AUX33" s="16"/>
      <c r="AUY33" s="16"/>
      <c r="AUZ33" s="16"/>
      <c r="AVA33" s="16"/>
      <c r="AVB33" s="16"/>
      <c r="AVC33" s="16"/>
      <c r="AVD33" s="16"/>
      <c r="AVE33" s="16"/>
      <c r="AVF33" s="16"/>
      <c r="AVG33" s="16"/>
      <c r="AVH33" s="16"/>
      <c r="AVI33" s="16"/>
      <c r="AVJ33" s="16"/>
      <c r="AVK33" s="16"/>
      <c r="AVL33" s="16"/>
      <c r="AVM33" s="16"/>
      <c r="AVN33" s="16"/>
      <c r="AVO33" s="16"/>
      <c r="AVP33" s="16"/>
      <c r="AVQ33" s="16"/>
      <c r="AVR33" s="16"/>
      <c r="AVS33" s="16"/>
      <c r="AVT33" s="16"/>
      <c r="AVU33" s="16"/>
      <c r="AVV33" s="16"/>
      <c r="AVW33" s="16"/>
      <c r="AVX33" s="16"/>
      <c r="AVY33" s="16"/>
      <c r="AVZ33" s="16"/>
      <c r="AWA33" s="16"/>
      <c r="AWB33" s="16"/>
      <c r="AWC33" s="16"/>
      <c r="AWD33" s="16"/>
      <c r="AWE33" s="16"/>
      <c r="AWF33" s="16"/>
      <c r="AWG33" s="16"/>
      <c r="AWH33" s="16"/>
      <c r="AWI33" s="16"/>
      <c r="AWJ33" s="16"/>
      <c r="AWK33" s="16"/>
      <c r="AWL33" s="16"/>
      <c r="AWM33" s="16"/>
      <c r="AWN33" s="16"/>
      <c r="AWO33" s="16"/>
      <c r="AWP33" s="16"/>
      <c r="AWQ33" s="16"/>
      <c r="AWR33" s="16"/>
      <c r="AWS33" s="16"/>
      <c r="AWT33" s="16"/>
      <c r="AWU33" s="16"/>
      <c r="AWV33" s="16"/>
      <c r="AWW33" s="16"/>
      <c r="AWX33" s="16"/>
      <c r="AWY33" s="16"/>
      <c r="AWZ33" s="16"/>
      <c r="AXA33" s="16"/>
      <c r="AXB33" s="16"/>
      <c r="AXC33" s="16"/>
      <c r="AXD33" s="16"/>
      <c r="AXE33" s="16"/>
      <c r="AXF33" s="16"/>
      <c r="AXG33" s="16"/>
      <c r="AXH33" s="16"/>
      <c r="AXI33" s="16"/>
      <c r="AXJ33" s="16"/>
      <c r="AXK33" s="16"/>
      <c r="AXL33" s="16"/>
      <c r="AXM33" s="16"/>
      <c r="AXN33" s="16"/>
      <c r="AXO33" s="16"/>
      <c r="AXP33" s="16"/>
      <c r="AXQ33" s="16"/>
      <c r="AXR33" s="16"/>
      <c r="AXS33" s="16"/>
      <c r="AXT33" s="16"/>
      <c r="AXU33" s="16"/>
      <c r="AXV33" s="16"/>
      <c r="AXW33" s="16"/>
      <c r="AXX33" s="16"/>
      <c r="AXY33" s="16"/>
      <c r="AXZ33" s="16"/>
      <c r="AYA33" s="16"/>
      <c r="AYB33" s="16"/>
      <c r="AYC33" s="16"/>
      <c r="AYD33" s="16"/>
      <c r="AYE33" s="16"/>
      <c r="AYF33" s="16"/>
      <c r="AYG33" s="16"/>
      <c r="AYH33" s="16"/>
      <c r="AYI33" s="16"/>
      <c r="AYJ33" s="16"/>
      <c r="AYK33" s="16"/>
      <c r="AYL33" s="16"/>
      <c r="AYM33" s="16"/>
      <c r="AYN33" s="16"/>
      <c r="AYO33" s="16"/>
      <c r="AYP33" s="16"/>
      <c r="AYQ33" s="16"/>
      <c r="AYR33" s="16"/>
      <c r="AYS33" s="16"/>
      <c r="AYT33" s="16"/>
      <c r="AYU33" s="16"/>
      <c r="AYV33" s="16"/>
      <c r="AYW33" s="16"/>
      <c r="AYX33" s="16"/>
      <c r="AYY33" s="16"/>
      <c r="AYZ33" s="16"/>
      <c r="AZA33" s="16"/>
      <c r="AZB33" s="16"/>
      <c r="AZC33" s="16"/>
      <c r="AZD33" s="16"/>
      <c r="AZE33" s="16"/>
      <c r="AZF33" s="16"/>
      <c r="AZG33" s="16"/>
      <c r="AZH33" s="16"/>
      <c r="AZI33" s="16"/>
      <c r="AZJ33" s="16"/>
      <c r="AZK33" s="16"/>
      <c r="AZL33" s="16"/>
      <c r="AZM33" s="16"/>
      <c r="AZN33" s="16"/>
      <c r="AZO33" s="16"/>
      <c r="AZP33" s="16"/>
      <c r="AZQ33" s="16"/>
      <c r="AZR33" s="16"/>
      <c r="AZS33" s="16"/>
      <c r="AZT33" s="16"/>
      <c r="AZU33" s="16"/>
      <c r="AZV33" s="16"/>
      <c r="AZW33" s="16"/>
      <c r="AZX33" s="16"/>
      <c r="AZY33" s="16"/>
      <c r="AZZ33" s="16"/>
      <c r="BAA33" s="16"/>
      <c r="BAB33" s="16"/>
      <c r="BAC33" s="16"/>
      <c r="BAD33" s="16"/>
      <c r="BAE33" s="16"/>
      <c r="BAF33" s="16"/>
      <c r="BAG33" s="16"/>
      <c r="BAH33" s="16"/>
      <c r="BAI33" s="16"/>
      <c r="BAJ33" s="16"/>
      <c r="BAK33" s="16"/>
      <c r="BAL33" s="16"/>
      <c r="BAM33" s="16"/>
      <c r="BAN33" s="16"/>
      <c r="BAO33" s="16"/>
      <c r="BAP33" s="16"/>
      <c r="BAQ33" s="16"/>
      <c r="BAR33" s="16"/>
      <c r="BAS33" s="16"/>
      <c r="BAT33" s="16"/>
      <c r="BAU33" s="16"/>
      <c r="BAV33" s="16"/>
      <c r="BAW33" s="16"/>
      <c r="BAX33" s="16"/>
      <c r="BAY33" s="16"/>
      <c r="BAZ33" s="16"/>
      <c r="BBA33" s="16"/>
      <c r="BBB33" s="16"/>
      <c r="BBC33" s="16"/>
      <c r="BBD33" s="16"/>
      <c r="BBE33" s="16"/>
      <c r="BBF33" s="16"/>
      <c r="BBG33" s="16"/>
      <c r="BBH33" s="16"/>
      <c r="BBI33" s="16"/>
      <c r="BBJ33" s="16"/>
      <c r="BBK33" s="16"/>
      <c r="BBL33" s="16"/>
      <c r="BBM33" s="16"/>
      <c r="BBN33" s="16"/>
      <c r="BBO33" s="16"/>
      <c r="BBP33" s="16"/>
      <c r="BBQ33" s="16"/>
      <c r="BBR33" s="16"/>
      <c r="BBS33" s="16"/>
      <c r="BBT33" s="16"/>
      <c r="BBU33" s="16"/>
      <c r="BBV33" s="16"/>
      <c r="BBW33" s="16"/>
      <c r="BBX33" s="16"/>
      <c r="BBY33" s="16"/>
      <c r="BBZ33" s="16"/>
      <c r="BCA33" s="16"/>
      <c r="BCB33" s="16"/>
      <c r="BCC33" s="16"/>
      <c r="BCD33" s="16"/>
      <c r="BCE33" s="16"/>
      <c r="BCF33" s="16"/>
      <c r="BCG33" s="16"/>
      <c r="BCH33" s="16"/>
      <c r="BCI33" s="16"/>
      <c r="BCJ33" s="16"/>
      <c r="BCK33" s="16"/>
      <c r="BCL33" s="16"/>
      <c r="BCM33" s="16"/>
      <c r="BCN33" s="16"/>
      <c r="BCO33" s="16"/>
      <c r="BCP33" s="16"/>
      <c r="BCQ33" s="16"/>
      <c r="BCR33" s="16"/>
      <c r="BCS33" s="16"/>
      <c r="BCT33" s="16"/>
      <c r="BCU33" s="16"/>
      <c r="BCV33" s="16"/>
      <c r="BCW33" s="16"/>
      <c r="BCX33" s="16"/>
      <c r="BCY33" s="16"/>
      <c r="BCZ33" s="16"/>
      <c r="BDA33" s="16"/>
      <c r="BDB33" s="16"/>
      <c r="BDC33" s="16"/>
      <c r="BDD33" s="16"/>
      <c r="BDE33" s="16"/>
      <c r="BDF33" s="16"/>
      <c r="BDG33" s="16"/>
      <c r="BDH33" s="16"/>
      <c r="BDI33" s="16"/>
      <c r="BDJ33" s="16"/>
      <c r="BDK33" s="16"/>
      <c r="BDL33" s="16"/>
      <c r="BDM33" s="16"/>
      <c r="BDN33" s="16"/>
      <c r="BDO33" s="16"/>
      <c r="BDP33" s="16"/>
      <c r="BDQ33" s="16"/>
      <c r="BDR33" s="16"/>
      <c r="BDS33" s="16"/>
      <c r="BDT33" s="16"/>
      <c r="BDU33" s="16"/>
      <c r="BDV33" s="16"/>
      <c r="BDW33" s="16"/>
      <c r="BDX33" s="16"/>
      <c r="BDY33" s="16"/>
      <c r="BDZ33" s="16"/>
      <c r="BEA33" s="16"/>
      <c r="BEB33" s="16"/>
      <c r="BEC33" s="16"/>
      <c r="BED33" s="16"/>
      <c r="BEE33" s="16"/>
      <c r="BEF33" s="16"/>
      <c r="BEG33" s="16"/>
      <c r="BEH33" s="16"/>
      <c r="BEI33" s="16"/>
      <c r="BEJ33" s="16"/>
      <c r="BEK33" s="16"/>
      <c r="BEL33" s="16"/>
      <c r="BEM33" s="16"/>
      <c r="BEN33" s="16"/>
      <c r="BEO33" s="16"/>
      <c r="BEP33" s="16"/>
      <c r="BEQ33" s="16"/>
      <c r="BER33" s="16"/>
      <c r="BES33" s="16"/>
      <c r="BET33" s="16"/>
      <c r="BEU33" s="16"/>
      <c r="BEV33" s="16"/>
      <c r="BEW33" s="16"/>
      <c r="BEX33" s="16"/>
      <c r="BEY33" s="16"/>
      <c r="BEZ33" s="16"/>
      <c r="BFA33" s="16"/>
      <c r="BFB33" s="16"/>
      <c r="BFC33" s="16"/>
      <c r="BFD33" s="16"/>
      <c r="BFE33" s="16"/>
      <c r="BFF33" s="16"/>
      <c r="BFG33" s="16"/>
      <c r="BFH33" s="16"/>
      <c r="BFI33" s="16"/>
      <c r="BFJ33" s="16"/>
      <c r="BFK33" s="16"/>
      <c r="BFL33" s="16"/>
      <c r="BFM33" s="16"/>
      <c r="BFN33" s="16"/>
      <c r="BFO33" s="16"/>
      <c r="BFP33" s="16"/>
      <c r="BFQ33" s="16"/>
      <c r="BFR33" s="16"/>
      <c r="BFS33" s="16"/>
      <c r="BFT33" s="16"/>
      <c r="BFU33" s="16"/>
      <c r="BFV33" s="16"/>
      <c r="BFW33" s="16"/>
      <c r="BFX33" s="16"/>
      <c r="BFY33" s="16"/>
      <c r="BFZ33" s="16"/>
      <c r="BGA33" s="16"/>
      <c r="BGB33" s="16"/>
      <c r="BGC33" s="16"/>
      <c r="BGD33" s="16"/>
      <c r="BGE33" s="16"/>
      <c r="BGF33" s="16"/>
      <c r="BGG33" s="16"/>
      <c r="BGH33" s="16"/>
      <c r="BGI33" s="16"/>
      <c r="BGJ33" s="16"/>
      <c r="BGK33" s="16"/>
      <c r="BGL33" s="16"/>
      <c r="BGM33" s="16"/>
      <c r="BGN33" s="16"/>
      <c r="BGO33" s="16"/>
      <c r="BGP33" s="16"/>
      <c r="BGQ33" s="16"/>
      <c r="BGR33" s="16"/>
      <c r="BGS33" s="16"/>
      <c r="BGT33" s="16"/>
      <c r="BGU33" s="16"/>
      <c r="BGV33" s="16"/>
      <c r="BGW33" s="16"/>
      <c r="BGX33" s="16"/>
      <c r="BGY33" s="16"/>
      <c r="BGZ33" s="16"/>
      <c r="BHA33" s="16"/>
      <c r="BHB33" s="16"/>
      <c r="BHC33" s="16"/>
      <c r="BHD33" s="16"/>
      <c r="BHE33" s="16"/>
      <c r="BHF33" s="16"/>
      <c r="BHG33" s="16"/>
      <c r="BHH33" s="16"/>
      <c r="BHI33" s="16"/>
      <c r="BHJ33" s="16"/>
      <c r="BHK33" s="16"/>
      <c r="BHL33" s="16"/>
      <c r="BHM33" s="16"/>
      <c r="BHN33" s="16"/>
      <c r="BHO33" s="16"/>
      <c r="BHP33" s="16"/>
      <c r="BHQ33" s="16"/>
      <c r="BHR33" s="16"/>
      <c r="BHS33" s="16"/>
      <c r="BHT33" s="16"/>
      <c r="BHU33" s="16"/>
      <c r="BHV33" s="16"/>
      <c r="BHW33" s="16"/>
      <c r="BHX33" s="16"/>
      <c r="BHY33" s="16"/>
      <c r="BHZ33" s="16"/>
      <c r="BIA33" s="16"/>
      <c r="BIB33" s="16"/>
      <c r="BIC33" s="16"/>
      <c r="BID33" s="16"/>
      <c r="BIE33" s="16"/>
      <c r="BIF33" s="16"/>
      <c r="BIG33" s="16"/>
      <c r="BIH33" s="16"/>
      <c r="BII33" s="16"/>
      <c r="BIJ33" s="16"/>
      <c r="BIK33" s="16"/>
      <c r="BIL33" s="16"/>
      <c r="BIM33" s="16"/>
      <c r="BIN33" s="16"/>
      <c r="BIO33" s="16"/>
      <c r="BIP33" s="16"/>
      <c r="BIQ33" s="16"/>
      <c r="BIR33" s="16"/>
      <c r="BIS33" s="16"/>
      <c r="BIT33" s="16"/>
      <c r="BIU33" s="16"/>
      <c r="BIV33" s="16"/>
      <c r="BIW33" s="16"/>
      <c r="BIX33" s="16"/>
      <c r="BIY33" s="16"/>
      <c r="BIZ33" s="16"/>
      <c r="BJA33" s="16"/>
      <c r="BJB33" s="16"/>
      <c r="BJC33" s="16"/>
      <c r="BJD33" s="16"/>
      <c r="BJE33" s="16"/>
      <c r="BJF33" s="16"/>
      <c r="BJG33" s="16"/>
      <c r="BJH33" s="16"/>
      <c r="BJI33" s="16"/>
      <c r="BJJ33" s="16"/>
      <c r="BJK33" s="16"/>
      <c r="BJL33" s="16"/>
      <c r="BJM33" s="16"/>
      <c r="BJN33" s="16"/>
      <c r="BJO33" s="16"/>
      <c r="BJP33" s="16"/>
      <c r="BJQ33" s="16"/>
      <c r="BJR33" s="16"/>
      <c r="BJS33" s="16"/>
      <c r="BJT33" s="16"/>
      <c r="BJU33" s="16"/>
      <c r="BJV33" s="16"/>
      <c r="BJW33" s="16"/>
      <c r="BJX33" s="16"/>
      <c r="BJY33" s="16"/>
      <c r="BJZ33" s="16"/>
      <c r="BKA33" s="16"/>
      <c r="BKB33" s="16"/>
      <c r="BKC33" s="16"/>
      <c r="BKD33" s="16"/>
      <c r="BKE33" s="16"/>
      <c r="BKF33" s="16"/>
      <c r="BKG33" s="16"/>
      <c r="BKH33" s="16"/>
      <c r="BKI33" s="16"/>
      <c r="BKJ33" s="16"/>
      <c r="BKK33" s="16"/>
      <c r="BKL33" s="16"/>
      <c r="BKM33" s="16"/>
      <c r="BKN33" s="16"/>
      <c r="BKO33" s="16"/>
      <c r="BKP33" s="16"/>
      <c r="BKQ33" s="16"/>
      <c r="BKR33" s="16"/>
      <c r="BKS33" s="16"/>
      <c r="BKT33" s="16"/>
      <c r="BKU33" s="16"/>
      <c r="BKV33" s="16"/>
      <c r="BKW33" s="16"/>
      <c r="BKX33" s="16"/>
      <c r="BKY33" s="16"/>
      <c r="BKZ33" s="16"/>
      <c r="BLA33" s="16"/>
      <c r="BLB33" s="16"/>
      <c r="BLC33" s="16"/>
      <c r="BLD33" s="16"/>
      <c r="BLE33" s="16"/>
      <c r="BLF33" s="16"/>
      <c r="BLG33" s="16"/>
      <c r="BLH33" s="16"/>
      <c r="BLI33" s="16"/>
      <c r="BLJ33" s="16"/>
      <c r="BLK33" s="16"/>
      <c r="BLL33" s="16"/>
      <c r="BLM33" s="16"/>
      <c r="BLN33" s="16"/>
      <c r="BLO33" s="16"/>
      <c r="BLP33" s="16"/>
      <c r="BLQ33" s="16"/>
      <c r="BLR33" s="16"/>
      <c r="BLS33" s="16"/>
      <c r="BLT33" s="16"/>
      <c r="BLU33" s="16"/>
      <c r="BLV33" s="16"/>
      <c r="BLW33" s="16"/>
      <c r="BLX33" s="16"/>
      <c r="BLY33" s="16"/>
      <c r="BLZ33" s="16"/>
      <c r="BMA33" s="16"/>
      <c r="BMB33" s="16"/>
      <c r="BMC33" s="16"/>
      <c r="BMD33" s="16"/>
      <c r="BME33" s="16"/>
      <c r="BMF33" s="16"/>
      <c r="BMG33" s="16"/>
      <c r="BMH33" s="16"/>
      <c r="BMI33" s="16"/>
      <c r="BMJ33" s="16"/>
      <c r="BMK33" s="16"/>
      <c r="BML33" s="16"/>
      <c r="BMM33" s="16"/>
      <c r="BMN33" s="16"/>
      <c r="BMO33" s="16"/>
      <c r="BMP33" s="16"/>
      <c r="BMQ33" s="16"/>
      <c r="BMR33" s="16"/>
      <c r="BMS33" s="16"/>
      <c r="BMT33" s="16"/>
      <c r="BMU33" s="16"/>
      <c r="BMV33" s="16"/>
      <c r="BMW33" s="16"/>
      <c r="BMX33" s="16"/>
      <c r="BMY33" s="16"/>
      <c r="BMZ33" s="16"/>
      <c r="BNA33" s="16"/>
      <c r="BNB33" s="16"/>
      <c r="BNC33" s="16"/>
      <c r="BND33" s="16"/>
      <c r="BNE33" s="16"/>
      <c r="BNF33" s="16"/>
      <c r="BNG33" s="16"/>
      <c r="BNH33" s="16"/>
      <c r="BNI33" s="16"/>
      <c r="BNJ33" s="16"/>
      <c r="BNK33" s="16"/>
      <c r="BNL33" s="16"/>
      <c r="BNM33" s="16"/>
      <c r="BNN33" s="16"/>
      <c r="BNO33" s="16"/>
      <c r="BNP33" s="16"/>
      <c r="BNQ33" s="16"/>
      <c r="BNR33" s="16"/>
      <c r="BNS33" s="16"/>
      <c r="BNT33" s="16"/>
      <c r="BNU33" s="16"/>
      <c r="BNV33" s="16"/>
      <c r="BNW33" s="16"/>
      <c r="BNX33" s="16"/>
      <c r="BNY33" s="16"/>
      <c r="BNZ33" s="16"/>
      <c r="BOA33" s="16"/>
      <c r="BOB33" s="16"/>
      <c r="BOC33" s="16"/>
      <c r="BOD33" s="16"/>
      <c r="BOE33" s="16"/>
      <c r="BOF33" s="16"/>
      <c r="BOG33" s="16"/>
      <c r="BOH33" s="16"/>
      <c r="BOI33" s="16"/>
      <c r="BOJ33" s="16"/>
      <c r="BOK33" s="16"/>
      <c r="BOL33" s="16"/>
      <c r="BOM33" s="16"/>
      <c r="BON33" s="16"/>
      <c r="BOO33" s="16"/>
      <c r="BOP33" s="16"/>
      <c r="BOQ33" s="16"/>
      <c r="BOR33" s="16"/>
      <c r="BOS33" s="16"/>
      <c r="BOT33" s="16"/>
      <c r="BOU33" s="16"/>
      <c r="BOV33" s="16"/>
      <c r="BOW33" s="16"/>
      <c r="BOX33" s="16"/>
      <c r="BOY33" s="16"/>
      <c r="BOZ33" s="16"/>
      <c r="BPA33" s="16"/>
      <c r="BPB33" s="16"/>
      <c r="BPC33" s="16"/>
      <c r="BPD33" s="16"/>
      <c r="BPE33" s="16"/>
      <c r="BPF33" s="16"/>
      <c r="BPG33" s="16"/>
      <c r="BPH33" s="16"/>
      <c r="BPI33" s="16"/>
      <c r="BPJ33" s="16"/>
      <c r="BPK33" s="16"/>
      <c r="BPL33" s="16"/>
      <c r="BPM33" s="16"/>
      <c r="BPN33" s="16"/>
      <c r="BPO33" s="16"/>
      <c r="BPP33" s="16"/>
      <c r="BPQ33" s="16"/>
      <c r="BPR33" s="16"/>
      <c r="BPS33" s="16"/>
      <c r="BPT33" s="16"/>
      <c r="BPU33" s="16"/>
      <c r="BPV33" s="16"/>
      <c r="BPW33" s="16"/>
      <c r="BPX33" s="16"/>
      <c r="BPY33" s="16"/>
      <c r="BPZ33" s="16"/>
      <c r="BQA33" s="16"/>
      <c r="BQB33" s="16"/>
      <c r="BQC33" s="16"/>
      <c r="BQD33" s="16"/>
      <c r="BQE33" s="16"/>
      <c r="BQF33" s="16"/>
      <c r="BQG33" s="16"/>
      <c r="BQH33" s="16"/>
      <c r="BQI33" s="16"/>
      <c r="BQJ33" s="16"/>
      <c r="BQK33" s="16"/>
      <c r="BQL33" s="16"/>
      <c r="BQM33" s="16"/>
      <c r="BQN33" s="16"/>
      <c r="BQO33" s="16"/>
      <c r="BQP33" s="16"/>
      <c r="BQQ33" s="16"/>
      <c r="BQR33" s="16"/>
      <c r="BQS33" s="16"/>
      <c r="BQT33" s="16"/>
      <c r="BQU33" s="16"/>
      <c r="BQV33" s="16"/>
      <c r="BQW33" s="16"/>
      <c r="BQX33" s="16"/>
      <c r="BQY33" s="16"/>
      <c r="BQZ33" s="16"/>
      <c r="BRA33" s="16"/>
      <c r="BRB33" s="16"/>
      <c r="BRC33" s="16"/>
      <c r="BRD33" s="16"/>
      <c r="BRE33" s="16"/>
      <c r="BRF33" s="16"/>
      <c r="BRG33" s="16"/>
      <c r="BRH33" s="16"/>
      <c r="BRI33" s="16"/>
      <c r="BRJ33" s="16"/>
      <c r="BRK33" s="16"/>
      <c r="BRL33" s="16"/>
      <c r="BRM33" s="16"/>
      <c r="BRN33" s="16"/>
      <c r="BRO33" s="16"/>
      <c r="BRP33" s="16"/>
      <c r="BRQ33" s="16"/>
      <c r="BRR33" s="16"/>
      <c r="BRS33" s="16"/>
      <c r="BRT33" s="16"/>
      <c r="BRU33" s="16"/>
      <c r="BRV33" s="16"/>
      <c r="BRW33" s="16"/>
      <c r="BRX33" s="16"/>
      <c r="BRY33" s="16"/>
      <c r="BRZ33" s="16"/>
      <c r="BSA33" s="16"/>
      <c r="BSB33" s="16"/>
      <c r="BSC33" s="16"/>
      <c r="BSD33" s="16"/>
      <c r="BSE33" s="16"/>
      <c r="BSF33" s="16"/>
      <c r="BSG33" s="16"/>
      <c r="BSH33" s="16"/>
      <c r="BSI33" s="16"/>
      <c r="BSJ33" s="16"/>
      <c r="BSK33" s="16"/>
      <c r="BSL33" s="16"/>
      <c r="BSM33" s="16"/>
      <c r="BSN33" s="16"/>
      <c r="BSO33" s="16"/>
      <c r="BSP33" s="16"/>
      <c r="BSQ33" s="16"/>
      <c r="BSR33" s="16"/>
      <c r="BSS33" s="16"/>
      <c r="BST33" s="16"/>
      <c r="BSU33" s="16"/>
      <c r="BSV33" s="16"/>
      <c r="BSW33" s="16"/>
      <c r="BSX33" s="16"/>
      <c r="BSY33" s="16"/>
      <c r="BSZ33" s="16"/>
      <c r="BTA33" s="16"/>
      <c r="BTB33" s="16"/>
      <c r="BTC33" s="16"/>
      <c r="BTD33" s="16"/>
      <c r="BTE33" s="16"/>
      <c r="BTF33" s="16"/>
      <c r="BTG33" s="16"/>
      <c r="BTH33" s="16"/>
      <c r="BTI33" s="16"/>
      <c r="BTJ33" s="16"/>
      <c r="BTK33" s="16"/>
      <c r="BTL33" s="16"/>
      <c r="BTM33" s="16"/>
      <c r="BTN33" s="16"/>
      <c r="BTO33" s="16"/>
      <c r="BTP33" s="16"/>
      <c r="BTQ33" s="16"/>
      <c r="BTR33" s="16"/>
      <c r="BTS33" s="16"/>
      <c r="BTT33" s="16"/>
      <c r="BTU33" s="16"/>
      <c r="BTV33" s="16"/>
      <c r="BTW33" s="16"/>
      <c r="BTX33" s="16"/>
      <c r="BTY33" s="16"/>
      <c r="BTZ33" s="16"/>
      <c r="BUA33" s="16"/>
      <c r="BUB33" s="16"/>
      <c r="BUC33" s="16"/>
      <c r="BUD33" s="16"/>
      <c r="BUE33" s="16"/>
      <c r="BUF33" s="16"/>
      <c r="BUG33" s="16"/>
      <c r="BUH33" s="16"/>
      <c r="BUI33" s="16"/>
      <c r="BUJ33" s="16"/>
      <c r="BUK33" s="16"/>
      <c r="BUL33" s="16"/>
      <c r="BUM33" s="16"/>
      <c r="BUN33" s="16"/>
      <c r="BUO33" s="16"/>
      <c r="BUP33" s="16"/>
      <c r="BUQ33" s="16"/>
      <c r="BUR33" s="16"/>
      <c r="BUS33" s="16"/>
      <c r="BUT33" s="16"/>
      <c r="BUU33" s="16"/>
      <c r="BUV33" s="16"/>
      <c r="BUW33" s="16"/>
      <c r="BUX33" s="16"/>
      <c r="BUY33" s="16"/>
      <c r="BUZ33" s="16"/>
      <c r="BVA33" s="16"/>
      <c r="BVB33" s="16"/>
      <c r="BVC33" s="16"/>
      <c r="BVD33" s="16"/>
      <c r="BVE33" s="16"/>
      <c r="BVF33" s="16"/>
      <c r="BVG33" s="16"/>
      <c r="BVH33" s="16"/>
      <c r="BVI33" s="16"/>
      <c r="BVJ33" s="16"/>
      <c r="BVK33" s="16"/>
      <c r="BVL33" s="16"/>
      <c r="BVM33" s="16"/>
      <c r="BVN33" s="16"/>
      <c r="BVO33" s="16"/>
      <c r="BVP33" s="16"/>
      <c r="BVQ33" s="16"/>
      <c r="BVR33" s="16"/>
      <c r="BVS33" s="16"/>
      <c r="BVT33" s="16"/>
      <c r="BVU33" s="16"/>
      <c r="BVV33" s="16"/>
      <c r="BVW33" s="16"/>
      <c r="BVX33" s="16"/>
      <c r="BVY33" s="16"/>
      <c r="BVZ33" s="16"/>
      <c r="BWA33" s="16"/>
      <c r="BWB33" s="16"/>
      <c r="BWC33" s="16"/>
      <c r="BWD33" s="16"/>
      <c r="BWE33" s="16"/>
      <c r="BWF33" s="16"/>
      <c r="BWG33" s="16"/>
      <c r="BWH33" s="16"/>
      <c r="BWI33" s="16"/>
      <c r="BWJ33" s="16"/>
      <c r="BWK33" s="16"/>
      <c r="BWL33" s="16"/>
      <c r="BWM33" s="16"/>
      <c r="BWN33" s="16"/>
      <c r="BWO33" s="16"/>
      <c r="BWP33" s="16"/>
      <c r="BWQ33" s="16"/>
      <c r="BWR33" s="16"/>
      <c r="BWS33" s="16"/>
      <c r="BWT33" s="16"/>
      <c r="BWU33" s="16"/>
      <c r="BWV33" s="16"/>
      <c r="BWW33" s="16"/>
      <c r="BWX33" s="16"/>
      <c r="BWY33" s="16"/>
      <c r="BWZ33" s="16"/>
      <c r="BXA33" s="16"/>
      <c r="BXB33" s="16"/>
      <c r="BXC33" s="16"/>
      <c r="BXD33" s="16"/>
      <c r="BXE33" s="16"/>
      <c r="BXF33" s="16"/>
      <c r="BXG33" s="16"/>
      <c r="BXH33" s="16"/>
      <c r="BXI33" s="16"/>
      <c r="BXJ33" s="16"/>
      <c r="BXK33" s="16"/>
      <c r="BXL33" s="16"/>
      <c r="BXM33" s="16"/>
      <c r="BXN33" s="16"/>
      <c r="BXO33" s="16"/>
      <c r="BXP33" s="16"/>
      <c r="BXQ33" s="16"/>
      <c r="BXR33" s="16"/>
      <c r="BXS33" s="16"/>
      <c r="BXT33" s="16"/>
      <c r="BXU33" s="16"/>
      <c r="BXV33" s="16"/>
      <c r="BXW33" s="16"/>
      <c r="BXX33" s="16"/>
      <c r="BXY33" s="16"/>
      <c r="BXZ33" s="16"/>
      <c r="BYA33" s="16"/>
      <c r="BYB33" s="16"/>
      <c r="BYC33" s="16"/>
      <c r="BYD33" s="16"/>
      <c r="BYE33" s="16"/>
      <c r="BYF33" s="16"/>
      <c r="BYG33" s="16"/>
      <c r="BYH33" s="16"/>
      <c r="BYI33" s="16"/>
      <c r="BYJ33" s="16"/>
      <c r="BYK33" s="16"/>
      <c r="BYL33" s="16"/>
      <c r="BYM33" s="16"/>
      <c r="BYN33" s="16"/>
      <c r="BYO33" s="16"/>
      <c r="BYP33" s="16"/>
      <c r="BYQ33" s="16"/>
      <c r="BYR33" s="16"/>
      <c r="BYS33" s="16"/>
      <c r="BYT33" s="16"/>
      <c r="BYU33" s="16"/>
      <c r="BYV33" s="16"/>
      <c r="BYW33" s="16"/>
      <c r="BYX33" s="16"/>
      <c r="BYY33" s="16"/>
      <c r="BYZ33" s="16"/>
      <c r="BZA33" s="16"/>
      <c r="BZB33" s="16"/>
      <c r="BZC33" s="16"/>
      <c r="BZD33" s="16"/>
      <c r="BZE33" s="16"/>
      <c r="BZF33" s="16"/>
      <c r="BZG33" s="16"/>
      <c r="BZH33" s="16"/>
      <c r="BZI33" s="16"/>
      <c r="BZJ33" s="16"/>
      <c r="BZK33" s="16"/>
      <c r="BZL33" s="16"/>
      <c r="BZM33" s="16"/>
      <c r="BZN33" s="16"/>
      <c r="BZO33" s="16"/>
      <c r="BZP33" s="16"/>
      <c r="BZQ33" s="16"/>
      <c r="BZR33" s="16"/>
      <c r="BZS33" s="16"/>
      <c r="BZT33" s="16"/>
      <c r="BZU33" s="16"/>
      <c r="BZV33" s="16"/>
      <c r="BZW33" s="16"/>
      <c r="BZX33" s="16"/>
      <c r="BZY33" s="16"/>
      <c r="BZZ33" s="16"/>
      <c r="CAA33" s="16"/>
      <c r="CAB33" s="16"/>
      <c r="CAC33" s="16"/>
      <c r="CAD33" s="16"/>
      <c r="CAE33" s="16"/>
      <c r="CAF33" s="16"/>
      <c r="CAG33" s="16"/>
      <c r="CAH33" s="16"/>
      <c r="CAI33" s="16"/>
      <c r="CAJ33" s="16"/>
      <c r="CAK33" s="16"/>
      <c r="CAL33" s="16"/>
      <c r="CAM33" s="16"/>
      <c r="CAN33" s="16"/>
      <c r="CAO33" s="16"/>
      <c r="CAP33" s="16"/>
      <c r="CAQ33" s="16"/>
      <c r="CAR33" s="16"/>
      <c r="CAS33" s="16"/>
      <c r="CAT33" s="16"/>
      <c r="CAU33" s="16"/>
      <c r="CAV33" s="16"/>
      <c r="CAW33" s="16"/>
      <c r="CAX33" s="16"/>
      <c r="CAY33" s="16"/>
      <c r="CAZ33" s="16"/>
      <c r="CBA33" s="16"/>
      <c r="CBB33" s="16"/>
      <c r="CBC33" s="16"/>
      <c r="CBD33" s="16"/>
      <c r="CBE33" s="16"/>
      <c r="CBF33" s="16"/>
      <c r="CBG33" s="16"/>
      <c r="CBH33" s="16"/>
      <c r="CBI33" s="16"/>
      <c r="CBJ33" s="16"/>
      <c r="CBK33" s="16"/>
      <c r="CBL33" s="16"/>
      <c r="CBM33" s="16"/>
      <c r="CBN33" s="16"/>
      <c r="CBO33" s="16"/>
      <c r="CBP33" s="16"/>
      <c r="CBQ33" s="16"/>
      <c r="CBR33" s="16"/>
      <c r="CBS33" s="16"/>
      <c r="CBT33" s="16"/>
      <c r="CBU33" s="16"/>
      <c r="CBV33" s="16"/>
      <c r="CBW33" s="16"/>
      <c r="CBX33" s="16"/>
      <c r="CBY33" s="16"/>
      <c r="CBZ33" s="16"/>
      <c r="CCA33" s="16"/>
      <c r="CCB33" s="16"/>
      <c r="CCC33" s="16"/>
      <c r="CCD33" s="16"/>
      <c r="CCE33" s="16"/>
      <c r="CCF33" s="16"/>
      <c r="CCG33" s="16"/>
      <c r="CCH33" s="16"/>
      <c r="CCI33" s="16"/>
      <c r="CCJ33" s="16"/>
      <c r="CCK33" s="16"/>
      <c r="CCL33" s="16"/>
      <c r="CCM33" s="16"/>
      <c r="CCN33" s="16"/>
      <c r="CCO33" s="16"/>
      <c r="CCP33" s="16"/>
      <c r="CCQ33" s="16"/>
      <c r="CCR33" s="16"/>
      <c r="CCS33" s="16"/>
      <c r="CCT33" s="16"/>
      <c r="CCU33" s="16"/>
      <c r="CCV33" s="16"/>
      <c r="CCW33" s="16"/>
      <c r="CCX33" s="16"/>
      <c r="CCY33" s="16"/>
      <c r="CCZ33" s="16"/>
      <c r="CDA33" s="16"/>
      <c r="CDB33" s="16"/>
      <c r="CDC33" s="16"/>
      <c r="CDD33" s="16"/>
      <c r="CDE33" s="16"/>
      <c r="CDF33" s="16"/>
      <c r="CDG33" s="16"/>
      <c r="CDH33" s="16"/>
      <c r="CDI33" s="16"/>
      <c r="CDJ33" s="16"/>
      <c r="CDK33" s="16"/>
      <c r="CDL33" s="16"/>
      <c r="CDM33" s="16"/>
      <c r="CDN33" s="16"/>
      <c r="CDO33" s="16"/>
      <c r="CDP33" s="16"/>
      <c r="CDQ33" s="16"/>
      <c r="CDR33" s="16"/>
      <c r="CDS33" s="16"/>
      <c r="CDT33" s="16"/>
      <c r="CDU33" s="16"/>
      <c r="CDV33" s="16"/>
      <c r="CDW33" s="16"/>
      <c r="CDX33" s="16"/>
      <c r="CDY33" s="16"/>
      <c r="CDZ33" s="16"/>
      <c r="CEA33" s="16"/>
      <c r="CEB33" s="16"/>
      <c r="CEC33" s="16"/>
      <c r="CED33" s="16"/>
      <c r="CEE33" s="16"/>
      <c r="CEF33" s="16"/>
      <c r="CEG33" s="16"/>
      <c r="CEH33" s="16"/>
      <c r="CEI33" s="16"/>
      <c r="CEJ33" s="16"/>
      <c r="CEK33" s="16"/>
      <c r="CEL33" s="16"/>
      <c r="CEM33" s="16"/>
      <c r="CEN33" s="16"/>
      <c r="CEO33" s="16"/>
      <c r="CEP33" s="16"/>
      <c r="CEQ33" s="16"/>
      <c r="CER33" s="16"/>
      <c r="CES33" s="16"/>
      <c r="CET33" s="16"/>
      <c r="CEU33" s="16"/>
      <c r="CEV33" s="16"/>
      <c r="CEW33" s="16"/>
      <c r="CEX33" s="16"/>
      <c r="CEY33" s="16"/>
      <c r="CEZ33" s="16"/>
      <c r="CFA33" s="16"/>
      <c r="CFB33" s="16"/>
      <c r="CFC33" s="16"/>
      <c r="CFD33" s="16"/>
      <c r="CFE33" s="16"/>
      <c r="CFF33" s="16"/>
      <c r="CFG33" s="16"/>
      <c r="CFH33" s="16"/>
      <c r="CFI33" s="16"/>
      <c r="CFJ33" s="16"/>
      <c r="CFK33" s="16"/>
      <c r="CFL33" s="16"/>
      <c r="CFM33" s="16"/>
      <c r="CFN33" s="16"/>
      <c r="CFO33" s="16"/>
      <c r="CFP33" s="16"/>
      <c r="CFQ33" s="16"/>
      <c r="CFR33" s="16"/>
      <c r="CFS33" s="16"/>
      <c r="CFT33" s="16"/>
      <c r="CFU33" s="16"/>
      <c r="CFV33" s="16"/>
      <c r="CFW33" s="16"/>
      <c r="CFX33" s="16"/>
      <c r="CFY33" s="16"/>
      <c r="CFZ33" s="16"/>
      <c r="CGA33" s="16"/>
      <c r="CGB33" s="16"/>
      <c r="CGC33" s="16"/>
      <c r="CGD33" s="16"/>
      <c r="CGE33" s="16"/>
      <c r="CGF33" s="16"/>
      <c r="CGG33" s="16"/>
      <c r="CGH33" s="16"/>
      <c r="CGI33" s="16"/>
      <c r="CGJ33" s="16"/>
      <c r="CGK33" s="16"/>
      <c r="CGL33" s="16"/>
      <c r="CGM33" s="16"/>
      <c r="CGN33" s="16"/>
      <c r="CGO33" s="16"/>
      <c r="CGP33" s="16"/>
      <c r="CGQ33" s="16"/>
      <c r="CGR33" s="16"/>
      <c r="CGS33" s="16"/>
      <c r="CGT33" s="16"/>
      <c r="CGU33" s="16"/>
      <c r="CGV33" s="16"/>
      <c r="CGW33" s="16"/>
      <c r="CGX33" s="16"/>
      <c r="CGY33" s="16"/>
      <c r="CGZ33" s="16"/>
      <c r="CHA33" s="16"/>
      <c r="CHB33" s="16"/>
      <c r="CHC33" s="16"/>
      <c r="CHD33" s="16"/>
      <c r="CHE33" s="16"/>
      <c r="CHF33" s="16"/>
      <c r="CHG33" s="16"/>
      <c r="CHH33" s="16"/>
      <c r="CHI33" s="16"/>
      <c r="CHJ33" s="16"/>
      <c r="CHK33" s="16"/>
      <c r="CHL33" s="16"/>
      <c r="CHM33" s="16"/>
      <c r="CHN33" s="16"/>
      <c r="CHO33" s="16"/>
      <c r="CHP33" s="16"/>
      <c r="CHQ33" s="16"/>
      <c r="CHR33" s="16"/>
      <c r="CHS33" s="16"/>
      <c r="CHT33" s="16"/>
      <c r="CHU33" s="16"/>
      <c r="CHV33" s="16"/>
      <c r="CHW33" s="16"/>
      <c r="CHX33" s="16"/>
      <c r="CHY33" s="16"/>
      <c r="CHZ33" s="16"/>
      <c r="CIA33" s="16"/>
      <c r="CIB33" s="16"/>
      <c r="CIC33" s="16"/>
      <c r="CID33" s="16"/>
      <c r="CIE33" s="16"/>
      <c r="CIF33" s="16"/>
      <c r="CIG33" s="16"/>
      <c r="CIH33" s="16"/>
      <c r="CII33" s="16"/>
      <c r="CIJ33" s="16"/>
      <c r="CIK33" s="16"/>
      <c r="CIL33" s="16"/>
      <c r="CIM33" s="16"/>
      <c r="CIN33" s="16"/>
      <c r="CIO33" s="16"/>
      <c r="CIP33" s="16"/>
      <c r="CIQ33" s="16"/>
      <c r="CIR33" s="16"/>
      <c r="CIS33" s="16"/>
      <c r="CIT33" s="16"/>
      <c r="CIU33" s="16"/>
      <c r="CIV33" s="16"/>
      <c r="CIW33" s="16"/>
      <c r="CIX33" s="16"/>
      <c r="CIY33" s="16"/>
      <c r="CIZ33" s="16"/>
      <c r="CJA33" s="16"/>
      <c r="CJB33" s="16"/>
      <c r="CJC33" s="16"/>
      <c r="CJD33" s="16"/>
      <c r="CJE33" s="16"/>
      <c r="CJF33" s="16"/>
      <c r="CJG33" s="16"/>
      <c r="CJH33" s="16"/>
      <c r="CJI33" s="16"/>
      <c r="CJJ33" s="16"/>
      <c r="CJK33" s="16"/>
      <c r="CJL33" s="16"/>
      <c r="CJM33" s="16"/>
      <c r="CJN33" s="16"/>
      <c r="CJO33" s="16"/>
      <c r="CJP33" s="16"/>
      <c r="CJQ33" s="16"/>
      <c r="CJR33" s="16"/>
      <c r="CJS33" s="16"/>
      <c r="CJT33" s="16"/>
      <c r="CJU33" s="16"/>
      <c r="CJV33" s="16"/>
      <c r="CJW33" s="16"/>
      <c r="CJX33" s="16"/>
      <c r="CJY33" s="16"/>
      <c r="CJZ33" s="16"/>
      <c r="CKA33" s="16"/>
      <c r="CKB33" s="16"/>
      <c r="CKC33" s="16"/>
      <c r="CKD33" s="16"/>
      <c r="CKE33" s="16"/>
      <c r="CKF33" s="16"/>
      <c r="CKG33" s="16"/>
      <c r="CKH33" s="16"/>
      <c r="CKI33" s="16"/>
      <c r="CKJ33" s="16"/>
      <c r="CKK33" s="16"/>
      <c r="CKL33" s="16"/>
      <c r="CKM33" s="16"/>
      <c r="CKN33" s="16"/>
      <c r="CKO33" s="16"/>
      <c r="CKP33" s="16"/>
      <c r="CKQ33" s="16"/>
      <c r="CKR33" s="16"/>
      <c r="CKS33" s="16"/>
      <c r="CKT33" s="16"/>
      <c r="CKU33" s="16"/>
      <c r="CKV33" s="16"/>
      <c r="CKW33" s="16"/>
      <c r="CKX33" s="16"/>
      <c r="CKY33" s="16"/>
      <c r="CKZ33" s="16"/>
      <c r="CLA33" s="16"/>
      <c r="CLB33" s="16"/>
      <c r="CLC33" s="16"/>
      <c r="CLD33" s="16"/>
      <c r="CLE33" s="16"/>
      <c r="CLF33" s="16"/>
      <c r="CLG33" s="16"/>
      <c r="CLH33" s="16"/>
      <c r="CLI33" s="16"/>
      <c r="CLJ33" s="16"/>
      <c r="CLK33" s="16"/>
      <c r="CLL33" s="16"/>
      <c r="CLM33" s="16"/>
      <c r="CLN33" s="16"/>
      <c r="CLO33" s="16"/>
      <c r="CLP33" s="16"/>
      <c r="CLQ33" s="16"/>
      <c r="CLR33" s="16"/>
      <c r="CLS33" s="16"/>
      <c r="CLT33" s="16"/>
      <c r="CLU33" s="16"/>
      <c r="CLV33" s="16"/>
      <c r="CLW33" s="16"/>
      <c r="CLX33" s="16"/>
      <c r="CLY33" s="16"/>
      <c r="CLZ33" s="16"/>
      <c r="CMA33" s="16"/>
      <c r="CMB33" s="16"/>
      <c r="CMC33" s="16"/>
      <c r="CMD33" s="16"/>
      <c r="CME33" s="16"/>
      <c r="CMF33" s="16"/>
      <c r="CMG33" s="16"/>
      <c r="CMH33" s="16"/>
      <c r="CMI33" s="16"/>
      <c r="CMJ33" s="16"/>
      <c r="CMK33" s="16"/>
      <c r="CML33" s="16"/>
      <c r="CMM33" s="16"/>
      <c r="CMN33" s="16"/>
      <c r="CMO33" s="16"/>
      <c r="CMP33" s="16"/>
      <c r="CMQ33" s="16"/>
      <c r="CMR33" s="16"/>
      <c r="CMS33" s="16"/>
      <c r="CMT33" s="16"/>
      <c r="CMU33" s="16"/>
      <c r="CMV33" s="16"/>
      <c r="CMW33" s="16"/>
      <c r="CMX33" s="16"/>
      <c r="CMY33" s="16"/>
      <c r="CMZ33" s="16"/>
      <c r="CNA33" s="16"/>
      <c r="CNB33" s="16"/>
      <c r="CNC33" s="16"/>
      <c r="CND33" s="16"/>
      <c r="CNE33" s="16"/>
      <c r="CNF33" s="16"/>
      <c r="CNG33" s="16"/>
      <c r="CNH33" s="16"/>
      <c r="CNI33" s="16"/>
      <c r="CNJ33" s="16"/>
      <c r="CNK33" s="16"/>
      <c r="CNL33" s="16"/>
      <c r="CNM33" s="16"/>
      <c r="CNN33" s="16"/>
      <c r="CNO33" s="16"/>
      <c r="CNP33" s="16"/>
      <c r="CNQ33" s="16"/>
      <c r="CNR33" s="16"/>
      <c r="CNS33" s="16"/>
      <c r="CNT33" s="16"/>
      <c r="CNU33" s="16"/>
      <c r="CNV33" s="16"/>
      <c r="CNW33" s="16"/>
      <c r="CNX33" s="16"/>
      <c r="CNY33" s="16"/>
      <c r="CNZ33" s="16"/>
      <c r="COA33" s="16"/>
      <c r="COB33" s="16"/>
      <c r="COC33" s="16"/>
      <c r="COD33" s="16"/>
      <c r="COE33" s="16"/>
      <c r="COF33" s="16"/>
      <c r="COG33" s="16"/>
      <c r="COH33" s="16"/>
      <c r="COI33" s="16"/>
      <c r="COJ33" s="16"/>
      <c r="COK33" s="16"/>
      <c r="COL33" s="16"/>
      <c r="COM33" s="16"/>
      <c r="CON33" s="16"/>
      <c r="COO33" s="16"/>
      <c r="COP33" s="16"/>
      <c r="COQ33" s="16"/>
      <c r="COR33" s="16"/>
      <c r="COS33" s="16"/>
      <c r="COT33" s="16"/>
      <c r="COU33" s="16"/>
      <c r="COV33" s="16"/>
      <c r="COW33" s="16"/>
      <c r="COX33" s="16"/>
      <c r="COY33" s="16"/>
      <c r="COZ33" s="16"/>
      <c r="CPA33" s="16"/>
      <c r="CPB33" s="16"/>
      <c r="CPC33" s="16"/>
      <c r="CPD33" s="16"/>
      <c r="CPE33" s="16"/>
      <c r="CPF33" s="16"/>
      <c r="CPG33" s="16"/>
      <c r="CPH33" s="16"/>
      <c r="CPI33" s="16"/>
      <c r="CPJ33" s="16"/>
      <c r="CPK33" s="16"/>
      <c r="CPL33" s="16"/>
      <c r="CPM33" s="16"/>
      <c r="CPN33" s="16"/>
      <c r="CPO33" s="16"/>
      <c r="CPP33" s="16"/>
      <c r="CPQ33" s="16"/>
      <c r="CPR33" s="16"/>
      <c r="CPS33" s="16"/>
      <c r="CPT33" s="16"/>
      <c r="CPU33" s="16"/>
      <c r="CPV33" s="16"/>
      <c r="CPW33" s="16"/>
      <c r="CPX33" s="16"/>
      <c r="CPY33" s="16"/>
      <c r="CPZ33" s="16"/>
      <c r="CQA33" s="16"/>
      <c r="CQB33" s="16"/>
      <c r="CQC33" s="16"/>
      <c r="CQD33" s="16"/>
      <c r="CQE33" s="16"/>
      <c r="CQF33" s="16"/>
      <c r="CQG33" s="16"/>
      <c r="CQH33" s="16"/>
      <c r="CQI33" s="16"/>
      <c r="CQJ33" s="16"/>
      <c r="CQK33" s="16"/>
      <c r="CQL33" s="16"/>
      <c r="CQM33" s="16"/>
      <c r="CQN33" s="16"/>
      <c r="CQO33" s="16"/>
      <c r="CQP33" s="16"/>
      <c r="CQQ33" s="16"/>
      <c r="CQR33" s="16"/>
      <c r="CQS33" s="16"/>
      <c r="CQT33" s="16"/>
      <c r="CQU33" s="16"/>
      <c r="CQV33" s="16"/>
      <c r="CQW33" s="16"/>
      <c r="CQX33" s="16"/>
      <c r="CQY33" s="16"/>
      <c r="CQZ33" s="16"/>
      <c r="CRA33" s="16"/>
      <c r="CRB33" s="16"/>
      <c r="CRC33" s="16"/>
      <c r="CRD33" s="16"/>
      <c r="CRE33" s="16"/>
      <c r="CRF33" s="16"/>
      <c r="CRG33" s="16"/>
      <c r="CRH33" s="16"/>
      <c r="CRI33" s="16"/>
      <c r="CRJ33" s="16"/>
      <c r="CRK33" s="16"/>
      <c r="CRL33" s="16"/>
      <c r="CRM33" s="16"/>
      <c r="CRN33" s="16"/>
      <c r="CRO33" s="16"/>
      <c r="CRP33" s="16"/>
      <c r="CRQ33" s="16"/>
      <c r="CRR33" s="16"/>
      <c r="CRS33" s="16"/>
      <c r="CRT33" s="16"/>
      <c r="CRU33" s="16"/>
      <c r="CRV33" s="16"/>
      <c r="CRW33" s="16"/>
      <c r="CRX33" s="16"/>
      <c r="CRY33" s="16"/>
      <c r="CRZ33" s="16"/>
      <c r="CSA33" s="16"/>
      <c r="CSB33" s="16"/>
      <c r="CSC33" s="16"/>
      <c r="CSD33" s="16"/>
      <c r="CSE33" s="16"/>
      <c r="CSF33" s="16"/>
      <c r="CSG33" s="16"/>
      <c r="CSH33" s="16"/>
      <c r="CSI33" s="16"/>
      <c r="CSJ33" s="16"/>
      <c r="CSK33" s="16"/>
      <c r="CSL33" s="16"/>
      <c r="CSM33" s="16"/>
      <c r="CSN33" s="16"/>
      <c r="CSO33" s="16"/>
      <c r="CSP33" s="16"/>
      <c r="CSQ33" s="16"/>
      <c r="CSR33" s="16"/>
      <c r="CSS33" s="16"/>
      <c r="CST33" s="16"/>
      <c r="CSU33" s="16"/>
      <c r="CSV33" s="16"/>
      <c r="CSW33" s="16"/>
      <c r="CSX33" s="16"/>
      <c r="CSY33" s="16"/>
      <c r="CSZ33" s="16"/>
      <c r="CTA33" s="16"/>
      <c r="CTB33" s="16"/>
      <c r="CTC33" s="16"/>
      <c r="CTD33" s="16"/>
      <c r="CTE33" s="16"/>
      <c r="CTF33" s="16"/>
      <c r="CTG33" s="16"/>
      <c r="CTH33" s="16"/>
      <c r="CTI33" s="16"/>
      <c r="CTJ33" s="16"/>
      <c r="CTK33" s="16"/>
      <c r="CTL33" s="16"/>
      <c r="CTM33" s="16"/>
      <c r="CTN33" s="16"/>
      <c r="CTO33" s="16"/>
      <c r="CTP33" s="16"/>
      <c r="CTQ33" s="16"/>
      <c r="CTR33" s="16"/>
      <c r="CTS33" s="16"/>
      <c r="CTT33" s="16"/>
      <c r="CTU33" s="16"/>
      <c r="CTV33" s="16"/>
      <c r="CTW33" s="16"/>
      <c r="CTX33" s="16"/>
      <c r="CTY33" s="16"/>
      <c r="CTZ33" s="16"/>
      <c r="CUA33" s="16"/>
      <c r="CUB33" s="16"/>
      <c r="CUC33" s="16"/>
      <c r="CUD33" s="16"/>
      <c r="CUE33" s="16"/>
      <c r="CUF33" s="16"/>
      <c r="CUG33" s="16"/>
      <c r="CUH33" s="16"/>
      <c r="CUI33" s="16"/>
      <c r="CUJ33" s="16"/>
      <c r="CUK33" s="16"/>
      <c r="CUL33" s="16"/>
      <c r="CUM33" s="16"/>
      <c r="CUN33" s="16"/>
      <c r="CUO33" s="16"/>
      <c r="CUP33" s="16"/>
      <c r="CUQ33" s="16"/>
      <c r="CUR33" s="16"/>
      <c r="CUS33" s="16"/>
      <c r="CUT33" s="16"/>
      <c r="CUU33" s="16"/>
      <c r="CUV33" s="16"/>
      <c r="CUW33" s="16"/>
      <c r="CUX33" s="16"/>
      <c r="CUY33" s="16"/>
      <c r="CUZ33" s="16"/>
      <c r="CVA33" s="16"/>
      <c r="CVB33" s="16"/>
      <c r="CVC33" s="16"/>
      <c r="CVD33" s="16"/>
      <c r="CVE33" s="16"/>
      <c r="CVF33" s="16"/>
      <c r="CVG33" s="16"/>
      <c r="CVH33" s="16"/>
      <c r="CVI33" s="16"/>
      <c r="CVJ33" s="16"/>
      <c r="CVK33" s="16"/>
      <c r="CVL33" s="16"/>
      <c r="CVM33" s="16"/>
      <c r="CVN33" s="16"/>
      <c r="CVO33" s="16"/>
      <c r="CVP33" s="16"/>
      <c r="CVQ33" s="16"/>
      <c r="CVR33" s="16"/>
      <c r="CVS33" s="16"/>
      <c r="CVT33" s="16"/>
      <c r="CVU33" s="16"/>
      <c r="CVV33" s="16"/>
      <c r="CVW33" s="16"/>
      <c r="CVX33" s="16"/>
      <c r="CVY33" s="16"/>
      <c r="CVZ33" s="16"/>
      <c r="CWA33" s="16"/>
      <c r="CWB33" s="16"/>
      <c r="CWC33" s="16"/>
      <c r="CWD33" s="16"/>
      <c r="CWE33" s="16"/>
      <c r="CWF33" s="16"/>
      <c r="CWG33" s="16"/>
      <c r="CWH33" s="16"/>
      <c r="CWI33" s="16"/>
      <c r="CWJ33" s="16"/>
      <c r="CWK33" s="16"/>
      <c r="CWL33" s="16"/>
      <c r="CWM33" s="16"/>
      <c r="CWN33" s="16"/>
      <c r="CWO33" s="16"/>
      <c r="CWP33" s="16"/>
      <c r="CWQ33" s="16"/>
      <c r="CWR33" s="16"/>
      <c r="CWS33" s="16"/>
      <c r="CWT33" s="16"/>
      <c r="CWU33" s="16"/>
      <c r="CWV33" s="16"/>
      <c r="CWW33" s="16"/>
      <c r="CWX33" s="16"/>
      <c r="CWY33" s="16"/>
      <c r="CWZ33" s="16"/>
      <c r="CXA33" s="16"/>
      <c r="CXB33" s="16"/>
      <c r="CXC33" s="16"/>
      <c r="CXD33" s="16"/>
      <c r="CXE33" s="16"/>
      <c r="CXF33" s="16"/>
      <c r="CXG33" s="16"/>
      <c r="CXH33" s="16"/>
      <c r="CXI33" s="16"/>
      <c r="CXJ33" s="16"/>
      <c r="CXK33" s="16"/>
      <c r="CXL33" s="16"/>
      <c r="CXM33" s="16"/>
      <c r="CXN33" s="16"/>
      <c r="CXO33" s="16"/>
      <c r="CXP33" s="16"/>
      <c r="CXQ33" s="16"/>
      <c r="CXR33" s="16"/>
      <c r="CXS33" s="16"/>
      <c r="CXT33" s="16"/>
      <c r="CXU33" s="16"/>
      <c r="CXV33" s="16"/>
      <c r="CXW33" s="16"/>
      <c r="CXX33" s="16"/>
      <c r="CXY33" s="16"/>
      <c r="CXZ33" s="16"/>
      <c r="CYA33" s="16"/>
      <c r="CYB33" s="16"/>
      <c r="CYC33" s="16"/>
      <c r="CYD33" s="16"/>
      <c r="CYE33" s="16"/>
      <c r="CYF33" s="16"/>
      <c r="CYG33" s="16"/>
      <c r="CYH33" s="16"/>
      <c r="CYI33" s="16"/>
      <c r="CYJ33" s="16"/>
      <c r="CYK33" s="16"/>
      <c r="CYL33" s="16"/>
      <c r="CYM33" s="16"/>
      <c r="CYN33" s="16"/>
      <c r="CYO33" s="16"/>
      <c r="CYP33" s="16"/>
      <c r="CYQ33" s="16"/>
      <c r="CYR33" s="16"/>
      <c r="CYS33" s="16"/>
      <c r="CYT33" s="16"/>
      <c r="CYU33" s="16"/>
      <c r="CYV33" s="16"/>
      <c r="CYW33" s="16"/>
      <c r="CYX33" s="16"/>
      <c r="CYY33" s="16"/>
      <c r="CYZ33" s="16"/>
      <c r="CZA33" s="16"/>
      <c r="CZB33" s="16"/>
      <c r="CZC33" s="16"/>
      <c r="CZD33" s="16"/>
      <c r="CZE33" s="16"/>
      <c r="CZF33" s="16"/>
      <c r="CZG33" s="16"/>
      <c r="CZH33" s="16"/>
      <c r="CZI33" s="16"/>
      <c r="CZJ33" s="16"/>
      <c r="CZK33" s="16"/>
      <c r="CZL33" s="16"/>
      <c r="CZM33" s="16"/>
      <c r="CZN33" s="16"/>
      <c r="CZO33" s="16"/>
      <c r="CZP33" s="16"/>
      <c r="CZQ33" s="16"/>
      <c r="CZR33" s="16"/>
      <c r="CZS33" s="16"/>
      <c r="CZT33" s="16"/>
      <c r="CZU33" s="16"/>
      <c r="CZV33" s="16"/>
      <c r="CZW33" s="16"/>
      <c r="CZX33" s="16"/>
      <c r="CZY33" s="16"/>
      <c r="CZZ33" s="16"/>
      <c r="DAA33" s="16"/>
      <c r="DAB33" s="16"/>
      <c r="DAC33" s="16"/>
      <c r="DAD33" s="16"/>
      <c r="DAE33" s="16"/>
      <c r="DAF33" s="16"/>
      <c r="DAG33" s="16"/>
      <c r="DAH33" s="16"/>
      <c r="DAI33" s="16"/>
      <c r="DAJ33" s="16"/>
      <c r="DAK33" s="16"/>
      <c r="DAL33" s="16"/>
      <c r="DAM33" s="16"/>
      <c r="DAN33" s="16"/>
      <c r="DAO33" s="16"/>
      <c r="DAP33" s="16"/>
      <c r="DAQ33" s="16"/>
      <c r="DAR33" s="16"/>
      <c r="DAS33" s="16"/>
      <c r="DAT33" s="16"/>
      <c r="DAU33" s="16"/>
      <c r="DAV33" s="16"/>
      <c r="DAW33" s="16"/>
      <c r="DAX33" s="16"/>
      <c r="DAY33" s="16"/>
      <c r="DAZ33" s="16"/>
      <c r="DBA33" s="16"/>
      <c r="DBB33" s="16"/>
      <c r="DBC33" s="16"/>
      <c r="DBD33" s="16"/>
      <c r="DBE33" s="16"/>
      <c r="DBF33" s="16"/>
      <c r="DBG33" s="16"/>
      <c r="DBH33" s="16"/>
      <c r="DBI33" s="16"/>
      <c r="DBJ33" s="16"/>
      <c r="DBK33" s="16"/>
      <c r="DBL33" s="16"/>
      <c r="DBM33" s="16"/>
      <c r="DBN33" s="16"/>
      <c r="DBO33" s="16"/>
      <c r="DBP33" s="16"/>
      <c r="DBQ33" s="16"/>
      <c r="DBR33" s="16"/>
      <c r="DBS33" s="16"/>
      <c r="DBT33" s="16"/>
      <c r="DBU33" s="16"/>
      <c r="DBV33" s="16"/>
      <c r="DBW33" s="16"/>
      <c r="DBX33" s="16"/>
      <c r="DBY33" s="16"/>
      <c r="DBZ33" s="16"/>
      <c r="DCA33" s="16"/>
      <c r="DCB33" s="16"/>
      <c r="DCC33" s="16"/>
      <c r="DCD33" s="16"/>
      <c r="DCE33" s="16"/>
      <c r="DCF33" s="16"/>
      <c r="DCG33" s="16"/>
      <c r="DCH33" s="16"/>
      <c r="DCI33" s="16"/>
      <c r="DCJ33" s="16"/>
      <c r="DCK33" s="16"/>
      <c r="DCL33" s="16"/>
      <c r="DCM33" s="16"/>
      <c r="DCN33" s="16"/>
      <c r="DCO33" s="16"/>
      <c r="DCP33" s="16"/>
      <c r="DCQ33" s="16"/>
      <c r="DCR33" s="16"/>
      <c r="DCS33" s="16"/>
      <c r="DCT33" s="16"/>
      <c r="DCU33" s="16"/>
      <c r="DCV33" s="16"/>
      <c r="DCW33" s="16"/>
      <c r="DCX33" s="16"/>
      <c r="DCY33" s="16"/>
      <c r="DCZ33" s="16"/>
      <c r="DDA33" s="16"/>
      <c r="DDB33" s="16"/>
      <c r="DDC33" s="16"/>
      <c r="DDD33" s="16"/>
      <c r="DDE33" s="16"/>
      <c r="DDF33" s="16"/>
      <c r="DDG33" s="16"/>
      <c r="DDH33" s="16"/>
      <c r="DDI33" s="16"/>
      <c r="DDJ33" s="16"/>
      <c r="DDK33" s="16"/>
      <c r="DDL33" s="16"/>
      <c r="DDM33" s="16"/>
      <c r="DDN33" s="16"/>
      <c r="DDO33" s="16"/>
      <c r="DDP33" s="16"/>
      <c r="DDQ33" s="16"/>
      <c r="DDR33" s="16"/>
      <c r="DDS33" s="16"/>
      <c r="DDT33" s="16"/>
      <c r="DDU33" s="16"/>
      <c r="DDV33" s="16"/>
      <c r="DDW33" s="16"/>
      <c r="DDX33" s="16"/>
      <c r="DDY33" s="16"/>
      <c r="DDZ33" s="16"/>
      <c r="DEA33" s="16"/>
      <c r="DEB33" s="16"/>
      <c r="DEC33" s="16"/>
      <c r="DED33" s="16"/>
      <c r="DEE33" s="16"/>
      <c r="DEF33" s="16"/>
      <c r="DEG33" s="16"/>
      <c r="DEH33" s="16"/>
      <c r="DEI33" s="16"/>
      <c r="DEJ33" s="16"/>
      <c r="DEK33" s="16"/>
      <c r="DEL33" s="16"/>
      <c r="DEM33" s="16"/>
      <c r="DEN33" s="16"/>
      <c r="DEO33" s="16"/>
      <c r="DEP33" s="16"/>
      <c r="DEQ33" s="16"/>
      <c r="DER33" s="16"/>
      <c r="DES33" s="16"/>
      <c r="DET33" s="16"/>
      <c r="DEU33" s="16"/>
      <c r="DEV33" s="16"/>
      <c r="DEW33" s="16"/>
      <c r="DEX33" s="16"/>
      <c r="DEY33" s="16"/>
      <c r="DEZ33" s="16"/>
      <c r="DFA33" s="16"/>
      <c r="DFB33" s="16"/>
      <c r="DFC33" s="16"/>
      <c r="DFD33" s="16"/>
      <c r="DFE33" s="16"/>
      <c r="DFF33" s="16"/>
      <c r="DFG33" s="16"/>
      <c r="DFH33" s="16"/>
      <c r="DFI33" s="16"/>
      <c r="DFJ33" s="16"/>
      <c r="DFK33" s="16"/>
      <c r="DFL33" s="16"/>
      <c r="DFM33" s="16"/>
      <c r="DFN33" s="16"/>
      <c r="DFO33" s="16"/>
      <c r="DFP33" s="16"/>
      <c r="DFQ33" s="16"/>
      <c r="DFR33" s="16"/>
      <c r="DFS33" s="16"/>
      <c r="DFT33" s="16"/>
      <c r="DFU33" s="16"/>
      <c r="DFV33" s="16"/>
      <c r="DFW33" s="16"/>
      <c r="DFX33" s="16"/>
      <c r="DFY33" s="16"/>
      <c r="DFZ33" s="16"/>
      <c r="DGA33" s="16"/>
      <c r="DGB33" s="16"/>
      <c r="DGC33" s="16"/>
      <c r="DGD33" s="16"/>
      <c r="DGE33" s="16"/>
      <c r="DGF33" s="16"/>
      <c r="DGG33" s="16"/>
      <c r="DGH33" s="16"/>
      <c r="DGI33" s="16"/>
      <c r="DGJ33" s="16"/>
      <c r="DGK33" s="16"/>
      <c r="DGL33" s="16"/>
      <c r="DGM33" s="16"/>
      <c r="DGN33" s="16"/>
      <c r="DGO33" s="16"/>
      <c r="DGP33" s="16"/>
      <c r="DGQ33" s="16"/>
      <c r="DGR33" s="16"/>
      <c r="DGS33" s="16"/>
      <c r="DGT33" s="16"/>
      <c r="DGU33" s="16"/>
      <c r="DGV33" s="16"/>
      <c r="DGW33" s="16"/>
      <c r="DGX33" s="16"/>
      <c r="DGY33" s="16"/>
      <c r="DGZ33" s="16"/>
      <c r="DHA33" s="16"/>
      <c r="DHB33" s="16"/>
      <c r="DHC33" s="16"/>
      <c r="DHD33" s="16"/>
      <c r="DHE33" s="16"/>
      <c r="DHF33" s="16"/>
      <c r="DHG33" s="16"/>
      <c r="DHH33" s="16"/>
      <c r="DHI33" s="16"/>
      <c r="DHJ33" s="16"/>
      <c r="DHK33" s="16"/>
      <c r="DHL33" s="16"/>
      <c r="DHM33" s="16"/>
      <c r="DHN33" s="16"/>
      <c r="DHO33" s="16"/>
      <c r="DHP33" s="16"/>
      <c r="DHQ33" s="16"/>
      <c r="DHR33" s="16"/>
      <c r="DHS33" s="16"/>
      <c r="DHT33" s="16"/>
      <c r="DHU33" s="16"/>
      <c r="DHV33" s="16"/>
      <c r="DHW33" s="16"/>
      <c r="DHX33" s="16"/>
      <c r="DHY33" s="16"/>
      <c r="DHZ33" s="16"/>
      <c r="DIA33" s="16"/>
      <c r="DIB33" s="16"/>
      <c r="DIC33" s="16"/>
      <c r="DID33" s="16"/>
      <c r="DIE33" s="16"/>
      <c r="DIF33" s="16"/>
      <c r="DIG33" s="16"/>
      <c r="DIH33" s="16"/>
      <c r="DII33" s="16"/>
      <c r="DIJ33" s="16"/>
      <c r="DIK33" s="16"/>
      <c r="DIL33" s="16"/>
      <c r="DIM33" s="16"/>
      <c r="DIN33" s="16"/>
      <c r="DIO33" s="16"/>
      <c r="DIP33" s="16"/>
      <c r="DIQ33" s="16"/>
      <c r="DIR33" s="16"/>
      <c r="DIS33" s="16"/>
      <c r="DIT33" s="16"/>
      <c r="DIU33" s="16"/>
      <c r="DIV33" s="16"/>
      <c r="DIW33" s="16"/>
      <c r="DIX33" s="16"/>
      <c r="DIY33" s="16"/>
      <c r="DIZ33" s="16"/>
      <c r="DJA33" s="16"/>
      <c r="DJB33" s="16"/>
      <c r="DJC33" s="16"/>
      <c r="DJD33" s="16"/>
      <c r="DJE33" s="16"/>
      <c r="DJF33" s="16"/>
      <c r="DJG33" s="16"/>
      <c r="DJH33" s="16"/>
      <c r="DJI33" s="16"/>
      <c r="DJJ33" s="16"/>
      <c r="DJK33" s="16"/>
      <c r="DJL33" s="16"/>
      <c r="DJM33" s="16"/>
      <c r="DJN33" s="16"/>
      <c r="DJO33" s="16"/>
      <c r="DJP33" s="16"/>
      <c r="DJQ33" s="16"/>
      <c r="DJR33" s="16"/>
      <c r="DJS33" s="16"/>
      <c r="DJT33" s="16"/>
      <c r="DJU33" s="16"/>
      <c r="DJV33" s="16"/>
      <c r="DJW33" s="16"/>
      <c r="DJX33" s="16"/>
      <c r="DJY33" s="16"/>
      <c r="DJZ33" s="16"/>
      <c r="DKA33" s="16"/>
      <c r="DKB33" s="16"/>
      <c r="DKC33" s="16"/>
      <c r="DKD33" s="16"/>
      <c r="DKE33" s="16"/>
      <c r="DKF33" s="16"/>
      <c r="DKG33" s="16"/>
      <c r="DKH33" s="16"/>
      <c r="DKI33" s="16"/>
      <c r="DKJ33" s="16"/>
      <c r="DKK33" s="16"/>
      <c r="DKL33" s="16"/>
      <c r="DKM33" s="16"/>
      <c r="DKN33" s="16"/>
      <c r="DKO33" s="16"/>
      <c r="DKP33" s="16"/>
      <c r="DKQ33" s="16"/>
      <c r="DKR33" s="16"/>
      <c r="DKS33" s="16"/>
      <c r="DKT33" s="16"/>
      <c r="DKU33" s="16"/>
      <c r="DKV33" s="16"/>
      <c r="DKW33" s="16"/>
      <c r="DKX33" s="16"/>
      <c r="DKY33" s="16"/>
      <c r="DKZ33" s="16"/>
      <c r="DLA33" s="16"/>
      <c r="DLB33" s="16"/>
      <c r="DLC33" s="16"/>
      <c r="DLD33" s="16"/>
      <c r="DLE33" s="16"/>
      <c r="DLF33" s="16"/>
      <c r="DLG33" s="16"/>
      <c r="DLH33" s="16"/>
      <c r="DLI33" s="16"/>
      <c r="DLJ33" s="16"/>
      <c r="DLK33" s="16"/>
      <c r="DLL33" s="16"/>
      <c r="DLM33" s="16"/>
      <c r="DLN33" s="16"/>
      <c r="DLO33" s="16"/>
      <c r="DLP33" s="16"/>
      <c r="DLQ33" s="16"/>
      <c r="DLR33" s="16"/>
      <c r="DLS33" s="16"/>
      <c r="DLT33" s="16"/>
      <c r="DLU33" s="16"/>
      <c r="DLV33" s="16"/>
      <c r="DLW33" s="16"/>
      <c r="DLX33" s="16"/>
      <c r="DLY33" s="16"/>
      <c r="DLZ33" s="16"/>
      <c r="DMA33" s="16"/>
      <c r="DMB33" s="16"/>
      <c r="DMC33" s="16"/>
      <c r="DMD33" s="16"/>
      <c r="DME33" s="16"/>
      <c r="DMF33" s="16"/>
      <c r="DMG33" s="16"/>
      <c r="DMH33" s="16"/>
      <c r="DMI33" s="16"/>
      <c r="DMJ33" s="16"/>
      <c r="DMK33" s="16"/>
      <c r="DML33" s="16"/>
      <c r="DMM33" s="16"/>
      <c r="DMN33" s="16"/>
      <c r="DMO33" s="16"/>
      <c r="DMP33" s="16"/>
      <c r="DMQ33" s="16"/>
      <c r="DMR33" s="16"/>
      <c r="DMS33" s="16"/>
      <c r="DMT33" s="16"/>
      <c r="DMU33" s="16"/>
      <c r="DMV33" s="16"/>
      <c r="DMW33" s="16"/>
      <c r="DMX33" s="16"/>
      <c r="DMY33" s="16"/>
      <c r="DMZ33" s="16"/>
      <c r="DNA33" s="16"/>
      <c r="DNB33" s="16"/>
      <c r="DNC33" s="16"/>
      <c r="DND33" s="16"/>
      <c r="DNE33" s="16"/>
      <c r="DNF33" s="16"/>
      <c r="DNG33" s="16"/>
      <c r="DNH33" s="16"/>
      <c r="DNI33" s="16"/>
      <c r="DNJ33" s="16"/>
      <c r="DNK33" s="16"/>
      <c r="DNL33" s="16"/>
      <c r="DNM33" s="16"/>
      <c r="DNN33" s="16"/>
      <c r="DNO33" s="16"/>
      <c r="DNP33" s="16"/>
      <c r="DNQ33" s="16"/>
      <c r="DNR33" s="16"/>
      <c r="DNS33" s="16"/>
      <c r="DNT33" s="16"/>
      <c r="DNU33" s="16"/>
      <c r="DNV33" s="16"/>
      <c r="DNW33" s="16"/>
      <c r="DNX33" s="16"/>
      <c r="DNY33" s="16"/>
      <c r="DNZ33" s="16"/>
      <c r="DOA33" s="16"/>
      <c r="DOB33" s="16"/>
      <c r="DOC33" s="16"/>
      <c r="DOD33" s="16"/>
      <c r="DOE33" s="16"/>
      <c r="DOF33" s="16"/>
      <c r="DOG33" s="16"/>
      <c r="DOH33" s="16"/>
      <c r="DOI33" s="16"/>
      <c r="DOJ33" s="16"/>
      <c r="DOK33" s="16"/>
      <c r="DOL33" s="16"/>
      <c r="DOM33" s="16"/>
      <c r="DON33" s="16"/>
      <c r="DOO33" s="16"/>
      <c r="DOP33" s="16"/>
      <c r="DOQ33" s="16"/>
      <c r="DOR33" s="16"/>
      <c r="DOS33" s="16"/>
      <c r="DOT33" s="16"/>
      <c r="DOU33" s="16"/>
      <c r="DOV33" s="16"/>
      <c r="DOW33" s="16"/>
      <c r="DOX33" s="16"/>
      <c r="DOY33" s="16"/>
      <c r="DOZ33" s="16"/>
      <c r="DPA33" s="16"/>
      <c r="DPB33" s="16"/>
      <c r="DPC33" s="16"/>
      <c r="DPD33" s="16"/>
      <c r="DPE33" s="16"/>
      <c r="DPF33" s="16"/>
      <c r="DPG33" s="16"/>
      <c r="DPH33" s="16"/>
      <c r="DPI33" s="16"/>
      <c r="DPJ33" s="16"/>
      <c r="DPK33" s="16"/>
      <c r="DPL33" s="16"/>
      <c r="DPM33" s="16"/>
      <c r="DPN33" s="16"/>
      <c r="DPO33" s="16"/>
      <c r="DPP33" s="16"/>
      <c r="DPQ33" s="16"/>
      <c r="DPR33" s="16"/>
      <c r="DPS33" s="16"/>
      <c r="DPT33" s="16"/>
      <c r="DPU33" s="16"/>
      <c r="DPV33" s="16"/>
      <c r="DPW33" s="16"/>
      <c r="DPX33" s="16"/>
      <c r="DPY33" s="16"/>
      <c r="DPZ33" s="16"/>
      <c r="DQA33" s="16"/>
      <c r="DQB33" s="16"/>
      <c r="DQC33" s="16"/>
      <c r="DQD33" s="16"/>
      <c r="DQE33" s="16"/>
      <c r="DQF33" s="16"/>
      <c r="DQG33" s="16"/>
      <c r="DQH33" s="16"/>
      <c r="DQI33" s="16"/>
      <c r="DQJ33" s="16"/>
      <c r="DQK33" s="16"/>
      <c r="DQL33" s="16"/>
      <c r="DQM33" s="16"/>
      <c r="DQN33" s="16"/>
      <c r="DQO33" s="16"/>
      <c r="DQP33" s="16"/>
      <c r="DQQ33" s="16"/>
      <c r="DQR33" s="16"/>
      <c r="DQS33" s="16"/>
      <c r="DQT33" s="16"/>
      <c r="DQU33" s="16"/>
      <c r="DQV33" s="16"/>
      <c r="DQW33" s="16"/>
      <c r="DQX33" s="16"/>
      <c r="DQY33" s="16"/>
      <c r="DQZ33" s="16"/>
      <c r="DRA33" s="16"/>
      <c r="DRB33" s="16"/>
      <c r="DRC33" s="16"/>
      <c r="DRD33" s="16"/>
      <c r="DRE33" s="16"/>
      <c r="DRF33" s="16"/>
      <c r="DRG33" s="16"/>
      <c r="DRH33" s="16"/>
      <c r="DRI33" s="16"/>
      <c r="DRJ33" s="16"/>
      <c r="DRK33" s="16"/>
      <c r="DRL33" s="16"/>
      <c r="DRM33" s="16"/>
      <c r="DRN33" s="16"/>
      <c r="DRO33" s="16"/>
      <c r="DRP33" s="16"/>
      <c r="DRQ33" s="16"/>
      <c r="DRR33" s="16"/>
      <c r="DRS33" s="16"/>
      <c r="DRT33" s="16"/>
      <c r="DRU33" s="16"/>
      <c r="DRV33" s="16"/>
      <c r="DRW33" s="16"/>
      <c r="DRX33" s="16"/>
      <c r="DRY33" s="16"/>
      <c r="DRZ33" s="16"/>
      <c r="DSA33" s="16"/>
      <c r="DSB33" s="16"/>
      <c r="DSC33" s="16"/>
      <c r="DSD33" s="16"/>
      <c r="DSE33" s="16"/>
      <c r="DSF33" s="16"/>
      <c r="DSG33" s="16"/>
      <c r="DSH33" s="16"/>
      <c r="DSI33" s="16"/>
      <c r="DSJ33" s="16"/>
      <c r="DSK33" s="16"/>
      <c r="DSL33" s="16"/>
      <c r="DSM33" s="16"/>
      <c r="DSN33" s="16"/>
      <c r="DSO33" s="16"/>
      <c r="DSP33" s="16"/>
      <c r="DSQ33" s="16"/>
      <c r="DSR33" s="16"/>
      <c r="DSS33" s="16"/>
      <c r="DST33" s="16"/>
      <c r="DSU33" s="16"/>
      <c r="DSV33" s="16"/>
      <c r="DSW33" s="16"/>
      <c r="DSX33" s="16"/>
      <c r="DSY33" s="16"/>
      <c r="DSZ33" s="16"/>
      <c r="DTA33" s="16"/>
      <c r="DTB33" s="16"/>
      <c r="DTC33" s="16"/>
      <c r="DTD33" s="16"/>
      <c r="DTE33" s="16"/>
      <c r="DTF33" s="16"/>
      <c r="DTG33" s="16"/>
      <c r="DTH33" s="16"/>
      <c r="DTI33" s="16"/>
      <c r="DTJ33" s="16"/>
      <c r="DTK33" s="16"/>
      <c r="DTL33" s="16"/>
      <c r="DTM33" s="16"/>
      <c r="DTN33" s="16"/>
      <c r="DTO33" s="16"/>
      <c r="DTP33" s="16"/>
      <c r="DTQ33" s="16"/>
      <c r="DTR33" s="16"/>
      <c r="DTS33" s="16"/>
      <c r="DTT33" s="16"/>
      <c r="DTU33" s="16"/>
      <c r="DTV33" s="16"/>
      <c r="DTW33" s="16"/>
      <c r="DTX33" s="16"/>
      <c r="DTY33" s="16"/>
      <c r="DTZ33" s="16"/>
      <c r="DUA33" s="16"/>
      <c r="DUB33" s="16"/>
      <c r="DUC33" s="16"/>
      <c r="DUD33" s="16"/>
      <c r="DUE33" s="16"/>
      <c r="DUF33" s="16"/>
      <c r="DUG33" s="16"/>
      <c r="DUH33" s="16"/>
      <c r="DUI33" s="16"/>
      <c r="DUJ33" s="16"/>
      <c r="DUK33" s="16"/>
      <c r="DUL33" s="16"/>
      <c r="DUM33" s="16"/>
      <c r="DUN33" s="16"/>
      <c r="DUO33" s="16"/>
      <c r="DUP33" s="16"/>
      <c r="DUQ33" s="16"/>
      <c r="DUR33" s="16"/>
      <c r="DUS33" s="16"/>
      <c r="DUT33" s="16"/>
      <c r="DUU33" s="16"/>
      <c r="DUV33" s="16"/>
      <c r="DUW33" s="16"/>
      <c r="DUX33" s="16"/>
      <c r="DUY33" s="16"/>
      <c r="DUZ33" s="16"/>
      <c r="DVA33" s="16"/>
      <c r="DVB33" s="16"/>
      <c r="DVC33" s="16"/>
      <c r="DVD33" s="16"/>
      <c r="DVE33" s="16"/>
      <c r="DVF33" s="16"/>
      <c r="DVG33" s="16"/>
      <c r="DVH33" s="16"/>
      <c r="DVI33" s="16"/>
      <c r="DVJ33" s="16"/>
      <c r="DVK33" s="16"/>
      <c r="DVL33" s="16"/>
      <c r="DVM33" s="16"/>
      <c r="DVN33" s="16"/>
      <c r="DVO33" s="16"/>
      <c r="DVP33" s="16"/>
      <c r="DVQ33" s="16"/>
      <c r="DVR33" s="16"/>
      <c r="DVS33" s="16"/>
      <c r="DVT33" s="16"/>
      <c r="DVU33" s="16"/>
      <c r="DVV33" s="16"/>
      <c r="DVW33" s="16"/>
      <c r="DVX33" s="16"/>
      <c r="DVY33" s="16"/>
      <c r="DVZ33" s="16"/>
      <c r="DWA33" s="16"/>
      <c r="DWB33" s="16"/>
      <c r="DWC33" s="16"/>
      <c r="DWD33" s="16"/>
      <c r="DWE33" s="16"/>
      <c r="DWF33" s="16"/>
      <c r="DWG33" s="16"/>
      <c r="DWH33" s="16"/>
      <c r="DWI33" s="16"/>
      <c r="DWJ33" s="16"/>
      <c r="DWK33" s="16"/>
      <c r="DWL33" s="16"/>
      <c r="DWM33" s="16"/>
      <c r="DWN33" s="16"/>
      <c r="DWO33" s="16"/>
      <c r="DWP33" s="16"/>
      <c r="DWQ33" s="16"/>
      <c r="DWR33" s="16"/>
      <c r="DWS33" s="16"/>
      <c r="DWT33" s="16"/>
      <c r="DWU33" s="16"/>
      <c r="DWV33" s="16"/>
      <c r="DWW33" s="16"/>
      <c r="DWX33" s="16"/>
      <c r="DWY33" s="16"/>
      <c r="DWZ33" s="16"/>
      <c r="DXA33" s="16"/>
      <c r="DXB33" s="16"/>
      <c r="DXC33" s="16"/>
      <c r="DXD33" s="16"/>
      <c r="DXE33" s="16"/>
      <c r="DXF33" s="16"/>
      <c r="DXG33" s="16"/>
      <c r="DXH33" s="16"/>
      <c r="DXI33" s="16"/>
      <c r="DXJ33" s="16"/>
      <c r="DXK33" s="16"/>
      <c r="DXL33" s="16"/>
      <c r="DXM33" s="16"/>
      <c r="DXN33" s="16"/>
      <c r="DXO33" s="16"/>
      <c r="DXP33" s="16"/>
      <c r="DXQ33" s="16"/>
      <c r="DXR33" s="16"/>
      <c r="DXS33" s="16"/>
      <c r="DXT33" s="16"/>
      <c r="DXU33" s="16"/>
      <c r="DXV33" s="16"/>
      <c r="DXW33" s="16"/>
      <c r="DXX33" s="16"/>
      <c r="DXY33" s="16"/>
      <c r="DXZ33" s="16"/>
      <c r="DYA33" s="16"/>
      <c r="DYB33" s="16"/>
      <c r="DYC33" s="16"/>
      <c r="DYD33" s="16"/>
      <c r="DYE33" s="16"/>
      <c r="DYF33" s="16"/>
      <c r="DYG33" s="16"/>
      <c r="DYH33" s="16"/>
      <c r="DYI33" s="16"/>
      <c r="DYJ33" s="16"/>
      <c r="DYK33" s="16"/>
      <c r="DYL33" s="16"/>
      <c r="DYM33" s="16"/>
      <c r="DYN33" s="16"/>
      <c r="DYO33" s="16"/>
      <c r="DYP33" s="16"/>
      <c r="DYQ33" s="16"/>
      <c r="DYR33" s="16"/>
      <c r="DYS33" s="16"/>
      <c r="DYT33" s="16"/>
      <c r="DYU33" s="16"/>
      <c r="DYV33" s="16"/>
      <c r="DYW33" s="16"/>
      <c r="DYX33" s="16"/>
      <c r="DYY33" s="16"/>
      <c r="DYZ33" s="16"/>
      <c r="DZA33" s="16"/>
      <c r="DZB33" s="16"/>
      <c r="DZC33" s="16"/>
      <c r="DZD33" s="16"/>
      <c r="DZE33" s="16"/>
      <c r="DZF33" s="16"/>
      <c r="DZG33" s="16"/>
      <c r="DZH33" s="16"/>
      <c r="DZI33" s="16"/>
      <c r="DZJ33" s="16"/>
      <c r="DZK33" s="16"/>
      <c r="DZL33" s="16"/>
      <c r="DZM33" s="16"/>
      <c r="DZN33" s="16"/>
      <c r="DZO33" s="16"/>
      <c r="DZP33" s="16"/>
      <c r="DZQ33" s="16"/>
      <c r="DZR33" s="16"/>
      <c r="DZS33" s="16"/>
      <c r="DZT33" s="16"/>
      <c r="DZU33" s="16"/>
      <c r="DZV33" s="16"/>
      <c r="DZW33" s="16"/>
      <c r="DZX33" s="16"/>
      <c r="DZY33" s="16"/>
      <c r="DZZ33" s="16"/>
      <c r="EAA33" s="16"/>
      <c r="EAB33" s="16"/>
      <c r="EAC33" s="16"/>
      <c r="EAD33" s="16"/>
      <c r="EAE33" s="16"/>
      <c r="EAF33" s="16"/>
      <c r="EAG33" s="16"/>
      <c r="EAH33" s="16"/>
      <c r="EAI33" s="16"/>
      <c r="EAJ33" s="16"/>
      <c r="EAK33" s="16"/>
      <c r="EAL33" s="16"/>
      <c r="EAM33" s="16"/>
      <c r="EAN33" s="16"/>
      <c r="EAO33" s="16"/>
      <c r="EAP33" s="16"/>
      <c r="EAQ33" s="16"/>
      <c r="EAR33" s="16"/>
      <c r="EAS33" s="16"/>
      <c r="EAT33" s="16"/>
      <c r="EAU33" s="16"/>
      <c r="EAV33" s="16"/>
      <c r="EAW33" s="16"/>
      <c r="EAX33" s="16"/>
      <c r="EAY33" s="16"/>
      <c r="EAZ33" s="16"/>
      <c r="EBA33" s="16"/>
      <c r="EBB33" s="16"/>
      <c r="EBC33" s="16"/>
      <c r="EBD33" s="16"/>
      <c r="EBE33" s="16"/>
      <c r="EBF33" s="16"/>
      <c r="EBG33" s="16"/>
      <c r="EBH33" s="16"/>
      <c r="EBI33" s="16"/>
      <c r="EBJ33" s="16"/>
      <c r="EBK33" s="16"/>
      <c r="EBL33" s="16"/>
      <c r="EBM33" s="16"/>
      <c r="EBN33" s="16"/>
      <c r="EBO33" s="16"/>
      <c r="EBP33" s="16"/>
      <c r="EBQ33" s="16"/>
      <c r="EBR33" s="16"/>
      <c r="EBS33" s="16"/>
      <c r="EBT33" s="16"/>
      <c r="EBU33" s="16"/>
      <c r="EBV33" s="16"/>
      <c r="EBW33" s="16"/>
      <c r="EBX33" s="16"/>
      <c r="EBY33" s="16"/>
      <c r="EBZ33" s="16"/>
      <c r="ECA33" s="16"/>
      <c r="ECB33" s="16"/>
      <c r="ECC33" s="16"/>
      <c r="ECD33" s="16"/>
      <c r="ECE33" s="16"/>
      <c r="ECF33" s="16"/>
      <c r="ECG33" s="16"/>
      <c r="ECH33" s="16"/>
      <c r="ECI33" s="16"/>
      <c r="ECJ33" s="16"/>
      <c r="ECK33" s="16"/>
      <c r="ECL33" s="16"/>
      <c r="ECM33" s="16"/>
      <c r="ECN33" s="16"/>
      <c r="ECO33" s="16"/>
      <c r="ECP33" s="16"/>
      <c r="ECQ33" s="16"/>
      <c r="ECR33" s="16"/>
      <c r="ECS33" s="16"/>
      <c r="ECT33" s="16"/>
      <c r="ECU33" s="16"/>
      <c r="ECV33" s="16"/>
      <c r="ECW33" s="16"/>
      <c r="ECX33" s="16"/>
      <c r="ECY33" s="16"/>
      <c r="ECZ33" s="16"/>
      <c r="EDA33" s="16"/>
      <c r="EDB33" s="16"/>
      <c r="EDC33" s="16"/>
      <c r="EDD33" s="16"/>
      <c r="EDE33" s="16"/>
      <c r="EDF33" s="16"/>
      <c r="EDG33" s="16"/>
      <c r="EDH33" s="16"/>
      <c r="EDI33" s="16"/>
      <c r="EDJ33" s="16"/>
      <c r="EDK33" s="16"/>
      <c r="EDL33" s="16"/>
      <c r="EDM33" s="16"/>
      <c r="EDN33" s="16"/>
      <c r="EDO33" s="16"/>
      <c r="EDP33" s="16"/>
      <c r="EDQ33" s="16"/>
      <c r="EDR33" s="16"/>
      <c r="EDS33" s="16"/>
      <c r="EDT33" s="16"/>
      <c r="EDU33" s="16"/>
      <c r="EDV33" s="16"/>
      <c r="EDW33" s="16"/>
      <c r="EDX33" s="16"/>
      <c r="EDY33" s="16"/>
      <c r="EDZ33" s="16"/>
      <c r="EEA33" s="16"/>
      <c r="EEB33" s="16"/>
      <c r="EEC33" s="16"/>
      <c r="EED33" s="16"/>
      <c r="EEE33" s="16"/>
      <c r="EEF33" s="16"/>
      <c r="EEG33" s="16"/>
      <c r="EEH33" s="16"/>
      <c r="EEI33" s="16"/>
      <c r="EEJ33" s="16"/>
      <c r="EEK33" s="16"/>
      <c r="EEL33" s="16"/>
      <c r="EEM33" s="16"/>
      <c r="EEN33" s="16"/>
      <c r="EEO33" s="16"/>
      <c r="EEP33" s="16"/>
      <c r="EEQ33" s="16"/>
      <c r="EER33" s="16"/>
      <c r="EES33" s="16"/>
      <c r="EET33" s="16"/>
      <c r="EEU33" s="16"/>
      <c r="EEV33" s="16"/>
      <c r="EEW33" s="16"/>
      <c r="EEX33" s="16"/>
      <c r="EEY33" s="16"/>
      <c r="EEZ33" s="16"/>
      <c r="EFA33" s="16"/>
      <c r="EFB33" s="16"/>
      <c r="EFC33" s="16"/>
      <c r="EFD33" s="16"/>
      <c r="EFE33" s="16"/>
      <c r="EFF33" s="16"/>
      <c r="EFG33" s="16"/>
      <c r="EFH33" s="16"/>
      <c r="EFI33" s="16"/>
      <c r="EFJ33" s="16"/>
      <c r="EFK33" s="16"/>
      <c r="EFL33" s="16"/>
      <c r="EFM33" s="16"/>
      <c r="EFN33" s="16"/>
      <c r="EFO33" s="16"/>
      <c r="EFP33" s="16"/>
      <c r="EFQ33" s="16"/>
      <c r="EFR33" s="16"/>
      <c r="EFS33" s="16"/>
      <c r="EFT33" s="16"/>
      <c r="EFU33" s="16"/>
      <c r="EFV33" s="16"/>
      <c r="EFW33" s="16"/>
      <c r="EFX33" s="16"/>
      <c r="EFY33" s="16"/>
      <c r="EFZ33" s="16"/>
      <c r="EGA33" s="16"/>
      <c r="EGB33" s="16"/>
      <c r="EGC33" s="16"/>
      <c r="EGD33" s="16"/>
      <c r="EGE33" s="16"/>
      <c r="EGF33" s="16"/>
      <c r="EGG33" s="16"/>
      <c r="EGH33" s="16"/>
      <c r="EGI33" s="16"/>
      <c r="EGJ33" s="16"/>
      <c r="EGK33" s="16"/>
      <c r="EGL33" s="16"/>
      <c r="EGM33" s="16"/>
      <c r="EGN33" s="16"/>
      <c r="EGO33" s="16"/>
      <c r="EGP33" s="16"/>
      <c r="EGQ33" s="16"/>
      <c r="EGR33" s="16"/>
      <c r="EGS33" s="16"/>
      <c r="EGT33" s="16"/>
      <c r="EGU33" s="16"/>
      <c r="EGV33" s="16"/>
      <c r="EGW33" s="16"/>
      <c r="EGX33" s="16"/>
      <c r="EGY33" s="16"/>
      <c r="EGZ33" s="16"/>
      <c r="EHA33" s="16"/>
      <c r="EHB33" s="16"/>
      <c r="EHC33" s="16"/>
      <c r="EHD33" s="16"/>
      <c r="EHE33" s="16"/>
      <c r="EHF33" s="16"/>
      <c r="EHG33" s="16"/>
      <c r="EHH33" s="16"/>
      <c r="EHI33" s="16"/>
      <c r="EHJ33" s="16"/>
      <c r="EHK33" s="16"/>
      <c r="EHL33" s="16"/>
      <c r="EHM33" s="16"/>
      <c r="EHN33" s="16"/>
      <c r="EHO33" s="16"/>
      <c r="EHP33" s="16"/>
      <c r="EHQ33" s="16"/>
      <c r="EHR33" s="16"/>
      <c r="EHS33" s="16"/>
      <c r="EHT33" s="16"/>
      <c r="EHU33" s="16"/>
      <c r="EHV33" s="16"/>
      <c r="EHW33" s="16"/>
      <c r="EHX33" s="16"/>
      <c r="EHY33" s="16"/>
      <c r="EHZ33" s="16"/>
      <c r="EIA33" s="16"/>
      <c r="EIB33" s="16"/>
      <c r="EIC33" s="16"/>
      <c r="EID33" s="16"/>
      <c r="EIE33" s="16"/>
      <c r="EIF33" s="16"/>
      <c r="EIG33" s="16"/>
      <c r="EIH33" s="16"/>
      <c r="EII33" s="16"/>
      <c r="EIJ33" s="16"/>
      <c r="EIK33" s="16"/>
      <c r="EIL33" s="16"/>
      <c r="EIM33" s="16"/>
      <c r="EIN33" s="16"/>
      <c r="EIO33" s="16"/>
      <c r="EIP33" s="16"/>
      <c r="EIQ33" s="16"/>
      <c r="EIR33" s="16"/>
      <c r="EIS33" s="16"/>
      <c r="EIT33" s="16"/>
      <c r="EIU33" s="16"/>
      <c r="EIV33" s="16"/>
      <c r="EIW33" s="16"/>
      <c r="EIX33" s="16"/>
      <c r="EIY33" s="16"/>
      <c r="EIZ33" s="16"/>
      <c r="EJA33" s="16"/>
      <c r="EJB33" s="16"/>
      <c r="EJC33" s="16"/>
      <c r="EJD33" s="16"/>
      <c r="EJE33" s="16"/>
      <c r="EJF33" s="16"/>
      <c r="EJG33" s="16"/>
      <c r="EJH33" s="16"/>
      <c r="EJI33" s="16"/>
      <c r="EJJ33" s="16"/>
      <c r="EJK33" s="16"/>
      <c r="EJL33" s="16"/>
      <c r="EJM33" s="16"/>
      <c r="EJN33" s="16"/>
      <c r="EJO33" s="16"/>
      <c r="EJP33" s="16"/>
      <c r="EJQ33" s="16"/>
      <c r="EJR33" s="16"/>
      <c r="EJS33" s="16"/>
      <c r="EJT33" s="16"/>
      <c r="EJU33" s="16"/>
      <c r="EJV33" s="16"/>
      <c r="EJW33" s="16"/>
      <c r="EJX33" s="16"/>
      <c r="EJY33" s="16"/>
      <c r="EJZ33" s="16"/>
      <c r="EKA33" s="16"/>
      <c r="EKB33" s="16"/>
      <c r="EKC33" s="16"/>
      <c r="EKD33" s="16"/>
      <c r="EKE33" s="16"/>
      <c r="EKF33" s="16"/>
      <c r="EKG33" s="16"/>
      <c r="EKH33" s="16"/>
      <c r="EKI33" s="16"/>
      <c r="EKJ33" s="16"/>
      <c r="EKK33" s="16"/>
      <c r="EKL33" s="16"/>
      <c r="EKM33" s="16"/>
      <c r="EKN33" s="16"/>
      <c r="EKO33" s="16"/>
      <c r="EKP33" s="16"/>
      <c r="EKQ33" s="16"/>
      <c r="EKR33" s="16"/>
      <c r="EKS33" s="16"/>
      <c r="EKT33" s="16"/>
      <c r="EKU33" s="16"/>
      <c r="EKV33" s="16"/>
      <c r="EKW33" s="16"/>
      <c r="EKX33" s="16"/>
      <c r="EKY33" s="16"/>
      <c r="EKZ33" s="16"/>
      <c r="ELA33" s="16"/>
      <c r="ELB33" s="16"/>
      <c r="ELC33" s="16"/>
      <c r="ELD33" s="16"/>
      <c r="ELE33" s="16"/>
      <c r="ELF33" s="16"/>
      <c r="ELG33" s="16"/>
      <c r="ELH33" s="16"/>
      <c r="ELI33" s="16"/>
      <c r="ELJ33" s="16"/>
      <c r="ELK33" s="16"/>
      <c r="ELL33" s="16"/>
      <c r="ELM33" s="16"/>
      <c r="ELN33" s="16"/>
      <c r="ELO33" s="16"/>
      <c r="ELP33" s="16"/>
      <c r="ELQ33" s="16"/>
      <c r="ELR33" s="16"/>
      <c r="ELS33" s="16"/>
      <c r="ELT33" s="16"/>
      <c r="ELU33" s="16"/>
      <c r="ELV33" s="16"/>
      <c r="ELW33" s="16"/>
      <c r="ELX33" s="16"/>
      <c r="ELY33" s="16"/>
      <c r="ELZ33" s="16"/>
      <c r="EMA33" s="16"/>
      <c r="EMB33" s="16"/>
      <c r="EMC33" s="16"/>
      <c r="EMD33" s="16"/>
      <c r="EME33" s="16"/>
      <c r="EMF33" s="16"/>
      <c r="EMG33" s="16"/>
      <c r="EMH33" s="16"/>
      <c r="EMI33" s="16"/>
      <c r="EMJ33" s="16"/>
      <c r="EMK33" s="16"/>
      <c r="EML33" s="16"/>
      <c r="EMM33" s="16"/>
      <c r="EMN33" s="16"/>
      <c r="EMO33" s="16"/>
      <c r="EMP33" s="16"/>
      <c r="EMQ33" s="16"/>
      <c r="EMR33" s="16"/>
      <c r="EMS33" s="16"/>
      <c r="EMT33" s="16"/>
      <c r="EMU33" s="16"/>
      <c r="EMV33" s="16"/>
      <c r="EMW33" s="16"/>
      <c r="EMX33" s="16"/>
      <c r="EMY33" s="16"/>
      <c r="EMZ33" s="16"/>
      <c r="ENA33" s="16"/>
      <c r="ENB33" s="16"/>
      <c r="ENC33" s="16"/>
      <c r="END33" s="16"/>
      <c r="ENE33" s="16"/>
      <c r="ENF33" s="16"/>
      <c r="ENG33" s="16"/>
      <c r="ENH33" s="16"/>
      <c r="ENI33" s="16"/>
      <c r="ENJ33" s="16"/>
      <c r="ENK33" s="16"/>
      <c r="ENL33" s="16"/>
      <c r="ENM33" s="16"/>
      <c r="ENN33" s="16"/>
      <c r="ENO33" s="16"/>
      <c r="ENP33" s="16"/>
      <c r="ENQ33" s="16"/>
      <c r="ENR33" s="16"/>
      <c r="ENS33" s="16"/>
      <c r="ENT33" s="16"/>
      <c r="ENU33" s="16"/>
      <c r="ENV33" s="16"/>
      <c r="ENW33" s="16"/>
      <c r="ENX33" s="16"/>
      <c r="ENY33" s="16"/>
      <c r="ENZ33" s="16"/>
      <c r="EOA33" s="16"/>
      <c r="EOB33" s="16"/>
      <c r="EOC33" s="16"/>
      <c r="EOD33" s="16"/>
      <c r="EOE33" s="16"/>
      <c r="EOF33" s="16"/>
      <c r="EOG33" s="16"/>
      <c r="EOH33" s="16"/>
      <c r="EOI33" s="16"/>
      <c r="EOJ33" s="16"/>
      <c r="EOK33" s="16"/>
      <c r="EOL33" s="16"/>
      <c r="EOM33" s="16"/>
      <c r="EON33" s="16"/>
      <c r="EOO33" s="16"/>
      <c r="EOP33" s="16"/>
      <c r="EOQ33" s="16"/>
      <c r="EOR33" s="16"/>
      <c r="EOS33" s="16"/>
      <c r="EOT33" s="16"/>
      <c r="EOU33" s="16"/>
      <c r="EOV33" s="16"/>
      <c r="EOW33" s="16"/>
      <c r="EOX33" s="16"/>
      <c r="EOY33" s="16"/>
      <c r="EOZ33" s="16"/>
      <c r="EPA33" s="16"/>
      <c r="EPB33" s="16"/>
      <c r="EPC33" s="16"/>
      <c r="EPD33" s="16"/>
      <c r="EPE33" s="16"/>
      <c r="EPF33" s="16"/>
      <c r="EPG33" s="16"/>
      <c r="EPH33" s="16"/>
      <c r="EPI33" s="16"/>
      <c r="EPJ33" s="16"/>
      <c r="EPK33" s="16"/>
      <c r="EPL33" s="16"/>
      <c r="EPM33" s="16"/>
      <c r="EPN33" s="16"/>
      <c r="EPO33" s="16"/>
      <c r="EPP33" s="16"/>
      <c r="EPQ33" s="16"/>
      <c r="EPR33" s="16"/>
      <c r="EPS33" s="16"/>
      <c r="EPT33" s="16"/>
      <c r="EPU33" s="16"/>
      <c r="EPV33" s="16"/>
      <c r="EPW33" s="16"/>
      <c r="EPX33" s="16"/>
      <c r="EPY33" s="16"/>
      <c r="EPZ33" s="16"/>
      <c r="EQA33" s="16"/>
      <c r="EQB33" s="16"/>
      <c r="EQC33" s="16"/>
      <c r="EQD33" s="16"/>
      <c r="EQE33" s="16"/>
      <c r="EQF33" s="16"/>
      <c r="EQG33" s="16"/>
      <c r="EQH33" s="16"/>
      <c r="EQI33" s="16"/>
      <c r="EQJ33" s="16"/>
      <c r="EQK33" s="16"/>
      <c r="EQL33" s="16"/>
      <c r="EQM33" s="16"/>
      <c r="EQN33" s="16"/>
      <c r="EQO33" s="16"/>
      <c r="EQP33" s="16"/>
      <c r="EQQ33" s="16"/>
      <c r="EQR33" s="16"/>
      <c r="EQS33" s="16"/>
      <c r="EQT33" s="16"/>
      <c r="EQU33" s="16"/>
      <c r="EQV33" s="16"/>
      <c r="EQW33" s="16"/>
      <c r="EQX33" s="16"/>
      <c r="EQY33" s="16"/>
      <c r="EQZ33" s="16"/>
      <c r="ERA33" s="16"/>
      <c r="ERB33" s="16"/>
      <c r="ERC33" s="16"/>
      <c r="ERD33" s="16"/>
      <c r="ERE33" s="16"/>
      <c r="ERF33" s="16"/>
      <c r="ERG33" s="16"/>
      <c r="ERH33" s="16"/>
      <c r="ERI33" s="16"/>
      <c r="ERJ33" s="16"/>
      <c r="ERK33" s="16"/>
      <c r="ERL33" s="16"/>
      <c r="ERM33" s="16"/>
      <c r="ERN33" s="16"/>
      <c r="ERO33" s="16"/>
      <c r="ERP33" s="16"/>
      <c r="ERQ33" s="16"/>
      <c r="ERR33" s="16"/>
      <c r="ERS33" s="16"/>
      <c r="ERT33" s="16"/>
      <c r="ERU33" s="16"/>
      <c r="ERV33" s="16"/>
      <c r="ERW33" s="16"/>
      <c r="ERX33" s="16"/>
      <c r="ERY33" s="16"/>
      <c r="ERZ33" s="16"/>
      <c r="ESA33" s="16"/>
      <c r="ESB33" s="16"/>
      <c r="ESC33" s="16"/>
      <c r="ESD33" s="16"/>
      <c r="ESE33" s="16"/>
      <c r="ESF33" s="16"/>
      <c r="ESG33" s="16"/>
      <c r="ESH33" s="16"/>
      <c r="ESI33" s="16"/>
      <c r="ESJ33" s="16"/>
      <c r="ESK33" s="16"/>
      <c r="ESL33" s="16"/>
      <c r="ESM33" s="16"/>
      <c r="ESN33" s="16"/>
      <c r="ESO33" s="16"/>
      <c r="ESP33" s="16"/>
      <c r="ESQ33" s="16"/>
      <c r="ESR33" s="16"/>
      <c r="ESS33" s="16"/>
      <c r="EST33" s="16"/>
      <c r="ESU33" s="16"/>
      <c r="ESV33" s="16"/>
      <c r="ESW33" s="16"/>
      <c r="ESX33" s="16"/>
      <c r="ESY33" s="16"/>
      <c r="ESZ33" s="16"/>
      <c r="ETA33" s="16"/>
      <c r="ETB33" s="16"/>
      <c r="ETC33" s="16"/>
      <c r="ETD33" s="16"/>
      <c r="ETE33" s="16"/>
      <c r="ETF33" s="16"/>
      <c r="ETG33" s="16"/>
      <c r="ETH33" s="16"/>
      <c r="ETI33" s="16"/>
      <c r="ETJ33" s="16"/>
      <c r="ETK33" s="16"/>
      <c r="ETL33" s="16"/>
      <c r="ETM33" s="16"/>
      <c r="ETN33" s="16"/>
      <c r="ETO33" s="16"/>
      <c r="ETP33" s="16"/>
      <c r="ETQ33" s="16"/>
      <c r="ETR33" s="16"/>
      <c r="ETS33" s="16"/>
      <c r="ETT33" s="16"/>
      <c r="ETU33" s="16"/>
      <c r="ETV33" s="16"/>
      <c r="ETW33" s="16"/>
      <c r="ETX33" s="16"/>
      <c r="ETY33" s="16"/>
      <c r="ETZ33" s="16"/>
      <c r="EUA33" s="16"/>
      <c r="EUB33" s="16"/>
      <c r="EUC33" s="16"/>
      <c r="EUD33" s="16"/>
      <c r="EUE33" s="16"/>
      <c r="EUF33" s="16"/>
      <c r="EUG33" s="16"/>
      <c r="EUH33" s="16"/>
      <c r="EUI33" s="16"/>
      <c r="EUJ33" s="16"/>
      <c r="EUK33" s="16"/>
      <c r="EUL33" s="16"/>
      <c r="EUM33" s="16"/>
      <c r="EUN33" s="16"/>
      <c r="EUO33" s="16"/>
      <c r="EUP33" s="16"/>
      <c r="EUQ33" s="16"/>
      <c r="EUR33" s="16"/>
      <c r="EUS33" s="16"/>
      <c r="EUT33" s="16"/>
      <c r="EUU33" s="16"/>
      <c r="EUV33" s="16"/>
      <c r="EUW33" s="16"/>
      <c r="EUX33" s="16"/>
      <c r="EUY33" s="16"/>
      <c r="EUZ33" s="16"/>
      <c r="EVA33" s="16"/>
      <c r="EVB33" s="16"/>
      <c r="EVC33" s="16"/>
      <c r="EVD33" s="16"/>
      <c r="EVE33" s="16"/>
      <c r="EVF33" s="16"/>
      <c r="EVG33" s="16"/>
      <c r="EVH33" s="16"/>
      <c r="EVI33" s="16"/>
      <c r="EVJ33" s="16"/>
      <c r="EVK33" s="16"/>
      <c r="EVL33" s="16"/>
      <c r="EVM33" s="16"/>
      <c r="EVN33" s="16"/>
      <c r="EVO33" s="16"/>
      <c r="EVP33" s="16"/>
      <c r="EVQ33" s="16"/>
      <c r="EVR33" s="16"/>
      <c r="EVS33" s="16"/>
      <c r="EVT33" s="16"/>
      <c r="EVU33" s="16"/>
      <c r="EVV33" s="16"/>
      <c r="EVW33" s="16"/>
      <c r="EVX33" s="16"/>
      <c r="EVY33" s="16"/>
      <c r="EVZ33" s="16"/>
      <c r="EWA33" s="16"/>
      <c r="EWB33" s="16"/>
      <c r="EWC33" s="16"/>
      <c r="EWD33" s="16"/>
      <c r="EWE33" s="16"/>
      <c r="EWF33" s="16"/>
      <c r="EWG33" s="16"/>
      <c r="EWH33" s="16"/>
      <c r="EWI33" s="16"/>
      <c r="EWJ33" s="16"/>
      <c r="EWK33" s="16"/>
      <c r="EWL33" s="16"/>
      <c r="EWM33" s="16"/>
      <c r="EWN33" s="16"/>
      <c r="EWO33" s="16"/>
      <c r="EWP33" s="16"/>
      <c r="EWQ33" s="16"/>
      <c r="EWR33" s="16"/>
      <c r="EWS33" s="16"/>
      <c r="EWT33" s="16"/>
      <c r="EWU33" s="16"/>
      <c r="EWV33" s="16"/>
      <c r="EWW33" s="16"/>
      <c r="EWX33" s="16"/>
      <c r="EWY33" s="16"/>
      <c r="EWZ33" s="16"/>
      <c r="EXA33" s="16"/>
      <c r="EXB33" s="16"/>
      <c r="EXC33" s="16"/>
      <c r="EXD33" s="16"/>
      <c r="EXE33" s="16"/>
      <c r="EXF33" s="16"/>
      <c r="EXG33" s="16"/>
      <c r="EXH33" s="16"/>
      <c r="EXI33" s="16"/>
      <c r="EXJ33" s="16"/>
      <c r="EXK33" s="16"/>
      <c r="EXL33" s="16"/>
      <c r="EXM33" s="16"/>
      <c r="EXN33" s="16"/>
      <c r="EXO33" s="16"/>
      <c r="EXP33" s="16"/>
      <c r="EXQ33" s="16"/>
      <c r="EXR33" s="16"/>
      <c r="EXS33" s="16"/>
      <c r="EXT33" s="16"/>
      <c r="EXU33" s="16"/>
      <c r="EXV33" s="16"/>
      <c r="EXW33" s="16"/>
      <c r="EXX33" s="16"/>
      <c r="EXY33" s="16"/>
      <c r="EXZ33" s="16"/>
      <c r="EYA33" s="16"/>
      <c r="EYB33" s="16"/>
      <c r="EYC33" s="16"/>
      <c r="EYD33" s="16"/>
      <c r="EYE33" s="16"/>
      <c r="EYF33" s="16"/>
      <c r="EYG33" s="16"/>
      <c r="EYH33" s="16"/>
      <c r="EYI33" s="16"/>
      <c r="EYJ33" s="16"/>
      <c r="EYK33" s="16"/>
      <c r="EYL33" s="16"/>
      <c r="EYM33" s="16"/>
      <c r="EYN33" s="16"/>
      <c r="EYO33" s="16"/>
      <c r="EYP33" s="16"/>
      <c r="EYQ33" s="16"/>
      <c r="EYR33" s="16"/>
      <c r="EYS33" s="16"/>
      <c r="EYT33" s="16"/>
      <c r="EYU33" s="16"/>
      <c r="EYV33" s="16"/>
      <c r="EYW33" s="16"/>
      <c r="EYX33" s="16"/>
      <c r="EYY33" s="16"/>
      <c r="EYZ33" s="16"/>
      <c r="EZA33" s="16"/>
      <c r="EZB33" s="16"/>
      <c r="EZC33" s="16"/>
      <c r="EZD33" s="16"/>
      <c r="EZE33" s="16"/>
      <c r="EZF33" s="16"/>
      <c r="EZG33" s="16"/>
      <c r="EZH33" s="16"/>
      <c r="EZI33" s="16"/>
      <c r="EZJ33" s="16"/>
      <c r="EZK33" s="16"/>
      <c r="EZL33" s="16"/>
      <c r="EZM33" s="16"/>
      <c r="EZN33" s="16"/>
      <c r="EZO33" s="16"/>
      <c r="EZP33" s="16"/>
      <c r="EZQ33" s="16"/>
      <c r="EZR33" s="16"/>
      <c r="EZS33" s="16"/>
      <c r="EZT33" s="16"/>
      <c r="EZU33" s="16"/>
      <c r="EZV33" s="16"/>
      <c r="EZW33" s="16"/>
      <c r="EZX33" s="16"/>
      <c r="EZY33" s="16"/>
      <c r="EZZ33" s="16"/>
      <c r="FAA33" s="16"/>
      <c r="FAB33" s="16"/>
      <c r="FAC33" s="16"/>
      <c r="FAD33" s="16"/>
      <c r="FAE33" s="16"/>
      <c r="FAF33" s="16"/>
      <c r="FAG33" s="16"/>
      <c r="FAH33" s="16"/>
      <c r="FAI33" s="16"/>
      <c r="FAJ33" s="16"/>
      <c r="FAK33" s="16"/>
      <c r="FAL33" s="16"/>
      <c r="FAM33" s="16"/>
      <c r="FAN33" s="16"/>
      <c r="FAO33" s="16"/>
      <c r="FAP33" s="16"/>
      <c r="FAQ33" s="16"/>
      <c r="FAR33" s="16"/>
      <c r="FAS33" s="16"/>
      <c r="FAT33" s="16"/>
      <c r="FAU33" s="16"/>
      <c r="FAV33" s="16"/>
      <c r="FAW33" s="16"/>
      <c r="FAX33" s="16"/>
      <c r="FAY33" s="16"/>
      <c r="FAZ33" s="16"/>
      <c r="FBA33" s="16"/>
      <c r="FBB33" s="16"/>
      <c r="FBC33" s="16"/>
      <c r="FBD33" s="16"/>
      <c r="FBE33" s="16"/>
      <c r="FBF33" s="16"/>
      <c r="FBG33" s="16"/>
      <c r="FBH33" s="16"/>
      <c r="FBI33" s="16"/>
      <c r="FBJ33" s="16"/>
      <c r="FBK33" s="16"/>
      <c r="FBL33" s="16"/>
      <c r="FBM33" s="16"/>
      <c r="FBN33" s="16"/>
      <c r="FBO33" s="16"/>
      <c r="FBP33" s="16"/>
      <c r="FBQ33" s="16"/>
      <c r="FBR33" s="16"/>
      <c r="FBS33" s="16"/>
      <c r="FBT33" s="16"/>
      <c r="FBU33" s="16"/>
      <c r="FBV33" s="16"/>
      <c r="FBW33" s="16"/>
      <c r="FBX33" s="16"/>
      <c r="FBY33" s="16"/>
      <c r="FBZ33" s="16"/>
      <c r="FCA33" s="16"/>
      <c r="FCB33" s="16"/>
      <c r="FCC33" s="16"/>
      <c r="FCD33" s="16"/>
      <c r="FCE33" s="16"/>
      <c r="FCF33" s="16"/>
      <c r="FCG33" s="16"/>
      <c r="FCH33" s="16"/>
      <c r="FCI33" s="16"/>
      <c r="FCJ33" s="16"/>
      <c r="FCK33" s="16"/>
      <c r="FCL33" s="16"/>
      <c r="FCM33" s="16"/>
      <c r="FCN33" s="16"/>
      <c r="FCO33" s="16"/>
      <c r="FCP33" s="16"/>
      <c r="FCQ33" s="16"/>
      <c r="FCR33" s="16"/>
      <c r="FCS33" s="16"/>
      <c r="FCT33" s="16"/>
      <c r="FCU33" s="16"/>
      <c r="FCV33" s="16"/>
      <c r="FCW33" s="16"/>
      <c r="FCX33" s="16"/>
      <c r="FCY33" s="16"/>
      <c r="FCZ33" s="16"/>
      <c r="FDA33" s="16"/>
      <c r="FDB33" s="16"/>
      <c r="FDC33" s="16"/>
      <c r="FDD33" s="16"/>
      <c r="FDE33" s="16"/>
      <c r="FDF33" s="16"/>
      <c r="FDG33" s="16"/>
      <c r="FDH33" s="16"/>
      <c r="FDI33" s="16"/>
      <c r="FDJ33" s="16"/>
      <c r="FDK33" s="16"/>
      <c r="FDL33" s="16"/>
      <c r="FDM33" s="16"/>
      <c r="FDN33" s="16"/>
      <c r="FDO33" s="16"/>
      <c r="FDP33" s="16"/>
      <c r="FDQ33" s="16"/>
      <c r="FDR33" s="16"/>
      <c r="FDS33" s="16"/>
      <c r="FDT33" s="16"/>
      <c r="FDU33" s="16"/>
      <c r="FDV33" s="16"/>
      <c r="FDW33" s="16"/>
      <c r="FDX33" s="16"/>
      <c r="FDY33" s="16"/>
      <c r="FDZ33" s="16"/>
      <c r="FEA33" s="16"/>
      <c r="FEB33" s="16"/>
      <c r="FEC33" s="16"/>
      <c r="FED33" s="16"/>
      <c r="FEE33" s="16"/>
      <c r="FEF33" s="16"/>
      <c r="FEG33" s="16"/>
      <c r="FEH33" s="16"/>
      <c r="FEI33" s="16"/>
      <c r="FEJ33" s="16"/>
      <c r="FEK33" s="16"/>
      <c r="FEL33" s="16"/>
      <c r="FEM33" s="16"/>
      <c r="FEN33" s="16"/>
      <c r="FEO33" s="16"/>
      <c r="FEP33" s="16"/>
      <c r="FEQ33" s="16"/>
      <c r="FER33" s="16"/>
      <c r="FES33" s="16"/>
      <c r="FET33" s="16"/>
      <c r="FEU33" s="16"/>
      <c r="FEV33" s="16"/>
      <c r="FEW33" s="16"/>
      <c r="FEX33" s="16"/>
      <c r="FEY33" s="16"/>
      <c r="FEZ33" s="16"/>
      <c r="FFA33" s="16"/>
      <c r="FFB33" s="16"/>
      <c r="FFC33" s="16"/>
      <c r="FFD33" s="16"/>
      <c r="FFE33" s="16"/>
      <c r="FFF33" s="16"/>
      <c r="FFG33" s="16"/>
      <c r="FFH33" s="16"/>
      <c r="FFI33" s="16"/>
      <c r="FFJ33" s="16"/>
      <c r="FFK33" s="16"/>
      <c r="FFL33" s="16"/>
      <c r="FFM33" s="16"/>
      <c r="FFN33" s="16"/>
      <c r="FFO33" s="16"/>
      <c r="FFP33" s="16"/>
      <c r="FFQ33" s="16"/>
      <c r="FFR33" s="16"/>
      <c r="FFS33" s="16"/>
      <c r="FFT33" s="16"/>
      <c r="FFU33" s="16"/>
      <c r="FFV33" s="16"/>
      <c r="FFW33" s="16"/>
      <c r="FFX33" s="16"/>
      <c r="FFY33" s="16"/>
      <c r="FFZ33" s="16"/>
      <c r="FGA33" s="16"/>
      <c r="FGB33" s="16"/>
      <c r="FGC33" s="16"/>
      <c r="FGD33" s="16"/>
      <c r="FGE33" s="16"/>
      <c r="FGF33" s="16"/>
      <c r="FGG33" s="16"/>
      <c r="FGH33" s="16"/>
      <c r="FGI33" s="16"/>
      <c r="FGJ33" s="16"/>
      <c r="FGK33" s="16"/>
      <c r="FGL33" s="16"/>
      <c r="FGM33" s="16"/>
      <c r="FGN33" s="16"/>
      <c r="FGO33" s="16"/>
      <c r="FGP33" s="16"/>
      <c r="FGQ33" s="16"/>
      <c r="FGR33" s="16"/>
      <c r="FGS33" s="16"/>
      <c r="FGT33" s="16"/>
      <c r="FGU33" s="16"/>
      <c r="FGV33" s="16"/>
      <c r="FGW33" s="16"/>
      <c r="FGX33" s="16"/>
      <c r="FGY33" s="16"/>
      <c r="FGZ33" s="16"/>
      <c r="FHA33" s="16"/>
      <c r="FHB33" s="16"/>
      <c r="FHC33" s="16"/>
      <c r="FHD33" s="16"/>
      <c r="FHE33" s="16"/>
      <c r="FHF33" s="16"/>
      <c r="FHG33" s="16"/>
      <c r="FHH33" s="16"/>
      <c r="FHI33" s="16"/>
      <c r="FHJ33" s="16"/>
      <c r="FHK33" s="16"/>
      <c r="FHL33" s="16"/>
      <c r="FHM33" s="16"/>
      <c r="FHN33" s="16"/>
      <c r="FHO33" s="16"/>
      <c r="FHP33" s="16"/>
      <c r="FHQ33" s="16"/>
      <c r="FHR33" s="16"/>
      <c r="FHS33" s="16"/>
      <c r="FHT33" s="16"/>
      <c r="FHU33" s="16"/>
      <c r="FHV33" s="16"/>
      <c r="FHW33" s="16"/>
      <c r="FHX33" s="16"/>
      <c r="FHY33" s="16"/>
      <c r="FHZ33" s="16"/>
      <c r="FIA33" s="16"/>
      <c r="FIB33" s="16"/>
      <c r="FIC33" s="16"/>
      <c r="FID33" s="16"/>
      <c r="FIE33" s="16"/>
      <c r="FIF33" s="16"/>
      <c r="FIG33" s="16"/>
      <c r="FIH33" s="16"/>
      <c r="FII33" s="16"/>
      <c r="FIJ33" s="16"/>
      <c r="FIK33" s="16"/>
      <c r="FIL33" s="16"/>
      <c r="FIM33" s="16"/>
      <c r="FIN33" s="16"/>
      <c r="FIO33" s="16"/>
      <c r="FIP33" s="16"/>
      <c r="FIQ33" s="16"/>
      <c r="FIR33" s="16"/>
      <c r="FIS33" s="16"/>
      <c r="FIT33" s="16"/>
      <c r="FIU33" s="16"/>
      <c r="FIV33" s="16"/>
      <c r="FIW33" s="16"/>
      <c r="FIX33" s="16"/>
      <c r="FIY33" s="16"/>
      <c r="FIZ33" s="16"/>
      <c r="FJA33" s="16"/>
      <c r="FJB33" s="16"/>
      <c r="FJC33" s="16"/>
      <c r="FJD33" s="16"/>
      <c r="FJE33" s="16"/>
      <c r="FJF33" s="16"/>
      <c r="FJG33" s="16"/>
      <c r="FJH33" s="16"/>
      <c r="FJI33" s="16"/>
      <c r="FJJ33" s="16"/>
      <c r="FJK33" s="16"/>
      <c r="FJL33" s="16"/>
      <c r="FJM33" s="16"/>
      <c r="FJN33" s="16"/>
      <c r="FJO33" s="16"/>
      <c r="FJP33" s="16"/>
      <c r="FJQ33" s="16"/>
      <c r="FJR33" s="16"/>
      <c r="FJS33" s="16"/>
      <c r="FJT33" s="16"/>
      <c r="FJU33" s="16"/>
      <c r="FJV33" s="16"/>
      <c r="FJW33" s="16"/>
      <c r="FJX33" s="16"/>
      <c r="FJY33" s="16"/>
      <c r="FJZ33" s="16"/>
      <c r="FKA33" s="16"/>
      <c r="FKB33" s="16"/>
      <c r="FKC33" s="16"/>
      <c r="FKD33" s="16"/>
      <c r="FKE33" s="16"/>
      <c r="FKF33" s="16"/>
      <c r="FKG33" s="16"/>
      <c r="FKH33" s="16"/>
      <c r="FKI33" s="16"/>
      <c r="FKJ33" s="16"/>
      <c r="FKK33" s="16"/>
      <c r="FKL33" s="16"/>
      <c r="FKM33" s="16"/>
      <c r="FKN33" s="16"/>
      <c r="FKO33" s="16"/>
      <c r="FKP33" s="16"/>
      <c r="FKQ33" s="16"/>
      <c r="FKR33" s="16"/>
      <c r="FKS33" s="16"/>
      <c r="FKT33" s="16"/>
      <c r="FKU33" s="16"/>
      <c r="FKV33" s="16"/>
      <c r="FKW33" s="16"/>
      <c r="FKX33" s="16"/>
      <c r="FKY33" s="16"/>
      <c r="FKZ33" s="16"/>
      <c r="FLA33" s="16"/>
      <c r="FLB33" s="16"/>
      <c r="FLC33" s="16"/>
      <c r="FLD33" s="16"/>
      <c r="FLE33" s="16"/>
      <c r="FLF33" s="16"/>
      <c r="FLG33" s="16"/>
      <c r="FLH33" s="16"/>
      <c r="FLI33" s="16"/>
      <c r="FLJ33" s="16"/>
      <c r="FLK33" s="16"/>
      <c r="FLL33" s="16"/>
      <c r="FLM33" s="16"/>
      <c r="FLN33" s="16"/>
      <c r="FLO33" s="16"/>
      <c r="FLP33" s="16"/>
      <c r="FLQ33" s="16"/>
      <c r="FLR33" s="16"/>
      <c r="FLS33" s="16"/>
      <c r="FLT33" s="16"/>
      <c r="FLU33" s="16"/>
      <c r="FLV33" s="16"/>
      <c r="FLW33" s="16"/>
      <c r="FLX33" s="16"/>
      <c r="FLY33" s="16"/>
      <c r="FLZ33" s="16"/>
      <c r="FMA33" s="16"/>
      <c r="FMB33" s="16"/>
      <c r="FMC33" s="16"/>
      <c r="FMD33" s="16"/>
      <c r="FME33" s="16"/>
      <c r="FMF33" s="16"/>
      <c r="FMG33" s="16"/>
      <c r="FMH33" s="16"/>
      <c r="FMI33" s="16"/>
      <c r="FMJ33" s="16"/>
      <c r="FMK33" s="16"/>
      <c r="FML33" s="16"/>
      <c r="FMM33" s="16"/>
      <c r="FMN33" s="16"/>
      <c r="FMO33" s="16"/>
      <c r="FMP33" s="16"/>
      <c r="FMQ33" s="16"/>
      <c r="FMR33" s="16"/>
      <c r="FMS33" s="16"/>
      <c r="FMT33" s="16"/>
      <c r="FMU33" s="16"/>
      <c r="FMV33" s="16"/>
      <c r="FMW33" s="16"/>
      <c r="FMX33" s="16"/>
      <c r="FMY33" s="16"/>
      <c r="FMZ33" s="16"/>
      <c r="FNA33" s="16"/>
      <c r="FNB33" s="16"/>
      <c r="FNC33" s="16"/>
      <c r="FND33" s="16"/>
      <c r="FNE33" s="16"/>
      <c r="FNF33" s="16"/>
      <c r="FNG33" s="16"/>
      <c r="FNH33" s="16"/>
      <c r="FNI33" s="16"/>
      <c r="FNJ33" s="16"/>
      <c r="FNK33" s="16"/>
      <c r="FNL33" s="16"/>
      <c r="FNM33" s="16"/>
      <c r="FNN33" s="16"/>
      <c r="FNO33" s="16"/>
      <c r="FNP33" s="16"/>
      <c r="FNQ33" s="16"/>
      <c r="FNR33" s="16"/>
      <c r="FNS33" s="16"/>
      <c r="FNT33" s="16"/>
      <c r="FNU33" s="16"/>
      <c r="FNV33" s="16"/>
      <c r="FNW33" s="16"/>
      <c r="FNX33" s="16"/>
      <c r="FNY33" s="16"/>
      <c r="FNZ33" s="16"/>
      <c r="FOA33" s="16"/>
      <c r="FOB33" s="16"/>
      <c r="FOC33" s="16"/>
      <c r="FOD33" s="16"/>
      <c r="FOE33" s="16"/>
      <c r="FOF33" s="16"/>
      <c r="FOG33" s="16"/>
      <c r="FOH33" s="16"/>
      <c r="FOI33" s="16"/>
      <c r="FOJ33" s="16"/>
      <c r="FOK33" s="16"/>
      <c r="FOL33" s="16"/>
      <c r="FOM33" s="16"/>
      <c r="FON33" s="16"/>
      <c r="FOO33" s="16"/>
      <c r="FOP33" s="16"/>
      <c r="FOQ33" s="16"/>
      <c r="FOR33" s="16"/>
      <c r="FOS33" s="16"/>
      <c r="FOT33" s="16"/>
      <c r="FOU33" s="16"/>
      <c r="FOV33" s="16"/>
      <c r="FOW33" s="16"/>
      <c r="FOX33" s="16"/>
      <c r="FOY33" s="16"/>
      <c r="FOZ33" s="16"/>
      <c r="FPA33" s="16"/>
      <c r="FPB33" s="16"/>
      <c r="FPC33" s="16"/>
      <c r="FPD33" s="16"/>
      <c r="FPE33" s="16"/>
      <c r="FPF33" s="16"/>
      <c r="FPG33" s="16"/>
      <c r="FPH33" s="16"/>
      <c r="FPI33" s="16"/>
      <c r="FPJ33" s="16"/>
      <c r="FPK33" s="16"/>
      <c r="FPL33" s="16"/>
      <c r="FPM33" s="16"/>
      <c r="FPN33" s="16"/>
      <c r="FPO33" s="16"/>
      <c r="FPP33" s="16"/>
      <c r="FPQ33" s="16"/>
      <c r="FPR33" s="16"/>
      <c r="FPS33" s="16"/>
      <c r="FPT33" s="16"/>
      <c r="FPU33" s="16"/>
      <c r="FPV33" s="16"/>
      <c r="FPW33" s="16"/>
      <c r="FPX33" s="16"/>
      <c r="FPY33" s="16"/>
      <c r="FPZ33" s="16"/>
      <c r="FQA33" s="16"/>
      <c r="FQB33" s="16"/>
      <c r="FQC33" s="16"/>
      <c r="FQD33" s="16"/>
      <c r="FQE33" s="16"/>
      <c r="FQF33" s="16"/>
      <c r="FQG33" s="16"/>
      <c r="FQH33" s="16"/>
      <c r="FQI33" s="16"/>
      <c r="FQJ33" s="16"/>
      <c r="FQK33" s="16"/>
      <c r="FQL33" s="16"/>
      <c r="FQM33" s="16"/>
      <c r="FQN33" s="16"/>
      <c r="FQO33" s="16"/>
      <c r="FQP33" s="16"/>
      <c r="FQQ33" s="16"/>
      <c r="FQR33" s="16"/>
      <c r="FQS33" s="16"/>
      <c r="FQT33" s="16"/>
      <c r="FQU33" s="16"/>
      <c r="FQV33" s="16"/>
      <c r="FQW33" s="16"/>
      <c r="FQX33" s="16"/>
      <c r="FQY33" s="16"/>
      <c r="FQZ33" s="16"/>
      <c r="FRA33" s="16"/>
      <c r="FRB33" s="16"/>
      <c r="FRC33" s="16"/>
      <c r="FRD33" s="16"/>
      <c r="FRE33" s="16"/>
      <c r="FRF33" s="16"/>
      <c r="FRG33" s="16"/>
      <c r="FRH33" s="16"/>
      <c r="FRI33" s="16"/>
      <c r="FRJ33" s="16"/>
      <c r="FRK33" s="16"/>
      <c r="FRL33" s="16"/>
      <c r="FRM33" s="16"/>
      <c r="FRN33" s="16"/>
      <c r="FRO33" s="16"/>
      <c r="FRP33" s="16"/>
      <c r="FRQ33" s="16"/>
      <c r="FRR33" s="16"/>
      <c r="FRS33" s="16"/>
      <c r="FRT33" s="16"/>
      <c r="FRU33" s="16"/>
      <c r="FRV33" s="16"/>
      <c r="FRW33" s="16"/>
      <c r="FRX33" s="16"/>
      <c r="FRY33" s="16"/>
      <c r="FRZ33" s="16"/>
      <c r="FSA33" s="16"/>
      <c r="FSB33" s="16"/>
      <c r="FSC33" s="16"/>
      <c r="FSD33" s="16"/>
      <c r="FSE33" s="16"/>
      <c r="FSF33" s="16"/>
      <c r="FSG33" s="16"/>
      <c r="FSH33" s="16"/>
      <c r="FSI33" s="16"/>
      <c r="FSJ33" s="16"/>
      <c r="FSK33" s="16"/>
      <c r="FSL33" s="16"/>
      <c r="FSM33" s="16"/>
      <c r="FSN33" s="16"/>
      <c r="FSO33" s="16"/>
      <c r="FSP33" s="16"/>
      <c r="FSQ33" s="16"/>
      <c r="FSR33" s="16"/>
      <c r="FSS33" s="16"/>
      <c r="FST33" s="16"/>
      <c r="FSU33" s="16"/>
      <c r="FSV33" s="16"/>
      <c r="FSW33" s="16"/>
      <c r="FSX33" s="16"/>
      <c r="FSY33" s="16"/>
      <c r="FSZ33" s="16"/>
      <c r="FTA33" s="16"/>
      <c r="FTB33" s="16"/>
      <c r="FTC33" s="16"/>
      <c r="FTD33" s="16"/>
      <c r="FTE33" s="16"/>
      <c r="FTF33" s="16"/>
      <c r="FTG33" s="16"/>
      <c r="FTH33" s="16"/>
      <c r="FTI33" s="16"/>
      <c r="FTJ33" s="16"/>
      <c r="FTK33" s="16"/>
      <c r="FTL33" s="16"/>
      <c r="FTM33" s="16"/>
      <c r="FTN33" s="16"/>
      <c r="FTO33" s="16"/>
      <c r="FTP33" s="16"/>
      <c r="FTQ33" s="16"/>
      <c r="FTR33" s="16"/>
      <c r="FTS33" s="16"/>
      <c r="FTT33" s="16"/>
      <c r="FTU33" s="16"/>
      <c r="FTV33" s="16"/>
      <c r="FTW33" s="16"/>
      <c r="FTX33" s="16"/>
      <c r="FTY33" s="16"/>
      <c r="FTZ33" s="16"/>
      <c r="FUA33" s="16"/>
      <c r="FUB33" s="16"/>
      <c r="FUC33" s="16"/>
      <c r="FUD33" s="16"/>
      <c r="FUE33" s="16"/>
      <c r="FUF33" s="16"/>
      <c r="FUG33" s="16"/>
      <c r="FUH33" s="16"/>
      <c r="FUI33" s="16"/>
      <c r="FUJ33" s="16"/>
      <c r="FUK33" s="16"/>
      <c r="FUL33" s="16"/>
      <c r="FUM33" s="16"/>
      <c r="FUN33" s="16"/>
      <c r="FUO33" s="16"/>
      <c r="FUP33" s="16"/>
      <c r="FUQ33" s="16"/>
      <c r="FUR33" s="16"/>
      <c r="FUS33" s="16"/>
      <c r="FUT33" s="16"/>
      <c r="FUU33" s="16"/>
      <c r="FUV33" s="16"/>
      <c r="FUW33" s="16"/>
      <c r="FUX33" s="16"/>
      <c r="FUY33" s="16"/>
      <c r="FUZ33" s="16"/>
      <c r="FVA33" s="16"/>
      <c r="FVB33" s="16"/>
      <c r="FVC33" s="16"/>
      <c r="FVD33" s="16"/>
      <c r="FVE33" s="16"/>
      <c r="FVF33" s="16"/>
      <c r="FVG33" s="16"/>
      <c r="FVH33" s="16"/>
      <c r="FVI33" s="16"/>
      <c r="FVJ33" s="16"/>
      <c r="FVK33" s="16"/>
      <c r="FVL33" s="16"/>
      <c r="FVM33" s="16"/>
      <c r="FVN33" s="16"/>
      <c r="FVO33" s="16"/>
      <c r="FVP33" s="16"/>
      <c r="FVQ33" s="16"/>
      <c r="FVR33" s="16"/>
      <c r="FVS33" s="16"/>
      <c r="FVT33" s="16"/>
      <c r="FVU33" s="16"/>
      <c r="FVV33" s="16"/>
      <c r="FVW33" s="16"/>
      <c r="FVX33" s="16"/>
      <c r="FVY33" s="16"/>
      <c r="FVZ33" s="16"/>
      <c r="FWA33" s="16"/>
      <c r="FWB33" s="16"/>
      <c r="FWC33" s="16"/>
      <c r="FWD33" s="16"/>
      <c r="FWE33" s="16"/>
      <c r="FWF33" s="16"/>
      <c r="FWG33" s="16"/>
      <c r="FWH33" s="16"/>
      <c r="FWI33" s="16"/>
      <c r="FWJ33" s="16"/>
      <c r="FWK33" s="16"/>
      <c r="FWL33" s="16"/>
      <c r="FWM33" s="16"/>
      <c r="FWN33" s="16"/>
      <c r="FWO33" s="16"/>
      <c r="FWP33" s="16"/>
      <c r="FWQ33" s="16"/>
      <c r="FWR33" s="16"/>
      <c r="FWS33" s="16"/>
      <c r="FWT33" s="16"/>
      <c r="FWU33" s="16"/>
      <c r="FWV33" s="16"/>
      <c r="FWW33" s="16"/>
      <c r="FWX33" s="16"/>
      <c r="FWY33" s="16"/>
      <c r="FWZ33" s="16"/>
      <c r="FXA33" s="16"/>
      <c r="FXB33" s="16"/>
      <c r="FXC33" s="16"/>
      <c r="FXD33" s="16"/>
      <c r="FXE33" s="16"/>
      <c r="FXF33" s="16"/>
      <c r="FXG33" s="16"/>
      <c r="FXH33" s="16"/>
      <c r="FXI33" s="16"/>
      <c r="FXJ33" s="16"/>
      <c r="FXK33" s="16"/>
      <c r="FXL33" s="16"/>
      <c r="FXM33" s="16"/>
      <c r="FXN33" s="16"/>
      <c r="FXO33" s="16"/>
      <c r="FXP33" s="16"/>
      <c r="FXQ33" s="16"/>
      <c r="FXR33" s="16"/>
      <c r="FXS33" s="16"/>
      <c r="FXT33" s="16"/>
      <c r="FXU33" s="16"/>
      <c r="FXV33" s="16"/>
      <c r="FXW33" s="16"/>
      <c r="FXX33" s="16"/>
      <c r="FXY33" s="16"/>
      <c r="FXZ33" s="16"/>
      <c r="FYA33" s="16"/>
      <c r="FYB33" s="16"/>
      <c r="FYC33" s="16"/>
      <c r="FYD33" s="16"/>
      <c r="FYE33" s="16"/>
      <c r="FYF33" s="16"/>
      <c r="FYG33" s="16"/>
      <c r="FYH33" s="16"/>
      <c r="FYI33" s="16"/>
      <c r="FYJ33" s="16"/>
      <c r="FYK33" s="16"/>
      <c r="FYL33" s="16"/>
      <c r="FYM33" s="16"/>
      <c r="FYN33" s="16"/>
      <c r="FYO33" s="16"/>
      <c r="FYP33" s="16"/>
      <c r="FYQ33" s="16"/>
      <c r="FYR33" s="16"/>
      <c r="FYS33" s="16"/>
      <c r="FYT33" s="16"/>
      <c r="FYU33" s="16"/>
      <c r="FYV33" s="16"/>
      <c r="FYW33" s="16"/>
      <c r="FYX33" s="16"/>
      <c r="FYY33" s="16"/>
      <c r="FYZ33" s="16"/>
      <c r="FZA33" s="16"/>
      <c r="FZB33" s="16"/>
      <c r="FZC33" s="16"/>
      <c r="FZD33" s="16"/>
      <c r="FZE33" s="16"/>
      <c r="FZF33" s="16"/>
      <c r="FZG33" s="16"/>
      <c r="FZH33" s="16"/>
      <c r="FZI33" s="16"/>
      <c r="FZJ33" s="16"/>
      <c r="FZK33" s="16"/>
      <c r="FZL33" s="16"/>
      <c r="FZM33" s="16"/>
      <c r="FZN33" s="16"/>
      <c r="FZO33" s="16"/>
      <c r="FZP33" s="16"/>
      <c r="FZQ33" s="16"/>
      <c r="FZR33" s="16"/>
      <c r="FZS33" s="16"/>
      <c r="FZT33" s="16"/>
      <c r="FZU33" s="16"/>
      <c r="FZV33" s="16"/>
      <c r="FZW33" s="16"/>
      <c r="FZX33" s="16"/>
      <c r="FZY33" s="16"/>
      <c r="FZZ33" s="16"/>
      <c r="GAA33" s="16"/>
      <c r="GAB33" s="16"/>
      <c r="GAC33" s="16"/>
      <c r="GAD33" s="16"/>
      <c r="GAE33" s="16"/>
      <c r="GAF33" s="16"/>
      <c r="GAG33" s="16"/>
      <c r="GAH33" s="16"/>
      <c r="GAI33" s="16"/>
      <c r="GAJ33" s="16"/>
      <c r="GAK33" s="16"/>
      <c r="GAL33" s="16"/>
      <c r="GAM33" s="16"/>
      <c r="GAN33" s="16"/>
      <c r="GAO33" s="16"/>
      <c r="GAP33" s="16"/>
      <c r="GAQ33" s="16"/>
      <c r="GAR33" s="16"/>
      <c r="GAS33" s="16"/>
      <c r="GAT33" s="16"/>
      <c r="GAU33" s="16"/>
      <c r="GAV33" s="16"/>
      <c r="GAW33" s="16"/>
      <c r="GAX33" s="16"/>
      <c r="GAY33" s="16"/>
      <c r="GAZ33" s="16"/>
      <c r="GBA33" s="16"/>
      <c r="GBB33" s="16"/>
      <c r="GBC33" s="16"/>
      <c r="GBD33" s="16"/>
      <c r="GBE33" s="16"/>
      <c r="GBF33" s="16"/>
      <c r="GBG33" s="16"/>
      <c r="GBH33" s="16"/>
      <c r="GBI33" s="16"/>
      <c r="GBJ33" s="16"/>
      <c r="GBK33" s="16"/>
      <c r="GBL33" s="16"/>
      <c r="GBM33" s="16"/>
      <c r="GBN33" s="16"/>
      <c r="GBO33" s="16"/>
      <c r="GBP33" s="16"/>
      <c r="GBQ33" s="16"/>
      <c r="GBR33" s="16"/>
      <c r="GBS33" s="16"/>
      <c r="GBT33" s="16"/>
      <c r="GBU33" s="16"/>
      <c r="GBV33" s="16"/>
      <c r="GBW33" s="16"/>
      <c r="GBX33" s="16"/>
      <c r="GBY33" s="16"/>
      <c r="GBZ33" s="16"/>
      <c r="GCA33" s="16"/>
      <c r="GCB33" s="16"/>
      <c r="GCC33" s="16"/>
      <c r="GCD33" s="16"/>
      <c r="GCE33" s="16"/>
      <c r="GCF33" s="16"/>
      <c r="GCG33" s="16"/>
      <c r="GCH33" s="16"/>
      <c r="GCI33" s="16"/>
      <c r="GCJ33" s="16"/>
      <c r="GCK33" s="16"/>
      <c r="GCL33" s="16"/>
      <c r="GCM33" s="16"/>
      <c r="GCN33" s="16"/>
      <c r="GCO33" s="16"/>
      <c r="GCP33" s="16"/>
      <c r="GCQ33" s="16"/>
      <c r="GCR33" s="16"/>
      <c r="GCS33" s="16"/>
      <c r="GCT33" s="16"/>
      <c r="GCU33" s="16"/>
      <c r="GCV33" s="16"/>
      <c r="GCW33" s="16"/>
      <c r="GCX33" s="16"/>
      <c r="GCY33" s="16"/>
      <c r="GCZ33" s="16"/>
      <c r="GDA33" s="16"/>
      <c r="GDB33" s="16"/>
      <c r="GDC33" s="16"/>
      <c r="GDD33" s="16"/>
      <c r="GDE33" s="16"/>
      <c r="GDF33" s="16"/>
      <c r="GDG33" s="16"/>
      <c r="GDH33" s="16"/>
      <c r="GDI33" s="16"/>
      <c r="GDJ33" s="16"/>
      <c r="GDK33" s="16"/>
      <c r="GDL33" s="16"/>
      <c r="GDM33" s="16"/>
      <c r="GDN33" s="16"/>
      <c r="GDO33" s="16"/>
      <c r="GDP33" s="16"/>
      <c r="GDQ33" s="16"/>
      <c r="GDR33" s="16"/>
      <c r="GDS33" s="16"/>
      <c r="GDT33" s="16"/>
      <c r="GDU33" s="16"/>
      <c r="GDV33" s="16"/>
      <c r="GDW33" s="16"/>
      <c r="GDX33" s="16"/>
      <c r="GDY33" s="16"/>
      <c r="GDZ33" s="16"/>
      <c r="GEA33" s="16"/>
      <c r="GEB33" s="16"/>
      <c r="GEC33" s="16"/>
      <c r="GED33" s="16"/>
      <c r="GEE33" s="16"/>
      <c r="GEF33" s="16"/>
      <c r="GEG33" s="16"/>
      <c r="GEH33" s="16"/>
      <c r="GEI33" s="16"/>
      <c r="GEJ33" s="16"/>
      <c r="GEK33" s="16"/>
      <c r="GEL33" s="16"/>
      <c r="GEM33" s="16"/>
      <c r="GEN33" s="16"/>
      <c r="GEO33" s="16"/>
      <c r="GEP33" s="16"/>
      <c r="GEQ33" s="16"/>
      <c r="GER33" s="16"/>
      <c r="GES33" s="16"/>
      <c r="GET33" s="16"/>
      <c r="GEU33" s="16"/>
      <c r="GEV33" s="16"/>
      <c r="GEW33" s="16"/>
      <c r="GEX33" s="16"/>
      <c r="GEY33" s="16"/>
      <c r="GEZ33" s="16"/>
      <c r="GFA33" s="16"/>
      <c r="GFB33" s="16"/>
      <c r="GFC33" s="16"/>
      <c r="GFD33" s="16"/>
      <c r="GFE33" s="16"/>
      <c r="GFF33" s="16"/>
      <c r="GFG33" s="16"/>
      <c r="GFH33" s="16"/>
      <c r="GFI33" s="16"/>
      <c r="GFJ33" s="16"/>
      <c r="GFK33" s="16"/>
      <c r="GFL33" s="16"/>
      <c r="GFM33" s="16"/>
      <c r="GFN33" s="16"/>
      <c r="GFO33" s="16"/>
      <c r="GFP33" s="16"/>
      <c r="GFQ33" s="16"/>
      <c r="GFR33" s="16"/>
      <c r="GFS33" s="16"/>
      <c r="GFT33" s="16"/>
      <c r="GFU33" s="16"/>
      <c r="GFV33" s="16"/>
      <c r="GFW33" s="16"/>
      <c r="GFX33" s="16"/>
      <c r="GFY33" s="16"/>
      <c r="GFZ33" s="16"/>
      <c r="GGA33" s="16"/>
      <c r="GGB33" s="16"/>
      <c r="GGC33" s="16"/>
      <c r="GGD33" s="16"/>
      <c r="GGE33" s="16"/>
      <c r="GGF33" s="16"/>
      <c r="GGG33" s="16"/>
      <c r="GGH33" s="16"/>
      <c r="GGI33" s="16"/>
      <c r="GGJ33" s="16"/>
      <c r="GGK33" s="16"/>
      <c r="GGL33" s="16"/>
      <c r="GGM33" s="16"/>
      <c r="GGN33" s="16"/>
      <c r="GGO33" s="16"/>
      <c r="GGP33" s="16"/>
      <c r="GGQ33" s="16"/>
      <c r="GGR33" s="16"/>
      <c r="GGS33" s="16"/>
      <c r="GGT33" s="16"/>
      <c r="GGU33" s="16"/>
      <c r="GGV33" s="16"/>
      <c r="GGW33" s="16"/>
      <c r="GGX33" s="16"/>
      <c r="GGY33" s="16"/>
      <c r="GGZ33" s="16"/>
      <c r="GHA33" s="16"/>
      <c r="GHB33" s="16"/>
      <c r="GHC33" s="16"/>
      <c r="GHD33" s="16"/>
      <c r="GHE33" s="16"/>
      <c r="GHF33" s="16"/>
      <c r="GHG33" s="16"/>
      <c r="GHH33" s="16"/>
      <c r="GHI33" s="16"/>
      <c r="GHJ33" s="16"/>
      <c r="GHK33" s="16"/>
      <c r="GHL33" s="16"/>
      <c r="GHM33" s="16"/>
      <c r="GHN33" s="16"/>
      <c r="GHO33" s="16"/>
      <c r="GHP33" s="16"/>
      <c r="GHQ33" s="16"/>
      <c r="GHR33" s="16"/>
      <c r="GHS33" s="16"/>
      <c r="GHT33" s="16"/>
      <c r="GHU33" s="16"/>
      <c r="GHV33" s="16"/>
      <c r="GHW33" s="16"/>
      <c r="GHX33" s="16"/>
      <c r="GHY33" s="16"/>
      <c r="GHZ33" s="16"/>
      <c r="GIA33" s="16"/>
      <c r="GIB33" s="16"/>
      <c r="GIC33" s="16"/>
      <c r="GID33" s="16"/>
      <c r="GIE33" s="16"/>
      <c r="GIF33" s="16"/>
      <c r="GIG33" s="16"/>
      <c r="GIH33" s="16"/>
      <c r="GII33" s="16"/>
      <c r="GIJ33" s="16"/>
      <c r="GIK33" s="16"/>
      <c r="GIL33" s="16"/>
      <c r="GIM33" s="16"/>
      <c r="GIN33" s="16"/>
      <c r="GIO33" s="16"/>
      <c r="GIP33" s="16"/>
      <c r="GIQ33" s="16"/>
      <c r="GIR33" s="16"/>
      <c r="GIS33" s="16"/>
      <c r="GIT33" s="16"/>
      <c r="GIU33" s="16"/>
      <c r="GIV33" s="16"/>
      <c r="GIW33" s="16"/>
      <c r="GIX33" s="16"/>
      <c r="GIY33" s="16"/>
      <c r="GIZ33" s="16"/>
      <c r="GJA33" s="16"/>
      <c r="GJB33" s="16"/>
      <c r="GJC33" s="16"/>
      <c r="GJD33" s="16"/>
      <c r="GJE33" s="16"/>
      <c r="GJF33" s="16"/>
      <c r="GJG33" s="16"/>
      <c r="GJH33" s="16"/>
      <c r="GJI33" s="16"/>
      <c r="GJJ33" s="16"/>
      <c r="GJK33" s="16"/>
      <c r="GJL33" s="16"/>
      <c r="GJM33" s="16"/>
      <c r="GJN33" s="16"/>
      <c r="GJO33" s="16"/>
      <c r="GJP33" s="16"/>
      <c r="GJQ33" s="16"/>
      <c r="GJR33" s="16"/>
      <c r="GJS33" s="16"/>
      <c r="GJT33" s="16"/>
      <c r="GJU33" s="16"/>
      <c r="GJV33" s="16"/>
      <c r="GJW33" s="16"/>
      <c r="GJX33" s="16"/>
      <c r="GJY33" s="16"/>
      <c r="GJZ33" s="16"/>
      <c r="GKA33" s="16"/>
      <c r="GKB33" s="16"/>
      <c r="GKC33" s="16"/>
      <c r="GKD33" s="16"/>
      <c r="GKE33" s="16"/>
      <c r="GKF33" s="16"/>
      <c r="GKG33" s="16"/>
      <c r="GKH33" s="16"/>
      <c r="GKI33" s="16"/>
      <c r="GKJ33" s="16"/>
      <c r="GKK33" s="16"/>
      <c r="GKL33" s="16"/>
      <c r="GKM33" s="16"/>
      <c r="GKN33" s="16"/>
      <c r="GKO33" s="16"/>
      <c r="GKP33" s="16"/>
      <c r="GKQ33" s="16"/>
      <c r="GKR33" s="16"/>
      <c r="GKS33" s="16"/>
      <c r="GKT33" s="16"/>
      <c r="GKU33" s="16"/>
      <c r="GKV33" s="16"/>
      <c r="GKW33" s="16"/>
      <c r="GKX33" s="16"/>
      <c r="GKY33" s="16"/>
      <c r="GKZ33" s="16"/>
      <c r="GLA33" s="16"/>
      <c r="GLB33" s="16"/>
      <c r="GLC33" s="16"/>
      <c r="GLD33" s="16"/>
      <c r="GLE33" s="16"/>
      <c r="GLF33" s="16"/>
      <c r="GLG33" s="16"/>
      <c r="GLH33" s="16"/>
      <c r="GLI33" s="16"/>
      <c r="GLJ33" s="16"/>
      <c r="GLK33" s="16"/>
      <c r="GLL33" s="16"/>
      <c r="GLM33" s="16"/>
      <c r="GLN33" s="16"/>
      <c r="GLO33" s="16"/>
      <c r="GLP33" s="16"/>
      <c r="GLQ33" s="16"/>
      <c r="GLR33" s="16"/>
      <c r="GLS33" s="16"/>
      <c r="GLT33" s="16"/>
      <c r="GLU33" s="16"/>
      <c r="GLV33" s="16"/>
      <c r="GLW33" s="16"/>
      <c r="GLX33" s="16"/>
      <c r="GLY33" s="16"/>
      <c r="GLZ33" s="16"/>
      <c r="GMA33" s="16"/>
      <c r="GMB33" s="16"/>
      <c r="GMC33" s="16"/>
      <c r="GMD33" s="16"/>
      <c r="GME33" s="16"/>
      <c r="GMF33" s="16"/>
      <c r="GMG33" s="16"/>
      <c r="GMH33" s="16"/>
      <c r="GMI33" s="16"/>
      <c r="GMJ33" s="16"/>
      <c r="GMK33" s="16"/>
      <c r="GML33" s="16"/>
      <c r="GMM33" s="16"/>
      <c r="GMN33" s="16"/>
      <c r="GMO33" s="16"/>
      <c r="GMP33" s="16"/>
      <c r="GMQ33" s="16"/>
      <c r="GMR33" s="16"/>
      <c r="GMS33" s="16"/>
      <c r="GMT33" s="16"/>
      <c r="GMU33" s="16"/>
      <c r="GMV33" s="16"/>
      <c r="GMW33" s="16"/>
      <c r="GMX33" s="16"/>
      <c r="GMY33" s="16"/>
      <c r="GMZ33" s="16"/>
      <c r="GNA33" s="16"/>
      <c r="GNB33" s="16"/>
      <c r="GNC33" s="16"/>
      <c r="GND33" s="16"/>
      <c r="GNE33" s="16"/>
      <c r="GNF33" s="16"/>
      <c r="GNG33" s="16"/>
      <c r="GNH33" s="16"/>
      <c r="GNI33" s="16"/>
      <c r="GNJ33" s="16"/>
      <c r="GNK33" s="16"/>
      <c r="GNL33" s="16"/>
      <c r="GNM33" s="16"/>
      <c r="GNN33" s="16"/>
      <c r="GNO33" s="16"/>
      <c r="GNP33" s="16"/>
      <c r="GNQ33" s="16"/>
      <c r="GNR33" s="16"/>
      <c r="GNS33" s="16"/>
      <c r="GNT33" s="16"/>
      <c r="GNU33" s="16"/>
      <c r="GNV33" s="16"/>
      <c r="GNW33" s="16"/>
      <c r="GNX33" s="16"/>
      <c r="GNY33" s="16"/>
      <c r="GNZ33" s="16"/>
      <c r="GOA33" s="16"/>
      <c r="GOB33" s="16"/>
      <c r="GOC33" s="16"/>
      <c r="GOD33" s="16"/>
      <c r="GOE33" s="16"/>
      <c r="GOF33" s="16"/>
      <c r="GOG33" s="16"/>
      <c r="GOH33" s="16"/>
      <c r="GOI33" s="16"/>
      <c r="GOJ33" s="16"/>
      <c r="GOK33" s="16"/>
      <c r="GOL33" s="16"/>
      <c r="GOM33" s="16"/>
      <c r="GON33" s="16"/>
      <c r="GOO33" s="16"/>
      <c r="GOP33" s="16"/>
      <c r="GOQ33" s="16"/>
      <c r="GOR33" s="16"/>
      <c r="GOS33" s="16"/>
      <c r="GOT33" s="16"/>
      <c r="GOU33" s="16"/>
      <c r="GOV33" s="16"/>
      <c r="GOW33" s="16"/>
      <c r="GOX33" s="16"/>
      <c r="GOY33" s="16"/>
      <c r="GOZ33" s="16"/>
      <c r="GPA33" s="16"/>
      <c r="GPB33" s="16"/>
      <c r="GPC33" s="16"/>
      <c r="GPD33" s="16"/>
      <c r="GPE33" s="16"/>
      <c r="GPF33" s="16"/>
      <c r="GPG33" s="16"/>
      <c r="GPH33" s="16"/>
      <c r="GPI33" s="16"/>
      <c r="GPJ33" s="16"/>
      <c r="GPK33" s="16"/>
      <c r="GPL33" s="16"/>
      <c r="GPM33" s="16"/>
      <c r="GPN33" s="16"/>
      <c r="GPO33" s="16"/>
      <c r="GPP33" s="16"/>
      <c r="GPQ33" s="16"/>
      <c r="GPR33" s="16"/>
      <c r="GPS33" s="16"/>
      <c r="GPT33" s="16"/>
      <c r="GPU33" s="16"/>
      <c r="GPV33" s="16"/>
      <c r="GPW33" s="16"/>
      <c r="GPX33" s="16"/>
      <c r="GPY33" s="16"/>
      <c r="GPZ33" s="16"/>
      <c r="GQA33" s="16"/>
      <c r="GQB33" s="16"/>
      <c r="GQC33" s="16"/>
      <c r="GQD33" s="16"/>
      <c r="GQE33" s="16"/>
      <c r="GQF33" s="16"/>
      <c r="GQG33" s="16"/>
      <c r="GQH33" s="16"/>
      <c r="GQI33" s="16"/>
      <c r="GQJ33" s="16"/>
      <c r="GQK33" s="16"/>
      <c r="GQL33" s="16"/>
      <c r="GQM33" s="16"/>
      <c r="GQN33" s="16"/>
      <c r="GQO33" s="16"/>
      <c r="GQP33" s="16"/>
      <c r="GQQ33" s="16"/>
      <c r="GQR33" s="16"/>
      <c r="GQS33" s="16"/>
      <c r="GQT33" s="16"/>
      <c r="GQU33" s="16"/>
      <c r="GQV33" s="16"/>
      <c r="GQW33" s="16"/>
      <c r="GQX33" s="16"/>
      <c r="GQY33" s="16"/>
      <c r="GQZ33" s="16"/>
      <c r="GRA33" s="16"/>
      <c r="GRB33" s="16"/>
      <c r="GRC33" s="16"/>
      <c r="GRD33" s="16"/>
      <c r="GRE33" s="16"/>
      <c r="GRF33" s="16"/>
      <c r="GRG33" s="16"/>
      <c r="GRH33" s="16"/>
      <c r="GRI33" s="16"/>
      <c r="GRJ33" s="16"/>
      <c r="GRK33" s="16"/>
      <c r="GRL33" s="16"/>
      <c r="GRM33" s="16"/>
      <c r="GRN33" s="16"/>
      <c r="GRO33" s="16"/>
      <c r="GRP33" s="16"/>
      <c r="GRQ33" s="16"/>
      <c r="GRR33" s="16"/>
      <c r="GRS33" s="16"/>
      <c r="GRT33" s="16"/>
      <c r="GRU33" s="16"/>
      <c r="GRV33" s="16"/>
      <c r="GRW33" s="16"/>
      <c r="GRX33" s="16"/>
      <c r="GRY33" s="16"/>
      <c r="GRZ33" s="16"/>
      <c r="GSA33" s="16"/>
      <c r="GSB33" s="16"/>
      <c r="GSC33" s="16"/>
      <c r="GSD33" s="16"/>
      <c r="GSE33" s="16"/>
      <c r="GSF33" s="16"/>
      <c r="GSG33" s="16"/>
      <c r="GSH33" s="16"/>
      <c r="GSI33" s="16"/>
      <c r="GSJ33" s="16"/>
      <c r="GSK33" s="16"/>
      <c r="GSL33" s="16"/>
      <c r="GSM33" s="16"/>
      <c r="GSN33" s="16"/>
      <c r="GSO33" s="16"/>
      <c r="GSP33" s="16"/>
      <c r="GSQ33" s="16"/>
      <c r="GSR33" s="16"/>
      <c r="GSS33" s="16"/>
      <c r="GST33" s="16"/>
      <c r="GSU33" s="16"/>
      <c r="GSV33" s="16"/>
      <c r="GSW33" s="16"/>
      <c r="GSX33" s="16"/>
      <c r="GSY33" s="16"/>
      <c r="GSZ33" s="16"/>
      <c r="GTA33" s="16"/>
      <c r="GTB33" s="16"/>
      <c r="GTC33" s="16"/>
      <c r="GTD33" s="16"/>
      <c r="GTE33" s="16"/>
      <c r="GTF33" s="16"/>
      <c r="GTG33" s="16"/>
      <c r="GTH33" s="16"/>
      <c r="GTI33" s="16"/>
      <c r="GTJ33" s="16"/>
      <c r="GTK33" s="16"/>
      <c r="GTL33" s="16"/>
      <c r="GTM33" s="16"/>
      <c r="GTN33" s="16"/>
      <c r="GTO33" s="16"/>
      <c r="GTP33" s="16"/>
      <c r="GTQ33" s="16"/>
      <c r="GTR33" s="16"/>
      <c r="GTS33" s="16"/>
      <c r="GTT33" s="16"/>
      <c r="GTU33" s="16"/>
      <c r="GTV33" s="16"/>
      <c r="GTW33" s="16"/>
      <c r="GTX33" s="16"/>
      <c r="GTY33" s="16"/>
      <c r="GTZ33" s="16"/>
      <c r="GUA33" s="16"/>
      <c r="GUB33" s="16"/>
      <c r="GUC33" s="16"/>
      <c r="GUD33" s="16"/>
      <c r="GUE33" s="16"/>
      <c r="GUF33" s="16"/>
      <c r="GUG33" s="16"/>
      <c r="GUH33" s="16"/>
      <c r="GUI33" s="16"/>
      <c r="GUJ33" s="16"/>
      <c r="GUK33" s="16"/>
      <c r="GUL33" s="16"/>
      <c r="GUM33" s="16"/>
      <c r="GUN33" s="16"/>
      <c r="GUO33" s="16"/>
      <c r="GUP33" s="16"/>
      <c r="GUQ33" s="16"/>
      <c r="GUR33" s="16"/>
      <c r="GUS33" s="16"/>
      <c r="GUT33" s="16"/>
      <c r="GUU33" s="16"/>
      <c r="GUV33" s="16"/>
      <c r="GUW33" s="16"/>
      <c r="GUX33" s="16"/>
      <c r="GUY33" s="16"/>
      <c r="GUZ33" s="16"/>
      <c r="GVA33" s="16"/>
      <c r="GVB33" s="16"/>
      <c r="GVC33" s="16"/>
      <c r="GVD33" s="16"/>
      <c r="GVE33" s="16"/>
      <c r="GVF33" s="16"/>
      <c r="GVG33" s="16"/>
      <c r="GVH33" s="16"/>
      <c r="GVI33" s="16"/>
      <c r="GVJ33" s="16"/>
      <c r="GVK33" s="16"/>
      <c r="GVL33" s="16"/>
      <c r="GVM33" s="16"/>
      <c r="GVN33" s="16"/>
      <c r="GVO33" s="16"/>
      <c r="GVP33" s="16"/>
      <c r="GVQ33" s="16"/>
      <c r="GVR33" s="16"/>
      <c r="GVS33" s="16"/>
      <c r="GVT33" s="16"/>
      <c r="GVU33" s="16"/>
      <c r="GVV33" s="16"/>
      <c r="GVW33" s="16"/>
      <c r="GVX33" s="16"/>
      <c r="GVY33" s="16"/>
      <c r="GVZ33" s="16"/>
      <c r="GWA33" s="16"/>
      <c r="GWB33" s="16"/>
      <c r="GWC33" s="16"/>
      <c r="GWD33" s="16"/>
      <c r="GWE33" s="16"/>
      <c r="GWF33" s="16"/>
      <c r="GWG33" s="16"/>
      <c r="GWH33" s="16"/>
      <c r="GWI33" s="16"/>
      <c r="GWJ33" s="16"/>
      <c r="GWK33" s="16"/>
      <c r="GWL33" s="16"/>
      <c r="GWM33" s="16"/>
      <c r="GWN33" s="16"/>
      <c r="GWO33" s="16"/>
      <c r="GWP33" s="16"/>
      <c r="GWQ33" s="16"/>
      <c r="GWR33" s="16"/>
      <c r="GWS33" s="16"/>
      <c r="GWT33" s="16"/>
      <c r="GWU33" s="16"/>
      <c r="GWV33" s="16"/>
      <c r="GWW33" s="16"/>
      <c r="GWX33" s="16"/>
      <c r="GWY33" s="16"/>
      <c r="GWZ33" s="16"/>
      <c r="GXA33" s="16"/>
      <c r="GXB33" s="16"/>
      <c r="GXC33" s="16"/>
      <c r="GXD33" s="16"/>
      <c r="GXE33" s="16"/>
      <c r="GXF33" s="16"/>
      <c r="GXG33" s="16"/>
      <c r="GXH33" s="16"/>
      <c r="GXI33" s="16"/>
      <c r="GXJ33" s="16"/>
      <c r="GXK33" s="16"/>
      <c r="GXL33" s="16"/>
      <c r="GXM33" s="16"/>
      <c r="GXN33" s="16"/>
      <c r="GXO33" s="16"/>
      <c r="GXP33" s="16"/>
      <c r="GXQ33" s="16"/>
      <c r="GXR33" s="16"/>
      <c r="GXS33" s="16"/>
      <c r="GXT33" s="16"/>
      <c r="GXU33" s="16"/>
      <c r="GXV33" s="16"/>
      <c r="GXW33" s="16"/>
      <c r="GXX33" s="16"/>
      <c r="GXY33" s="16"/>
      <c r="GXZ33" s="16"/>
      <c r="GYA33" s="16"/>
      <c r="GYB33" s="16"/>
      <c r="GYC33" s="16"/>
      <c r="GYD33" s="16"/>
      <c r="GYE33" s="16"/>
      <c r="GYF33" s="16"/>
      <c r="GYG33" s="16"/>
      <c r="GYH33" s="16"/>
      <c r="GYI33" s="16"/>
      <c r="GYJ33" s="16"/>
      <c r="GYK33" s="16"/>
      <c r="GYL33" s="16"/>
      <c r="GYM33" s="16"/>
      <c r="GYN33" s="16"/>
      <c r="GYO33" s="16"/>
      <c r="GYP33" s="16"/>
      <c r="GYQ33" s="16"/>
      <c r="GYR33" s="16"/>
      <c r="GYS33" s="16"/>
      <c r="GYT33" s="16"/>
      <c r="GYU33" s="16"/>
      <c r="GYV33" s="16"/>
      <c r="GYW33" s="16"/>
      <c r="GYX33" s="16"/>
      <c r="GYY33" s="16"/>
      <c r="GYZ33" s="16"/>
      <c r="GZA33" s="16"/>
      <c r="GZB33" s="16"/>
      <c r="GZC33" s="16"/>
      <c r="GZD33" s="16"/>
      <c r="GZE33" s="16"/>
      <c r="GZF33" s="16"/>
      <c r="GZG33" s="16"/>
      <c r="GZH33" s="16"/>
      <c r="GZI33" s="16"/>
      <c r="GZJ33" s="16"/>
      <c r="GZK33" s="16"/>
      <c r="GZL33" s="16"/>
      <c r="GZM33" s="16"/>
      <c r="GZN33" s="16"/>
      <c r="GZO33" s="16"/>
      <c r="GZP33" s="16"/>
      <c r="GZQ33" s="16"/>
      <c r="GZR33" s="16"/>
      <c r="GZS33" s="16"/>
      <c r="GZT33" s="16"/>
      <c r="GZU33" s="16"/>
      <c r="GZV33" s="16"/>
      <c r="GZW33" s="16"/>
      <c r="GZX33" s="16"/>
      <c r="GZY33" s="16"/>
      <c r="GZZ33" s="16"/>
      <c r="HAA33" s="16"/>
      <c r="HAB33" s="16"/>
      <c r="HAC33" s="16"/>
      <c r="HAD33" s="16"/>
      <c r="HAE33" s="16"/>
      <c r="HAF33" s="16"/>
      <c r="HAG33" s="16"/>
      <c r="HAH33" s="16"/>
      <c r="HAI33" s="16"/>
      <c r="HAJ33" s="16"/>
      <c r="HAK33" s="16"/>
      <c r="HAL33" s="16"/>
      <c r="HAM33" s="16"/>
      <c r="HAN33" s="16"/>
      <c r="HAO33" s="16"/>
      <c r="HAP33" s="16"/>
      <c r="HAQ33" s="16"/>
      <c r="HAR33" s="16"/>
      <c r="HAS33" s="16"/>
      <c r="HAT33" s="16"/>
      <c r="HAU33" s="16"/>
      <c r="HAV33" s="16"/>
      <c r="HAW33" s="16"/>
      <c r="HAX33" s="16"/>
      <c r="HAY33" s="16"/>
      <c r="HAZ33" s="16"/>
      <c r="HBA33" s="16"/>
      <c r="HBB33" s="16"/>
      <c r="HBC33" s="16"/>
      <c r="HBD33" s="16"/>
      <c r="HBE33" s="16"/>
      <c r="HBF33" s="16"/>
      <c r="HBG33" s="16"/>
      <c r="HBH33" s="16"/>
      <c r="HBI33" s="16"/>
      <c r="HBJ33" s="16"/>
      <c r="HBK33" s="16"/>
      <c r="HBL33" s="16"/>
      <c r="HBM33" s="16"/>
      <c r="HBN33" s="16"/>
      <c r="HBO33" s="16"/>
      <c r="HBP33" s="16"/>
      <c r="HBQ33" s="16"/>
      <c r="HBR33" s="16"/>
      <c r="HBS33" s="16"/>
      <c r="HBT33" s="16"/>
      <c r="HBU33" s="16"/>
      <c r="HBV33" s="16"/>
      <c r="HBW33" s="16"/>
      <c r="HBX33" s="16"/>
      <c r="HBY33" s="16"/>
      <c r="HBZ33" s="16"/>
      <c r="HCA33" s="16"/>
      <c r="HCB33" s="16"/>
      <c r="HCC33" s="16"/>
      <c r="HCD33" s="16"/>
      <c r="HCE33" s="16"/>
      <c r="HCF33" s="16"/>
      <c r="HCG33" s="16"/>
      <c r="HCH33" s="16"/>
      <c r="HCI33" s="16"/>
      <c r="HCJ33" s="16"/>
      <c r="HCK33" s="16"/>
      <c r="HCL33" s="16"/>
      <c r="HCM33" s="16"/>
      <c r="HCN33" s="16"/>
      <c r="HCO33" s="16"/>
      <c r="HCP33" s="16"/>
      <c r="HCQ33" s="16"/>
      <c r="HCR33" s="16"/>
      <c r="HCS33" s="16"/>
      <c r="HCT33" s="16"/>
      <c r="HCU33" s="16"/>
      <c r="HCV33" s="16"/>
      <c r="HCW33" s="16"/>
      <c r="HCX33" s="16"/>
      <c r="HCY33" s="16"/>
      <c r="HCZ33" s="16"/>
      <c r="HDA33" s="16"/>
      <c r="HDB33" s="16"/>
      <c r="HDC33" s="16"/>
      <c r="HDD33" s="16"/>
      <c r="HDE33" s="16"/>
      <c r="HDF33" s="16"/>
      <c r="HDG33" s="16"/>
      <c r="HDH33" s="16"/>
      <c r="HDI33" s="16"/>
      <c r="HDJ33" s="16"/>
      <c r="HDK33" s="16"/>
      <c r="HDL33" s="16"/>
      <c r="HDM33" s="16"/>
      <c r="HDN33" s="16"/>
      <c r="HDO33" s="16"/>
      <c r="HDP33" s="16"/>
      <c r="HDQ33" s="16"/>
      <c r="HDR33" s="16"/>
      <c r="HDS33" s="16"/>
      <c r="HDT33" s="16"/>
      <c r="HDU33" s="16"/>
      <c r="HDV33" s="16"/>
      <c r="HDW33" s="16"/>
      <c r="HDX33" s="16"/>
      <c r="HDY33" s="16"/>
      <c r="HDZ33" s="16"/>
      <c r="HEA33" s="16"/>
      <c r="HEB33" s="16"/>
      <c r="HEC33" s="16"/>
      <c r="HED33" s="16"/>
      <c r="HEE33" s="16"/>
      <c r="HEF33" s="16"/>
      <c r="HEG33" s="16"/>
      <c r="HEH33" s="16"/>
      <c r="HEI33" s="16"/>
      <c r="HEJ33" s="16"/>
      <c r="HEK33" s="16"/>
      <c r="HEL33" s="16"/>
      <c r="HEM33" s="16"/>
      <c r="HEN33" s="16"/>
      <c r="HEO33" s="16"/>
      <c r="HEP33" s="16"/>
      <c r="HEQ33" s="16"/>
      <c r="HER33" s="16"/>
      <c r="HES33" s="16"/>
      <c r="HET33" s="16"/>
      <c r="HEU33" s="16"/>
      <c r="HEV33" s="16"/>
      <c r="HEW33" s="16"/>
      <c r="HEX33" s="16"/>
      <c r="HEY33" s="16"/>
      <c r="HEZ33" s="16"/>
      <c r="HFA33" s="16"/>
      <c r="HFB33" s="16"/>
      <c r="HFC33" s="16"/>
      <c r="HFD33" s="16"/>
      <c r="HFE33" s="16"/>
      <c r="HFF33" s="16"/>
      <c r="HFG33" s="16"/>
      <c r="HFH33" s="16"/>
      <c r="HFI33" s="16"/>
      <c r="HFJ33" s="16"/>
      <c r="HFK33" s="16"/>
      <c r="HFL33" s="16"/>
      <c r="HFM33" s="16"/>
      <c r="HFN33" s="16"/>
      <c r="HFO33" s="16"/>
      <c r="HFP33" s="16"/>
      <c r="HFQ33" s="16"/>
      <c r="HFR33" s="16"/>
      <c r="HFS33" s="16"/>
      <c r="HFT33" s="16"/>
      <c r="HFU33" s="16"/>
      <c r="HFV33" s="16"/>
      <c r="HFW33" s="16"/>
      <c r="HFX33" s="16"/>
      <c r="HFY33" s="16"/>
      <c r="HFZ33" s="16"/>
      <c r="HGA33" s="16"/>
      <c r="HGB33" s="16"/>
      <c r="HGC33" s="16"/>
      <c r="HGD33" s="16"/>
      <c r="HGE33" s="16"/>
      <c r="HGF33" s="16"/>
      <c r="HGG33" s="16"/>
      <c r="HGH33" s="16"/>
      <c r="HGI33" s="16"/>
      <c r="HGJ33" s="16"/>
      <c r="HGK33" s="16"/>
      <c r="HGL33" s="16"/>
      <c r="HGM33" s="16"/>
      <c r="HGN33" s="16"/>
      <c r="HGO33" s="16"/>
      <c r="HGP33" s="16"/>
      <c r="HGQ33" s="16"/>
      <c r="HGR33" s="16"/>
      <c r="HGS33" s="16"/>
      <c r="HGT33" s="16"/>
      <c r="HGU33" s="16"/>
      <c r="HGV33" s="16"/>
      <c r="HGW33" s="16"/>
      <c r="HGX33" s="16"/>
      <c r="HGY33" s="16"/>
      <c r="HGZ33" s="16"/>
      <c r="HHA33" s="16"/>
      <c r="HHB33" s="16"/>
      <c r="HHC33" s="16"/>
      <c r="HHD33" s="16"/>
      <c r="HHE33" s="16"/>
      <c r="HHF33" s="16"/>
      <c r="HHG33" s="16"/>
      <c r="HHH33" s="16"/>
      <c r="HHI33" s="16"/>
      <c r="HHJ33" s="16"/>
      <c r="HHK33" s="16"/>
      <c r="HHL33" s="16"/>
      <c r="HHM33" s="16"/>
      <c r="HHN33" s="16"/>
      <c r="HHO33" s="16"/>
      <c r="HHP33" s="16"/>
      <c r="HHQ33" s="16"/>
      <c r="HHR33" s="16"/>
      <c r="HHS33" s="16"/>
      <c r="HHT33" s="16"/>
      <c r="HHU33" s="16"/>
      <c r="HHV33" s="16"/>
      <c r="HHW33" s="16"/>
      <c r="HHX33" s="16"/>
      <c r="HHY33" s="16"/>
      <c r="HHZ33" s="16"/>
      <c r="HIA33" s="16"/>
      <c r="HIB33" s="16"/>
      <c r="HIC33" s="16"/>
      <c r="HID33" s="16"/>
      <c r="HIE33" s="16"/>
      <c r="HIF33" s="16"/>
      <c r="HIG33" s="16"/>
      <c r="HIH33" s="16"/>
      <c r="HII33" s="16"/>
      <c r="HIJ33" s="16"/>
      <c r="HIK33" s="16"/>
      <c r="HIL33" s="16"/>
      <c r="HIM33" s="16"/>
      <c r="HIN33" s="16"/>
      <c r="HIO33" s="16"/>
      <c r="HIP33" s="16"/>
      <c r="HIQ33" s="16"/>
      <c r="HIR33" s="16"/>
      <c r="HIS33" s="16"/>
      <c r="HIT33" s="16"/>
      <c r="HIU33" s="16"/>
      <c r="HIV33" s="16"/>
      <c r="HIW33" s="16"/>
      <c r="HIX33" s="16"/>
      <c r="HIY33" s="16"/>
      <c r="HIZ33" s="16"/>
      <c r="HJA33" s="16"/>
      <c r="HJB33" s="16"/>
      <c r="HJC33" s="16"/>
      <c r="HJD33" s="16"/>
      <c r="HJE33" s="16"/>
      <c r="HJF33" s="16"/>
      <c r="HJG33" s="16"/>
      <c r="HJH33" s="16"/>
      <c r="HJI33" s="16"/>
      <c r="HJJ33" s="16"/>
      <c r="HJK33" s="16"/>
      <c r="HJL33" s="16"/>
      <c r="HJM33" s="16"/>
      <c r="HJN33" s="16"/>
      <c r="HJO33" s="16"/>
      <c r="HJP33" s="16"/>
      <c r="HJQ33" s="16"/>
      <c r="HJR33" s="16"/>
      <c r="HJS33" s="16"/>
      <c r="HJT33" s="16"/>
      <c r="HJU33" s="16"/>
      <c r="HJV33" s="16"/>
      <c r="HJW33" s="16"/>
      <c r="HJX33" s="16"/>
      <c r="HJY33" s="16"/>
      <c r="HJZ33" s="16"/>
      <c r="HKA33" s="16"/>
      <c r="HKB33" s="16"/>
      <c r="HKC33" s="16"/>
      <c r="HKD33" s="16"/>
      <c r="HKE33" s="16"/>
      <c r="HKF33" s="16"/>
      <c r="HKG33" s="16"/>
      <c r="HKH33" s="16"/>
      <c r="HKI33" s="16"/>
      <c r="HKJ33" s="16"/>
      <c r="HKK33" s="16"/>
      <c r="HKL33" s="16"/>
      <c r="HKM33" s="16"/>
      <c r="HKN33" s="16"/>
      <c r="HKO33" s="16"/>
      <c r="HKP33" s="16"/>
      <c r="HKQ33" s="16"/>
      <c r="HKR33" s="16"/>
      <c r="HKS33" s="16"/>
      <c r="HKT33" s="16"/>
      <c r="HKU33" s="16"/>
      <c r="HKV33" s="16"/>
      <c r="HKW33" s="16"/>
      <c r="HKX33" s="16"/>
      <c r="HKY33" s="16"/>
      <c r="HKZ33" s="16"/>
      <c r="HLA33" s="16"/>
      <c r="HLB33" s="16"/>
      <c r="HLC33" s="16"/>
      <c r="HLD33" s="16"/>
      <c r="HLE33" s="16"/>
      <c r="HLF33" s="16"/>
      <c r="HLG33" s="16"/>
      <c r="HLH33" s="16"/>
      <c r="HLI33" s="16"/>
      <c r="HLJ33" s="16"/>
      <c r="HLK33" s="16"/>
      <c r="HLL33" s="16"/>
      <c r="HLM33" s="16"/>
      <c r="HLN33" s="16"/>
      <c r="HLO33" s="16"/>
      <c r="HLP33" s="16"/>
      <c r="HLQ33" s="16"/>
      <c r="HLR33" s="16"/>
      <c r="HLS33" s="16"/>
      <c r="HLT33" s="16"/>
      <c r="HLU33" s="16"/>
      <c r="HLV33" s="16"/>
      <c r="HLW33" s="16"/>
      <c r="HLX33" s="16"/>
      <c r="HLY33" s="16"/>
      <c r="HLZ33" s="16"/>
      <c r="HMA33" s="16"/>
      <c r="HMB33" s="16"/>
      <c r="HMC33" s="16"/>
      <c r="HMD33" s="16"/>
      <c r="HME33" s="16"/>
      <c r="HMF33" s="16"/>
      <c r="HMG33" s="16"/>
      <c r="HMH33" s="16"/>
      <c r="HMI33" s="16"/>
      <c r="HMJ33" s="16"/>
      <c r="HMK33" s="16"/>
      <c r="HML33" s="16"/>
      <c r="HMM33" s="16"/>
      <c r="HMN33" s="16"/>
      <c r="HMO33" s="16"/>
      <c r="HMP33" s="16"/>
      <c r="HMQ33" s="16"/>
      <c r="HMR33" s="16"/>
      <c r="HMS33" s="16"/>
      <c r="HMT33" s="16"/>
      <c r="HMU33" s="16"/>
      <c r="HMV33" s="16"/>
      <c r="HMW33" s="16"/>
      <c r="HMX33" s="16"/>
      <c r="HMY33" s="16"/>
      <c r="HMZ33" s="16"/>
      <c r="HNA33" s="16"/>
      <c r="HNB33" s="16"/>
      <c r="HNC33" s="16"/>
      <c r="HND33" s="16"/>
      <c r="HNE33" s="16"/>
      <c r="HNF33" s="16"/>
      <c r="HNG33" s="16"/>
      <c r="HNH33" s="16"/>
      <c r="HNI33" s="16"/>
      <c r="HNJ33" s="16"/>
      <c r="HNK33" s="16"/>
      <c r="HNL33" s="16"/>
      <c r="HNM33" s="16"/>
      <c r="HNN33" s="16"/>
      <c r="HNO33" s="16"/>
      <c r="HNP33" s="16"/>
      <c r="HNQ33" s="16"/>
      <c r="HNR33" s="16"/>
      <c r="HNS33" s="16"/>
      <c r="HNT33" s="16"/>
      <c r="HNU33" s="16"/>
      <c r="HNV33" s="16"/>
      <c r="HNW33" s="16"/>
      <c r="HNX33" s="16"/>
      <c r="HNY33" s="16"/>
      <c r="HNZ33" s="16"/>
      <c r="HOA33" s="16"/>
      <c r="HOB33" s="16"/>
      <c r="HOC33" s="16"/>
      <c r="HOD33" s="16"/>
      <c r="HOE33" s="16"/>
      <c r="HOF33" s="16"/>
      <c r="HOG33" s="16"/>
      <c r="HOH33" s="16"/>
      <c r="HOI33" s="16"/>
      <c r="HOJ33" s="16"/>
      <c r="HOK33" s="16"/>
      <c r="HOL33" s="16"/>
      <c r="HOM33" s="16"/>
      <c r="HON33" s="16"/>
      <c r="HOO33" s="16"/>
      <c r="HOP33" s="16"/>
      <c r="HOQ33" s="16"/>
      <c r="HOR33" s="16"/>
      <c r="HOS33" s="16"/>
      <c r="HOT33" s="16"/>
      <c r="HOU33" s="16"/>
      <c r="HOV33" s="16"/>
      <c r="HOW33" s="16"/>
      <c r="HOX33" s="16"/>
      <c r="HOY33" s="16"/>
      <c r="HOZ33" s="16"/>
      <c r="HPA33" s="16"/>
      <c r="HPB33" s="16"/>
      <c r="HPC33" s="16"/>
      <c r="HPD33" s="16"/>
      <c r="HPE33" s="16"/>
      <c r="HPF33" s="16"/>
      <c r="HPG33" s="16"/>
      <c r="HPH33" s="16"/>
      <c r="HPI33" s="16"/>
      <c r="HPJ33" s="16"/>
      <c r="HPK33" s="16"/>
      <c r="HPL33" s="16"/>
      <c r="HPM33" s="16"/>
      <c r="HPN33" s="16"/>
      <c r="HPO33" s="16"/>
      <c r="HPP33" s="16"/>
      <c r="HPQ33" s="16"/>
      <c r="HPR33" s="16"/>
      <c r="HPS33" s="16"/>
      <c r="HPT33" s="16"/>
      <c r="HPU33" s="16"/>
      <c r="HPV33" s="16"/>
      <c r="HPW33" s="16"/>
      <c r="HPX33" s="16"/>
      <c r="HPY33" s="16"/>
      <c r="HPZ33" s="16"/>
      <c r="HQA33" s="16"/>
      <c r="HQB33" s="16"/>
      <c r="HQC33" s="16"/>
      <c r="HQD33" s="16"/>
      <c r="HQE33" s="16"/>
      <c r="HQF33" s="16"/>
      <c r="HQG33" s="16"/>
      <c r="HQH33" s="16"/>
      <c r="HQI33" s="16"/>
      <c r="HQJ33" s="16"/>
      <c r="HQK33" s="16"/>
      <c r="HQL33" s="16"/>
      <c r="HQM33" s="16"/>
      <c r="HQN33" s="16"/>
      <c r="HQO33" s="16"/>
      <c r="HQP33" s="16"/>
      <c r="HQQ33" s="16"/>
      <c r="HQR33" s="16"/>
      <c r="HQS33" s="16"/>
      <c r="HQT33" s="16"/>
      <c r="HQU33" s="16"/>
      <c r="HQV33" s="16"/>
      <c r="HQW33" s="16"/>
      <c r="HQX33" s="16"/>
      <c r="HQY33" s="16"/>
      <c r="HQZ33" s="16"/>
      <c r="HRA33" s="16"/>
      <c r="HRB33" s="16"/>
      <c r="HRC33" s="16"/>
      <c r="HRD33" s="16"/>
      <c r="HRE33" s="16"/>
      <c r="HRF33" s="16"/>
      <c r="HRG33" s="16"/>
      <c r="HRH33" s="16"/>
      <c r="HRI33" s="16"/>
      <c r="HRJ33" s="16"/>
      <c r="HRK33" s="16"/>
      <c r="HRL33" s="16"/>
      <c r="HRM33" s="16"/>
      <c r="HRN33" s="16"/>
      <c r="HRO33" s="16"/>
      <c r="HRP33" s="16"/>
      <c r="HRQ33" s="16"/>
      <c r="HRR33" s="16"/>
      <c r="HRS33" s="16"/>
      <c r="HRT33" s="16"/>
      <c r="HRU33" s="16"/>
      <c r="HRV33" s="16"/>
      <c r="HRW33" s="16"/>
      <c r="HRX33" s="16"/>
      <c r="HRY33" s="16"/>
      <c r="HRZ33" s="16"/>
      <c r="HSA33" s="16"/>
      <c r="HSB33" s="16"/>
      <c r="HSC33" s="16"/>
      <c r="HSD33" s="16"/>
      <c r="HSE33" s="16"/>
      <c r="HSF33" s="16"/>
      <c r="HSG33" s="16"/>
      <c r="HSH33" s="16"/>
      <c r="HSI33" s="16"/>
      <c r="HSJ33" s="16"/>
      <c r="HSK33" s="16"/>
      <c r="HSL33" s="16"/>
      <c r="HSM33" s="16"/>
      <c r="HSN33" s="16"/>
      <c r="HSO33" s="16"/>
      <c r="HSP33" s="16"/>
      <c r="HSQ33" s="16"/>
      <c r="HSR33" s="16"/>
      <c r="HSS33" s="16"/>
      <c r="HST33" s="16"/>
      <c r="HSU33" s="16"/>
      <c r="HSV33" s="16"/>
      <c r="HSW33" s="16"/>
      <c r="HSX33" s="16"/>
      <c r="HSY33" s="16"/>
      <c r="HSZ33" s="16"/>
      <c r="HTA33" s="16"/>
      <c r="HTB33" s="16"/>
      <c r="HTC33" s="16"/>
      <c r="HTD33" s="16"/>
      <c r="HTE33" s="16"/>
      <c r="HTF33" s="16"/>
      <c r="HTG33" s="16"/>
      <c r="HTH33" s="16"/>
      <c r="HTI33" s="16"/>
      <c r="HTJ33" s="16"/>
      <c r="HTK33" s="16"/>
      <c r="HTL33" s="16"/>
      <c r="HTM33" s="16"/>
      <c r="HTN33" s="16"/>
      <c r="HTO33" s="16"/>
      <c r="HTP33" s="16"/>
      <c r="HTQ33" s="16"/>
      <c r="HTR33" s="16"/>
      <c r="HTS33" s="16"/>
      <c r="HTT33" s="16"/>
      <c r="HTU33" s="16"/>
      <c r="HTV33" s="16"/>
      <c r="HTW33" s="16"/>
      <c r="HTX33" s="16"/>
      <c r="HTY33" s="16"/>
      <c r="HTZ33" s="16"/>
      <c r="HUA33" s="16"/>
      <c r="HUB33" s="16"/>
      <c r="HUC33" s="16"/>
      <c r="HUD33" s="16"/>
      <c r="HUE33" s="16"/>
      <c r="HUF33" s="16"/>
      <c r="HUG33" s="16"/>
      <c r="HUH33" s="16"/>
      <c r="HUI33" s="16"/>
      <c r="HUJ33" s="16"/>
      <c r="HUK33" s="16"/>
      <c r="HUL33" s="16"/>
      <c r="HUM33" s="16"/>
      <c r="HUN33" s="16"/>
      <c r="HUO33" s="16"/>
      <c r="HUP33" s="16"/>
      <c r="HUQ33" s="16"/>
      <c r="HUR33" s="16"/>
      <c r="HUS33" s="16"/>
      <c r="HUT33" s="16"/>
      <c r="HUU33" s="16"/>
      <c r="HUV33" s="16"/>
      <c r="HUW33" s="16"/>
      <c r="HUX33" s="16"/>
      <c r="HUY33" s="16"/>
      <c r="HUZ33" s="16"/>
      <c r="HVA33" s="16"/>
      <c r="HVB33" s="16"/>
      <c r="HVC33" s="16"/>
      <c r="HVD33" s="16"/>
      <c r="HVE33" s="16"/>
      <c r="HVF33" s="16"/>
      <c r="HVG33" s="16"/>
      <c r="HVH33" s="16"/>
      <c r="HVI33" s="16"/>
      <c r="HVJ33" s="16"/>
      <c r="HVK33" s="16"/>
      <c r="HVL33" s="16"/>
      <c r="HVM33" s="16"/>
      <c r="HVN33" s="16"/>
      <c r="HVO33" s="16"/>
      <c r="HVP33" s="16"/>
      <c r="HVQ33" s="16"/>
      <c r="HVR33" s="16"/>
      <c r="HVS33" s="16"/>
      <c r="HVT33" s="16"/>
      <c r="HVU33" s="16"/>
      <c r="HVV33" s="16"/>
      <c r="HVW33" s="16"/>
      <c r="HVX33" s="16"/>
      <c r="HVY33" s="16"/>
      <c r="HVZ33" s="16"/>
      <c r="HWA33" s="16"/>
      <c r="HWB33" s="16"/>
      <c r="HWC33" s="16"/>
      <c r="HWD33" s="16"/>
      <c r="HWE33" s="16"/>
      <c r="HWF33" s="16"/>
      <c r="HWG33" s="16"/>
      <c r="HWH33" s="16"/>
      <c r="HWI33" s="16"/>
      <c r="HWJ33" s="16"/>
      <c r="HWK33" s="16"/>
      <c r="HWL33" s="16"/>
      <c r="HWM33" s="16"/>
      <c r="HWN33" s="16"/>
      <c r="HWO33" s="16"/>
      <c r="HWP33" s="16"/>
      <c r="HWQ33" s="16"/>
      <c r="HWR33" s="16"/>
      <c r="HWS33" s="16"/>
      <c r="HWT33" s="16"/>
      <c r="HWU33" s="16"/>
      <c r="HWV33" s="16"/>
      <c r="HWW33" s="16"/>
      <c r="HWX33" s="16"/>
      <c r="HWY33" s="16"/>
      <c r="HWZ33" s="16"/>
      <c r="HXA33" s="16"/>
      <c r="HXB33" s="16"/>
      <c r="HXC33" s="16"/>
      <c r="HXD33" s="16"/>
      <c r="HXE33" s="16"/>
      <c r="HXF33" s="16"/>
      <c r="HXG33" s="16"/>
      <c r="HXH33" s="16"/>
      <c r="HXI33" s="16"/>
      <c r="HXJ33" s="16"/>
      <c r="HXK33" s="16"/>
      <c r="HXL33" s="16"/>
      <c r="HXM33" s="16"/>
      <c r="HXN33" s="16"/>
      <c r="HXO33" s="16"/>
      <c r="HXP33" s="16"/>
      <c r="HXQ33" s="16"/>
      <c r="HXR33" s="16"/>
      <c r="HXS33" s="16"/>
      <c r="HXT33" s="16"/>
      <c r="HXU33" s="16"/>
      <c r="HXV33" s="16"/>
      <c r="HXW33" s="16"/>
      <c r="HXX33" s="16"/>
      <c r="HXY33" s="16"/>
      <c r="HXZ33" s="16"/>
      <c r="HYA33" s="16"/>
      <c r="HYB33" s="16"/>
      <c r="HYC33" s="16"/>
      <c r="HYD33" s="16"/>
      <c r="HYE33" s="16"/>
      <c r="HYF33" s="16"/>
      <c r="HYG33" s="16"/>
      <c r="HYH33" s="16"/>
      <c r="HYI33" s="16"/>
      <c r="HYJ33" s="16"/>
      <c r="HYK33" s="16"/>
      <c r="HYL33" s="16"/>
      <c r="HYM33" s="16"/>
      <c r="HYN33" s="16"/>
      <c r="HYO33" s="16"/>
      <c r="HYP33" s="16"/>
      <c r="HYQ33" s="16"/>
      <c r="HYR33" s="16"/>
      <c r="HYS33" s="16"/>
      <c r="HYT33" s="16"/>
      <c r="HYU33" s="16"/>
      <c r="HYV33" s="16"/>
      <c r="HYW33" s="16"/>
      <c r="HYX33" s="16"/>
      <c r="HYY33" s="16"/>
      <c r="HYZ33" s="16"/>
      <c r="HZA33" s="16"/>
      <c r="HZB33" s="16"/>
      <c r="HZC33" s="16"/>
      <c r="HZD33" s="16"/>
      <c r="HZE33" s="16"/>
      <c r="HZF33" s="16"/>
      <c r="HZG33" s="16"/>
      <c r="HZH33" s="16"/>
      <c r="HZI33" s="16"/>
      <c r="HZJ33" s="16"/>
      <c r="HZK33" s="16"/>
      <c r="HZL33" s="16"/>
      <c r="HZM33" s="16"/>
      <c r="HZN33" s="16"/>
      <c r="HZO33" s="16"/>
      <c r="HZP33" s="16"/>
      <c r="HZQ33" s="16"/>
      <c r="HZR33" s="16"/>
      <c r="HZS33" s="16"/>
      <c r="HZT33" s="16"/>
      <c r="HZU33" s="16"/>
      <c r="HZV33" s="16"/>
      <c r="HZW33" s="16"/>
      <c r="HZX33" s="16"/>
      <c r="HZY33" s="16"/>
      <c r="HZZ33" s="16"/>
      <c r="IAA33" s="16"/>
      <c r="IAB33" s="16"/>
      <c r="IAC33" s="16"/>
      <c r="IAD33" s="16"/>
      <c r="IAE33" s="16"/>
      <c r="IAF33" s="16"/>
      <c r="IAG33" s="16"/>
      <c r="IAH33" s="16"/>
      <c r="IAI33" s="16"/>
      <c r="IAJ33" s="16"/>
      <c r="IAK33" s="16"/>
      <c r="IAL33" s="16"/>
      <c r="IAM33" s="16"/>
      <c r="IAN33" s="16"/>
      <c r="IAO33" s="16"/>
      <c r="IAP33" s="16"/>
      <c r="IAQ33" s="16"/>
      <c r="IAR33" s="16"/>
      <c r="IAS33" s="16"/>
      <c r="IAT33" s="16"/>
      <c r="IAU33" s="16"/>
      <c r="IAV33" s="16"/>
      <c r="IAW33" s="16"/>
      <c r="IAX33" s="16"/>
      <c r="IAY33" s="16"/>
      <c r="IAZ33" s="16"/>
      <c r="IBA33" s="16"/>
      <c r="IBB33" s="16"/>
      <c r="IBC33" s="16"/>
      <c r="IBD33" s="16"/>
      <c r="IBE33" s="16"/>
      <c r="IBF33" s="16"/>
      <c r="IBG33" s="16"/>
      <c r="IBH33" s="16"/>
      <c r="IBI33" s="16"/>
      <c r="IBJ33" s="16"/>
      <c r="IBK33" s="16"/>
      <c r="IBL33" s="16"/>
      <c r="IBM33" s="16"/>
      <c r="IBN33" s="16"/>
      <c r="IBO33" s="16"/>
      <c r="IBP33" s="16"/>
      <c r="IBQ33" s="16"/>
      <c r="IBR33" s="16"/>
      <c r="IBS33" s="16"/>
      <c r="IBT33" s="16"/>
      <c r="IBU33" s="16"/>
      <c r="IBV33" s="16"/>
      <c r="IBW33" s="16"/>
      <c r="IBX33" s="16"/>
      <c r="IBY33" s="16"/>
      <c r="IBZ33" s="16"/>
      <c r="ICA33" s="16"/>
      <c r="ICB33" s="16"/>
      <c r="ICC33" s="16"/>
      <c r="ICD33" s="16"/>
      <c r="ICE33" s="16"/>
      <c r="ICF33" s="16"/>
      <c r="ICG33" s="16"/>
      <c r="ICH33" s="16"/>
      <c r="ICI33" s="16"/>
      <c r="ICJ33" s="16"/>
      <c r="ICK33" s="16"/>
      <c r="ICL33" s="16"/>
      <c r="ICM33" s="16"/>
      <c r="ICN33" s="16"/>
      <c r="ICO33" s="16"/>
      <c r="ICP33" s="16"/>
      <c r="ICQ33" s="16"/>
      <c r="ICR33" s="16"/>
      <c r="ICS33" s="16"/>
      <c r="ICT33" s="16"/>
      <c r="ICU33" s="16"/>
      <c r="ICV33" s="16"/>
      <c r="ICW33" s="16"/>
      <c r="ICX33" s="16"/>
      <c r="ICY33" s="16"/>
      <c r="ICZ33" s="16"/>
      <c r="IDA33" s="16"/>
      <c r="IDB33" s="16"/>
      <c r="IDC33" s="16"/>
      <c r="IDD33" s="16"/>
      <c r="IDE33" s="16"/>
      <c r="IDF33" s="16"/>
      <c r="IDG33" s="16"/>
      <c r="IDH33" s="16"/>
      <c r="IDI33" s="16"/>
      <c r="IDJ33" s="16"/>
      <c r="IDK33" s="16"/>
      <c r="IDL33" s="16"/>
      <c r="IDM33" s="16"/>
      <c r="IDN33" s="16"/>
      <c r="IDO33" s="16"/>
      <c r="IDP33" s="16"/>
      <c r="IDQ33" s="16"/>
      <c r="IDR33" s="16"/>
      <c r="IDS33" s="16"/>
      <c r="IDT33" s="16"/>
      <c r="IDU33" s="16"/>
      <c r="IDV33" s="16"/>
      <c r="IDW33" s="16"/>
      <c r="IDX33" s="16"/>
      <c r="IDY33" s="16"/>
      <c r="IDZ33" s="16"/>
      <c r="IEA33" s="16"/>
      <c r="IEB33" s="16"/>
      <c r="IEC33" s="16"/>
      <c r="IED33" s="16"/>
      <c r="IEE33" s="16"/>
      <c r="IEF33" s="16"/>
      <c r="IEG33" s="16"/>
      <c r="IEH33" s="16"/>
      <c r="IEI33" s="16"/>
      <c r="IEJ33" s="16"/>
      <c r="IEK33" s="16"/>
      <c r="IEL33" s="16"/>
      <c r="IEM33" s="16"/>
      <c r="IEN33" s="16"/>
      <c r="IEO33" s="16"/>
      <c r="IEP33" s="16"/>
      <c r="IEQ33" s="16"/>
      <c r="IER33" s="16"/>
      <c r="IES33" s="16"/>
      <c r="IET33" s="16"/>
      <c r="IEU33" s="16"/>
      <c r="IEV33" s="16"/>
      <c r="IEW33" s="16"/>
      <c r="IEX33" s="16"/>
      <c r="IEY33" s="16"/>
      <c r="IEZ33" s="16"/>
      <c r="IFA33" s="16"/>
      <c r="IFB33" s="16"/>
      <c r="IFC33" s="16"/>
      <c r="IFD33" s="16"/>
      <c r="IFE33" s="16"/>
      <c r="IFF33" s="16"/>
      <c r="IFG33" s="16"/>
      <c r="IFH33" s="16"/>
      <c r="IFI33" s="16"/>
      <c r="IFJ33" s="16"/>
      <c r="IFK33" s="16"/>
      <c r="IFL33" s="16"/>
      <c r="IFM33" s="16"/>
      <c r="IFN33" s="16"/>
      <c r="IFO33" s="16"/>
      <c r="IFP33" s="16"/>
      <c r="IFQ33" s="16"/>
      <c r="IFR33" s="16"/>
      <c r="IFS33" s="16"/>
      <c r="IFT33" s="16"/>
      <c r="IFU33" s="16"/>
      <c r="IFV33" s="16"/>
      <c r="IFW33" s="16"/>
      <c r="IFX33" s="16"/>
      <c r="IFY33" s="16"/>
      <c r="IFZ33" s="16"/>
      <c r="IGA33" s="16"/>
      <c r="IGB33" s="16"/>
      <c r="IGC33" s="16"/>
      <c r="IGD33" s="16"/>
      <c r="IGE33" s="16"/>
      <c r="IGF33" s="16"/>
      <c r="IGG33" s="16"/>
      <c r="IGH33" s="16"/>
      <c r="IGI33" s="16"/>
      <c r="IGJ33" s="16"/>
      <c r="IGK33" s="16"/>
      <c r="IGL33" s="16"/>
      <c r="IGM33" s="16"/>
      <c r="IGN33" s="16"/>
      <c r="IGO33" s="16"/>
      <c r="IGP33" s="16"/>
      <c r="IGQ33" s="16"/>
      <c r="IGR33" s="16"/>
      <c r="IGS33" s="16"/>
      <c r="IGT33" s="16"/>
      <c r="IGU33" s="16"/>
      <c r="IGV33" s="16"/>
      <c r="IGW33" s="16"/>
      <c r="IGX33" s="16"/>
      <c r="IGY33" s="16"/>
      <c r="IGZ33" s="16"/>
      <c r="IHA33" s="16"/>
      <c r="IHB33" s="16"/>
      <c r="IHC33" s="16"/>
      <c r="IHD33" s="16"/>
      <c r="IHE33" s="16"/>
      <c r="IHF33" s="16"/>
      <c r="IHG33" s="16"/>
      <c r="IHH33" s="16"/>
      <c r="IHI33" s="16"/>
      <c r="IHJ33" s="16"/>
      <c r="IHK33" s="16"/>
      <c r="IHL33" s="16"/>
      <c r="IHM33" s="16"/>
      <c r="IHN33" s="16"/>
      <c r="IHO33" s="16"/>
      <c r="IHP33" s="16"/>
      <c r="IHQ33" s="16"/>
      <c r="IHR33" s="16"/>
      <c r="IHS33" s="16"/>
      <c r="IHT33" s="16"/>
      <c r="IHU33" s="16"/>
      <c r="IHV33" s="16"/>
      <c r="IHW33" s="16"/>
      <c r="IHX33" s="16"/>
      <c r="IHY33" s="16"/>
      <c r="IHZ33" s="16"/>
      <c r="IIA33" s="16"/>
      <c r="IIB33" s="16"/>
      <c r="IIC33" s="16"/>
      <c r="IID33" s="16"/>
      <c r="IIE33" s="16"/>
      <c r="IIF33" s="16"/>
      <c r="IIG33" s="16"/>
      <c r="IIH33" s="16"/>
      <c r="III33" s="16"/>
      <c r="IIJ33" s="16"/>
      <c r="IIK33" s="16"/>
      <c r="IIL33" s="16"/>
      <c r="IIM33" s="16"/>
      <c r="IIN33" s="16"/>
      <c r="IIO33" s="16"/>
      <c r="IIP33" s="16"/>
      <c r="IIQ33" s="16"/>
      <c r="IIR33" s="16"/>
      <c r="IIS33" s="16"/>
      <c r="IIT33" s="16"/>
      <c r="IIU33" s="16"/>
      <c r="IIV33" s="16"/>
      <c r="IIW33" s="16"/>
      <c r="IIX33" s="16"/>
      <c r="IIY33" s="16"/>
      <c r="IIZ33" s="16"/>
      <c r="IJA33" s="16"/>
      <c r="IJB33" s="16"/>
      <c r="IJC33" s="16"/>
      <c r="IJD33" s="16"/>
      <c r="IJE33" s="16"/>
      <c r="IJF33" s="16"/>
      <c r="IJG33" s="16"/>
      <c r="IJH33" s="16"/>
      <c r="IJI33" s="16"/>
      <c r="IJJ33" s="16"/>
      <c r="IJK33" s="16"/>
      <c r="IJL33" s="16"/>
      <c r="IJM33" s="16"/>
      <c r="IJN33" s="16"/>
      <c r="IJO33" s="16"/>
      <c r="IJP33" s="16"/>
      <c r="IJQ33" s="16"/>
      <c r="IJR33" s="16"/>
      <c r="IJS33" s="16"/>
      <c r="IJT33" s="16"/>
      <c r="IJU33" s="16"/>
      <c r="IJV33" s="16"/>
      <c r="IJW33" s="16"/>
      <c r="IJX33" s="16"/>
      <c r="IJY33" s="16"/>
      <c r="IJZ33" s="16"/>
      <c r="IKA33" s="16"/>
      <c r="IKB33" s="16"/>
      <c r="IKC33" s="16"/>
      <c r="IKD33" s="16"/>
      <c r="IKE33" s="16"/>
      <c r="IKF33" s="16"/>
      <c r="IKG33" s="16"/>
      <c r="IKH33" s="16"/>
      <c r="IKI33" s="16"/>
      <c r="IKJ33" s="16"/>
      <c r="IKK33" s="16"/>
      <c r="IKL33" s="16"/>
      <c r="IKM33" s="16"/>
      <c r="IKN33" s="16"/>
      <c r="IKO33" s="16"/>
      <c r="IKP33" s="16"/>
      <c r="IKQ33" s="16"/>
      <c r="IKR33" s="16"/>
      <c r="IKS33" s="16"/>
      <c r="IKT33" s="16"/>
      <c r="IKU33" s="16"/>
      <c r="IKV33" s="16"/>
      <c r="IKW33" s="16"/>
      <c r="IKX33" s="16"/>
      <c r="IKY33" s="16"/>
      <c r="IKZ33" s="16"/>
      <c r="ILA33" s="16"/>
      <c r="ILB33" s="16"/>
      <c r="ILC33" s="16"/>
      <c r="ILD33" s="16"/>
      <c r="ILE33" s="16"/>
      <c r="ILF33" s="16"/>
      <c r="ILG33" s="16"/>
      <c r="ILH33" s="16"/>
      <c r="ILI33" s="16"/>
      <c r="ILJ33" s="16"/>
      <c r="ILK33" s="16"/>
      <c r="ILL33" s="16"/>
      <c r="ILM33" s="16"/>
      <c r="ILN33" s="16"/>
      <c r="ILO33" s="16"/>
      <c r="ILP33" s="16"/>
      <c r="ILQ33" s="16"/>
      <c r="ILR33" s="16"/>
      <c r="ILS33" s="16"/>
      <c r="ILT33" s="16"/>
      <c r="ILU33" s="16"/>
      <c r="ILV33" s="16"/>
      <c r="ILW33" s="16"/>
      <c r="ILX33" s="16"/>
      <c r="ILY33" s="16"/>
      <c r="ILZ33" s="16"/>
      <c r="IMA33" s="16"/>
      <c r="IMB33" s="16"/>
      <c r="IMC33" s="16"/>
      <c r="IMD33" s="16"/>
      <c r="IME33" s="16"/>
      <c r="IMF33" s="16"/>
      <c r="IMG33" s="16"/>
      <c r="IMH33" s="16"/>
      <c r="IMI33" s="16"/>
      <c r="IMJ33" s="16"/>
      <c r="IMK33" s="16"/>
      <c r="IML33" s="16"/>
      <c r="IMM33" s="16"/>
      <c r="IMN33" s="16"/>
      <c r="IMO33" s="16"/>
      <c r="IMP33" s="16"/>
      <c r="IMQ33" s="16"/>
      <c r="IMR33" s="16"/>
      <c r="IMS33" s="16"/>
      <c r="IMT33" s="16"/>
      <c r="IMU33" s="16"/>
      <c r="IMV33" s="16"/>
      <c r="IMW33" s="16"/>
      <c r="IMX33" s="16"/>
      <c r="IMY33" s="16"/>
      <c r="IMZ33" s="16"/>
      <c r="INA33" s="16"/>
      <c r="INB33" s="16"/>
      <c r="INC33" s="16"/>
      <c r="IND33" s="16"/>
      <c r="INE33" s="16"/>
      <c r="INF33" s="16"/>
      <c r="ING33" s="16"/>
      <c r="INH33" s="16"/>
      <c r="INI33" s="16"/>
      <c r="INJ33" s="16"/>
      <c r="INK33" s="16"/>
      <c r="INL33" s="16"/>
      <c r="INM33" s="16"/>
      <c r="INN33" s="16"/>
      <c r="INO33" s="16"/>
      <c r="INP33" s="16"/>
      <c r="INQ33" s="16"/>
      <c r="INR33" s="16"/>
      <c r="INS33" s="16"/>
      <c r="INT33" s="16"/>
      <c r="INU33" s="16"/>
      <c r="INV33" s="16"/>
      <c r="INW33" s="16"/>
      <c r="INX33" s="16"/>
      <c r="INY33" s="16"/>
      <c r="INZ33" s="16"/>
      <c r="IOA33" s="16"/>
      <c r="IOB33" s="16"/>
      <c r="IOC33" s="16"/>
      <c r="IOD33" s="16"/>
      <c r="IOE33" s="16"/>
      <c r="IOF33" s="16"/>
      <c r="IOG33" s="16"/>
      <c r="IOH33" s="16"/>
      <c r="IOI33" s="16"/>
      <c r="IOJ33" s="16"/>
      <c r="IOK33" s="16"/>
      <c r="IOL33" s="16"/>
      <c r="IOM33" s="16"/>
      <c r="ION33" s="16"/>
      <c r="IOO33" s="16"/>
      <c r="IOP33" s="16"/>
      <c r="IOQ33" s="16"/>
      <c r="IOR33" s="16"/>
      <c r="IOS33" s="16"/>
      <c r="IOT33" s="16"/>
      <c r="IOU33" s="16"/>
      <c r="IOV33" s="16"/>
      <c r="IOW33" s="16"/>
      <c r="IOX33" s="16"/>
      <c r="IOY33" s="16"/>
      <c r="IOZ33" s="16"/>
      <c r="IPA33" s="16"/>
      <c r="IPB33" s="16"/>
      <c r="IPC33" s="16"/>
      <c r="IPD33" s="16"/>
      <c r="IPE33" s="16"/>
      <c r="IPF33" s="16"/>
      <c r="IPG33" s="16"/>
      <c r="IPH33" s="16"/>
      <c r="IPI33" s="16"/>
      <c r="IPJ33" s="16"/>
      <c r="IPK33" s="16"/>
      <c r="IPL33" s="16"/>
      <c r="IPM33" s="16"/>
      <c r="IPN33" s="16"/>
      <c r="IPO33" s="16"/>
      <c r="IPP33" s="16"/>
      <c r="IPQ33" s="16"/>
      <c r="IPR33" s="16"/>
      <c r="IPS33" s="16"/>
      <c r="IPT33" s="16"/>
      <c r="IPU33" s="16"/>
      <c r="IPV33" s="16"/>
      <c r="IPW33" s="16"/>
      <c r="IPX33" s="16"/>
      <c r="IPY33" s="16"/>
      <c r="IPZ33" s="16"/>
      <c r="IQA33" s="16"/>
      <c r="IQB33" s="16"/>
      <c r="IQC33" s="16"/>
      <c r="IQD33" s="16"/>
      <c r="IQE33" s="16"/>
      <c r="IQF33" s="16"/>
      <c r="IQG33" s="16"/>
      <c r="IQH33" s="16"/>
      <c r="IQI33" s="16"/>
      <c r="IQJ33" s="16"/>
      <c r="IQK33" s="16"/>
      <c r="IQL33" s="16"/>
      <c r="IQM33" s="16"/>
      <c r="IQN33" s="16"/>
      <c r="IQO33" s="16"/>
      <c r="IQP33" s="16"/>
      <c r="IQQ33" s="16"/>
      <c r="IQR33" s="16"/>
      <c r="IQS33" s="16"/>
      <c r="IQT33" s="16"/>
      <c r="IQU33" s="16"/>
      <c r="IQV33" s="16"/>
      <c r="IQW33" s="16"/>
      <c r="IQX33" s="16"/>
      <c r="IQY33" s="16"/>
      <c r="IQZ33" s="16"/>
      <c r="IRA33" s="16"/>
      <c r="IRB33" s="16"/>
      <c r="IRC33" s="16"/>
      <c r="IRD33" s="16"/>
      <c r="IRE33" s="16"/>
      <c r="IRF33" s="16"/>
      <c r="IRG33" s="16"/>
      <c r="IRH33" s="16"/>
      <c r="IRI33" s="16"/>
      <c r="IRJ33" s="16"/>
      <c r="IRK33" s="16"/>
      <c r="IRL33" s="16"/>
      <c r="IRM33" s="16"/>
      <c r="IRN33" s="16"/>
      <c r="IRO33" s="16"/>
      <c r="IRP33" s="16"/>
      <c r="IRQ33" s="16"/>
      <c r="IRR33" s="16"/>
      <c r="IRS33" s="16"/>
      <c r="IRT33" s="16"/>
      <c r="IRU33" s="16"/>
      <c r="IRV33" s="16"/>
      <c r="IRW33" s="16"/>
      <c r="IRX33" s="16"/>
      <c r="IRY33" s="16"/>
      <c r="IRZ33" s="16"/>
      <c r="ISA33" s="16"/>
      <c r="ISB33" s="16"/>
      <c r="ISC33" s="16"/>
      <c r="ISD33" s="16"/>
      <c r="ISE33" s="16"/>
      <c r="ISF33" s="16"/>
      <c r="ISG33" s="16"/>
      <c r="ISH33" s="16"/>
      <c r="ISI33" s="16"/>
      <c r="ISJ33" s="16"/>
      <c r="ISK33" s="16"/>
      <c r="ISL33" s="16"/>
      <c r="ISM33" s="16"/>
      <c r="ISN33" s="16"/>
      <c r="ISO33" s="16"/>
      <c r="ISP33" s="16"/>
      <c r="ISQ33" s="16"/>
      <c r="ISR33" s="16"/>
      <c r="ISS33" s="16"/>
      <c r="IST33" s="16"/>
      <c r="ISU33" s="16"/>
      <c r="ISV33" s="16"/>
      <c r="ISW33" s="16"/>
      <c r="ISX33" s="16"/>
      <c r="ISY33" s="16"/>
      <c r="ISZ33" s="16"/>
      <c r="ITA33" s="16"/>
      <c r="ITB33" s="16"/>
      <c r="ITC33" s="16"/>
      <c r="ITD33" s="16"/>
      <c r="ITE33" s="16"/>
      <c r="ITF33" s="16"/>
      <c r="ITG33" s="16"/>
      <c r="ITH33" s="16"/>
      <c r="ITI33" s="16"/>
      <c r="ITJ33" s="16"/>
      <c r="ITK33" s="16"/>
      <c r="ITL33" s="16"/>
      <c r="ITM33" s="16"/>
      <c r="ITN33" s="16"/>
      <c r="ITO33" s="16"/>
      <c r="ITP33" s="16"/>
      <c r="ITQ33" s="16"/>
      <c r="ITR33" s="16"/>
      <c r="ITS33" s="16"/>
      <c r="ITT33" s="16"/>
      <c r="ITU33" s="16"/>
      <c r="ITV33" s="16"/>
      <c r="ITW33" s="16"/>
      <c r="ITX33" s="16"/>
      <c r="ITY33" s="16"/>
      <c r="ITZ33" s="16"/>
      <c r="IUA33" s="16"/>
      <c r="IUB33" s="16"/>
      <c r="IUC33" s="16"/>
      <c r="IUD33" s="16"/>
      <c r="IUE33" s="16"/>
      <c r="IUF33" s="16"/>
      <c r="IUG33" s="16"/>
      <c r="IUH33" s="16"/>
      <c r="IUI33" s="16"/>
      <c r="IUJ33" s="16"/>
      <c r="IUK33" s="16"/>
      <c r="IUL33" s="16"/>
      <c r="IUM33" s="16"/>
      <c r="IUN33" s="16"/>
      <c r="IUO33" s="16"/>
      <c r="IUP33" s="16"/>
      <c r="IUQ33" s="16"/>
      <c r="IUR33" s="16"/>
      <c r="IUS33" s="16"/>
      <c r="IUT33" s="16"/>
      <c r="IUU33" s="16"/>
      <c r="IUV33" s="16"/>
      <c r="IUW33" s="16"/>
      <c r="IUX33" s="16"/>
      <c r="IUY33" s="16"/>
      <c r="IUZ33" s="16"/>
      <c r="IVA33" s="16"/>
      <c r="IVB33" s="16"/>
      <c r="IVC33" s="16"/>
      <c r="IVD33" s="16"/>
      <c r="IVE33" s="16"/>
      <c r="IVF33" s="16"/>
      <c r="IVG33" s="16"/>
      <c r="IVH33" s="16"/>
      <c r="IVI33" s="16"/>
      <c r="IVJ33" s="16"/>
      <c r="IVK33" s="16"/>
      <c r="IVL33" s="16"/>
      <c r="IVM33" s="16"/>
      <c r="IVN33" s="16"/>
      <c r="IVO33" s="16"/>
      <c r="IVP33" s="16"/>
      <c r="IVQ33" s="16"/>
      <c r="IVR33" s="16"/>
      <c r="IVS33" s="16"/>
      <c r="IVT33" s="16"/>
      <c r="IVU33" s="16"/>
      <c r="IVV33" s="16"/>
      <c r="IVW33" s="16"/>
      <c r="IVX33" s="16"/>
      <c r="IVY33" s="16"/>
      <c r="IVZ33" s="16"/>
      <c r="IWA33" s="16"/>
      <c r="IWB33" s="16"/>
      <c r="IWC33" s="16"/>
      <c r="IWD33" s="16"/>
      <c r="IWE33" s="16"/>
      <c r="IWF33" s="16"/>
      <c r="IWG33" s="16"/>
      <c r="IWH33" s="16"/>
      <c r="IWI33" s="16"/>
      <c r="IWJ33" s="16"/>
      <c r="IWK33" s="16"/>
      <c r="IWL33" s="16"/>
      <c r="IWM33" s="16"/>
      <c r="IWN33" s="16"/>
      <c r="IWO33" s="16"/>
      <c r="IWP33" s="16"/>
      <c r="IWQ33" s="16"/>
      <c r="IWR33" s="16"/>
      <c r="IWS33" s="16"/>
      <c r="IWT33" s="16"/>
      <c r="IWU33" s="16"/>
      <c r="IWV33" s="16"/>
      <c r="IWW33" s="16"/>
      <c r="IWX33" s="16"/>
      <c r="IWY33" s="16"/>
      <c r="IWZ33" s="16"/>
      <c r="IXA33" s="16"/>
      <c r="IXB33" s="16"/>
      <c r="IXC33" s="16"/>
      <c r="IXD33" s="16"/>
      <c r="IXE33" s="16"/>
      <c r="IXF33" s="16"/>
      <c r="IXG33" s="16"/>
      <c r="IXH33" s="16"/>
      <c r="IXI33" s="16"/>
      <c r="IXJ33" s="16"/>
      <c r="IXK33" s="16"/>
      <c r="IXL33" s="16"/>
      <c r="IXM33" s="16"/>
      <c r="IXN33" s="16"/>
      <c r="IXO33" s="16"/>
      <c r="IXP33" s="16"/>
      <c r="IXQ33" s="16"/>
      <c r="IXR33" s="16"/>
      <c r="IXS33" s="16"/>
      <c r="IXT33" s="16"/>
      <c r="IXU33" s="16"/>
      <c r="IXV33" s="16"/>
      <c r="IXW33" s="16"/>
      <c r="IXX33" s="16"/>
      <c r="IXY33" s="16"/>
      <c r="IXZ33" s="16"/>
      <c r="IYA33" s="16"/>
      <c r="IYB33" s="16"/>
      <c r="IYC33" s="16"/>
      <c r="IYD33" s="16"/>
      <c r="IYE33" s="16"/>
      <c r="IYF33" s="16"/>
      <c r="IYG33" s="16"/>
      <c r="IYH33" s="16"/>
      <c r="IYI33" s="16"/>
      <c r="IYJ33" s="16"/>
      <c r="IYK33" s="16"/>
      <c r="IYL33" s="16"/>
      <c r="IYM33" s="16"/>
      <c r="IYN33" s="16"/>
      <c r="IYO33" s="16"/>
      <c r="IYP33" s="16"/>
      <c r="IYQ33" s="16"/>
      <c r="IYR33" s="16"/>
      <c r="IYS33" s="16"/>
      <c r="IYT33" s="16"/>
      <c r="IYU33" s="16"/>
      <c r="IYV33" s="16"/>
      <c r="IYW33" s="16"/>
      <c r="IYX33" s="16"/>
      <c r="IYY33" s="16"/>
      <c r="IYZ33" s="16"/>
      <c r="IZA33" s="16"/>
      <c r="IZB33" s="16"/>
      <c r="IZC33" s="16"/>
      <c r="IZD33" s="16"/>
      <c r="IZE33" s="16"/>
      <c r="IZF33" s="16"/>
      <c r="IZG33" s="16"/>
      <c r="IZH33" s="16"/>
      <c r="IZI33" s="16"/>
      <c r="IZJ33" s="16"/>
      <c r="IZK33" s="16"/>
      <c r="IZL33" s="16"/>
      <c r="IZM33" s="16"/>
      <c r="IZN33" s="16"/>
      <c r="IZO33" s="16"/>
      <c r="IZP33" s="16"/>
      <c r="IZQ33" s="16"/>
      <c r="IZR33" s="16"/>
      <c r="IZS33" s="16"/>
      <c r="IZT33" s="16"/>
      <c r="IZU33" s="16"/>
      <c r="IZV33" s="16"/>
      <c r="IZW33" s="16"/>
      <c r="IZX33" s="16"/>
      <c r="IZY33" s="16"/>
      <c r="IZZ33" s="16"/>
      <c r="JAA33" s="16"/>
      <c r="JAB33" s="16"/>
      <c r="JAC33" s="16"/>
      <c r="JAD33" s="16"/>
      <c r="JAE33" s="16"/>
      <c r="JAF33" s="16"/>
      <c r="JAG33" s="16"/>
      <c r="JAH33" s="16"/>
      <c r="JAI33" s="16"/>
      <c r="JAJ33" s="16"/>
      <c r="JAK33" s="16"/>
      <c r="JAL33" s="16"/>
      <c r="JAM33" s="16"/>
      <c r="JAN33" s="16"/>
      <c r="JAO33" s="16"/>
      <c r="JAP33" s="16"/>
      <c r="JAQ33" s="16"/>
      <c r="JAR33" s="16"/>
      <c r="JAS33" s="16"/>
      <c r="JAT33" s="16"/>
      <c r="JAU33" s="16"/>
      <c r="JAV33" s="16"/>
      <c r="JAW33" s="16"/>
      <c r="JAX33" s="16"/>
      <c r="JAY33" s="16"/>
      <c r="JAZ33" s="16"/>
      <c r="JBA33" s="16"/>
      <c r="JBB33" s="16"/>
      <c r="JBC33" s="16"/>
      <c r="JBD33" s="16"/>
      <c r="JBE33" s="16"/>
      <c r="JBF33" s="16"/>
      <c r="JBG33" s="16"/>
      <c r="JBH33" s="16"/>
      <c r="JBI33" s="16"/>
      <c r="JBJ33" s="16"/>
      <c r="JBK33" s="16"/>
      <c r="JBL33" s="16"/>
      <c r="JBM33" s="16"/>
      <c r="JBN33" s="16"/>
      <c r="JBO33" s="16"/>
      <c r="JBP33" s="16"/>
      <c r="JBQ33" s="16"/>
      <c r="JBR33" s="16"/>
      <c r="JBS33" s="16"/>
      <c r="JBT33" s="16"/>
      <c r="JBU33" s="16"/>
      <c r="JBV33" s="16"/>
      <c r="JBW33" s="16"/>
      <c r="JBX33" s="16"/>
      <c r="JBY33" s="16"/>
      <c r="JBZ33" s="16"/>
      <c r="JCA33" s="16"/>
      <c r="JCB33" s="16"/>
      <c r="JCC33" s="16"/>
      <c r="JCD33" s="16"/>
      <c r="JCE33" s="16"/>
      <c r="JCF33" s="16"/>
      <c r="JCG33" s="16"/>
      <c r="JCH33" s="16"/>
      <c r="JCI33" s="16"/>
      <c r="JCJ33" s="16"/>
      <c r="JCK33" s="16"/>
      <c r="JCL33" s="16"/>
      <c r="JCM33" s="16"/>
      <c r="JCN33" s="16"/>
      <c r="JCO33" s="16"/>
      <c r="JCP33" s="16"/>
      <c r="JCQ33" s="16"/>
      <c r="JCR33" s="16"/>
      <c r="JCS33" s="16"/>
      <c r="JCT33" s="16"/>
      <c r="JCU33" s="16"/>
      <c r="JCV33" s="16"/>
      <c r="JCW33" s="16"/>
      <c r="JCX33" s="16"/>
      <c r="JCY33" s="16"/>
      <c r="JCZ33" s="16"/>
      <c r="JDA33" s="16"/>
      <c r="JDB33" s="16"/>
      <c r="JDC33" s="16"/>
      <c r="JDD33" s="16"/>
      <c r="JDE33" s="16"/>
      <c r="JDF33" s="16"/>
      <c r="JDG33" s="16"/>
      <c r="JDH33" s="16"/>
      <c r="JDI33" s="16"/>
      <c r="JDJ33" s="16"/>
      <c r="JDK33" s="16"/>
      <c r="JDL33" s="16"/>
      <c r="JDM33" s="16"/>
      <c r="JDN33" s="16"/>
      <c r="JDO33" s="16"/>
      <c r="JDP33" s="16"/>
      <c r="JDQ33" s="16"/>
      <c r="JDR33" s="16"/>
      <c r="JDS33" s="16"/>
      <c r="JDT33" s="16"/>
      <c r="JDU33" s="16"/>
      <c r="JDV33" s="16"/>
      <c r="JDW33" s="16"/>
      <c r="JDX33" s="16"/>
      <c r="JDY33" s="16"/>
      <c r="JDZ33" s="16"/>
      <c r="JEA33" s="16"/>
      <c r="JEB33" s="16"/>
      <c r="JEC33" s="16"/>
      <c r="JED33" s="16"/>
      <c r="JEE33" s="16"/>
      <c r="JEF33" s="16"/>
      <c r="JEG33" s="16"/>
      <c r="JEH33" s="16"/>
      <c r="JEI33" s="16"/>
      <c r="JEJ33" s="16"/>
      <c r="JEK33" s="16"/>
      <c r="JEL33" s="16"/>
      <c r="JEM33" s="16"/>
      <c r="JEN33" s="16"/>
      <c r="JEO33" s="16"/>
      <c r="JEP33" s="16"/>
      <c r="JEQ33" s="16"/>
      <c r="JER33" s="16"/>
      <c r="JES33" s="16"/>
      <c r="JET33" s="16"/>
      <c r="JEU33" s="16"/>
      <c r="JEV33" s="16"/>
      <c r="JEW33" s="16"/>
      <c r="JEX33" s="16"/>
      <c r="JEY33" s="16"/>
      <c r="JEZ33" s="16"/>
      <c r="JFA33" s="16"/>
      <c r="JFB33" s="16"/>
      <c r="JFC33" s="16"/>
      <c r="JFD33" s="16"/>
      <c r="JFE33" s="16"/>
      <c r="JFF33" s="16"/>
      <c r="JFG33" s="16"/>
      <c r="JFH33" s="16"/>
      <c r="JFI33" s="16"/>
      <c r="JFJ33" s="16"/>
      <c r="JFK33" s="16"/>
      <c r="JFL33" s="16"/>
      <c r="JFM33" s="16"/>
      <c r="JFN33" s="16"/>
      <c r="JFO33" s="16"/>
      <c r="JFP33" s="16"/>
      <c r="JFQ33" s="16"/>
      <c r="JFR33" s="16"/>
      <c r="JFS33" s="16"/>
      <c r="JFT33" s="16"/>
      <c r="JFU33" s="16"/>
      <c r="JFV33" s="16"/>
      <c r="JFW33" s="16"/>
      <c r="JFX33" s="16"/>
      <c r="JFY33" s="16"/>
      <c r="JFZ33" s="16"/>
      <c r="JGA33" s="16"/>
      <c r="JGB33" s="16"/>
      <c r="JGC33" s="16"/>
      <c r="JGD33" s="16"/>
      <c r="JGE33" s="16"/>
      <c r="JGF33" s="16"/>
      <c r="JGG33" s="16"/>
      <c r="JGH33" s="16"/>
      <c r="JGI33" s="16"/>
      <c r="JGJ33" s="16"/>
      <c r="JGK33" s="16"/>
      <c r="JGL33" s="16"/>
      <c r="JGM33" s="16"/>
      <c r="JGN33" s="16"/>
      <c r="JGO33" s="16"/>
      <c r="JGP33" s="16"/>
      <c r="JGQ33" s="16"/>
      <c r="JGR33" s="16"/>
      <c r="JGS33" s="16"/>
      <c r="JGT33" s="16"/>
      <c r="JGU33" s="16"/>
      <c r="JGV33" s="16"/>
      <c r="JGW33" s="16"/>
      <c r="JGX33" s="16"/>
      <c r="JGY33" s="16"/>
      <c r="JGZ33" s="16"/>
      <c r="JHA33" s="16"/>
      <c r="JHB33" s="16"/>
      <c r="JHC33" s="16"/>
      <c r="JHD33" s="16"/>
      <c r="JHE33" s="16"/>
      <c r="JHF33" s="16"/>
      <c r="JHG33" s="16"/>
      <c r="JHH33" s="16"/>
      <c r="JHI33" s="16"/>
      <c r="JHJ33" s="16"/>
      <c r="JHK33" s="16"/>
      <c r="JHL33" s="16"/>
      <c r="JHM33" s="16"/>
      <c r="JHN33" s="16"/>
      <c r="JHO33" s="16"/>
      <c r="JHP33" s="16"/>
      <c r="JHQ33" s="16"/>
      <c r="JHR33" s="16"/>
      <c r="JHS33" s="16"/>
      <c r="JHT33" s="16"/>
      <c r="JHU33" s="16"/>
      <c r="JHV33" s="16"/>
      <c r="JHW33" s="16"/>
      <c r="JHX33" s="16"/>
      <c r="JHY33" s="16"/>
      <c r="JHZ33" s="16"/>
      <c r="JIA33" s="16"/>
      <c r="JIB33" s="16"/>
      <c r="JIC33" s="16"/>
      <c r="JID33" s="16"/>
      <c r="JIE33" s="16"/>
      <c r="JIF33" s="16"/>
      <c r="JIG33" s="16"/>
      <c r="JIH33" s="16"/>
      <c r="JII33" s="16"/>
      <c r="JIJ33" s="16"/>
      <c r="JIK33" s="16"/>
      <c r="JIL33" s="16"/>
      <c r="JIM33" s="16"/>
      <c r="JIN33" s="16"/>
      <c r="JIO33" s="16"/>
      <c r="JIP33" s="16"/>
      <c r="JIQ33" s="16"/>
      <c r="JIR33" s="16"/>
      <c r="JIS33" s="16"/>
      <c r="JIT33" s="16"/>
      <c r="JIU33" s="16"/>
      <c r="JIV33" s="16"/>
      <c r="JIW33" s="16"/>
      <c r="JIX33" s="16"/>
      <c r="JIY33" s="16"/>
      <c r="JIZ33" s="16"/>
      <c r="JJA33" s="16"/>
      <c r="JJB33" s="16"/>
      <c r="JJC33" s="16"/>
      <c r="JJD33" s="16"/>
      <c r="JJE33" s="16"/>
      <c r="JJF33" s="16"/>
      <c r="JJG33" s="16"/>
      <c r="JJH33" s="16"/>
      <c r="JJI33" s="16"/>
      <c r="JJJ33" s="16"/>
      <c r="JJK33" s="16"/>
      <c r="JJL33" s="16"/>
      <c r="JJM33" s="16"/>
      <c r="JJN33" s="16"/>
      <c r="JJO33" s="16"/>
      <c r="JJP33" s="16"/>
      <c r="JJQ33" s="16"/>
      <c r="JJR33" s="16"/>
      <c r="JJS33" s="16"/>
      <c r="JJT33" s="16"/>
      <c r="JJU33" s="16"/>
      <c r="JJV33" s="16"/>
      <c r="JJW33" s="16"/>
      <c r="JJX33" s="16"/>
      <c r="JJY33" s="16"/>
      <c r="JJZ33" s="16"/>
      <c r="JKA33" s="16"/>
      <c r="JKB33" s="16"/>
      <c r="JKC33" s="16"/>
      <c r="JKD33" s="16"/>
      <c r="JKE33" s="16"/>
      <c r="JKF33" s="16"/>
      <c r="JKG33" s="16"/>
      <c r="JKH33" s="16"/>
      <c r="JKI33" s="16"/>
      <c r="JKJ33" s="16"/>
      <c r="JKK33" s="16"/>
      <c r="JKL33" s="16"/>
      <c r="JKM33" s="16"/>
      <c r="JKN33" s="16"/>
      <c r="JKO33" s="16"/>
      <c r="JKP33" s="16"/>
      <c r="JKQ33" s="16"/>
      <c r="JKR33" s="16"/>
      <c r="JKS33" s="16"/>
      <c r="JKT33" s="16"/>
      <c r="JKU33" s="16"/>
      <c r="JKV33" s="16"/>
      <c r="JKW33" s="16"/>
      <c r="JKX33" s="16"/>
      <c r="JKY33" s="16"/>
      <c r="JKZ33" s="16"/>
      <c r="JLA33" s="16"/>
      <c r="JLB33" s="16"/>
      <c r="JLC33" s="16"/>
      <c r="JLD33" s="16"/>
      <c r="JLE33" s="16"/>
      <c r="JLF33" s="16"/>
      <c r="JLG33" s="16"/>
      <c r="JLH33" s="16"/>
      <c r="JLI33" s="16"/>
      <c r="JLJ33" s="16"/>
      <c r="JLK33" s="16"/>
      <c r="JLL33" s="16"/>
      <c r="JLM33" s="16"/>
      <c r="JLN33" s="16"/>
      <c r="JLO33" s="16"/>
      <c r="JLP33" s="16"/>
      <c r="JLQ33" s="16"/>
      <c r="JLR33" s="16"/>
      <c r="JLS33" s="16"/>
      <c r="JLT33" s="16"/>
      <c r="JLU33" s="16"/>
      <c r="JLV33" s="16"/>
      <c r="JLW33" s="16"/>
      <c r="JLX33" s="16"/>
      <c r="JLY33" s="16"/>
      <c r="JLZ33" s="16"/>
      <c r="JMA33" s="16"/>
      <c r="JMB33" s="16"/>
      <c r="JMC33" s="16"/>
      <c r="JMD33" s="16"/>
      <c r="JME33" s="16"/>
      <c r="JMF33" s="16"/>
      <c r="JMG33" s="16"/>
      <c r="JMH33" s="16"/>
      <c r="JMI33" s="16"/>
      <c r="JMJ33" s="16"/>
      <c r="JMK33" s="16"/>
      <c r="JML33" s="16"/>
      <c r="JMM33" s="16"/>
      <c r="JMN33" s="16"/>
      <c r="JMO33" s="16"/>
      <c r="JMP33" s="16"/>
      <c r="JMQ33" s="16"/>
      <c r="JMR33" s="16"/>
      <c r="JMS33" s="16"/>
      <c r="JMT33" s="16"/>
      <c r="JMU33" s="16"/>
      <c r="JMV33" s="16"/>
      <c r="JMW33" s="16"/>
      <c r="JMX33" s="16"/>
      <c r="JMY33" s="16"/>
      <c r="JMZ33" s="16"/>
      <c r="JNA33" s="16"/>
      <c r="JNB33" s="16"/>
      <c r="JNC33" s="16"/>
      <c r="JND33" s="16"/>
      <c r="JNE33" s="16"/>
      <c r="JNF33" s="16"/>
      <c r="JNG33" s="16"/>
      <c r="JNH33" s="16"/>
      <c r="JNI33" s="16"/>
      <c r="JNJ33" s="16"/>
      <c r="JNK33" s="16"/>
      <c r="JNL33" s="16"/>
      <c r="JNM33" s="16"/>
      <c r="JNN33" s="16"/>
      <c r="JNO33" s="16"/>
      <c r="JNP33" s="16"/>
      <c r="JNQ33" s="16"/>
      <c r="JNR33" s="16"/>
      <c r="JNS33" s="16"/>
      <c r="JNT33" s="16"/>
      <c r="JNU33" s="16"/>
      <c r="JNV33" s="16"/>
      <c r="JNW33" s="16"/>
      <c r="JNX33" s="16"/>
      <c r="JNY33" s="16"/>
      <c r="JNZ33" s="16"/>
      <c r="JOA33" s="16"/>
      <c r="JOB33" s="16"/>
      <c r="JOC33" s="16"/>
      <c r="JOD33" s="16"/>
      <c r="JOE33" s="16"/>
      <c r="JOF33" s="16"/>
      <c r="JOG33" s="16"/>
      <c r="JOH33" s="16"/>
      <c r="JOI33" s="16"/>
      <c r="JOJ33" s="16"/>
      <c r="JOK33" s="16"/>
      <c r="JOL33" s="16"/>
      <c r="JOM33" s="16"/>
      <c r="JON33" s="16"/>
      <c r="JOO33" s="16"/>
      <c r="JOP33" s="16"/>
      <c r="JOQ33" s="16"/>
      <c r="JOR33" s="16"/>
      <c r="JOS33" s="16"/>
      <c r="JOT33" s="16"/>
      <c r="JOU33" s="16"/>
      <c r="JOV33" s="16"/>
      <c r="JOW33" s="16"/>
      <c r="JOX33" s="16"/>
      <c r="JOY33" s="16"/>
      <c r="JOZ33" s="16"/>
      <c r="JPA33" s="16"/>
      <c r="JPB33" s="16"/>
      <c r="JPC33" s="16"/>
      <c r="JPD33" s="16"/>
      <c r="JPE33" s="16"/>
      <c r="JPF33" s="16"/>
      <c r="JPG33" s="16"/>
      <c r="JPH33" s="16"/>
      <c r="JPI33" s="16"/>
      <c r="JPJ33" s="16"/>
      <c r="JPK33" s="16"/>
      <c r="JPL33" s="16"/>
      <c r="JPM33" s="16"/>
      <c r="JPN33" s="16"/>
      <c r="JPO33" s="16"/>
      <c r="JPP33" s="16"/>
      <c r="JPQ33" s="16"/>
      <c r="JPR33" s="16"/>
      <c r="JPS33" s="16"/>
      <c r="JPT33" s="16"/>
      <c r="JPU33" s="16"/>
      <c r="JPV33" s="16"/>
      <c r="JPW33" s="16"/>
      <c r="JPX33" s="16"/>
      <c r="JPY33" s="16"/>
      <c r="JPZ33" s="16"/>
      <c r="JQA33" s="16"/>
      <c r="JQB33" s="16"/>
      <c r="JQC33" s="16"/>
      <c r="JQD33" s="16"/>
      <c r="JQE33" s="16"/>
      <c r="JQF33" s="16"/>
      <c r="JQG33" s="16"/>
      <c r="JQH33" s="16"/>
      <c r="JQI33" s="16"/>
      <c r="JQJ33" s="16"/>
      <c r="JQK33" s="16"/>
      <c r="JQL33" s="16"/>
      <c r="JQM33" s="16"/>
      <c r="JQN33" s="16"/>
      <c r="JQO33" s="16"/>
      <c r="JQP33" s="16"/>
      <c r="JQQ33" s="16"/>
      <c r="JQR33" s="16"/>
      <c r="JQS33" s="16"/>
      <c r="JQT33" s="16"/>
      <c r="JQU33" s="16"/>
      <c r="JQV33" s="16"/>
      <c r="JQW33" s="16"/>
      <c r="JQX33" s="16"/>
      <c r="JQY33" s="16"/>
      <c r="JQZ33" s="16"/>
      <c r="JRA33" s="16"/>
      <c r="JRB33" s="16"/>
      <c r="JRC33" s="16"/>
      <c r="JRD33" s="16"/>
      <c r="JRE33" s="16"/>
      <c r="JRF33" s="16"/>
      <c r="JRG33" s="16"/>
      <c r="JRH33" s="16"/>
      <c r="JRI33" s="16"/>
      <c r="JRJ33" s="16"/>
      <c r="JRK33" s="16"/>
      <c r="JRL33" s="16"/>
      <c r="JRM33" s="16"/>
      <c r="JRN33" s="16"/>
      <c r="JRO33" s="16"/>
      <c r="JRP33" s="16"/>
      <c r="JRQ33" s="16"/>
      <c r="JRR33" s="16"/>
      <c r="JRS33" s="16"/>
      <c r="JRT33" s="16"/>
      <c r="JRU33" s="16"/>
      <c r="JRV33" s="16"/>
      <c r="JRW33" s="16"/>
      <c r="JRX33" s="16"/>
      <c r="JRY33" s="16"/>
      <c r="JRZ33" s="16"/>
      <c r="JSA33" s="16"/>
      <c r="JSB33" s="16"/>
      <c r="JSC33" s="16"/>
      <c r="JSD33" s="16"/>
      <c r="JSE33" s="16"/>
      <c r="JSF33" s="16"/>
      <c r="JSG33" s="16"/>
      <c r="JSH33" s="16"/>
      <c r="JSI33" s="16"/>
      <c r="JSJ33" s="16"/>
      <c r="JSK33" s="16"/>
      <c r="JSL33" s="16"/>
      <c r="JSM33" s="16"/>
      <c r="JSN33" s="16"/>
      <c r="JSO33" s="16"/>
      <c r="JSP33" s="16"/>
      <c r="JSQ33" s="16"/>
      <c r="JSR33" s="16"/>
      <c r="JSS33" s="16"/>
      <c r="JST33" s="16"/>
      <c r="JSU33" s="16"/>
      <c r="JSV33" s="16"/>
      <c r="JSW33" s="16"/>
      <c r="JSX33" s="16"/>
      <c r="JSY33" s="16"/>
      <c r="JSZ33" s="16"/>
      <c r="JTA33" s="16"/>
      <c r="JTB33" s="16"/>
      <c r="JTC33" s="16"/>
      <c r="JTD33" s="16"/>
      <c r="JTE33" s="16"/>
      <c r="JTF33" s="16"/>
      <c r="JTG33" s="16"/>
      <c r="JTH33" s="16"/>
      <c r="JTI33" s="16"/>
      <c r="JTJ33" s="16"/>
      <c r="JTK33" s="16"/>
      <c r="JTL33" s="16"/>
      <c r="JTM33" s="16"/>
      <c r="JTN33" s="16"/>
      <c r="JTO33" s="16"/>
      <c r="JTP33" s="16"/>
      <c r="JTQ33" s="16"/>
      <c r="JTR33" s="16"/>
      <c r="JTS33" s="16"/>
      <c r="JTT33" s="16"/>
      <c r="JTU33" s="16"/>
      <c r="JTV33" s="16"/>
      <c r="JTW33" s="16"/>
      <c r="JTX33" s="16"/>
      <c r="JTY33" s="16"/>
      <c r="JTZ33" s="16"/>
      <c r="JUA33" s="16"/>
      <c r="JUB33" s="16"/>
      <c r="JUC33" s="16"/>
      <c r="JUD33" s="16"/>
      <c r="JUE33" s="16"/>
      <c r="JUF33" s="16"/>
      <c r="JUG33" s="16"/>
      <c r="JUH33" s="16"/>
      <c r="JUI33" s="16"/>
      <c r="JUJ33" s="16"/>
      <c r="JUK33" s="16"/>
      <c r="JUL33" s="16"/>
      <c r="JUM33" s="16"/>
      <c r="JUN33" s="16"/>
      <c r="JUO33" s="16"/>
      <c r="JUP33" s="16"/>
      <c r="JUQ33" s="16"/>
      <c r="JUR33" s="16"/>
      <c r="JUS33" s="16"/>
      <c r="JUT33" s="16"/>
      <c r="JUU33" s="16"/>
      <c r="JUV33" s="16"/>
      <c r="JUW33" s="16"/>
      <c r="JUX33" s="16"/>
      <c r="JUY33" s="16"/>
      <c r="JUZ33" s="16"/>
      <c r="JVA33" s="16"/>
      <c r="JVB33" s="16"/>
      <c r="JVC33" s="16"/>
      <c r="JVD33" s="16"/>
      <c r="JVE33" s="16"/>
      <c r="JVF33" s="16"/>
      <c r="JVG33" s="16"/>
      <c r="JVH33" s="16"/>
      <c r="JVI33" s="16"/>
      <c r="JVJ33" s="16"/>
      <c r="JVK33" s="16"/>
      <c r="JVL33" s="16"/>
      <c r="JVM33" s="16"/>
      <c r="JVN33" s="16"/>
      <c r="JVO33" s="16"/>
      <c r="JVP33" s="16"/>
      <c r="JVQ33" s="16"/>
      <c r="JVR33" s="16"/>
      <c r="JVS33" s="16"/>
      <c r="JVT33" s="16"/>
      <c r="JVU33" s="16"/>
      <c r="JVV33" s="16"/>
      <c r="JVW33" s="16"/>
      <c r="JVX33" s="16"/>
      <c r="JVY33" s="16"/>
      <c r="JVZ33" s="16"/>
      <c r="JWA33" s="16"/>
      <c r="JWB33" s="16"/>
      <c r="JWC33" s="16"/>
      <c r="JWD33" s="16"/>
      <c r="JWE33" s="16"/>
      <c r="JWF33" s="16"/>
      <c r="JWG33" s="16"/>
      <c r="JWH33" s="16"/>
      <c r="JWI33" s="16"/>
      <c r="JWJ33" s="16"/>
      <c r="JWK33" s="16"/>
      <c r="JWL33" s="16"/>
      <c r="JWM33" s="16"/>
      <c r="JWN33" s="16"/>
      <c r="JWO33" s="16"/>
      <c r="JWP33" s="16"/>
      <c r="JWQ33" s="16"/>
      <c r="JWR33" s="16"/>
      <c r="JWS33" s="16"/>
      <c r="JWT33" s="16"/>
      <c r="JWU33" s="16"/>
      <c r="JWV33" s="16"/>
      <c r="JWW33" s="16"/>
      <c r="JWX33" s="16"/>
      <c r="JWY33" s="16"/>
      <c r="JWZ33" s="16"/>
      <c r="JXA33" s="16"/>
      <c r="JXB33" s="16"/>
      <c r="JXC33" s="16"/>
      <c r="JXD33" s="16"/>
      <c r="JXE33" s="16"/>
      <c r="JXF33" s="16"/>
      <c r="JXG33" s="16"/>
      <c r="JXH33" s="16"/>
      <c r="JXI33" s="16"/>
      <c r="JXJ33" s="16"/>
      <c r="JXK33" s="16"/>
      <c r="JXL33" s="16"/>
      <c r="JXM33" s="16"/>
      <c r="JXN33" s="16"/>
      <c r="JXO33" s="16"/>
      <c r="JXP33" s="16"/>
      <c r="JXQ33" s="16"/>
      <c r="JXR33" s="16"/>
      <c r="JXS33" s="16"/>
      <c r="JXT33" s="16"/>
      <c r="JXU33" s="16"/>
      <c r="JXV33" s="16"/>
      <c r="JXW33" s="16"/>
      <c r="JXX33" s="16"/>
      <c r="JXY33" s="16"/>
      <c r="JXZ33" s="16"/>
      <c r="JYA33" s="16"/>
      <c r="JYB33" s="16"/>
      <c r="JYC33" s="16"/>
      <c r="JYD33" s="16"/>
      <c r="JYE33" s="16"/>
      <c r="JYF33" s="16"/>
      <c r="JYG33" s="16"/>
      <c r="JYH33" s="16"/>
      <c r="JYI33" s="16"/>
      <c r="JYJ33" s="16"/>
      <c r="JYK33" s="16"/>
      <c r="JYL33" s="16"/>
      <c r="JYM33" s="16"/>
      <c r="JYN33" s="16"/>
      <c r="JYO33" s="16"/>
      <c r="JYP33" s="16"/>
      <c r="JYQ33" s="16"/>
      <c r="JYR33" s="16"/>
      <c r="JYS33" s="16"/>
      <c r="JYT33" s="16"/>
      <c r="JYU33" s="16"/>
      <c r="JYV33" s="16"/>
      <c r="JYW33" s="16"/>
      <c r="JYX33" s="16"/>
      <c r="JYY33" s="16"/>
      <c r="JYZ33" s="16"/>
      <c r="JZA33" s="16"/>
      <c r="JZB33" s="16"/>
      <c r="JZC33" s="16"/>
      <c r="JZD33" s="16"/>
      <c r="JZE33" s="16"/>
      <c r="JZF33" s="16"/>
      <c r="JZG33" s="16"/>
      <c r="JZH33" s="16"/>
      <c r="JZI33" s="16"/>
      <c r="JZJ33" s="16"/>
      <c r="JZK33" s="16"/>
      <c r="JZL33" s="16"/>
      <c r="JZM33" s="16"/>
      <c r="JZN33" s="16"/>
      <c r="JZO33" s="16"/>
      <c r="JZP33" s="16"/>
      <c r="JZQ33" s="16"/>
      <c r="JZR33" s="16"/>
      <c r="JZS33" s="16"/>
      <c r="JZT33" s="16"/>
      <c r="JZU33" s="16"/>
      <c r="JZV33" s="16"/>
      <c r="JZW33" s="16"/>
      <c r="JZX33" s="16"/>
      <c r="JZY33" s="16"/>
      <c r="JZZ33" s="16"/>
      <c r="KAA33" s="16"/>
      <c r="KAB33" s="16"/>
      <c r="KAC33" s="16"/>
      <c r="KAD33" s="16"/>
      <c r="KAE33" s="16"/>
      <c r="KAF33" s="16"/>
      <c r="KAG33" s="16"/>
      <c r="KAH33" s="16"/>
      <c r="KAI33" s="16"/>
      <c r="KAJ33" s="16"/>
      <c r="KAK33" s="16"/>
      <c r="KAL33" s="16"/>
      <c r="KAM33" s="16"/>
      <c r="KAN33" s="16"/>
      <c r="KAO33" s="16"/>
      <c r="KAP33" s="16"/>
      <c r="KAQ33" s="16"/>
      <c r="KAR33" s="16"/>
      <c r="KAS33" s="16"/>
      <c r="KAT33" s="16"/>
      <c r="KAU33" s="16"/>
      <c r="KAV33" s="16"/>
      <c r="KAW33" s="16"/>
      <c r="KAX33" s="16"/>
      <c r="KAY33" s="16"/>
      <c r="KAZ33" s="16"/>
      <c r="KBA33" s="16"/>
      <c r="KBB33" s="16"/>
      <c r="KBC33" s="16"/>
      <c r="KBD33" s="16"/>
      <c r="KBE33" s="16"/>
      <c r="KBF33" s="16"/>
      <c r="KBG33" s="16"/>
      <c r="KBH33" s="16"/>
      <c r="KBI33" s="16"/>
      <c r="KBJ33" s="16"/>
      <c r="KBK33" s="16"/>
      <c r="KBL33" s="16"/>
      <c r="KBM33" s="16"/>
      <c r="KBN33" s="16"/>
      <c r="KBO33" s="16"/>
      <c r="KBP33" s="16"/>
      <c r="KBQ33" s="16"/>
      <c r="KBR33" s="16"/>
      <c r="KBS33" s="16"/>
      <c r="KBT33" s="16"/>
      <c r="KBU33" s="16"/>
      <c r="KBV33" s="16"/>
      <c r="KBW33" s="16"/>
      <c r="KBX33" s="16"/>
      <c r="KBY33" s="16"/>
      <c r="KBZ33" s="16"/>
      <c r="KCA33" s="16"/>
      <c r="KCB33" s="16"/>
      <c r="KCC33" s="16"/>
      <c r="KCD33" s="16"/>
      <c r="KCE33" s="16"/>
      <c r="KCF33" s="16"/>
      <c r="KCG33" s="16"/>
      <c r="KCH33" s="16"/>
      <c r="KCI33" s="16"/>
      <c r="KCJ33" s="16"/>
      <c r="KCK33" s="16"/>
      <c r="KCL33" s="16"/>
      <c r="KCM33" s="16"/>
      <c r="KCN33" s="16"/>
      <c r="KCO33" s="16"/>
      <c r="KCP33" s="16"/>
      <c r="KCQ33" s="16"/>
      <c r="KCR33" s="16"/>
      <c r="KCS33" s="16"/>
      <c r="KCT33" s="16"/>
      <c r="KCU33" s="16"/>
      <c r="KCV33" s="16"/>
      <c r="KCW33" s="16"/>
      <c r="KCX33" s="16"/>
      <c r="KCY33" s="16"/>
      <c r="KCZ33" s="16"/>
      <c r="KDA33" s="16"/>
      <c r="KDB33" s="16"/>
      <c r="KDC33" s="16"/>
      <c r="KDD33" s="16"/>
      <c r="KDE33" s="16"/>
      <c r="KDF33" s="16"/>
      <c r="KDG33" s="16"/>
      <c r="KDH33" s="16"/>
      <c r="KDI33" s="16"/>
      <c r="KDJ33" s="16"/>
      <c r="KDK33" s="16"/>
      <c r="KDL33" s="16"/>
      <c r="KDM33" s="16"/>
      <c r="KDN33" s="16"/>
      <c r="KDO33" s="16"/>
      <c r="KDP33" s="16"/>
      <c r="KDQ33" s="16"/>
      <c r="KDR33" s="16"/>
      <c r="KDS33" s="16"/>
      <c r="KDT33" s="16"/>
      <c r="KDU33" s="16"/>
      <c r="KDV33" s="16"/>
      <c r="KDW33" s="16"/>
      <c r="KDX33" s="16"/>
      <c r="KDY33" s="16"/>
      <c r="KDZ33" s="16"/>
      <c r="KEA33" s="16"/>
      <c r="KEB33" s="16"/>
      <c r="KEC33" s="16"/>
      <c r="KED33" s="16"/>
      <c r="KEE33" s="16"/>
      <c r="KEF33" s="16"/>
      <c r="KEG33" s="16"/>
      <c r="KEH33" s="16"/>
      <c r="KEI33" s="16"/>
      <c r="KEJ33" s="16"/>
      <c r="KEK33" s="16"/>
      <c r="KEL33" s="16"/>
      <c r="KEM33" s="16"/>
      <c r="KEN33" s="16"/>
      <c r="KEO33" s="16"/>
      <c r="KEP33" s="16"/>
      <c r="KEQ33" s="16"/>
      <c r="KER33" s="16"/>
      <c r="KES33" s="16"/>
      <c r="KET33" s="16"/>
      <c r="KEU33" s="16"/>
      <c r="KEV33" s="16"/>
      <c r="KEW33" s="16"/>
      <c r="KEX33" s="16"/>
      <c r="KEY33" s="16"/>
      <c r="KEZ33" s="16"/>
      <c r="KFA33" s="16"/>
      <c r="KFB33" s="16"/>
      <c r="KFC33" s="16"/>
      <c r="KFD33" s="16"/>
      <c r="KFE33" s="16"/>
      <c r="KFF33" s="16"/>
      <c r="KFG33" s="16"/>
      <c r="KFH33" s="16"/>
      <c r="KFI33" s="16"/>
      <c r="KFJ33" s="16"/>
      <c r="KFK33" s="16"/>
      <c r="KFL33" s="16"/>
      <c r="KFM33" s="16"/>
      <c r="KFN33" s="16"/>
      <c r="KFO33" s="16"/>
      <c r="KFP33" s="16"/>
      <c r="KFQ33" s="16"/>
      <c r="KFR33" s="16"/>
      <c r="KFS33" s="16"/>
      <c r="KFT33" s="16"/>
      <c r="KFU33" s="16"/>
      <c r="KFV33" s="16"/>
      <c r="KFW33" s="16"/>
      <c r="KFX33" s="16"/>
      <c r="KFY33" s="16"/>
      <c r="KFZ33" s="16"/>
      <c r="KGA33" s="16"/>
      <c r="KGB33" s="16"/>
      <c r="KGC33" s="16"/>
      <c r="KGD33" s="16"/>
      <c r="KGE33" s="16"/>
      <c r="KGF33" s="16"/>
      <c r="KGG33" s="16"/>
      <c r="KGH33" s="16"/>
      <c r="KGI33" s="16"/>
      <c r="KGJ33" s="16"/>
      <c r="KGK33" s="16"/>
      <c r="KGL33" s="16"/>
      <c r="KGM33" s="16"/>
      <c r="KGN33" s="16"/>
      <c r="KGO33" s="16"/>
      <c r="KGP33" s="16"/>
      <c r="KGQ33" s="16"/>
      <c r="KGR33" s="16"/>
      <c r="KGS33" s="16"/>
      <c r="KGT33" s="16"/>
      <c r="KGU33" s="16"/>
      <c r="KGV33" s="16"/>
      <c r="KGW33" s="16"/>
      <c r="KGX33" s="16"/>
      <c r="KGY33" s="16"/>
      <c r="KGZ33" s="16"/>
      <c r="KHA33" s="16"/>
      <c r="KHB33" s="16"/>
      <c r="KHC33" s="16"/>
      <c r="KHD33" s="16"/>
      <c r="KHE33" s="16"/>
      <c r="KHF33" s="16"/>
      <c r="KHG33" s="16"/>
      <c r="KHH33" s="16"/>
      <c r="KHI33" s="16"/>
      <c r="KHJ33" s="16"/>
      <c r="KHK33" s="16"/>
      <c r="KHL33" s="16"/>
      <c r="KHM33" s="16"/>
      <c r="KHN33" s="16"/>
      <c r="KHO33" s="16"/>
      <c r="KHP33" s="16"/>
      <c r="KHQ33" s="16"/>
      <c r="KHR33" s="16"/>
      <c r="KHS33" s="16"/>
      <c r="KHT33" s="16"/>
      <c r="KHU33" s="16"/>
      <c r="KHV33" s="16"/>
      <c r="KHW33" s="16"/>
      <c r="KHX33" s="16"/>
      <c r="KHY33" s="16"/>
      <c r="KHZ33" s="16"/>
      <c r="KIA33" s="16"/>
      <c r="KIB33" s="16"/>
      <c r="KIC33" s="16"/>
      <c r="KID33" s="16"/>
      <c r="KIE33" s="16"/>
      <c r="KIF33" s="16"/>
      <c r="KIG33" s="16"/>
      <c r="KIH33" s="16"/>
      <c r="KII33" s="16"/>
      <c r="KIJ33" s="16"/>
      <c r="KIK33" s="16"/>
      <c r="KIL33" s="16"/>
      <c r="KIM33" s="16"/>
      <c r="KIN33" s="16"/>
      <c r="KIO33" s="16"/>
      <c r="KIP33" s="16"/>
      <c r="KIQ33" s="16"/>
      <c r="KIR33" s="16"/>
      <c r="KIS33" s="16"/>
      <c r="KIT33" s="16"/>
      <c r="KIU33" s="16"/>
      <c r="KIV33" s="16"/>
      <c r="KIW33" s="16"/>
      <c r="KIX33" s="16"/>
      <c r="KIY33" s="16"/>
      <c r="KIZ33" s="16"/>
      <c r="KJA33" s="16"/>
      <c r="KJB33" s="16"/>
      <c r="KJC33" s="16"/>
      <c r="KJD33" s="16"/>
      <c r="KJE33" s="16"/>
      <c r="KJF33" s="16"/>
      <c r="KJG33" s="16"/>
      <c r="KJH33" s="16"/>
      <c r="KJI33" s="16"/>
      <c r="KJJ33" s="16"/>
      <c r="KJK33" s="16"/>
      <c r="KJL33" s="16"/>
      <c r="KJM33" s="16"/>
      <c r="KJN33" s="16"/>
      <c r="KJO33" s="16"/>
      <c r="KJP33" s="16"/>
      <c r="KJQ33" s="16"/>
      <c r="KJR33" s="16"/>
      <c r="KJS33" s="16"/>
      <c r="KJT33" s="16"/>
      <c r="KJU33" s="16"/>
      <c r="KJV33" s="16"/>
      <c r="KJW33" s="16"/>
      <c r="KJX33" s="16"/>
      <c r="KJY33" s="16"/>
      <c r="KJZ33" s="16"/>
      <c r="KKA33" s="16"/>
      <c r="KKB33" s="16"/>
      <c r="KKC33" s="16"/>
      <c r="KKD33" s="16"/>
      <c r="KKE33" s="16"/>
      <c r="KKF33" s="16"/>
      <c r="KKG33" s="16"/>
      <c r="KKH33" s="16"/>
      <c r="KKI33" s="16"/>
      <c r="KKJ33" s="16"/>
      <c r="KKK33" s="16"/>
      <c r="KKL33" s="16"/>
      <c r="KKM33" s="16"/>
      <c r="KKN33" s="16"/>
      <c r="KKO33" s="16"/>
      <c r="KKP33" s="16"/>
      <c r="KKQ33" s="16"/>
      <c r="KKR33" s="16"/>
      <c r="KKS33" s="16"/>
      <c r="KKT33" s="16"/>
      <c r="KKU33" s="16"/>
      <c r="KKV33" s="16"/>
      <c r="KKW33" s="16"/>
      <c r="KKX33" s="16"/>
      <c r="KKY33" s="16"/>
      <c r="KKZ33" s="16"/>
      <c r="KLA33" s="16"/>
      <c r="KLB33" s="16"/>
      <c r="KLC33" s="16"/>
      <c r="KLD33" s="16"/>
      <c r="KLE33" s="16"/>
      <c r="KLF33" s="16"/>
      <c r="KLG33" s="16"/>
      <c r="KLH33" s="16"/>
      <c r="KLI33" s="16"/>
      <c r="KLJ33" s="16"/>
      <c r="KLK33" s="16"/>
      <c r="KLL33" s="16"/>
      <c r="KLM33" s="16"/>
      <c r="KLN33" s="16"/>
      <c r="KLO33" s="16"/>
      <c r="KLP33" s="16"/>
      <c r="KLQ33" s="16"/>
      <c r="KLR33" s="16"/>
      <c r="KLS33" s="16"/>
      <c r="KLT33" s="16"/>
      <c r="KLU33" s="16"/>
      <c r="KLV33" s="16"/>
      <c r="KLW33" s="16"/>
      <c r="KLX33" s="16"/>
      <c r="KLY33" s="16"/>
      <c r="KLZ33" s="16"/>
      <c r="KMA33" s="16"/>
      <c r="KMB33" s="16"/>
      <c r="KMC33" s="16"/>
      <c r="KMD33" s="16"/>
      <c r="KME33" s="16"/>
      <c r="KMF33" s="16"/>
      <c r="KMG33" s="16"/>
      <c r="KMH33" s="16"/>
      <c r="KMI33" s="16"/>
      <c r="KMJ33" s="16"/>
      <c r="KMK33" s="16"/>
      <c r="KML33" s="16"/>
      <c r="KMM33" s="16"/>
      <c r="KMN33" s="16"/>
      <c r="KMO33" s="16"/>
      <c r="KMP33" s="16"/>
      <c r="KMQ33" s="16"/>
      <c r="KMR33" s="16"/>
      <c r="KMS33" s="16"/>
      <c r="KMT33" s="16"/>
      <c r="KMU33" s="16"/>
      <c r="KMV33" s="16"/>
      <c r="KMW33" s="16"/>
      <c r="KMX33" s="16"/>
      <c r="KMY33" s="16"/>
      <c r="KMZ33" s="16"/>
      <c r="KNA33" s="16"/>
      <c r="KNB33" s="16"/>
      <c r="KNC33" s="16"/>
      <c r="KND33" s="16"/>
      <c r="KNE33" s="16"/>
      <c r="KNF33" s="16"/>
      <c r="KNG33" s="16"/>
      <c r="KNH33" s="16"/>
      <c r="KNI33" s="16"/>
      <c r="KNJ33" s="16"/>
      <c r="KNK33" s="16"/>
      <c r="KNL33" s="16"/>
      <c r="KNM33" s="16"/>
      <c r="KNN33" s="16"/>
      <c r="KNO33" s="16"/>
      <c r="KNP33" s="16"/>
      <c r="KNQ33" s="16"/>
      <c r="KNR33" s="16"/>
      <c r="KNS33" s="16"/>
      <c r="KNT33" s="16"/>
      <c r="KNU33" s="16"/>
      <c r="KNV33" s="16"/>
      <c r="KNW33" s="16"/>
      <c r="KNX33" s="16"/>
      <c r="KNY33" s="16"/>
      <c r="KNZ33" s="16"/>
      <c r="KOA33" s="16"/>
      <c r="KOB33" s="16"/>
      <c r="KOC33" s="16"/>
      <c r="KOD33" s="16"/>
      <c r="KOE33" s="16"/>
      <c r="KOF33" s="16"/>
      <c r="KOG33" s="16"/>
      <c r="KOH33" s="16"/>
      <c r="KOI33" s="16"/>
      <c r="KOJ33" s="16"/>
      <c r="KOK33" s="16"/>
      <c r="KOL33" s="16"/>
      <c r="KOM33" s="16"/>
      <c r="KON33" s="16"/>
      <c r="KOO33" s="16"/>
      <c r="KOP33" s="16"/>
      <c r="KOQ33" s="16"/>
      <c r="KOR33" s="16"/>
      <c r="KOS33" s="16"/>
      <c r="KOT33" s="16"/>
      <c r="KOU33" s="16"/>
      <c r="KOV33" s="16"/>
      <c r="KOW33" s="16"/>
      <c r="KOX33" s="16"/>
      <c r="KOY33" s="16"/>
      <c r="KOZ33" s="16"/>
      <c r="KPA33" s="16"/>
      <c r="KPB33" s="16"/>
      <c r="KPC33" s="16"/>
      <c r="KPD33" s="16"/>
      <c r="KPE33" s="16"/>
      <c r="KPF33" s="16"/>
      <c r="KPG33" s="16"/>
      <c r="KPH33" s="16"/>
      <c r="KPI33" s="16"/>
      <c r="KPJ33" s="16"/>
      <c r="KPK33" s="16"/>
      <c r="KPL33" s="16"/>
      <c r="KPM33" s="16"/>
      <c r="KPN33" s="16"/>
      <c r="KPO33" s="16"/>
      <c r="KPP33" s="16"/>
      <c r="KPQ33" s="16"/>
      <c r="KPR33" s="16"/>
      <c r="KPS33" s="16"/>
      <c r="KPT33" s="16"/>
      <c r="KPU33" s="16"/>
      <c r="KPV33" s="16"/>
      <c r="KPW33" s="16"/>
      <c r="KPX33" s="16"/>
      <c r="KPY33" s="16"/>
      <c r="KPZ33" s="16"/>
      <c r="KQA33" s="16"/>
      <c r="KQB33" s="16"/>
      <c r="KQC33" s="16"/>
      <c r="KQD33" s="16"/>
      <c r="KQE33" s="16"/>
      <c r="KQF33" s="16"/>
      <c r="KQG33" s="16"/>
      <c r="KQH33" s="16"/>
      <c r="KQI33" s="16"/>
      <c r="KQJ33" s="16"/>
      <c r="KQK33" s="16"/>
      <c r="KQL33" s="16"/>
      <c r="KQM33" s="16"/>
      <c r="KQN33" s="16"/>
      <c r="KQO33" s="16"/>
      <c r="KQP33" s="16"/>
      <c r="KQQ33" s="16"/>
      <c r="KQR33" s="16"/>
      <c r="KQS33" s="16"/>
      <c r="KQT33" s="16"/>
      <c r="KQU33" s="16"/>
      <c r="KQV33" s="16"/>
      <c r="KQW33" s="16"/>
      <c r="KQX33" s="16"/>
      <c r="KQY33" s="16"/>
      <c r="KQZ33" s="16"/>
      <c r="KRA33" s="16"/>
      <c r="KRB33" s="16"/>
      <c r="KRC33" s="16"/>
      <c r="KRD33" s="16"/>
      <c r="KRE33" s="16"/>
      <c r="KRF33" s="16"/>
      <c r="KRG33" s="16"/>
      <c r="KRH33" s="16"/>
      <c r="KRI33" s="16"/>
      <c r="KRJ33" s="16"/>
      <c r="KRK33" s="16"/>
      <c r="KRL33" s="16"/>
      <c r="KRM33" s="16"/>
      <c r="KRN33" s="16"/>
      <c r="KRO33" s="16"/>
      <c r="KRP33" s="16"/>
      <c r="KRQ33" s="16"/>
      <c r="KRR33" s="16"/>
      <c r="KRS33" s="16"/>
      <c r="KRT33" s="16"/>
      <c r="KRU33" s="16"/>
      <c r="KRV33" s="16"/>
      <c r="KRW33" s="16"/>
      <c r="KRX33" s="16"/>
      <c r="KRY33" s="16"/>
      <c r="KRZ33" s="16"/>
      <c r="KSA33" s="16"/>
      <c r="KSB33" s="16"/>
      <c r="KSC33" s="16"/>
      <c r="KSD33" s="16"/>
      <c r="KSE33" s="16"/>
      <c r="KSF33" s="16"/>
      <c r="KSG33" s="16"/>
      <c r="KSH33" s="16"/>
      <c r="KSI33" s="16"/>
      <c r="KSJ33" s="16"/>
      <c r="KSK33" s="16"/>
      <c r="KSL33" s="16"/>
      <c r="KSM33" s="16"/>
      <c r="KSN33" s="16"/>
      <c r="KSO33" s="16"/>
      <c r="KSP33" s="16"/>
      <c r="KSQ33" s="16"/>
      <c r="KSR33" s="16"/>
      <c r="KSS33" s="16"/>
      <c r="KST33" s="16"/>
      <c r="KSU33" s="16"/>
      <c r="KSV33" s="16"/>
      <c r="KSW33" s="16"/>
      <c r="KSX33" s="16"/>
      <c r="KSY33" s="16"/>
      <c r="KSZ33" s="16"/>
      <c r="KTA33" s="16"/>
      <c r="KTB33" s="16"/>
      <c r="KTC33" s="16"/>
      <c r="KTD33" s="16"/>
      <c r="KTE33" s="16"/>
      <c r="KTF33" s="16"/>
      <c r="KTG33" s="16"/>
      <c r="KTH33" s="16"/>
      <c r="KTI33" s="16"/>
      <c r="KTJ33" s="16"/>
      <c r="KTK33" s="16"/>
      <c r="KTL33" s="16"/>
      <c r="KTM33" s="16"/>
      <c r="KTN33" s="16"/>
      <c r="KTO33" s="16"/>
      <c r="KTP33" s="16"/>
      <c r="KTQ33" s="16"/>
      <c r="KTR33" s="16"/>
      <c r="KTS33" s="16"/>
      <c r="KTT33" s="16"/>
      <c r="KTU33" s="16"/>
      <c r="KTV33" s="16"/>
      <c r="KTW33" s="16"/>
      <c r="KTX33" s="16"/>
      <c r="KTY33" s="16"/>
      <c r="KTZ33" s="16"/>
      <c r="KUA33" s="16"/>
      <c r="KUB33" s="16"/>
      <c r="KUC33" s="16"/>
      <c r="KUD33" s="16"/>
      <c r="KUE33" s="16"/>
      <c r="KUF33" s="16"/>
      <c r="KUG33" s="16"/>
      <c r="KUH33" s="16"/>
      <c r="KUI33" s="16"/>
      <c r="KUJ33" s="16"/>
      <c r="KUK33" s="16"/>
      <c r="KUL33" s="16"/>
      <c r="KUM33" s="16"/>
      <c r="KUN33" s="16"/>
      <c r="KUO33" s="16"/>
      <c r="KUP33" s="16"/>
      <c r="KUQ33" s="16"/>
      <c r="KUR33" s="16"/>
      <c r="KUS33" s="16"/>
      <c r="KUT33" s="16"/>
      <c r="KUU33" s="16"/>
      <c r="KUV33" s="16"/>
      <c r="KUW33" s="16"/>
      <c r="KUX33" s="16"/>
      <c r="KUY33" s="16"/>
      <c r="KUZ33" s="16"/>
      <c r="KVA33" s="16"/>
      <c r="KVB33" s="16"/>
      <c r="KVC33" s="16"/>
      <c r="KVD33" s="16"/>
      <c r="KVE33" s="16"/>
      <c r="KVF33" s="16"/>
      <c r="KVG33" s="16"/>
      <c r="KVH33" s="16"/>
      <c r="KVI33" s="16"/>
      <c r="KVJ33" s="16"/>
      <c r="KVK33" s="16"/>
      <c r="KVL33" s="16"/>
      <c r="KVM33" s="16"/>
      <c r="KVN33" s="16"/>
      <c r="KVO33" s="16"/>
      <c r="KVP33" s="16"/>
      <c r="KVQ33" s="16"/>
      <c r="KVR33" s="16"/>
      <c r="KVS33" s="16"/>
      <c r="KVT33" s="16"/>
      <c r="KVU33" s="16"/>
      <c r="KVV33" s="16"/>
      <c r="KVW33" s="16"/>
      <c r="KVX33" s="16"/>
      <c r="KVY33" s="16"/>
      <c r="KVZ33" s="16"/>
      <c r="KWA33" s="16"/>
      <c r="KWB33" s="16"/>
      <c r="KWC33" s="16"/>
      <c r="KWD33" s="16"/>
      <c r="KWE33" s="16"/>
      <c r="KWF33" s="16"/>
      <c r="KWG33" s="16"/>
      <c r="KWH33" s="16"/>
      <c r="KWI33" s="16"/>
      <c r="KWJ33" s="16"/>
      <c r="KWK33" s="16"/>
      <c r="KWL33" s="16"/>
      <c r="KWM33" s="16"/>
      <c r="KWN33" s="16"/>
      <c r="KWO33" s="16"/>
      <c r="KWP33" s="16"/>
      <c r="KWQ33" s="16"/>
      <c r="KWR33" s="16"/>
      <c r="KWS33" s="16"/>
      <c r="KWT33" s="16"/>
      <c r="KWU33" s="16"/>
      <c r="KWV33" s="16"/>
      <c r="KWW33" s="16"/>
      <c r="KWX33" s="16"/>
      <c r="KWY33" s="16"/>
      <c r="KWZ33" s="16"/>
      <c r="KXA33" s="16"/>
      <c r="KXB33" s="16"/>
      <c r="KXC33" s="16"/>
      <c r="KXD33" s="16"/>
      <c r="KXE33" s="16"/>
      <c r="KXF33" s="16"/>
      <c r="KXG33" s="16"/>
      <c r="KXH33" s="16"/>
      <c r="KXI33" s="16"/>
      <c r="KXJ33" s="16"/>
      <c r="KXK33" s="16"/>
      <c r="KXL33" s="16"/>
      <c r="KXM33" s="16"/>
      <c r="KXN33" s="16"/>
      <c r="KXO33" s="16"/>
      <c r="KXP33" s="16"/>
      <c r="KXQ33" s="16"/>
      <c r="KXR33" s="16"/>
      <c r="KXS33" s="16"/>
      <c r="KXT33" s="16"/>
      <c r="KXU33" s="16"/>
      <c r="KXV33" s="16"/>
      <c r="KXW33" s="16"/>
      <c r="KXX33" s="16"/>
      <c r="KXY33" s="16"/>
      <c r="KXZ33" s="16"/>
      <c r="KYA33" s="16"/>
      <c r="KYB33" s="16"/>
      <c r="KYC33" s="16"/>
      <c r="KYD33" s="16"/>
      <c r="KYE33" s="16"/>
      <c r="KYF33" s="16"/>
      <c r="KYG33" s="16"/>
      <c r="KYH33" s="16"/>
      <c r="KYI33" s="16"/>
      <c r="KYJ33" s="16"/>
      <c r="KYK33" s="16"/>
      <c r="KYL33" s="16"/>
      <c r="KYM33" s="16"/>
      <c r="KYN33" s="16"/>
      <c r="KYO33" s="16"/>
      <c r="KYP33" s="16"/>
      <c r="KYQ33" s="16"/>
      <c r="KYR33" s="16"/>
      <c r="KYS33" s="16"/>
      <c r="KYT33" s="16"/>
      <c r="KYU33" s="16"/>
      <c r="KYV33" s="16"/>
      <c r="KYW33" s="16"/>
      <c r="KYX33" s="16"/>
      <c r="KYY33" s="16"/>
      <c r="KYZ33" s="16"/>
      <c r="KZA33" s="16"/>
      <c r="KZB33" s="16"/>
      <c r="KZC33" s="16"/>
      <c r="KZD33" s="16"/>
      <c r="KZE33" s="16"/>
      <c r="KZF33" s="16"/>
      <c r="KZG33" s="16"/>
      <c r="KZH33" s="16"/>
      <c r="KZI33" s="16"/>
      <c r="KZJ33" s="16"/>
      <c r="KZK33" s="16"/>
      <c r="KZL33" s="16"/>
      <c r="KZM33" s="16"/>
      <c r="KZN33" s="16"/>
      <c r="KZO33" s="16"/>
      <c r="KZP33" s="16"/>
      <c r="KZQ33" s="16"/>
      <c r="KZR33" s="16"/>
      <c r="KZS33" s="16"/>
      <c r="KZT33" s="16"/>
      <c r="KZU33" s="16"/>
      <c r="KZV33" s="16"/>
      <c r="KZW33" s="16"/>
      <c r="KZX33" s="16"/>
      <c r="KZY33" s="16"/>
      <c r="KZZ33" s="16"/>
      <c r="LAA33" s="16"/>
      <c r="LAB33" s="16"/>
      <c r="LAC33" s="16"/>
      <c r="LAD33" s="16"/>
      <c r="LAE33" s="16"/>
      <c r="LAF33" s="16"/>
      <c r="LAG33" s="16"/>
      <c r="LAH33" s="16"/>
      <c r="LAI33" s="16"/>
      <c r="LAJ33" s="16"/>
      <c r="LAK33" s="16"/>
      <c r="LAL33" s="16"/>
      <c r="LAM33" s="16"/>
      <c r="LAN33" s="16"/>
      <c r="LAO33" s="16"/>
      <c r="LAP33" s="16"/>
      <c r="LAQ33" s="16"/>
      <c r="LAR33" s="16"/>
      <c r="LAS33" s="16"/>
      <c r="LAT33" s="16"/>
      <c r="LAU33" s="16"/>
      <c r="LAV33" s="16"/>
      <c r="LAW33" s="16"/>
      <c r="LAX33" s="16"/>
      <c r="LAY33" s="16"/>
      <c r="LAZ33" s="16"/>
      <c r="LBA33" s="16"/>
      <c r="LBB33" s="16"/>
      <c r="LBC33" s="16"/>
      <c r="LBD33" s="16"/>
      <c r="LBE33" s="16"/>
      <c r="LBF33" s="16"/>
      <c r="LBG33" s="16"/>
      <c r="LBH33" s="16"/>
      <c r="LBI33" s="16"/>
      <c r="LBJ33" s="16"/>
      <c r="LBK33" s="16"/>
      <c r="LBL33" s="16"/>
      <c r="LBM33" s="16"/>
      <c r="LBN33" s="16"/>
      <c r="LBO33" s="16"/>
      <c r="LBP33" s="16"/>
      <c r="LBQ33" s="16"/>
      <c r="LBR33" s="16"/>
      <c r="LBS33" s="16"/>
      <c r="LBT33" s="16"/>
      <c r="LBU33" s="16"/>
      <c r="LBV33" s="16"/>
      <c r="LBW33" s="16"/>
      <c r="LBX33" s="16"/>
      <c r="LBY33" s="16"/>
      <c r="LBZ33" s="16"/>
      <c r="LCA33" s="16"/>
      <c r="LCB33" s="16"/>
      <c r="LCC33" s="16"/>
      <c r="LCD33" s="16"/>
      <c r="LCE33" s="16"/>
      <c r="LCF33" s="16"/>
      <c r="LCG33" s="16"/>
      <c r="LCH33" s="16"/>
      <c r="LCI33" s="16"/>
      <c r="LCJ33" s="16"/>
      <c r="LCK33" s="16"/>
      <c r="LCL33" s="16"/>
      <c r="LCM33" s="16"/>
      <c r="LCN33" s="16"/>
      <c r="LCO33" s="16"/>
      <c r="LCP33" s="16"/>
      <c r="LCQ33" s="16"/>
      <c r="LCR33" s="16"/>
      <c r="LCS33" s="16"/>
      <c r="LCT33" s="16"/>
      <c r="LCU33" s="16"/>
      <c r="LCV33" s="16"/>
      <c r="LCW33" s="16"/>
      <c r="LCX33" s="16"/>
      <c r="LCY33" s="16"/>
      <c r="LCZ33" s="16"/>
      <c r="LDA33" s="16"/>
      <c r="LDB33" s="16"/>
      <c r="LDC33" s="16"/>
      <c r="LDD33" s="16"/>
      <c r="LDE33" s="16"/>
      <c r="LDF33" s="16"/>
      <c r="LDG33" s="16"/>
      <c r="LDH33" s="16"/>
      <c r="LDI33" s="16"/>
      <c r="LDJ33" s="16"/>
      <c r="LDK33" s="16"/>
      <c r="LDL33" s="16"/>
      <c r="LDM33" s="16"/>
      <c r="LDN33" s="16"/>
      <c r="LDO33" s="16"/>
      <c r="LDP33" s="16"/>
      <c r="LDQ33" s="16"/>
      <c r="LDR33" s="16"/>
      <c r="LDS33" s="16"/>
      <c r="LDT33" s="16"/>
      <c r="LDU33" s="16"/>
      <c r="LDV33" s="16"/>
      <c r="LDW33" s="16"/>
      <c r="LDX33" s="16"/>
      <c r="LDY33" s="16"/>
      <c r="LDZ33" s="16"/>
      <c r="LEA33" s="16"/>
      <c r="LEB33" s="16"/>
      <c r="LEC33" s="16"/>
      <c r="LED33" s="16"/>
      <c r="LEE33" s="16"/>
      <c r="LEF33" s="16"/>
      <c r="LEG33" s="16"/>
      <c r="LEH33" s="16"/>
      <c r="LEI33" s="16"/>
      <c r="LEJ33" s="16"/>
      <c r="LEK33" s="16"/>
      <c r="LEL33" s="16"/>
      <c r="LEM33" s="16"/>
      <c r="LEN33" s="16"/>
      <c r="LEO33" s="16"/>
      <c r="LEP33" s="16"/>
      <c r="LEQ33" s="16"/>
      <c r="LER33" s="16"/>
      <c r="LES33" s="16"/>
      <c r="LET33" s="16"/>
      <c r="LEU33" s="16"/>
      <c r="LEV33" s="16"/>
      <c r="LEW33" s="16"/>
      <c r="LEX33" s="16"/>
      <c r="LEY33" s="16"/>
      <c r="LEZ33" s="16"/>
      <c r="LFA33" s="16"/>
      <c r="LFB33" s="16"/>
      <c r="LFC33" s="16"/>
      <c r="LFD33" s="16"/>
      <c r="LFE33" s="16"/>
      <c r="LFF33" s="16"/>
      <c r="LFG33" s="16"/>
      <c r="LFH33" s="16"/>
      <c r="LFI33" s="16"/>
      <c r="LFJ33" s="16"/>
      <c r="LFK33" s="16"/>
      <c r="LFL33" s="16"/>
      <c r="LFM33" s="16"/>
      <c r="LFN33" s="16"/>
      <c r="LFO33" s="16"/>
      <c r="LFP33" s="16"/>
      <c r="LFQ33" s="16"/>
      <c r="LFR33" s="16"/>
      <c r="LFS33" s="16"/>
      <c r="LFT33" s="16"/>
      <c r="LFU33" s="16"/>
      <c r="LFV33" s="16"/>
      <c r="LFW33" s="16"/>
      <c r="LFX33" s="16"/>
      <c r="LFY33" s="16"/>
      <c r="LFZ33" s="16"/>
      <c r="LGA33" s="16"/>
      <c r="LGB33" s="16"/>
      <c r="LGC33" s="16"/>
      <c r="LGD33" s="16"/>
      <c r="LGE33" s="16"/>
      <c r="LGF33" s="16"/>
      <c r="LGG33" s="16"/>
      <c r="LGH33" s="16"/>
      <c r="LGI33" s="16"/>
      <c r="LGJ33" s="16"/>
      <c r="LGK33" s="16"/>
      <c r="LGL33" s="16"/>
      <c r="LGM33" s="16"/>
      <c r="LGN33" s="16"/>
      <c r="LGO33" s="16"/>
      <c r="LGP33" s="16"/>
      <c r="LGQ33" s="16"/>
      <c r="LGR33" s="16"/>
      <c r="LGS33" s="16"/>
      <c r="LGT33" s="16"/>
      <c r="LGU33" s="16"/>
      <c r="LGV33" s="16"/>
      <c r="LGW33" s="16"/>
      <c r="LGX33" s="16"/>
      <c r="LGY33" s="16"/>
      <c r="LGZ33" s="16"/>
      <c r="LHA33" s="16"/>
      <c r="LHB33" s="16"/>
      <c r="LHC33" s="16"/>
      <c r="LHD33" s="16"/>
      <c r="LHE33" s="16"/>
      <c r="LHF33" s="16"/>
      <c r="LHG33" s="16"/>
      <c r="LHH33" s="16"/>
      <c r="LHI33" s="16"/>
      <c r="LHJ33" s="16"/>
      <c r="LHK33" s="16"/>
      <c r="LHL33" s="16"/>
      <c r="LHM33" s="16"/>
      <c r="LHN33" s="16"/>
      <c r="LHO33" s="16"/>
      <c r="LHP33" s="16"/>
      <c r="LHQ33" s="16"/>
      <c r="LHR33" s="16"/>
      <c r="LHS33" s="16"/>
      <c r="LHT33" s="16"/>
      <c r="LHU33" s="16"/>
      <c r="LHV33" s="16"/>
      <c r="LHW33" s="16"/>
      <c r="LHX33" s="16"/>
      <c r="LHY33" s="16"/>
      <c r="LHZ33" s="16"/>
      <c r="LIA33" s="16"/>
      <c r="LIB33" s="16"/>
      <c r="LIC33" s="16"/>
      <c r="LID33" s="16"/>
      <c r="LIE33" s="16"/>
      <c r="LIF33" s="16"/>
      <c r="LIG33" s="16"/>
      <c r="LIH33" s="16"/>
      <c r="LII33" s="16"/>
      <c r="LIJ33" s="16"/>
      <c r="LIK33" s="16"/>
      <c r="LIL33" s="16"/>
      <c r="LIM33" s="16"/>
      <c r="LIN33" s="16"/>
      <c r="LIO33" s="16"/>
      <c r="LIP33" s="16"/>
      <c r="LIQ33" s="16"/>
      <c r="LIR33" s="16"/>
      <c r="LIS33" s="16"/>
      <c r="LIT33" s="16"/>
      <c r="LIU33" s="16"/>
      <c r="LIV33" s="16"/>
      <c r="LIW33" s="16"/>
      <c r="LIX33" s="16"/>
      <c r="LIY33" s="16"/>
      <c r="LIZ33" s="16"/>
      <c r="LJA33" s="16"/>
      <c r="LJB33" s="16"/>
      <c r="LJC33" s="16"/>
      <c r="LJD33" s="16"/>
      <c r="LJE33" s="16"/>
      <c r="LJF33" s="16"/>
      <c r="LJG33" s="16"/>
      <c r="LJH33" s="16"/>
      <c r="LJI33" s="16"/>
      <c r="LJJ33" s="16"/>
      <c r="LJK33" s="16"/>
      <c r="LJL33" s="16"/>
      <c r="LJM33" s="16"/>
      <c r="LJN33" s="16"/>
      <c r="LJO33" s="16"/>
      <c r="LJP33" s="16"/>
      <c r="LJQ33" s="16"/>
      <c r="LJR33" s="16"/>
      <c r="LJS33" s="16"/>
      <c r="LJT33" s="16"/>
      <c r="LJU33" s="16"/>
      <c r="LJV33" s="16"/>
      <c r="LJW33" s="16"/>
      <c r="LJX33" s="16"/>
      <c r="LJY33" s="16"/>
      <c r="LJZ33" s="16"/>
      <c r="LKA33" s="16"/>
      <c r="LKB33" s="16"/>
      <c r="LKC33" s="16"/>
      <c r="LKD33" s="16"/>
      <c r="LKE33" s="16"/>
      <c r="LKF33" s="16"/>
      <c r="LKG33" s="16"/>
      <c r="LKH33" s="16"/>
      <c r="LKI33" s="16"/>
      <c r="LKJ33" s="16"/>
      <c r="LKK33" s="16"/>
      <c r="LKL33" s="16"/>
      <c r="LKM33" s="16"/>
      <c r="LKN33" s="16"/>
      <c r="LKO33" s="16"/>
      <c r="LKP33" s="16"/>
      <c r="LKQ33" s="16"/>
      <c r="LKR33" s="16"/>
      <c r="LKS33" s="16"/>
      <c r="LKT33" s="16"/>
      <c r="LKU33" s="16"/>
      <c r="LKV33" s="16"/>
      <c r="LKW33" s="16"/>
      <c r="LKX33" s="16"/>
      <c r="LKY33" s="16"/>
      <c r="LKZ33" s="16"/>
      <c r="LLA33" s="16"/>
      <c r="LLB33" s="16"/>
      <c r="LLC33" s="16"/>
      <c r="LLD33" s="16"/>
      <c r="LLE33" s="16"/>
      <c r="LLF33" s="16"/>
      <c r="LLG33" s="16"/>
      <c r="LLH33" s="16"/>
      <c r="LLI33" s="16"/>
      <c r="LLJ33" s="16"/>
      <c r="LLK33" s="16"/>
      <c r="LLL33" s="16"/>
      <c r="LLM33" s="16"/>
      <c r="LLN33" s="16"/>
      <c r="LLO33" s="16"/>
      <c r="LLP33" s="16"/>
      <c r="LLQ33" s="16"/>
      <c r="LLR33" s="16"/>
      <c r="LLS33" s="16"/>
      <c r="LLT33" s="16"/>
      <c r="LLU33" s="16"/>
      <c r="LLV33" s="16"/>
      <c r="LLW33" s="16"/>
      <c r="LLX33" s="16"/>
      <c r="LLY33" s="16"/>
      <c r="LLZ33" s="16"/>
      <c r="LMA33" s="16"/>
      <c r="LMB33" s="16"/>
      <c r="LMC33" s="16"/>
      <c r="LMD33" s="16"/>
      <c r="LME33" s="16"/>
      <c r="LMF33" s="16"/>
      <c r="LMG33" s="16"/>
      <c r="LMH33" s="16"/>
      <c r="LMI33" s="16"/>
      <c r="LMJ33" s="16"/>
      <c r="LMK33" s="16"/>
      <c r="LML33" s="16"/>
      <c r="LMM33" s="16"/>
      <c r="LMN33" s="16"/>
      <c r="LMO33" s="16"/>
      <c r="LMP33" s="16"/>
      <c r="LMQ33" s="16"/>
      <c r="LMR33" s="16"/>
      <c r="LMS33" s="16"/>
      <c r="LMT33" s="16"/>
      <c r="LMU33" s="16"/>
      <c r="LMV33" s="16"/>
      <c r="LMW33" s="16"/>
      <c r="LMX33" s="16"/>
      <c r="LMY33" s="16"/>
      <c r="LMZ33" s="16"/>
      <c r="LNA33" s="16"/>
      <c r="LNB33" s="16"/>
      <c r="LNC33" s="16"/>
      <c r="LND33" s="16"/>
      <c r="LNE33" s="16"/>
      <c r="LNF33" s="16"/>
      <c r="LNG33" s="16"/>
      <c r="LNH33" s="16"/>
      <c r="LNI33" s="16"/>
      <c r="LNJ33" s="16"/>
      <c r="LNK33" s="16"/>
      <c r="LNL33" s="16"/>
      <c r="LNM33" s="16"/>
      <c r="LNN33" s="16"/>
      <c r="LNO33" s="16"/>
      <c r="LNP33" s="16"/>
      <c r="LNQ33" s="16"/>
      <c r="LNR33" s="16"/>
      <c r="LNS33" s="16"/>
      <c r="LNT33" s="16"/>
      <c r="LNU33" s="16"/>
      <c r="LNV33" s="16"/>
      <c r="LNW33" s="16"/>
      <c r="LNX33" s="16"/>
      <c r="LNY33" s="16"/>
      <c r="LNZ33" s="16"/>
      <c r="LOA33" s="16"/>
      <c r="LOB33" s="16"/>
      <c r="LOC33" s="16"/>
      <c r="LOD33" s="16"/>
      <c r="LOE33" s="16"/>
      <c r="LOF33" s="16"/>
      <c r="LOG33" s="16"/>
      <c r="LOH33" s="16"/>
      <c r="LOI33" s="16"/>
      <c r="LOJ33" s="16"/>
      <c r="LOK33" s="16"/>
      <c r="LOL33" s="16"/>
      <c r="LOM33" s="16"/>
      <c r="LON33" s="16"/>
      <c r="LOO33" s="16"/>
      <c r="LOP33" s="16"/>
      <c r="LOQ33" s="16"/>
      <c r="LOR33" s="16"/>
      <c r="LOS33" s="16"/>
      <c r="LOT33" s="16"/>
      <c r="LOU33" s="16"/>
      <c r="LOV33" s="16"/>
      <c r="LOW33" s="16"/>
      <c r="LOX33" s="16"/>
      <c r="LOY33" s="16"/>
      <c r="LOZ33" s="16"/>
      <c r="LPA33" s="16"/>
      <c r="LPB33" s="16"/>
      <c r="LPC33" s="16"/>
      <c r="LPD33" s="16"/>
      <c r="LPE33" s="16"/>
      <c r="LPF33" s="16"/>
      <c r="LPG33" s="16"/>
      <c r="LPH33" s="16"/>
      <c r="LPI33" s="16"/>
      <c r="LPJ33" s="16"/>
      <c r="LPK33" s="16"/>
      <c r="LPL33" s="16"/>
      <c r="LPM33" s="16"/>
      <c r="LPN33" s="16"/>
      <c r="LPO33" s="16"/>
      <c r="LPP33" s="16"/>
      <c r="LPQ33" s="16"/>
      <c r="LPR33" s="16"/>
      <c r="LPS33" s="16"/>
      <c r="LPT33" s="16"/>
      <c r="LPU33" s="16"/>
      <c r="LPV33" s="16"/>
      <c r="LPW33" s="16"/>
      <c r="LPX33" s="16"/>
      <c r="LPY33" s="16"/>
      <c r="LPZ33" s="16"/>
      <c r="LQA33" s="16"/>
      <c r="LQB33" s="16"/>
      <c r="LQC33" s="16"/>
      <c r="LQD33" s="16"/>
      <c r="LQE33" s="16"/>
      <c r="LQF33" s="16"/>
      <c r="LQG33" s="16"/>
      <c r="LQH33" s="16"/>
      <c r="LQI33" s="16"/>
      <c r="LQJ33" s="16"/>
      <c r="LQK33" s="16"/>
      <c r="LQL33" s="16"/>
      <c r="LQM33" s="16"/>
      <c r="LQN33" s="16"/>
      <c r="LQO33" s="16"/>
      <c r="LQP33" s="16"/>
      <c r="LQQ33" s="16"/>
      <c r="LQR33" s="16"/>
      <c r="LQS33" s="16"/>
      <c r="LQT33" s="16"/>
      <c r="LQU33" s="16"/>
      <c r="LQV33" s="16"/>
      <c r="LQW33" s="16"/>
      <c r="LQX33" s="16"/>
      <c r="LQY33" s="16"/>
      <c r="LQZ33" s="16"/>
      <c r="LRA33" s="16"/>
      <c r="LRB33" s="16"/>
      <c r="LRC33" s="16"/>
      <c r="LRD33" s="16"/>
      <c r="LRE33" s="16"/>
      <c r="LRF33" s="16"/>
      <c r="LRG33" s="16"/>
      <c r="LRH33" s="16"/>
      <c r="LRI33" s="16"/>
      <c r="LRJ33" s="16"/>
      <c r="LRK33" s="16"/>
      <c r="LRL33" s="16"/>
      <c r="LRM33" s="16"/>
      <c r="LRN33" s="16"/>
      <c r="LRO33" s="16"/>
      <c r="LRP33" s="16"/>
      <c r="LRQ33" s="16"/>
      <c r="LRR33" s="16"/>
      <c r="LRS33" s="16"/>
      <c r="LRT33" s="16"/>
      <c r="LRU33" s="16"/>
      <c r="LRV33" s="16"/>
      <c r="LRW33" s="16"/>
      <c r="LRX33" s="16"/>
      <c r="LRY33" s="16"/>
      <c r="LRZ33" s="16"/>
      <c r="LSA33" s="16"/>
      <c r="LSB33" s="16"/>
      <c r="LSC33" s="16"/>
      <c r="LSD33" s="16"/>
      <c r="LSE33" s="16"/>
      <c r="LSF33" s="16"/>
      <c r="LSG33" s="16"/>
      <c r="LSH33" s="16"/>
      <c r="LSI33" s="16"/>
      <c r="LSJ33" s="16"/>
      <c r="LSK33" s="16"/>
      <c r="LSL33" s="16"/>
      <c r="LSM33" s="16"/>
      <c r="LSN33" s="16"/>
      <c r="LSO33" s="16"/>
      <c r="LSP33" s="16"/>
      <c r="LSQ33" s="16"/>
      <c r="LSR33" s="16"/>
      <c r="LSS33" s="16"/>
      <c r="LST33" s="16"/>
      <c r="LSU33" s="16"/>
      <c r="LSV33" s="16"/>
      <c r="LSW33" s="16"/>
      <c r="LSX33" s="16"/>
      <c r="LSY33" s="16"/>
      <c r="LSZ33" s="16"/>
      <c r="LTA33" s="16"/>
      <c r="LTB33" s="16"/>
      <c r="LTC33" s="16"/>
      <c r="LTD33" s="16"/>
      <c r="LTE33" s="16"/>
      <c r="LTF33" s="16"/>
      <c r="LTG33" s="16"/>
      <c r="LTH33" s="16"/>
      <c r="LTI33" s="16"/>
      <c r="LTJ33" s="16"/>
      <c r="LTK33" s="16"/>
      <c r="LTL33" s="16"/>
      <c r="LTM33" s="16"/>
      <c r="LTN33" s="16"/>
      <c r="LTO33" s="16"/>
      <c r="LTP33" s="16"/>
      <c r="LTQ33" s="16"/>
      <c r="LTR33" s="16"/>
      <c r="LTS33" s="16"/>
      <c r="LTT33" s="16"/>
      <c r="LTU33" s="16"/>
      <c r="LTV33" s="16"/>
      <c r="LTW33" s="16"/>
      <c r="LTX33" s="16"/>
      <c r="LTY33" s="16"/>
      <c r="LTZ33" s="16"/>
      <c r="LUA33" s="16"/>
      <c r="LUB33" s="16"/>
      <c r="LUC33" s="16"/>
      <c r="LUD33" s="16"/>
      <c r="LUE33" s="16"/>
      <c r="LUF33" s="16"/>
      <c r="LUG33" s="16"/>
      <c r="LUH33" s="16"/>
      <c r="LUI33" s="16"/>
      <c r="LUJ33" s="16"/>
      <c r="LUK33" s="16"/>
      <c r="LUL33" s="16"/>
      <c r="LUM33" s="16"/>
      <c r="LUN33" s="16"/>
      <c r="LUO33" s="16"/>
      <c r="LUP33" s="16"/>
      <c r="LUQ33" s="16"/>
      <c r="LUR33" s="16"/>
      <c r="LUS33" s="16"/>
      <c r="LUT33" s="16"/>
      <c r="LUU33" s="16"/>
      <c r="LUV33" s="16"/>
      <c r="LUW33" s="16"/>
      <c r="LUX33" s="16"/>
      <c r="LUY33" s="16"/>
      <c r="LUZ33" s="16"/>
      <c r="LVA33" s="16"/>
      <c r="LVB33" s="16"/>
      <c r="LVC33" s="16"/>
      <c r="LVD33" s="16"/>
      <c r="LVE33" s="16"/>
      <c r="LVF33" s="16"/>
      <c r="LVG33" s="16"/>
      <c r="LVH33" s="16"/>
      <c r="LVI33" s="16"/>
      <c r="LVJ33" s="16"/>
      <c r="LVK33" s="16"/>
      <c r="LVL33" s="16"/>
      <c r="LVM33" s="16"/>
      <c r="LVN33" s="16"/>
      <c r="LVO33" s="16"/>
      <c r="LVP33" s="16"/>
      <c r="LVQ33" s="16"/>
      <c r="LVR33" s="16"/>
      <c r="LVS33" s="16"/>
      <c r="LVT33" s="16"/>
      <c r="LVU33" s="16"/>
      <c r="LVV33" s="16"/>
      <c r="LVW33" s="16"/>
      <c r="LVX33" s="16"/>
      <c r="LVY33" s="16"/>
      <c r="LVZ33" s="16"/>
      <c r="LWA33" s="16"/>
      <c r="LWB33" s="16"/>
      <c r="LWC33" s="16"/>
      <c r="LWD33" s="16"/>
      <c r="LWE33" s="16"/>
      <c r="LWF33" s="16"/>
      <c r="LWG33" s="16"/>
      <c r="LWH33" s="16"/>
      <c r="LWI33" s="16"/>
      <c r="LWJ33" s="16"/>
      <c r="LWK33" s="16"/>
      <c r="LWL33" s="16"/>
      <c r="LWM33" s="16"/>
      <c r="LWN33" s="16"/>
      <c r="LWO33" s="16"/>
      <c r="LWP33" s="16"/>
      <c r="LWQ33" s="16"/>
      <c r="LWR33" s="16"/>
      <c r="LWS33" s="16"/>
      <c r="LWT33" s="16"/>
      <c r="LWU33" s="16"/>
      <c r="LWV33" s="16"/>
      <c r="LWW33" s="16"/>
      <c r="LWX33" s="16"/>
      <c r="LWY33" s="16"/>
      <c r="LWZ33" s="16"/>
      <c r="LXA33" s="16"/>
      <c r="LXB33" s="16"/>
      <c r="LXC33" s="16"/>
      <c r="LXD33" s="16"/>
      <c r="LXE33" s="16"/>
      <c r="LXF33" s="16"/>
      <c r="LXG33" s="16"/>
      <c r="LXH33" s="16"/>
      <c r="LXI33" s="16"/>
      <c r="LXJ33" s="16"/>
      <c r="LXK33" s="16"/>
      <c r="LXL33" s="16"/>
      <c r="LXM33" s="16"/>
      <c r="LXN33" s="16"/>
      <c r="LXO33" s="16"/>
      <c r="LXP33" s="16"/>
      <c r="LXQ33" s="16"/>
      <c r="LXR33" s="16"/>
      <c r="LXS33" s="16"/>
      <c r="LXT33" s="16"/>
      <c r="LXU33" s="16"/>
      <c r="LXV33" s="16"/>
      <c r="LXW33" s="16"/>
      <c r="LXX33" s="16"/>
      <c r="LXY33" s="16"/>
      <c r="LXZ33" s="16"/>
      <c r="LYA33" s="16"/>
      <c r="LYB33" s="16"/>
      <c r="LYC33" s="16"/>
      <c r="LYD33" s="16"/>
      <c r="LYE33" s="16"/>
      <c r="LYF33" s="16"/>
      <c r="LYG33" s="16"/>
      <c r="LYH33" s="16"/>
      <c r="LYI33" s="16"/>
      <c r="LYJ33" s="16"/>
      <c r="LYK33" s="16"/>
      <c r="LYL33" s="16"/>
      <c r="LYM33" s="16"/>
      <c r="LYN33" s="16"/>
      <c r="LYO33" s="16"/>
      <c r="LYP33" s="16"/>
      <c r="LYQ33" s="16"/>
      <c r="LYR33" s="16"/>
      <c r="LYS33" s="16"/>
      <c r="LYT33" s="16"/>
      <c r="LYU33" s="16"/>
      <c r="LYV33" s="16"/>
      <c r="LYW33" s="16"/>
      <c r="LYX33" s="16"/>
      <c r="LYY33" s="16"/>
      <c r="LYZ33" s="16"/>
      <c r="LZA33" s="16"/>
      <c r="LZB33" s="16"/>
      <c r="LZC33" s="16"/>
      <c r="LZD33" s="16"/>
      <c r="LZE33" s="16"/>
      <c r="LZF33" s="16"/>
      <c r="LZG33" s="16"/>
      <c r="LZH33" s="16"/>
      <c r="LZI33" s="16"/>
      <c r="LZJ33" s="16"/>
      <c r="LZK33" s="16"/>
      <c r="LZL33" s="16"/>
      <c r="LZM33" s="16"/>
      <c r="LZN33" s="16"/>
      <c r="LZO33" s="16"/>
      <c r="LZP33" s="16"/>
      <c r="LZQ33" s="16"/>
      <c r="LZR33" s="16"/>
      <c r="LZS33" s="16"/>
      <c r="LZT33" s="16"/>
      <c r="LZU33" s="16"/>
      <c r="LZV33" s="16"/>
      <c r="LZW33" s="16"/>
      <c r="LZX33" s="16"/>
      <c r="LZY33" s="16"/>
      <c r="LZZ33" s="16"/>
      <c r="MAA33" s="16"/>
      <c r="MAB33" s="16"/>
      <c r="MAC33" s="16"/>
      <c r="MAD33" s="16"/>
      <c r="MAE33" s="16"/>
      <c r="MAF33" s="16"/>
      <c r="MAG33" s="16"/>
      <c r="MAH33" s="16"/>
      <c r="MAI33" s="16"/>
      <c r="MAJ33" s="16"/>
      <c r="MAK33" s="16"/>
      <c r="MAL33" s="16"/>
      <c r="MAM33" s="16"/>
      <c r="MAN33" s="16"/>
      <c r="MAO33" s="16"/>
      <c r="MAP33" s="16"/>
      <c r="MAQ33" s="16"/>
      <c r="MAR33" s="16"/>
      <c r="MAS33" s="16"/>
      <c r="MAT33" s="16"/>
      <c r="MAU33" s="16"/>
      <c r="MAV33" s="16"/>
      <c r="MAW33" s="16"/>
      <c r="MAX33" s="16"/>
      <c r="MAY33" s="16"/>
      <c r="MAZ33" s="16"/>
      <c r="MBA33" s="16"/>
      <c r="MBB33" s="16"/>
      <c r="MBC33" s="16"/>
      <c r="MBD33" s="16"/>
      <c r="MBE33" s="16"/>
      <c r="MBF33" s="16"/>
      <c r="MBG33" s="16"/>
      <c r="MBH33" s="16"/>
      <c r="MBI33" s="16"/>
      <c r="MBJ33" s="16"/>
      <c r="MBK33" s="16"/>
      <c r="MBL33" s="16"/>
      <c r="MBM33" s="16"/>
      <c r="MBN33" s="16"/>
      <c r="MBO33" s="16"/>
      <c r="MBP33" s="16"/>
      <c r="MBQ33" s="16"/>
      <c r="MBR33" s="16"/>
      <c r="MBS33" s="16"/>
      <c r="MBT33" s="16"/>
      <c r="MBU33" s="16"/>
      <c r="MBV33" s="16"/>
      <c r="MBW33" s="16"/>
      <c r="MBX33" s="16"/>
      <c r="MBY33" s="16"/>
      <c r="MBZ33" s="16"/>
      <c r="MCA33" s="16"/>
      <c r="MCB33" s="16"/>
      <c r="MCC33" s="16"/>
      <c r="MCD33" s="16"/>
      <c r="MCE33" s="16"/>
      <c r="MCF33" s="16"/>
      <c r="MCG33" s="16"/>
      <c r="MCH33" s="16"/>
      <c r="MCI33" s="16"/>
      <c r="MCJ33" s="16"/>
      <c r="MCK33" s="16"/>
      <c r="MCL33" s="16"/>
      <c r="MCM33" s="16"/>
      <c r="MCN33" s="16"/>
      <c r="MCO33" s="16"/>
      <c r="MCP33" s="16"/>
      <c r="MCQ33" s="16"/>
      <c r="MCR33" s="16"/>
      <c r="MCS33" s="16"/>
      <c r="MCT33" s="16"/>
      <c r="MCU33" s="16"/>
      <c r="MCV33" s="16"/>
      <c r="MCW33" s="16"/>
      <c r="MCX33" s="16"/>
      <c r="MCY33" s="16"/>
      <c r="MCZ33" s="16"/>
      <c r="MDA33" s="16"/>
      <c r="MDB33" s="16"/>
      <c r="MDC33" s="16"/>
      <c r="MDD33" s="16"/>
      <c r="MDE33" s="16"/>
      <c r="MDF33" s="16"/>
      <c r="MDG33" s="16"/>
      <c r="MDH33" s="16"/>
      <c r="MDI33" s="16"/>
      <c r="MDJ33" s="16"/>
      <c r="MDK33" s="16"/>
      <c r="MDL33" s="16"/>
      <c r="MDM33" s="16"/>
      <c r="MDN33" s="16"/>
      <c r="MDO33" s="16"/>
      <c r="MDP33" s="16"/>
      <c r="MDQ33" s="16"/>
      <c r="MDR33" s="16"/>
      <c r="MDS33" s="16"/>
      <c r="MDT33" s="16"/>
      <c r="MDU33" s="16"/>
      <c r="MDV33" s="16"/>
      <c r="MDW33" s="16"/>
      <c r="MDX33" s="16"/>
      <c r="MDY33" s="16"/>
      <c r="MDZ33" s="16"/>
      <c r="MEA33" s="16"/>
      <c r="MEB33" s="16"/>
      <c r="MEC33" s="16"/>
      <c r="MED33" s="16"/>
      <c r="MEE33" s="16"/>
      <c r="MEF33" s="16"/>
      <c r="MEG33" s="16"/>
      <c r="MEH33" s="16"/>
      <c r="MEI33" s="16"/>
      <c r="MEJ33" s="16"/>
      <c r="MEK33" s="16"/>
      <c r="MEL33" s="16"/>
      <c r="MEM33" s="16"/>
      <c r="MEN33" s="16"/>
      <c r="MEO33" s="16"/>
      <c r="MEP33" s="16"/>
      <c r="MEQ33" s="16"/>
      <c r="MER33" s="16"/>
      <c r="MES33" s="16"/>
      <c r="MET33" s="16"/>
      <c r="MEU33" s="16"/>
      <c r="MEV33" s="16"/>
      <c r="MEW33" s="16"/>
      <c r="MEX33" s="16"/>
      <c r="MEY33" s="16"/>
      <c r="MEZ33" s="16"/>
      <c r="MFA33" s="16"/>
      <c r="MFB33" s="16"/>
      <c r="MFC33" s="16"/>
      <c r="MFD33" s="16"/>
      <c r="MFE33" s="16"/>
      <c r="MFF33" s="16"/>
      <c r="MFG33" s="16"/>
      <c r="MFH33" s="16"/>
      <c r="MFI33" s="16"/>
      <c r="MFJ33" s="16"/>
      <c r="MFK33" s="16"/>
      <c r="MFL33" s="16"/>
      <c r="MFM33" s="16"/>
      <c r="MFN33" s="16"/>
      <c r="MFO33" s="16"/>
      <c r="MFP33" s="16"/>
      <c r="MFQ33" s="16"/>
      <c r="MFR33" s="16"/>
      <c r="MFS33" s="16"/>
      <c r="MFT33" s="16"/>
      <c r="MFU33" s="16"/>
      <c r="MFV33" s="16"/>
      <c r="MFW33" s="16"/>
      <c r="MFX33" s="16"/>
      <c r="MFY33" s="16"/>
      <c r="MFZ33" s="16"/>
      <c r="MGA33" s="16"/>
      <c r="MGB33" s="16"/>
      <c r="MGC33" s="16"/>
      <c r="MGD33" s="16"/>
      <c r="MGE33" s="16"/>
      <c r="MGF33" s="16"/>
      <c r="MGG33" s="16"/>
      <c r="MGH33" s="16"/>
      <c r="MGI33" s="16"/>
      <c r="MGJ33" s="16"/>
      <c r="MGK33" s="16"/>
      <c r="MGL33" s="16"/>
      <c r="MGM33" s="16"/>
      <c r="MGN33" s="16"/>
      <c r="MGO33" s="16"/>
      <c r="MGP33" s="16"/>
      <c r="MGQ33" s="16"/>
      <c r="MGR33" s="16"/>
      <c r="MGS33" s="16"/>
      <c r="MGT33" s="16"/>
      <c r="MGU33" s="16"/>
      <c r="MGV33" s="16"/>
      <c r="MGW33" s="16"/>
      <c r="MGX33" s="16"/>
      <c r="MGY33" s="16"/>
      <c r="MGZ33" s="16"/>
      <c r="MHA33" s="16"/>
      <c r="MHB33" s="16"/>
      <c r="MHC33" s="16"/>
      <c r="MHD33" s="16"/>
      <c r="MHE33" s="16"/>
      <c r="MHF33" s="16"/>
      <c r="MHG33" s="16"/>
      <c r="MHH33" s="16"/>
      <c r="MHI33" s="16"/>
      <c r="MHJ33" s="16"/>
      <c r="MHK33" s="16"/>
      <c r="MHL33" s="16"/>
      <c r="MHM33" s="16"/>
      <c r="MHN33" s="16"/>
      <c r="MHO33" s="16"/>
      <c r="MHP33" s="16"/>
      <c r="MHQ33" s="16"/>
      <c r="MHR33" s="16"/>
      <c r="MHS33" s="16"/>
      <c r="MHT33" s="16"/>
      <c r="MHU33" s="16"/>
      <c r="MHV33" s="16"/>
      <c r="MHW33" s="16"/>
      <c r="MHX33" s="16"/>
      <c r="MHY33" s="16"/>
      <c r="MHZ33" s="16"/>
      <c r="MIA33" s="16"/>
      <c r="MIB33" s="16"/>
      <c r="MIC33" s="16"/>
      <c r="MID33" s="16"/>
      <c r="MIE33" s="16"/>
      <c r="MIF33" s="16"/>
      <c r="MIG33" s="16"/>
      <c r="MIH33" s="16"/>
      <c r="MII33" s="16"/>
      <c r="MIJ33" s="16"/>
      <c r="MIK33" s="16"/>
      <c r="MIL33" s="16"/>
      <c r="MIM33" s="16"/>
      <c r="MIN33" s="16"/>
      <c r="MIO33" s="16"/>
      <c r="MIP33" s="16"/>
      <c r="MIQ33" s="16"/>
      <c r="MIR33" s="16"/>
      <c r="MIS33" s="16"/>
      <c r="MIT33" s="16"/>
      <c r="MIU33" s="16"/>
      <c r="MIV33" s="16"/>
      <c r="MIW33" s="16"/>
      <c r="MIX33" s="16"/>
      <c r="MIY33" s="16"/>
      <c r="MIZ33" s="16"/>
      <c r="MJA33" s="16"/>
      <c r="MJB33" s="16"/>
      <c r="MJC33" s="16"/>
      <c r="MJD33" s="16"/>
      <c r="MJE33" s="16"/>
      <c r="MJF33" s="16"/>
      <c r="MJG33" s="16"/>
      <c r="MJH33" s="16"/>
      <c r="MJI33" s="16"/>
      <c r="MJJ33" s="16"/>
      <c r="MJK33" s="16"/>
      <c r="MJL33" s="16"/>
      <c r="MJM33" s="16"/>
      <c r="MJN33" s="16"/>
      <c r="MJO33" s="16"/>
      <c r="MJP33" s="16"/>
      <c r="MJQ33" s="16"/>
      <c r="MJR33" s="16"/>
      <c r="MJS33" s="16"/>
      <c r="MJT33" s="16"/>
      <c r="MJU33" s="16"/>
      <c r="MJV33" s="16"/>
      <c r="MJW33" s="16"/>
      <c r="MJX33" s="16"/>
      <c r="MJY33" s="16"/>
      <c r="MJZ33" s="16"/>
      <c r="MKA33" s="16"/>
      <c r="MKB33" s="16"/>
      <c r="MKC33" s="16"/>
      <c r="MKD33" s="16"/>
      <c r="MKE33" s="16"/>
      <c r="MKF33" s="16"/>
      <c r="MKG33" s="16"/>
      <c r="MKH33" s="16"/>
      <c r="MKI33" s="16"/>
      <c r="MKJ33" s="16"/>
      <c r="MKK33" s="16"/>
      <c r="MKL33" s="16"/>
      <c r="MKM33" s="16"/>
      <c r="MKN33" s="16"/>
      <c r="MKO33" s="16"/>
      <c r="MKP33" s="16"/>
      <c r="MKQ33" s="16"/>
      <c r="MKR33" s="16"/>
      <c r="MKS33" s="16"/>
      <c r="MKT33" s="16"/>
      <c r="MKU33" s="16"/>
      <c r="MKV33" s="16"/>
      <c r="MKW33" s="16"/>
      <c r="MKX33" s="16"/>
      <c r="MKY33" s="16"/>
      <c r="MKZ33" s="16"/>
      <c r="MLA33" s="16"/>
      <c r="MLB33" s="16"/>
      <c r="MLC33" s="16"/>
      <c r="MLD33" s="16"/>
      <c r="MLE33" s="16"/>
      <c r="MLF33" s="16"/>
      <c r="MLG33" s="16"/>
      <c r="MLH33" s="16"/>
      <c r="MLI33" s="16"/>
      <c r="MLJ33" s="16"/>
      <c r="MLK33" s="16"/>
      <c r="MLL33" s="16"/>
      <c r="MLM33" s="16"/>
      <c r="MLN33" s="16"/>
      <c r="MLO33" s="16"/>
      <c r="MLP33" s="16"/>
      <c r="MLQ33" s="16"/>
      <c r="MLR33" s="16"/>
      <c r="MLS33" s="16"/>
      <c r="MLT33" s="16"/>
      <c r="MLU33" s="16"/>
      <c r="MLV33" s="16"/>
      <c r="MLW33" s="16"/>
      <c r="MLX33" s="16"/>
      <c r="MLY33" s="16"/>
      <c r="MLZ33" s="16"/>
      <c r="MMA33" s="16"/>
      <c r="MMB33" s="16"/>
      <c r="MMC33" s="16"/>
      <c r="MMD33" s="16"/>
      <c r="MME33" s="16"/>
      <c r="MMF33" s="16"/>
      <c r="MMG33" s="16"/>
      <c r="MMH33" s="16"/>
      <c r="MMI33" s="16"/>
      <c r="MMJ33" s="16"/>
      <c r="MMK33" s="16"/>
      <c r="MML33" s="16"/>
      <c r="MMM33" s="16"/>
      <c r="MMN33" s="16"/>
      <c r="MMO33" s="16"/>
      <c r="MMP33" s="16"/>
      <c r="MMQ33" s="16"/>
      <c r="MMR33" s="16"/>
      <c r="MMS33" s="16"/>
      <c r="MMT33" s="16"/>
      <c r="MMU33" s="16"/>
      <c r="MMV33" s="16"/>
      <c r="MMW33" s="16"/>
      <c r="MMX33" s="16"/>
      <c r="MMY33" s="16"/>
      <c r="MMZ33" s="16"/>
      <c r="MNA33" s="16"/>
      <c r="MNB33" s="16"/>
      <c r="MNC33" s="16"/>
      <c r="MND33" s="16"/>
      <c r="MNE33" s="16"/>
      <c r="MNF33" s="16"/>
      <c r="MNG33" s="16"/>
      <c r="MNH33" s="16"/>
      <c r="MNI33" s="16"/>
      <c r="MNJ33" s="16"/>
      <c r="MNK33" s="16"/>
      <c r="MNL33" s="16"/>
      <c r="MNM33" s="16"/>
      <c r="MNN33" s="16"/>
      <c r="MNO33" s="16"/>
      <c r="MNP33" s="16"/>
      <c r="MNQ33" s="16"/>
      <c r="MNR33" s="16"/>
      <c r="MNS33" s="16"/>
      <c r="MNT33" s="16"/>
      <c r="MNU33" s="16"/>
      <c r="MNV33" s="16"/>
      <c r="MNW33" s="16"/>
      <c r="MNX33" s="16"/>
      <c r="MNY33" s="16"/>
      <c r="MNZ33" s="16"/>
      <c r="MOA33" s="16"/>
      <c r="MOB33" s="16"/>
      <c r="MOC33" s="16"/>
      <c r="MOD33" s="16"/>
      <c r="MOE33" s="16"/>
      <c r="MOF33" s="16"/>
      <c r="MOG33" s="16"/>
      <c r="MOH33" s="16"/>
      <c r="MOI33" s="16"/>
      <c r="MOJ33" s="16"/>
      <c r="MOK33" s="16"/>
      <c r="MOL33" s="16"/>
      <c r="MOM33" s="16"/>
      <c r="MON33" s="16"/>
      <c r="MOO33" s="16"/>
      <c r="MOP33" s="16"/>
      <c r="MOQ33" s="16"/>
      <c r="MOR33" s="16"/>
      <c r="MOS33" s="16"/>
      <c r="MOT33" s="16"/>
      <c r="MOU33" s="16"/>
      <c r="MOV33" s="16"/>
      <c r="MOW33" s="16"/>
      <c r="MOX33" s="16"/>
      <c r="MOY33" s="16"/>
      <c r="MOZ33" s="16"/>
      <c r="MPA33" s="16"/>
      <c r="MPB33" s="16"/>
      <c r="MPC33" s="16"/>
      <c r="MPD33" s="16"/>
      <c r="MPE33" s="16"/>
      <c r="MPF33" s="16"/>
      <c r="MPG33" s="16"/>
      <c r="MPH33" s="16"/>
      <c r="MPI33" s="16"/>
      <c r="MPJ33" s="16"/>
      <c r="MPK33" s="16"/>
      <c r="MPL33" s="16"/>
      <c r="MPM33" s="16"/>
      <c r="MPN33" s="16"/>
      <c r="MPO33" s="16"/>
      <c r="MPP33" s="16"/>
      <c r="MPQ33" s="16"/>
      <c r="MPR33" s="16"/>
      <c r="MPS33" s="16"/>
      <c r="MPT33" s="16"/>
      <c r="MPU33" s="16"/>
      <c r="MPV33" s="16"/>
      <c r="MPW33" s="16"/>
      <c r="MPX33" s="16"/>
      <c r="MPY33" s="16"/>
      <c r="MPZ33" s="16"/>
      <c r="MQA33" s="16"/>
      <c r="MQB33" s="16"/>
      <c r="MQC33" s="16"/>
      <c r="MQD33" s="16"/>
      <c r="MQE33" s="16"/>
      <c r="MQF33" s="16"/>
      <c r="MQG33" s="16"/>
      <c r="MQH33" s="16"/>
      <c r="MQI33" s="16"/>
      <c r="MQJ33" s="16"/>
      <c r="MQK33" s="16"/>
      <c r="MQL33" s="16"/>
      <c r="MQM33" s="16"/>
      <c r="MQN33" s="16"/>
      <c r="MQO33" s="16"/>
      <c r="MQP33" s="16"/>
      <c r="MQQ33" s="16"/>
      <c r="MQR33" s="16"/>
      <c r="MQS33" s="16"/>
      <c r="MQT33" s="16"/>
      <c r="MQU33" s="16"/>
      <c r="MQV33" s="16"/>
      <c r="MQW33" s="16"/>
      <c r="MQX33" s="16"/>
      <c r="MQY33" s="16"/>
      <c r="MQZ33" s="16"/>
      <c r="MRA33" s="16"/>
      <c r="MRB33" s="16"/>
      <c r="MRC33" s="16"/>
      <c r="MRD33" s="16"/>
      <c r="MRE33" s="16"/>
      <c r="MRF33" s="16"/>
      <c r="MRG33" s="16"/>
      <c r="MRH33" s="16"/>
      <c r="MRI33" s="16"/>
      <c r="MRJ33" s="16"/>
      <c r="MRK33" s="16"/>
      <c r="MRL33" s="16"/>
      <c r="MRM33" s="16"/>
      <c r="MRN33" s="16"/>
      <c r="MRO33" s="16"/>
      <c r="MRP33" s="16"/>
      <c r="MRQ33" s="16"/>
      <c r="MRR33" s="16"/>
      <c r="MRS33" s="16"/>
      <c r="MRT33" s="16"/>
      <c r="MRU33" s="16"/>
      <c r="MRV33" s="16"/>
      <c r="MRW33" s="16"/>
      <c r="MRX33" s="16"/>
      <c r="MRY33" s="16"/>
      <c r="MRZ33" s="16"/>
      <c r="MSA33" s="16"/>
      <c r="MSB33" s="16"/>
      <c r="MSC33" s="16"/>
      <c r="MSD33" s="16"/>
      <c r="MSE33" s="16"/>
      <c r="MSF33" s="16"/>
      <c r="MSG33" s="16"/>
      <c r="MSH33" s="16"/>
      <c r="MSI33" s="16"/>
      <c r="MSJ33" s="16"/>
      <c r="MSK33" s="16"/>
      <c r="MSL33" s="16"/>
      <c r="MSM33" s="16"/>
      <c r="MSN33" s="16"/>
      <c r="MSO33" s="16"/>
      <c r="MSP33" s="16"/>
      <c r="MSQ33" s="16"/>
      <c r="MSR33" s="16"/>
      <c r="MSS33" s="16"/>
      <c r="MST33" s="16"/>
      <c r="MSU33" s="16"/>
      <c r="MSV33" s="16"/>
      <c r="MSW33" s="16"/>
      <c r="MSX33" s="16"/>
      <c r="MSY33" s="16"/>
      <c r="MSZ33" s="16"/>
      <c r="MTA33" s="16"/>
      <c r="MTB33" s="16"/>
      <c r="MTC33" s="16"/>
      <c r="MTD33" s="16"/>
      <c r="MTE33" s="16"/>
      <c r="MTF33" s="16"/>
      <c r="MTG33" s="16"/>
      <c r="MTH33" s="16"/>
      <c r="MTI33" s="16"/>
      <c r="MTJ33" s="16"/>
      <c r="MTK33" s="16"/>
      <c r="MTL33" s="16"/>
      <c r="MTM33" s="16"/>
      <c r="MTN33" s="16"/>
      <c r="MTO33" s="16"/>
      <c r="MTP33" s="16"/>
      <c r="MTQ33" s="16"/>
      <c r="MTR33" s="16"/>
      <c r="MTS33" s="16"/>
      <c r="MTT33" s="16"/>
      <c r="MTU33" s="16"/>
      <c r="MTV33" s="16"/>
      <c r="MTW33" s="16"/>
      <c r="MTX33" s="16"/>
      <c r="MTY33" s="16"/>
      <c r="MTZ33" s="16"/>
      <c r="MUA33" s="16"/>
      <c r="MUB33" s="16"/>
      <c r="MUC33" s="16"/>
      <c r="MUD33" s="16"/>
      <c r="MUE33" s="16"/>
      <c r="MUF33" s="16"/>
      <c r="MUG33" s="16"/>
      <c r="MUH33" s="16"/>
      <c r="MUI33" s="16"/>
      <c r="MUJ33" s="16"/>
      <c r="MUK33" s="16"/>
      <c r="MUL33" s="16"/>
      <c r="MUM33" s="16"/>
      <c r="MUN33" s="16"/>
      <c r="MUO33" s="16"/>
      <c r="MUP33" s="16"/>
      <c r="MUQ33" s="16"/>
      <c r="MUR33" s="16"/>
      <c r="MUS33" s="16"/>
      <c r="MUT33" s="16"/>
      <c r="MUU33" s="16"/>
      <c r="MUV33" s="16"/>
      <c r="MUW33" s="16"/>
      <c r="MUX33" s="16"/>
      <c r="MUY33" s="16"/>
      <c r="MUZ33" s="16"/>
      <c r="MVA33" s="16"/>
      <c r="MVB33" s="16"/>
      <c r="MVC33" s="16"/>
      <c r="MVD33" s="16"/>
      <c r="MVE33" s="16"/>
      <c r="MVF33" s="16"/>
      <c r="MVG33" s="16"/>
      <c r="MVH33" s="16"/>
      <c r="MVI33" s="16"/>
      <c r="MVJ33" s="16"/>
      <c r="MVK33" s="16"/>
      <c r="MVL33" s="16"/>
      <c r="MVM33" s="16"/>
      <c r="MVN33" s="16"/>
      <c r="MVO33" s="16"/>
      <c r="MVP33" s="16"/>
      <c r="MVQ33" s="16"/>
      <c r="MVR33" s="16"/>
      <c r="MVS33" s="16"/>
      <c r="MVT33" s="16"/>
      <c r="MVU33" s="16"/>
      <c r="MVV33" s="16"/>
      <c r="MVW33" s="16"/>
      <c r="MVX33" s="16"/>
      <c r="MVY33" s="16"/>
      <c r="MVZ33" s="16"/>
      <c r="MWA33" s="16"/>
      <c r="MWB33" s="16"/>
      <c r="MWC33" s="16"/>
      <c r="MWD33" s="16"/>
      <c r="MWE33" s="16"/>
      <c r="MWF33" s="16"/>
      <c r="MWG33" s="16"/>
      <c r="MWH33" s="16"/>
      <c r="MWI33" s="16"/>
      <c r="MWJ33" s="16"/>
      <c r="MWK33" s="16"/>
      <c r="MWL33" s="16"/>
      <c r="MWM33" s="16"/>
      <c r="MWN33" s="16"/>
      <c r="MWO33" s="16"/>
      <c r="MWP33" s="16"/>
      <c r="MWQ33" s="16"/>
      <c r="MWR33" s="16"/>
      <c r="MWS33" s="16"/>
      <c r="MWT33" s="16"/>
      <c r="MWU33" s="16"/>
      <c r="MWV33" s="16"/>
      <c r="MWW33" s="16"/>
      <c r="MWX33" s="16"/>
      <c r="MWY33" s="16"/>
      <c r="MWZ33" s="16"/>
      <c r="MXA33" s="16"/>
      <c r="MXB33" s="16"/>
      <c r="MXC33" s="16"/>
      <c r="MXD33" s="16"/>
      <c r="MXE33" s="16"/>
      <c r="MXF33" s="16"/>
      <c r="MXG33" s="16"/>
      <c r="MXH33" s="16"/>
      <c r="MXI33" s="16"/>
      <c r="MXJ33" s="16"/>
      <c r="MXK33" s="16"/>
      <c r="MXL33" s="16"/>
      <c r="MXM33" s="16"/>
      <c r="MXN33" s="16"/>
      <c r="MXO33" s="16"/>
      <c r="MXP33" s="16"/>
      <c r="MXQ33" s="16"/>
      <c r="MXR33" s="16"/>
      <c r="MXS33" s="16"/>
      <c r="MXT33" s="16"/>
      <c r="MXU33" s="16"/>
      <c r="MXV33" s="16"/>
      <c r="MXW33" s="16"/>
      <c r="MXX33" s="16"/>
      <c r="MXY33" s="16"/>
      <c r="MXZ33" s="16"/>
      <c r="MYA33" s="16"/>
      <c r="MYB33" s="16"/>
      <c r="MYC33" s="16"/>
      <c r="MYD33" s="16"/>
      <c r="MYE33" s="16"/>
      <c r="MYF33" s="16"/>
      <c r="MYG33" s="16"/>
      <c r="MYH33" s="16"/>
      <c r="MYI33" s="16"/>
      <c r="MYJ33" s="16"/>
      <c r="MYK33" s="16"/>
      <c r="MYL33" s="16"/>
      <c r="MYM33" s="16"/>
      <c r="MYN33" s="16"/>
      <c r="MYO33" s="16"/>
      <c r="MYP33" s="16"/>
      <c r="MYQ33" s="16"/>
      <c r="MYR33" s="16"/>
      <c r="MYS33" s="16"/>
      <c r="MYT33" s="16"/>
      <c r="MYU33" s="16"/>
      <c r="MYV33" s="16"/>
      <c r="MYW33" s="16"/>
      <c r="MYX33" s="16"/>
      <c r="MYY33" s="16"/>
      <c r="MYZ33" s="16"/>
      <c r="MZA33" s="16"/>
      <c r="MZB33" s="16"/>
      <c r="MZC33" s="16"/>
      <c r="MZD33" s="16"/>
      <c r="MZE33" s="16"/>
      <c r="MZF33" s="16"/>
      <c r="MZG33" s="16"/>
      <c r="MZH33" s="16"/>
      <c r="MZI33" s="16"/>
      <c r="MZJ33" s="16"/>
      <c r="MZK33" s="16"/>
      <c r="MZL33" s="16"/>
      <c r="MZM33" s="16"/>
      <c r="MZN33" s="16"/>
      <c r="MZO33" s="16"/>
      <c r="MZP33" s="16"/>
      <c r="MZQ33" s="16"/>
      <c r="MZR33" s="16"/>
      <c r="MZS33" s="16"/>
      <c r="MZT33" s="16"/>
      <c r="MZU33" s="16"/>
      <c r="MZV33" s="16"/>
      <c r="MZW33" s="16"/>
      <c r="MZX33" s="16"/>
      <c r="MZY33" s="16"/>
      <c r="MZZ33" s="16"/>
      <c r="NAA33" s="16"/>
      <c r="NAB33" s="16"/>
      <c r="NAC33" s="16"/>
      <c r="NAD33" s="16"/>
      <c r="NAE33" s="16"/>
      <c r="NAF33" s="16"/>
      <c r="NAG33" s="16"/>
      <c r="NAH33" s="16"/>
      <c r="NAI33" s="16"/>
      <c r="NAJ33" s="16"/>
      <c r="NAK33" s="16"/>
      <c r="NAL33" s="16"/>
      <c r="NAM33" s="16"/>
      <c r="NAN33" s="16"/>
      <c r="NAO33" s="16"/>
      <c r="NAP33" s="16"/>
      <c r="NAQ33" s="16"/>
      <c r="NAR33" s="16"/>
      <c r="NAS33" s="16"/>
      <c r="NAT33" s="16"/>
      <c r="NAU33" s="16"/>
      <c r="NAV33" s="16"/>
      <c r="NAW33" s="16"/>
      <c r="NAX33" s="16"/>
      <c r="NAY33" s="16"/>
      <c r="NAZ33" s="16"/>
      <c r="NBA33" s="16"/>
      <c r="NBB33" s="16"/>
      <c r="NBC33" s="16"/>
      <c r="NBD33" s="16"/>
      <c r="NBE33" s="16"/>
      <c r="NBF33" s="16"/>
      <c r="NBG33" s="16"/>
      <c r="NBH33" s="16"/>
      <c r="NBI33" s="16"/>
      <c r="NBJ33" s="16"/>
      <c r="NBK33" s="16"/>
      <c r="NBL33" s="16"/>
      <c r="NBM33" s="16"/>
      <c r="NBN33" s="16"/>
      <c r="NBO33" s="16"/>
      <c r="NBP33" s="16"/>
      <c r="NBQ33" s="16"/>
      <c r="NBR33" s="16"/>
      <c r="NBS33" s="16"/>
      <c r="NBT33" s="16"/>
      <c r="NBU33" s="16"/>
      <c r="NBV33" s="16"/>
      <c r="NBW33" s="16"/>
      <c r="NBX33" s="16"/>
      <c r="NBY33" s="16"/>
      <c r="NBZ33" s="16"/>
      <c r="NCA33" s="16"/>
      <c r="NCB33" s="16"/>
      <c r="NCC33" s="16"/>
      <c r="NCD33" s="16"/>
      <c r="NCE33" s="16"/>
      <c r="NCF33" s="16"/>
      <c r="NCG33" s="16"/>
      <c r="NCH33" s="16"/>
      <c r="NCI33" s="16"/>
      <c r="NCJ33" s="16"/>
      <c r="NCK33" s="16"/>
      <c r="NCL33" s="16"/>
      <c r="NCM33" s="16"/>
      <c r="NCN33" s="16"/>
      <c r="NCO33" s="16"/>
      <c r="NCP33" s="16"/>
      <c r="NCQ33" s="16"/>
      <c r="NCR33" s="16"/>
      <c r="NCS33" s="16"/>
      <c r="NCT33" s="16"/>
      <c r="NCU33" s="16"/>
      <c r="NCV33" s="16"/>
      <c r="NCW33" s="16"/>
      <c r="NCX33" s="16"/>
      <c r="NCY33" s="16"/>
      <c r="NCZ33" s="16"/>
      <c r="NDA33" s="16"/>
      <c r="NDB33" s="16"/>
      <c r="NDC33" s="16"/>
      <c r="NDD33" s="16"/>
      <c r="NDE33" s="16"/>
      <c r="NDF33" s="16"/>
      <c r="NDG33" s="16"/>
      <c r="NDH33" s="16"/>
      <c r="NDI33" s="16"/>
      <c r="NDJ33" s="16"/>
      <c r="NDK33" s="16"/>
      <c r="NDL33" s="16"/>
      <c r="NDM33" s="16"/>
      <c r="NDN33" s="16"/>
      <c r="NDO33" s="16"/>
      <c r="NDP33" s="16"/>
      <c r="NDQ33" s="16"/>
      <c r="NDR33" s="16"/>
      <c r="NDS33" s="16"/>
      <c r="NDT33" s="16"/>
      <c r="NDU33" s="16"/>
      <c r="NDV33" s="16"/>
      <c r="NDW33" s="16"/>
      <c r="NDX33" s="16"/>
      <c r="NDY33" s="16"/>
      <c r="NDZ33" s="16"/>
      <c r="NEA33" s="16"/>
      <c r="NEB33" s="16"/>
      <c r="NEC33" s="16"/>
      <c r="NED33" s="16"/>
      <c r="NEE33" s="16"/>
      <c r="NEF33" s="16"/>
      <c r="NEG33" s="16"/>
      <c r="NEH33" s="16"/>
      <c r="NEI33" s="16"/>
      <c r="NEJ33" s="16"/>
      <c r="NEK33" s="16"/>
      <c r="NEL33" s="16"/>
      <c r="NEM33" s="16"/>
      <c r="NEN33" s="16"/>
      <c r="NEO33" s="16"/>
      <c r="NEP33" s="16"/>
      <c r="NEQ33" s="16"/>
      <c r="NER33" s="16"/>
      <c r="NES33" s="16"/>
      <c r="NET33" s="16"/>
      <c r="NEU33" s="16"/>
      <c r="NEV33" s="16"/>
      <c r="NEW33" s="16"/>
      <c r="NEX33" s="16"/>
      <c r="NEY33" s="16"/>
      <c r="NEZ33" s="16"/>
      <c r="NFA33" s="16"/>
      <c r="NFB33" s="16"/>
      <c r="NFC33" s="16"/>
      <c r="NFD33" s="16"/>
      <c r="NFE33" s="16"/>
      <c r="NFF33" s="16"/>
      <c r="NFG33" s="16"/>
      <c r="NFH33" s="16"/>
      <c r="NFI33" s="16"/>
      <c r="NFJ33" s="16"/>
      <c r="NFK33" s="16"/>
      <c r="NFL33" s="16"/>
      <c r="NFM33" s="16"/>
      <c r="NFN33" s="16"/>
      <c r="NFO33" s="16"/>
      <c r="NFP33" s="16"/>
      <c r="NFQ33" s="16"/>
      <c r="NFR33" s="16"/>
      <c r="NFS33" s="16"/>
      <c r="NFT33" s="16"/>
      <c r="NFU33" s="16"/>
      <c r="NFV33" s="16"/>
      <c r="NFW33" s="16"/>
      <c r="NFX33" s="16"/>
      <c r="NFY33" s="16"/>
      <c r="NFZ33" s="16"/>
      <c r="NGA33" s="16"/>
      <c r="NGB33" s="16"/>
      <c r="NGC33" s="16"/>
      <c r="NGD33" s="16"/>
      <c r="NGE33" s="16"/>
      <c r="NGF33" s="16"/>
      <c r="NGG33" s="16"/>
      <c r="NGH33" s="16"/>
      <c r="NGI33" s="16"/>
      <c r="NGJ33" s="16"/>
      <c r="NGK33" s="16"/>
      <c r="NGL33" s="16"/>
      <c r="NGM33" s="16"/>
      <c r="NGN33" s="16"/>
      <c r="NGO33" s="16"/>
      <c r="NGP33" s="16"/>
      <c r="NGQ33" s="16"/>
      <c r="NGR33" s="16"/>
      <c r="NGS33" s="16"/>
      <c r="NGT33" s="16"/>
      <c r="NGU33" s="16"/>
      <c r="NGV33" s="16"/>
      <c r="NGW33" s="16"/>
      <c r="NGX33" s="16"/>
      <c r="NGY33" s="16"/>
      <c r="NGZ33" s="16"/>
      <c r="NHA33" s="16"/>
      <c r="NHB33" s="16"/>
      <c r="NHC33" s="16"/>
      <c r="NHD33" s="16"/>
      <c r="NHE33" s="16"/>
      <c r="NHF33" s="16"/>
      <c r="NHG33" s="16"/>
      <c r="NHH33" s="16"/>
      <c r="NHI33" s="16"/>
      <c r="NHJ33" s="16"/>
      <c r="NHK33" s="16"/>
      <c r="NHL33" s="16"/>
      <c r="NHM33" s="16"/>
      <c r="NHN33" s="16"/>
      <c r="NHO33" s="16"/>
      <c r="NHP33" s="16"/>
      <c r="NHQ33" s="16"/>
      <c r="NHR33" s="16"/>
      <c r="NHS33" s="16"/>
      <c r="NHT33" s="16"/>
      <c r="NHU33" s="16"/>
      <c r="NHV33" s="16"/>
      <c r="NHW33" s="16"/>
      <c r="NHX33" s="16"/>
      <c r="NHY33" s="16"/>
      <c r="NHZ33" s="16"/>
      <c r="NIA33" s="16"/>
      <c r="NIB33" s="16"/>
      <c r="NIC33" s="16"/>
      <c r="NID33" s="16"/>
      <c r="NIE33" s="16"/>
      <c r="NIF33" s="16"/>
      <c r="NIG33" s="16"/>
      <c r="NIH33" s="16"/>
      <c r="NII33" s="16"/>
      <c r="NIJ33" s="16"/>
      <c r="NIK33" s="16"/>
      <c r="NIL33" s="16"/>
      <c r="NIM33" s="16"/>
      <c r="NIN33" s="16"/>
      <c r="NIO33" s="16"/>
      <c r="NIP33" s="16"/>
      <c r="NIQ33" s="16"/>
      <c r="NIR33" s="16"/>
      <c r="NIS33" s="16"/>
      <c r="NIT33" s="16"/>
      <c r="NIU33" s="16"/>
      <c r="NIV33" s="16"/>
      <c r="NIW33" s="16"/>
      <c r="NIX33" s="16"/>
      <c r="NIY33" s="16"/>
      <c r="NIZ33" s="16"/>
      <c r="NJA33" s="16"/>
      <c r="NJB33" s="16"/>
      <c r="NJC33" s="16"/>
      <c r="NJD33" s="16"/>
      <c r="NJE33" s="16"/>
      <c r="NJF33" s="16"/>
      <c r="NJG33" s="16"/>
      <c r="NJH33" s="16"/>
      <c r="NJI33" s="16"/>
      <c r="NJJ33" s="16"/>
      <c r="NJK33" s="16"/>
      <c r="NJL33" s="16"/>
      <c r="NJM33" s="16"/>
      <c r="NJN33" s="16"/>
      <c r="NJO33" s="16"/>
      <c r="NJP33" s="16"/>
      <c r="NJQ33" s="16"/>
      <c r="NJR33" s="16"/>
      <c r="NJS33" s="16"/>
      <c r="NJT33" s="16"/>
      <c r="NJU33" s="16"/>
      <c r="NJV33" s="16"/>
      <c r="NJW33" s="16"/>
      <c r="NJX33" s="16"/>
      <c r="NJY33" s="16"/>
      <c r="NJZ33" s="16"/>
      <c r="NKA33" s="16"/>
      <c r="NKB33" s="16"/>
      <c r="NKC33" s="16"/>
      <c r="NKD33" s="16"/>
      <c r="NKE33" s="16"/>
      <c r="NKF33" s="16"/>
      <c r="NKG33" s="16"/>
      <c r="NKH33" s="16"/>
      <c r="NKI33" s="16"/>
      <c r="NKJ33" s="16"/>
      <c r="NKK33" s="16"/>
      <c r="NKL33" s="16"/>
      <c r="NKM33" s="16"/>
      <c r="NKN33" s="16"/>
      <c r="NKO33" s="16"/>
      <c r="NKP33" s="16"/>
      <c r="NKQ33" s="16"/>
      <c r="NKR33" s="16"/>
      <c r="NKS33" s="16"/>
      <c r="NKT33" s="16"/>
      <c r="NKU33" s="16"/>
      <c r="NKV33" s="16"/>
      <c r="NKW33" s="16"/>
      <c r="NKX33" s="16"/>
      <c r="NKY33" s="16"/>
      <c r="NKZ33" s="16"/>
      <c r="NLA33" s="16"/>
      <c r="NLB33" s="16"/>
      <c r="NLC33" s="16"/>
      <c r="NLD33" s="16"/>
      <c r="NLE33" s="16"/>
      <c r="NLF33" s="16"/>
      <c r="NLG33" s="16"/>
      <c r="NLH33" s="16"/>
      <c r="NLI33" s="16"/>
      <c r="NLJ33" s="16"/>
      <c r="NLK33" s="16"/>
      <c r="NLL33" s="16"/>
      <c r="NLM33" s="16"/>
      <c r="NLN33" s="16"/>
      <c r="NLO33" s="16"/>
      <c r="NLP33" s="16"/>
      <c r="NLQ33" s="16"/>
      <c r="NLR33" s="16"/>
      <c r="NLS33" s="16"/>
      <c r="NLT33" s="16"/>
      <c r="NLU33" s="16"/>
      <c r="NLV33" s="16"/>
      <c r="NLW33" s="16"/>
      <c r="NLX33" s="16"/>
      <c r="NLY33" s="16"/>
      <c r="NLZ33" s="16"/>
      <c r="NMA33" s="16"/>
      <c r="NMB33" s="16"/>
      <c r="NMC33" s="16"/>
      <c r="NMD33" s="16"/>
      <c r="NME33" s="16"/>
      <c r="NMF33" s="16"/>
      <c r="NMG33" s="16"/>
      <c r="NMH33" s="16"/>
      <c r="NMI33" s="16"/>
      <c r="NMJ33" s="16"/>
      <c r="NMK33" s="16"/>
      <c r="NML33" s="16"/>
      <c r="NMM33" s="16"/>
      <c r="NMN33" s="16"/>
      <c r="NMO33" s="16"/>
      <c r="NMP33" s="16"/>
      <c r="NMQ33" s="16"/>
      <c r="NMR33" s="16"/>
      <c r="NMS33" s="16"/>
      <c r="NMT33" s="16"/>
      <c r="NMU33" s="16"/>
      <c r="NMV33" s="16"/>
      <c r="NMW33" s="16"/>
      <c r="NMX33" s="16"/>
      <c r="NMY33" s="16"/>
      <c r="NMZ33" s="16"/>
      <c r="NNA33" s="16"/>
      <c r="NNB33" s="16"/>
      <c r="NNC33" s="16"/>
      <c r="NND33" s="16"/>
      <c r="NNE33" s="16"/>
      <c r="NNF33" s="16"/>
      <c r="NNG33" s="16"/>
      <c r="NNH33" s="16"/>
      <c r="NNI33" s="16"/>
      <c r="NNJ33" s="16"/>
      <c r="NNK33" s="16"/>
      <c r="NNL33" s="16"/>
      <c r="NNM33" s="16"/>
      <c r="NNN33" s="16"/>
      <c r="NNO33" s="16"/>
      <c r="NNP33" s="16"/>
      <c r="NNQ33" s="16"/>
      <c r="NNR33" s="16"/>
      <c r="NNS33" s="16"/>
      <c r="NNT33" s="16"/>
      <c r="NNU33" s="16"/>
      <c r="NNV33" s="16"/>
      <c r="NNW33" s="16"/>
      <c r="NNX33" s="16"/>
      <c r="NNY33" s="16"/>
      <c r="NNZ33" s="16"/>
      <c r="NOA33" s="16"/>
      <c r="NOB33" s="16"/>
      <c r="NOC33" s="16"/>
      <c r="NOD33" s="16"/>
      <c r="NOE33" s="16"/>
      <c r="NOF33" s="16"/>
      <c r="NOG33" s="16"/>
      <c r="NOH33" s="16"/>
      <c r="NOI33" s="16"/>
      <c r="NOJ33" s="16"/>
      <c r="NOK33" s="16"/>
      <c r="NOL33" s="16"/>
      <c r="NOM33" s="16"/>
      <c r="NON33" s="16"/>
      <c r="NOO33" s="16"/>
      <c r="NOP33" s="16"/>
      <c r="NOQ33" s="16"/>
      <c r="NOR33" s="16"/>
      <c r="NOS33" s="16"/>
      <c r="NOT33" s="16"/>
      <c r="NOU33" s="16"/>
      <c r="NOV33" s="16"/>
      <c r="NOW33" s="16"/>
      <c r="NOX33" s="16"/>
      <c r="NOY33" s="16"/>
      <c r="NOZ33" s="16"/>
      <c r="NPA33" s="16"/>
      <c r="NPB33" s="16"/>
      <c r="NPC33" s="16"/>
      <c r="NPD33" s="16"/>
      <c r="NPE33" s="16"/>
      <c r="NPF33" s="16"/>
      <c r="NPG33" s="16"/>
      <c r="NPH33" s="16"/>
      <c r="NPI33" s="16"/>
      <c r="NPJ33" s="16"/>
      <c r="NPK33" s="16"/>
      <c r="NPL33" s="16"/>
      <c r="NPM33" s="16"/>
      <c r="NPN33" s="16"/>
      <c r="NPO33" s="16"/>
      <c r="NPP33" s="16"/>
      <c r="NPQ33" s="16"/>
      <c r="NPR33" s="16"/>
      <c r="NPS33" s="16"/>
      <c r="NPT33" s="16"/>
      <c r="NPU33" s="16"/>
      <c r="NPV33" s="16"/>
      <c r="NPW33" s="16"/>
      <c r="NPX33" s="16"/>
      <c r="NPY33" s="16"/>
      <c r="NPZ33" s="16"/>
      <c r="NQA33" s="16"/>
      <c r="NQB33" s="16"/>
      <c r="NQC33" s="16"/>
      <c r="NQD33" s="16"/>
      <c r="NQE33" s="16"/>
      <c r="NQF33" s="16"/>
      <c r="NQG33" s="16"/>
      <c r="NQH33" s="16"/>
      <c r="NQI33" s="16"/>
      <c r="NQJ33" s="16"/>
      <c r="NQK33" s="16"/>
      <c r="NQL33" s="16"/>
      <c r="NQM33" s="16"/>
      <c r="NQN33" s="16"/>
      <c r="NQO33" s="16"/>
      <c r="NQP33" s="16"/>
      <c r="NQQ33" s="16"/>
      <c r="NQR33" s="16"/>
      <c r="NQS33" s="16"/>
      <c r="NQT33" s="16"/>
      <c r="NQU33" s="16"/>
      <c r="NQV33" s="16"/>
      <c r="NQW33" s="16"/>
      <c r="NQX33" s="16"/>
      <c r="NQY33" s="16"/>
      <c r="NQZ33" s="16"/>
      <c r="NRA33" s="16"/>
      <c r="NRB33" s="16"/>
      <c r="NRC33" s="16"/>
      <c r="NRD33" s="16"/>
      <c r="NRE33" s="16"/>
      <c r="NRF33" s="16"/>
      <c r="NRG33" s="16"/>
      <c r="NRH33" s="16"/>
      <c r="NRI33" s="16"/>
      <c r="NRJ33" s="16"/>
      <c r="NRK33" s="16"/>
      <c r="NRL33" s="16"/>
      <c r="NRM33" s="16"/>
      <c r="NRN33" s="16"/>
      <c r="NRO33" s="16"/>
      <c r="NRP33" s="16"/>
      <c r="NRQ33" s="16"/>
      <c r="NRR33" s="16"/>
      <c r="NRS33" s="16"/>
      <c r="NRT33" s="16"/>
      <c r="NRU33" s="16"/>
      <c r="NRV33" s="16"/>
      <c r="NRW33" s="16"/>
      <c r="NRX33" s="16"/>
      <c r="NRY33" s="16"/>
      <c r="NRZ33" s="16"/>
      <c r="NSA33" s="16"/>
      <c r="NSB33" s="16"/>
      <c r="NSC33" s="16"/>
      <c r="NSD33" s="16"/>
      <c r="NSE33" s="16"/>
      <c r="NSF33" s="16"/>
      <c r="NSG33" s="16"/>
      <c r="NSH33" s="16"/>
      <c r="NSI33" s="16"/>
      <c r="NSJ33" s="16"/>
      <c r="NSK33" s="16"/>
      <c r="NSL33" s="16"/>
      <c r="NSM33" s="16"/>
      <c r="NSN33" s="16"/>
      <c r="NSO33" s="16"/>
      <c r="NSP33" s="16"/>
      <c r="NSQ33" s="16"/>
      <c r="NSR33" s="16"/>
      <c r="NSS33" s="16"/>
      <c r="NST33" s="16"/>
      <c r="NSU33" s="16"/>
      <c r="NSV33" s="16"/>
      <c r="NSW33" s="16"/>
      <c r="NSX33" s="16"/>
      <c r="NSY33" s="16"/>
      <c r="NSZ33" s="16"/>
      <c r="NTA33" s="16"/>
      <c r="NTB33" s="16"/>
      <c r="NTC33" s="16"/>
      <c r="NTD33" s="16"/>
      <c r="NTE33" s="16"/>
      <c r="NTF33" s="16"/>
      <c r="NTG33" s="16"/>
      <c r="NTH33" s="16"/>
      <c r="NTI33" s="16"/>
      <c r="NTJ33" s="16"/>
      <c r="NTK33" s="16"/>
      <c r="NTL33" s="16"/>
      <c r="NTM33" s="16"/>
      <c r="NTN33" s="16"/>
      <c r="NTO33" s="16"/>
      <c r="NTP33" s="16"/>
      <c r="NTQ33" s="16"/>
      <c r="NTR33" s="16"/>
      <c r="NTS33" s="16"/>
      <c r="NTT33" s="16"/>
      <c r="NTU33" s="16"/>
      <c r="NTV33" s="16"/>
      <c r="NTW33" s="16"/>
      <c r="NTX33" s="16"/>
      <c r="NTY33" s="16"/>
      <c r="NTZ33" s="16"/>
      <c r="NUA33" s="16"/>
      <c r="NUB33" s="16"/>
      <c r="NUC33" s="16"/>
      <c r="NUD33" s="16"/>
      <c r="NUE33" s="16"/>
      <c r="NUF33" s="16"/>
      <c r="NUG33" s="16"/>
      <c r="NUH33" s="16"/>
      <c r="NUI33" s="16"/>
      <c r="NUJ33" s="16"/>
      <c r="NUK33" s="16"/>
      <c r="NUL33" s="16"/>
      <c r="NUM33" s="16"/>
      <c r="NUN33" s="16"/>
      <c r="NUO33" s="16"/>
      <c r="NUP33" s="16"/>
      <c r="NUQ33" s="16"/>
      <c r="NUR33" s="16"/>
      <c r="NUS33" s="16"/>
      <c r="NUT33" s="16"/>
      <c r="NUU33" s="16"/>
      <c r="NUV33" s="16"/>
      <c r="NUW33" s="16"/>
      <c r="NUX33" s="16"/>
      <c r="NUY33" s="16"/>
      <c r="NUZ33" s="16"/>
      <c r="NVA33" s="16"/>
      <c r="NVB33" s="16"/>
      <c r="NVC33" s="16"/>
      <c r="NVD33" s="16"/>
      <c r="NVE33" s="16"/>
      <c r="NVF33" s="16"/>
      <c r="NVG33" s="16"/>
      <c r="NVH33" s="16"/>
      <c r="NVI33" s="16"/>
      <c r="NVJ33" s="16"/>
      <c r="NVK33" s="16"/>
      <c r="NVL33" s="16"/>
      <c r="NVM33" s="16"/>
      <c r="NVN33" s="16"/>
      <c r="NVO33" s="16"/>
      <c r="NVP33" s="16"/>
      <c r="NVQ33" s="16"/>
      <c r="NVR33" s="16"/>
      <c r="NVS33" s="16"/>
      <c r="NVT33" s="16"/>
      <c r="NVU33" s="16"/>
      <c r="NVV33" s="16"/>
      <c r="NVW33" s="16"/>
      <c r="NVX33" s="16"/>
      <c r="NVY33" s="16"/>
      <c r="NVZ33" s="16"/>
      <c r="NWA33" s="16"/>
      <c r="NWB33" s="16"/>
      <c r="NWC33" s="16"/>
      <c r="NWD33" s="16"/>
      <c r="NWE33" s="16"/>
      <c r="NWF33" s="16"/>
      <c r="NWG33" s="16"/>
      <c r="NWH33" s="16"/>
      <c r="NWI33" s="16"/>
      <c r="NWJ33" s="16"/>
      <c r="NWK33" s="16"/>
      <c r="NWL33" s="16"/>
      <c r="NWM33" s="16"/>
      <c r="NWN33" s="16"/>
      <c r="NWO33" s="16"/>
      <c r="NWP33" s="16"/>
      <c r="NWQ33" s="16"/>
      <c r="NWR33" s="16"/>
      <c r="NWS33" s="16"/>
      <c r="NWT33" s="16"/>
      <c r="NWU33" s="16"/>
      <c r="NWV33" s="16"/>
      <c r="NWW33" s="16"/>
      <c r="NWX33" s="16"/>
      <c r="NWY33" s="16"/>
      <c r="NWZ33" s="16"/>
      <c r="NXA33" s="16"/>
      <c r="NXB33" s="16"/>
      <c r="NXC33" s="16"/>
      <c r="NXD33" s="16"/>
      <c r="NXE33" s="16"/>
      <c r="NXF33" s="16"/>
      <c r="NXG33" s="16"/>
      <c r="NXH33" s="16"/>
      <c r="NXI33" s="16"/>
      <c r="NXJ33" s="16"/>
      <c r="NXK33" s="16"/>
      <c r="NXL33" s="16"/>
      <c r="NXM33" s="16"/>
      <c r="NXN33" s="16"/>
      <c r="NXO33" s="16"/>
      <c r="NXP33" s="16"/>
      <c r="NXQ33" s="16"/>
      <c r="NXR33" s="16"/>
      <c r="NXS33" s="16"/>
      <c r="NXT33" s="16"/>
      <c r="NXU33" s="16"/>
      <c r="NXV33" s="16"/>
      <c r="NXW33" s="16"/>
      <c r="NXX33" s="16"/>
      <c r="NXY33" s="16"/>
      <c r="NXZ33" s="16"/>
      <c r="NYA33" s="16"/>
      <c r="NYB33" s="16"/>
      <c r="NYC33" s="16"/>
      <c r="NYD33" s="16"/>
      <c r="NYE33" s="16"/>
      <c r="NYF33" s="16"/>
      <c r="NYG33" s="16"/>
      <c r="NYH33" s="16"/>
      <c r="NYI33" s="16"/>
      <c r="NYJ33" s="16"/>
      <c r="NYK33" s="16"/>
      <c r="NYL33" s="16"/>
      <c r="NYM33" s="16"/>
      <c r="NYN33" s="16"/>
      <c r="NYO33" s="16"/>
      <c r="NYP33" s="16"/>
      <c r="NYQ33" s="16"/>
      <c r="NYR33" s="16"/>
      <c r="NYS33" s="16"/>
      <c r="NYT33" s="16"/>
      <c r="NYU33" s="16"/>
      <c r="NYV33" s="16"/>
      <c r="NYW33" s="16"/>
      <c r="NYX33" s="16"/>
      <c r="NYY33" s="16"/>
      <c r="NYZ33" s="16"/>
      <c r="NZA33" s="16"/>
      <c r="NZB33" s="16"/>
      <c r="NZC33" s="16"/>
      <c r="NZD33" s="16"/>
      <c r="NZE33" s="16"/>
      <c r="NZF33" s="16"/>
      <c r="NZG33" s="16"/>
      <c r="NZH33" s="16"/>
      <c r="NZI33" s="16"/>
      <c r="NZJ33" s="16"/>
      <c r="NZK33" s="16"/>
      <c r="NZL33" s="16"/>
      <c r="NZM33" s="16"/>
      <c r="NZN33" s="16"/>
      <c r="NZO33" s="16"/>
      <c r="NZP33" s="16"/>
      <c r="NZQ33" s="16"/>
      <c r="NZR33" s="16"/>
      <c r="NZS33" s="16"/>
      <c r="NZT33" s="16"/>
      <c r="NZU33" s="16"/>
      <c r="NZV33" s="16"/>
      <c r="NZW33" s="16"/>
      <c r="NZX33" s="16"/>
      <c r="NZY33" s="16"/>
      <c r="NZZ33" s="16"/>
      <c r="OAA33" s="16"/>
      <c r="OAB33" s="16"/>
      <c r="OAC33" s="16"/>
      <c r="OAD33" s="16"/>
      <c r="OAE33" s="16"/>
      <c r="OAF33" s="16"/>
      <c r="OAG33" s="16"/>
      <c r="OAH33" s="16"/>
      <c r="OAI33" s="16"/>
      <c r="OAJ33" s="16"/>
      <c r="OAK33" s="16"/>
      <c r="OAL33" s="16"/>
      <c r="OAM33" s="16"/>
      <c r="OAN33" s="16"/>
      <c r="OAO33" s="16"/>
      <c r="OAP33" s="16"/>
      <c r="OAQ33" s="16"/>
      <c r="OAR33" s="16"/>
      <c r="OAS33" s="16"/>
      <c r="OAT33" s="16"/>
      <c r="OAU33" s="16"/>
      <c r="OAV33" s="16"/>
      <c r="OAW33" s="16"/>
      <c r="OAX33" s="16"/>
      <c r="OAY33" s="16"/>
      <c r="OAZ33" s="16"/>
      <c r="OBA33" s="16"/>
      <c r="OBB33" s="16"/>
      <c r="OBC33" s="16"/>
      <c r="OBD33" s="16"/>
      <c r="OBE33" s="16"/>
      <c r="OBF33" s="16"/>
      <c r="OBG33" s="16"/>
      <c r="OBH33" s="16"/>
      <c r="OBI33" s="16"/>
      <c r="OBJ33" s="16"/>
      <c r="OBK33" s="16"/>
      <c r="OBL33" s="16"/>
      <c r="OBM33" s="16"/>
      <c r="OBN33" s="16"/>
      <c r="OBO33" s="16"/>
      <c r="OBP33" s="16"/>
      <c r="OBQ33" s="16"/>
      <c r="OBR33" s="16"/>
      <c r="OBS33" s="16"/>
      <c r="OBT33" s="16"/>
      <c r="OBU33" s="16"/>
      <c r="OBV33" s="16"/>
      <c r="OBW33" s="16"/>
      <c r="OBX33" s="16"/>
      <c r="OBY33" s="16"/>
      <c r="OBZ33" s="16"/>
      <c r="OCA33" s="16"/>
      <c r="OCB33" s="16"/>
      <c r="OCC33" s="16"/>
      <c r="OCD33" s="16"/>
      <c r="OCE33" s="16"/>
      <c r="OCF33" s="16"/>
      <c r="OCG33" s="16"/>
      <c r="OCH33" s="16"/>
      <c r="OCI33" s="16"/>
      <c r="OCJ33" s="16"/>
      <c r="OCK33" s="16"/>
      <c r="OCL33" s="16"/>
      <c r="OCM33" s="16"/>
      <c r="OCN33" s="16"/>
      <c r="OCO33" s="16"/>
      <c r="OCP33" s="16"/>
      <c r="OCQ33" s="16"/>
      <c r="OCR33" s="16"/>
      <c r="OCS33" s="16"/>
      <c r="OCT33" s="16"/>
      <c r="OCU33" s="16"/>
      <c r="OCV33" s="16"/>
      <c r="OCW33" s="16"/>
      <c r="OCX33" s="16"/>
      <c r="OCY33" s="16"/>
      <c r="OCZ33" s="16"/>
      <c r="ODA33" s="16"/>
      <c r="ODB33" s="16"/>
      <c r="ODC33" s="16"/>
      <c r="ODD33" s="16"/>
      <c r="ODE33" s="16"/>
      <c r="ODF33" s="16"/>
      <c r="ODG33" s="16"/>
      <c r="ODH33" s="16"/>
      <c r="ODI33" s="16"/>
      <c r="ODJ33" s="16"/>
      <c r="ODK33" s="16"/>
      <c r="ODL33" s="16"/>
      <c r="ODM33" s="16"/>
      <c r="ODN33" s="16"/>
      <c r="ODO33" s="16"/>
      <c r="ODP33" s="16"/>
      <c r="ODQ33" s="16"/>
      <c r="ODR33" s="16"/>
      <c r="ODS33" s="16"/>
      <c r="ODT33" s="16"/>
      <c r="ODU33" s="16"/>
      <c r="ODV33" s="16"/>
      <c r="ODW33" s="16"/>
      <c r="ODX33" s="16"/>
      <c r="ODY33" s="16"/>
      <c r="ODZ33" s="16"/>
      <c r="OEA33" s="16"/>
      <c r="OEB33" s="16"/>
      <c r="OEC33" s="16"/>
      <c r="OED33" s="16"/>
      <c r="OEE33" s="16"/>
      <c r="OEF33" s="16"/>
      <c r="OEG33" s="16"/>
      <c r="OEH33" s="16"/>
      <c r="OEI33" s="16"/>
      <c r="OEJ33" s="16"/>
      <c r="OEK33" s="16"/>
      <c r="OEL33" s="16"/>
      <c r="OEM33" s="16"/>
      <c r="OEN33" s="16"/>
      <c r="OEO33" s="16"/>
      <c r="OEP33" s="16"/>
      <c r="OEQ33" s="16"/>
      <c r="OER33" s="16"/>
      <c r="OES33" s="16"/>
      <c r="OET33" s="16"/>
      <c r="OEU33" s="16"/>
      <c r="OEV33" s="16"/>
      <c r="OEW33" s="16"/>
      <c r="OEX33" s="16"/>
      <c r="OEY33" s="16"/>
      <c r="OEZ33" s="16"/>
      <c r="OFA33" s="16"/>
      <c r="OFB33" s="16"/>
      <c r="OFC33" s="16"/>
      <c r="OFD33" s="16"/>
      <c r="OFE33" s="16"/>
      <c r="OFF33" s="16"/>
      <c r="OFG33" s="16"/>
      <c r="OFH33" s="16"/>
      <c r="OFI33" s="16"/>
      <c r="OFJ33" s="16"/>
      <c r="OFK33" s="16"/>
      <c r="OFL33" s="16"/>
      <c r="OFM33" s="16"/>
      <c r="OFN33" s="16"/>
      <c r="OFO33" s="16"/>
      <c r="OFP33" s="16"/>
      <c r="OFQ33" s="16"/>
      <c r="OFR33" s="16"/>
      <c r="OFS33" s="16"/>
      <c r="OFT33" s="16"/>
      <c r="OFU33" s="16"/>
      <c r="OFV33" s="16"/>
      <c r="OFW33" s="16"/>
      <c r="OFX33" s="16"/>
      <c r="OFY33" s="16"/>
      <c r="OFZ33" s="16"/>
      <c r="OGA33" s="16"/>
      <c r="OGB33" s="16"/>
      <c r="OGC33" s="16"/>
      <c r="OGD33" s="16"/>
      <c r="OGE33" s="16"/>
      <c r="OGF33" s="16"/>
      <c r="OGG33" s="16"/>
      <c r="OGH33" s="16"/>
      <c r="OGI33" s="16"/>
      <c r="OGJ33" s="16"/>
      <c r="OGK33" s="16"/>
      <c r="OGL33" s="16"/>
      <c r="OGM33" s="16"/>
      <c r="OGN33" s="16"/>
      <c r="OGO33" s="16"/>
      <c r="OGP33" s="16"/>
      <c r="OGQ33" s="16"/>
      <c r="OGR33" s="16"/>
      <c r="OGS33" s="16"/>
      <c r="OGT33" s="16"/>
      <c r="OGU33" s="16"/>
      <c r="OGV33" s="16"/>
      <c r="OGW33" s="16"/>
      <c r="OGX33" s="16"/>
      <c r="OGY33" s="16"/>
      <c r="OGZ33" s="16"/>
      <c r="OHA33" s="16"/>
      <c r="OHB33" s="16"/>
      <c r="OHC33" s="16"/>
      <c r="OHD33" s="16"/>
      <c r="OHE33" s="16"/>
      <c r="OHF33" s="16"/>
      <c r="OHG33" s="16"/>
      <c r="OHH33" s="16"/>
      <c r="OHI33" s="16"/>
      <c r="OHJ33" s="16"/>
      <c r="OHK33" s="16"/>
      <c r="OHL33" s="16"/>
      <c r="OHM33" s="16"/>
      <c r="OHN33" s="16"/>
      <c r="OHO33" s="16"/>
      <c r="OHP33" s="16"/>
      <c r="OHQ33" s="16"/>
      <c r="OHR33" s="16"/>
      <c r="OHS33" s="16"/>
      <c r="OHT33" s="16"/>
      <c r="OHU33" s="16"/>
      <c r="OHV33" s="16"/>
      <c r="OHW33" s="16"/>
      <c r="OHX33" s="16"/>
      <c r="OHY33" s="16"/>
      <c r="OHZ33" s="16"/>
      <c r="OIA33" s="16"/>
      <c r="OIB33" s="16"/>
      <c r="OIC33" s="16"/>
      <c r="OID33" s="16"/>
      <c r="OIE33" s="16"/>
      <c r="OIF33" s="16"/>
      <c r="OIG33" s="16"/>
      <c r="OIH33" s="16"/>
      <c r="OII33" s="16"/>
      <c r="OIJ33" s="16"/>
      <c r="OIK33" s="16"/>
      <c r="OIL33" s="16"/>
      <c r="OIM33" s="16"/>
      <c r="OIN33" s="16"/>
      <c r="OIO33" s="16"/>
      <c r="OIP33" s="16"/>
      <c r="OIQ33" s="16"/>
      <c r="OIR33" s="16"/>
      <c r="OIS33" s="16"/>
      <c r="OIT33" s="16"/>
      <c r="OIU33" s="16"/>
      <c r="OIV33" s="16"/>
      <c r="OIW33" s="16"/>
      <c r="OIX33" s="16"/>
      <c r="OIY33" s="16"/>
      <c r="OIZ33" s="16"/>
      <c r="OJA33" s="16"/>
      <c r="OJB33" s="16"/>
      <c r="OJC33" s="16"/>
      <c r="OJD33" s="16"/>
      <c r="OJE33" s="16"/>
      <c r="OJF33" s="16"/>
      <c r="OJG33" s="16"/>
      <c r="OJH33" s="16"/>
      <c r="OJI33" s="16"/>
      <c r="OJJ33" s="16"/>
      <c r="OJK33" s="16"/>
      <c r="OJL33" s="16"/>
      <c r="OJM33" s="16"/>
      <c r="OJN33" s="16"/>
      <c r="OJO33" s="16"/>
      <c r="OJP33" s="16"/>
      <c r="OJQ33" s="16"/>
      <c r="OJR33" s="16"/>
      <c r="OJS33" s="16"/>
      <c r="OJT33" s="16"/>
      <c r="OJU33" s="16"/>
      <c r="OJV33" s="16"/>
      <c r="OJW33" s="16"/>
      <c r="OJX33" s="16"/>
      <c r="OJY33" s="16"/>
      <c r="OJZ33" s="16"/>
      <c r="OKA33" s="16"/>
      <c r="OKB33" s="16"/>
      <c r="OKC33" s="16"/>
      <c r="OKD33" s="16"/>
      <c r="OKE33" s="16"/>
      <c r="OKF33" s="16"/>
      <c r="OKG33" s="16"/>
      <c r="OKH33" s="16"/>
      <c r="OKI33" s="16"/>
      <c r="OKJ33" s="16"/>
      <c r="OKK33" s="16"/>
      <c r="OKL33" s="16"/>
      <c r="OKM33" s="16"/>
      <c r="OKN33" s="16"/>
      <c r="OKO33" s="16"/>
      <c r="OKP33" s="16"/>
      <c r="OKQ33" s="16"/>
      <c r="OKR33" s="16"/>
      <c r="OKS33" s="16"/>
      <c r="OKT33" s="16"/>
      <c r="OKU33" s="16"/>
      <c r="OKV33" s="16"/>
      <c r="OKW33" s="16"/>
      <c r="OKX33" s="16"/>
      <c r="OKY33" s="16"/>
      <c r="OKZ33" s="16"/>
      <c r="OLA33" s="16"/>
      <c r="OLB33" s="16"/>
      <c r="OLC33" s="16"/>
      <c r="OLD33" s="16"/>
      <c r="OLE33" s="16"/>
      <c r="OLF33" s="16"/>
      <c r="OLG33" s="16"/>
      <c r="OLH33" s="16"/>
      <c r="OLI33" s="16"/>
      <c r="OLJ33" s="16"/>
      <c r="OLK33" s="16"/>
      <c r="OLL33" s="16"/>
      <c r="OLM33" s="16"/>
      <c r="OLN33" s="16"/>
      <c r="OLO33" s="16"/>
      <c r="OLP33" s="16"/>
      <c r="OLQ33" s="16"/>
      <c r="OLR33" s="16"/>
      <c r="OLS33" s="16"/>
      <c r="OLT33" s="16"/>
      <c r="OLU33" s="16"/>
      <c r="OLV33" s="16"/>
      <c r="OLW33" s="16"/>
      <c r="OLX33" s="16"/>
      <c r="OLY33" s="16"/>
      <c r="OLZ33" s="16"/>
      <c r="OMA33" s="16"/>
      <c r="OMB33" s="16"/>
      <c r="OMC33" s="16"/>
      <c r="OMD33" s="16"/>
      <c r="OME33" s="16"/>
      <c r="OMF33" s="16"/>
      <c r="OMG33" s="16"/>
      <c r="OMH33" s="16"/>
      <c r="OMI33" s="16"/>
      <c r="OMJ33" s="16"/>
      <c r="OMK33" s="16"/>
      <c r="OML33" s="16"/>
      <c r="OMM33" s="16"/>
      <c r="OMN33" s="16"/>
      <c r="OMO33" s="16"/>
      <c r="OMP33" s="16"/>
      <c r="OMQ33" s="16"/>
      <c r="OMR33" s="16"/>
      <c r="OMS33" s="16"/>
      <c r="OMT33" s="16"/>
      <c r="OMU33" s="16"/>
      <c r="OMV33" s="16"/>
      <c r="OMW33" s="16"/>
      <c r="OMX33" s="16"/>
      <c r="OMY33" s="16"/>
      <c r="OMZ33" s="16"/>
      <c r="ONA33" s="16"/>
      <c r="ONB33" s="16"/>
      <c r="ONC33" s="16"/>
      <c r="OND33" s="16"/>
      <c r="ONE33" s="16"/>
      <c r="ONF33" s="16"/>
      <c r="ONG33" s="16"/>
      <c r="ONH33" s="16"/>
      <c r="ONI33" s="16"/>
      <c r="ONJ33" s="16"/>
      <c r="ONK33" s="16"/>
      <c r="ONL33" s="16"/>
      <c r="ONM33" s="16"/>
      <c r="ONN33" s="16"/>
      <c r="ONO33" s="16"/>
      <c r="ONP33" s="16"/>
      <c r="ONQ33" s="16"/>
      <c r="ONR33" s="16"/>
      <c r="ONS33" s="16"/>
      <c r="ONT33" s="16"/>
      <c r="ONU33" s="16"/>
      <c r="ONV33" s="16"/>
      <c r="ONW33" s="16"/>
      <c r="ONX33" s="16"/>
      <c r="ONY33" s="16"/>
      <c r="ONZ33" s="16"/>
      <c r="OOA33" s="16"/>
      <c r="OOB33" s="16"/>
      <c r="OOC33" s="16"/>
      <c r="OOD33" s="16"/>
      <c r="OOE33" s="16"/>
      <c r="OOF33" s="16"/>
      <c r="OOG33" s="16"/>
      <c r="OOH33" s="16"/>
      <c r="OOI33" s="16"/>
      <c r="OOJ33" s="16"/>
      <c r="OOK33" s="16"/>
      <c r="OOL33" s="16"/>
      <c r="OOM33" s="16"/>
      <c r="OON33" s="16"/>
      <c r="OOO33" s="16"/>
      <c r="OOP33" s="16"/>
      <c r="OOQ33" s="16"/>
      <c r="OOR33" s="16"/>
      <c r="OOS33" s="16"/>
      <c r="OOT33" s="16"/>
      <c r="OOU33" s="16"/>
      <c r="OOV33" s="16"/>
      <c r="OOW33" s="16"/>
      <c r="OOX33" s="16"/>
      <c r="OOY33" s="16"/>
      <c r="OOZ33" s="16"/>
      <c r="OPA33" s="16"/>
      <c r="OPB33" s="16"/>
      <c r="OPC33" s="16"/>
      <c r="OPD33" s="16"/>
      <c r="OPE33" s="16"/>
      <c r="OPF33" s="16"/>
      <c r="OPG33" s="16"/>
      <c r="OPH33" s="16"/>
      <c r="OPI33" s="16"/>
      <c r="OPJ33" s="16"/>
      <c r="OPK33" s="16"/>
      <c r="OPL33" s="16"/>
      <c r="OPM33" s="16"/>
      <c r="OPN33" s="16"/>
      <c r="OPO33" s="16"/>
      <c r="OPP33" s="16"/>
      <c r="OPQ33" s="16"/>
      <c r="OPR33" s="16"/>
      <c r="OPS33" s="16"/>
      <c r="OPT33" s="16"/>
      <c r="OPU33" s="16"/>
      <c r="OPV33" s="16"/>
      <c r="OPW33" s="16"/>
      <c r="OPX33" s="16"/>
      <c r="OPY33" s="16"/>
      <c r="OPZ33" s="16"/>
      <c r="OQA33" s="16"/>
      <c r="OQB33" s="16"/>
      <c r="OQC33" s="16"/>
      <c r="OQD33" s="16"/>
      <c r="OQE33" s="16"/>
      <c r="OQF33" s="16"/>
      <c r="OQG33" s="16"/>
      <c r="OQH33" s="16"/>
      <c r="OQI33" s="16"/>
      <c r="OQJ33" s="16"/>
      <c r="OQK33" s="16"/>
      <c r="OQL33" s="16"/>
      <c r="OQM33" s="16"/>
      <c r="OQN33" s="16"/>
      <c r="OQO33" s="16"/>
      <c r="OQP33" s="16"/>
      <c r="OQQ33" s="16"/>
      <c r="OQR33" s="16"/>
      <c r="OQS33" s="16"/>
      <c r="OQT33" s="16"/>
      <c r="OQU33" s="16"/>
      <c r="OQV33" s="16"/>
      <c r="OQW33" s="16"/>
      <c r="OQX33" s="16"/>
      <c r="OQY33" s="16"/>
      <c r="OQZ33" s="16"/>
      <c r="ORA33" s="16"/>
      <c r="ORB33" s="16"/>
      <c r="ORC33" s="16"/>
      <c r="ORD33" s="16"/>
      <c r="ORE33" s="16"/>
      <c r="ORF33" s="16"/>
      <c r="ORG33" s="16"/>
      <c r="ORH33" s="16"/>
      <c r="ORI33" s="16"/>
      <c r="ORJ33" s="16"/>
      <c r="ORK33" s="16"/>
      <c r="ORL33" s="16"/>
      <c r="ORM33" s="16"/>
      <c r="ORN33" s="16"/>
      <c r="ORO33" s="16"/>
      <c r="ORP33" s="16"/>
      <c r="ORQ33" s="16"/>
      <c r="ORR33" s="16"/>
      <c r="ORS33" s="16"/>
      <c r="ORT33" s="16"/>
      <c r="ORU33" s="16"/>
      <c r="ORV33" s="16"/>
      <c r="ORW33" s="16"/>
      <c r="ORX33" s="16"/>
      <c r="ORY33" s="16"/>
      <c r="ORZ33" s="16"/>
      <c r="OSA33" s="16"/>
      <c r="OSB33" s="16"/>
      <c r="OSC33" s="16"/>
      <c r="OSD33" s="16"/>
      <c r="OSE33" s="16"/>
      <c r="OSF33" s="16"/>
      <c r="OSG33" s="16"/>
      <c r="OSH33" s="16"/>
      <c r="OSI33" s="16"/>
      <c r="OSJ33" s="16"/>
      <c r="OSK33" s="16"/>
      <c r="OSL33" s="16"/>
      <c r="OSM33" s="16"/>
      <c r="OSN33" s="16"/>
      <c r="OSO33" s="16"/>
      <c r="OSP33" s="16"/>
      <c r="OSQ33" s="16"/>
      <c r="OSR33" s="16"/>
      <c r="OSS33" s="16"/>
      <c r="OST33" s="16"/>
      <c r="OSU33" s="16"/>
      <c r="OSV33" s="16"/>
      <c r="OSW33" s="16"/>
      <c r="OSX33" s="16"/>
      <c r="OSY33" s="16"/>
      <c r="OSZ33" s="16"/>
      <c r="OTA33" s="16"/>
      <c r="OTB33" s="16"/>
      <c r="OTC33" s="16"/>
      <c r="OTD33" s="16"/>
      <c r="OTE33" s="16"/>
      <c r="OTF33" s="16"/>
      <c r="OTG33" s="16"/>
      <c r="OTH33" s="16"/>
      <c r="OTI33" s="16"/>
      <c r="OTJ33" s="16"/>
      <c r="OTK33" s="16"/>
      <c r="OTL33" s="16"/>
      <c r="OTM33" s="16"/>
      <c r="OTN33" s="16"/>
      <c r="OTO33" s="16"/>
      <c r="OTP33" s="16"/>
      <c r="OTQ33" s="16"/>
      <c r="OTR33" s="16"/>
      <c r="OTS33" s="16"/>
      <c r="OTT33" s="16"/>
      <c r="OTU33" s="16"/>
      <c r="OTV33" s="16"/>
      <c r="OTW33" s="16"/>
      <c r="OTX33" s="16"/>
      <c r="OTY33" s="16"/>
      <c r="OTZ33" s="16"/>
      <c r="OUA33" s="16"/>
      <c r="OUB33" s="16"/>
      <c r="OUC33" s="16"/>
      <c r="OUD33" s="16"/>
      <c r="OUE33" s="16"/>
      <c r="OUF33" s="16"/>
      <c r="OUG33" s="16"/>
      <c r="OUH33" s="16"/>
      <c r="OUI33" s="16"/>
      <c r="OUJ33" s="16"/>
      <c r="OUK33" s="16"/>
      <c r="OUL33" s="16"/>
      <c r="OUM33" s="16"/>
      <c r="OUN33" s="16"/>
      <c r="OUO33" s="16"/>
      <c r="OUP33" s="16"/>
      <c r="OUQ33" s="16"/>
      <c r="OUR33" s="16"/>
      <c r="OUS33" s="16"/>
      <c r="OUT33" s="16"/>
      <c r="OUU33" s="16"/>
      <c r="OUV33" s="16"/>
      <c r="OUW33" s="16"/>
      <c r="OUX33" s="16"/>
      <c r="OUY33" s="16"/>
      <c r="OUZ33" s="16"/>
      <c r="OVA33" s="16"/>
      <c r="OVB33" s="16"/>
      <c r="OVC33" s="16"/>
      <c r="OVD33" s="16"/>
      <c r="OVE33" s="16"/>
      <c r="OVF33" s="16"/>
      <c r="OVG33" s="16"/>
      <c r="OVH33" s="16"/>
      <c r="OVI33" s="16"/>
      <c r="OVJ33" s="16"/>
      <c r="OVK33" s="16"/>
      <c r="OVL33" s="16"/>
      <c r="OVM33" s="16"/>
      <c r="OVN33" s="16"/>
      <c r="OVO33" s="16"/>
      <c r="OVP33" s="16"/>
      <c r="OVQ33" s="16"/>
      <c r="OVR33" s="16"/>
      <c r="OVS33" s="16"/>
      <c r="OVT33" s="16"/>
      <c r="OVU33" s="16"/>
      <c r="OVV33" s="16"/>
      <c r="OVW33" s="16"/>
      <c r="OVX33" s="16"/>
      <c r="OVY33" s="16"/>
      <c r="OVZ33" s="16"/>
      <c r="OWA33" s="16"/>
      <c r="OWB33" s="16"/>
      <c r="OWC33" s="16"/>
      <c r="OWD33" s="16"/>
      <c r="OWE33" s="16"/>
      <c r="OWF33" s="16"/>
      <c r="OWG33" s="16"/>
      <c r="OWH33" s="16"/>
      <c r="OWI33" s="16"/>
      <c r="OWJ33" s="16"/>
      <c r="OWK33" s="16"/>
      <c r="OWL33" s="16"/>
      <c r="OWM33" s="16"/>
      <c r="OWN33" s="16"/>
      <c r="OWO33" s="16"/>
      <c r="OWP33" s="16"/>
      <c r="OWQ33" s="16"/>
      <c r="OWR33" s="16"/>
      <c r="OWS33" s="16"/>
      <c r="OWT33" s="16"/>
      <c r="OWU33" s="16"/>
      <c r="OWV33" s="16"/>
      <c r="OWW33" s="16"/>
      <c r="OWX33" s="16"/>
      <c r="OWY33" s="16"/>
      <c r="OWZ33" s="16"/>
      <c r="OXA33" s="16"/>
      <c r="OXB33" s="16"/>
      <c r="OXC33" s="16"/>
      <c r="OXD33" s="16"/>
      <c r="OXE33" s="16"/>
      <c r="OXF33" s="16"/>
      <c r="OXG33" s="16"/>
      <c r="OXH33" s="16"/>
      <c r="OXI33" s="16"/>
      <c r="OXJ33" s="16"/>
      <c r="OXK33" s="16"/>
      <c r="OXL33" s="16"/>
      <c r="OXM33" s="16"/>
      <c r="OXN33" s="16"/>
      <c r="OXO33" s="16"/>
      <c r="OXP33" s="16"/>
      <c r="OXQ33" s="16"/>
      <c r="OXR33" s="16"/>
      <c r="OXS33" s="16"/>
      <c r="OXT33" s="16"/>
      <c r="OXU33" s="16"/>
      <c r="OXV33" s="16"/>
      <c r="OXW33" s="16"/>
      <c r="OXX33" s="16"/>
      <c r="OXY33" s="16"/>
      <c r="OXZ33" s="16"/>
      <c r="OYA33" s="16"/>
      <c r="OYB33" s="16"/>
      <c r="OYC33" s="16"/>
      <c r="OYD33" s="16"/>
      <c r="OYE33" s="16"/>
      <c r="OYF33" s="16"/>
      <c r="OYG33" s="16"/>
      <c r="OYH33" s="16"/>
      <c r="OYI33" s="16"/>
      <c r="OYJ33" s="16"/>
      <c r="OYK33" s="16"/>
      <c r="OYL33" s="16"/>
      <c r="OYM33" s="16"/>
      <c r="OYN33" s="16"/>
      <c r="OYO33" s="16"/>
      <c r="OYP33" s="16"/>
      <c r="OYQ33" s="16"/>
      <c r="OYR33" s="16"/>
      <c r="OYS33" s="16"/>
      <c r="OYT33" s="16"/>
      <c r="OYU33" s="16"/>
      <c r="OYV33" s="16"/>
      <c r="OYW33" s="16"/>
      <c r="OYX33" s="16"/>
      <c r="OYY33" s="16"/>
      <c r="OYZ33" s="16"/>
      <c r="OZA33" s="16"/>
      <c r="OZB33" s="16"/>
      <c r="OZC33" s="16"/>
      <c r="OZD33" s="16"/>
      <c r="OZE33" s="16"/>
      <c r="OZF33" s="16"/>
      <c r="OZG33" s="16"/>
      <c r="OZH33" s="16"/>
      <c r="OZI33" s="16"/>
      <c r="OZJ33" s="16"/>
      <c r="OZK33" s="16"/>
      <c r="OZL33" s="16"/>
      <c r="OZM33" s="16"/>
      <c r="OZN33" s="16"/>
      <c r="OZO33" s="16"/>
      <c r="OZP33" s="16"/>
      <c r="OZQ33" s="16"/>
      <c r="OZR33" s="16"/>
      <c r="OZS33" s="16"/>
      <c r="OZT33" s="16"/>
      <c r="OZU33" s="16"/>
      <c r="OZV33" s="16"/>
      <c r="OZW33" s="16"/>
      <c r="OZX33" s="16"/>
      <c r="OZY33" s="16"/>
      <c r="OZZ33" s="16"/>
      <c r="PAA33" s="16"/>
      <c r="PAB33" s="16"/>
      <c r="PAC33" s="16"/>
      <c r="PAD33" s="16"/>
      <c r="PAE33" s="16"/>
      <c r="PAF33" s="16"/>
      <c r="PAG33" s="16"/>
      <c r="PAH33" s="16"/>
      <c r="PAI33" s="16"/>
      <c r="PAJ33" s="16"/>
      <c r="PAK33" s="16"/>
      <c r="PAL33" s="16"/>
      <c r="PAM33" s="16"/>
      <c r="PAN33" s="16"/>
      <c r="PAO33" s="16"/>
      <c r="PAP33" s="16"/>
      <c r="PAQ33" s="16"/>
      <c r="PAR33" s="16"/>
      <c r="PAS33" s="16"/>
      <c r="PAT33" s="16"/>
      <c r="PAU33" s="16"/>
      <c r="PAV33" s="16"/>
      <c r="PAW33" s="16"/>
      <c r="PAX33" s="16"/>
      <c r="PAY33" s="16"/>
      <c r="PAZ33" s="16"/>
      <c r="PBA33" s="16"/>
      <c r="PBB33" s="16"/>
      <c r="PBC33" s="16"/>
      <c r="PBD33" s="16"/>
      <c r="PBE33" s="16"/>
      <c r="PBF33" s="16"/>
      <c r="PBG33" s="16"/>
      <c r="PBH33" s="16"/>
      <c r="PBI33" s="16"/>
      <c r="PBJ33" s="16"/>
      <c r="PBK33" s="16"/>
      <c r="PBL33" s="16"/>
      <c r="PBM33" s="16"/>
      <c r="PBN33" s="16"/>
      <c r="PBO33" s="16"/>
      <c r="PBP33" s="16"/>
      <c r="PBQ33" s="16"/>
      <c r="PBR33" s="16"/>
      <c r="PBS33" s="16"/>
      <c r="PBT33" s="16"/>
      <c r="PBU33" s="16"/>
      <c r="PBV33" s="16"/>
      <c r="PBW33" s="16"/>
      <c r="PBX33" s="16"/>
      <c r="PBY33" s="16"/>
      <c r="PBZ33" s="16"/>
      <c r="PCA33" s="16"/>
      <c r="PCB33" s="16"/>
      <c r="PCC33" s="16"/>
      <c r="PCD33" s="16"/>
      <c r="PCE33" s="16"/>
      <c r="PCF33" s="16"/>
      <c r="PCG33" s="16"/>
      <c r="PCH33" s="16"/>
      <c r="PCI33" s="16"/>
      <c r="PCJ33" s="16"/>
      <c r="PCK33" s="16"/>
      <c r="PCL33" s="16"/>
      <c r="PCM33" s="16"/>
      <c r="PCN33" s="16"/>
      <c r="PCO33" s="16"/>
      <c r="PCP33" s="16"/>
      <c r="PCQ33" s="16"/>
      <c r="PCR33" s="16"/>
      <c r="PCS33" s="16"/>
      <c r="PCT33" s="16"/>
      <c r="PCU33" s="16"/>
      <c r="PCV33" s="16"/>
      <c r="PCW33" s="16"/>
      <c r="PCX33" s="16"/>
      <c r="PCY33" s="16"/>
      <c r="PCZ33" s="16"/>
      <c r="PDA33" s="16"/>
      <c r="PDB33" s="16"/>
      <c r="PDC33" s="16"/>
      <c r="PDD33" s="16"/>
      <c r="PDE33" s="16"/>
      <c r="PDF33" s="16"/>
      <c r="PDG33" s="16"/>
      <c r="PDH33" s="16"/>
      <c r="PDI33" s="16"/>
      <c r="PDJ33" s="16"/>
      <c r="PDK33" s="16"/>
      <c r="PDL33" s="16"/>
      <c r="PDM33" s="16"/>
      <c r="PDN33" s="16"/>
      <c r="PDO33" s="16"/>
      <c r="PDP33" s="16"/>
      <c r="PDQ33" s="16"/>
      <c r="PDR33" s="16"/>
      <c r="PDS33" s="16"/>
      <c r="PDT33" s="16"/>
      <c r="PDU33" s="16"/>
      <c r="PDV33" s="16"/>
      <c r="PDW33" s="16"/>
      <c r="PDX33" s="16"/>
      <c r="PDY33" s="16"/>
      <c r="PDZ33" s="16"/>
      <c r="PEA33" s="16"/>
      <c r="PEB33" s="16"/>
      <c r="PEC33" s="16"/>
      <c r="PED33" s="16"/>
      <c r="PEE33" s="16"/>
      <c r="PEF33" s="16"/>
      <c r="PEG33" s="16"/>
      <c r="PEH33" s="16"/>
      <c r="PEI33" s="16"/>
      <c r="PEJ33" s="16"/>
      <c r="PEK33" s="16"/>
      <c r="PEL33" s="16"/>
      <c r="PEM33" s="16"/>
      <c r="PEN33" s="16"/>
      <c r="PEO33" s="16"/>
      <c r="PEP33" s="16"/>
      <c r="PEQ33" s="16"/>
      <c r="PER33" s="16"/>
      <c r="PES33" s="16"/>
      <c r="PET33" s="16"/>
      <c r="PEU33" s="16"/>
      <c r="PEV33" s="16"/>
      <c r="PEW33" s="16"/>
      <c r="PEX33" s="16"/>
      <c r="PEY33" s="16"/>
      <c r="PEZ33" s="16"/>
      <c r="PFA33" s="16"/>
      <c r="PFB33" s="16"/>
      <c r="PFC33" s="16"/>
      <c r="PFD33" s="16"/>
      <c r="PFE33" s="16"/>
      <c r="PFF33" s="16"/>
      <c r="PFG33" s="16"/>
      <c r="PFH33" s="16"/>
      <c r="PFI33" s="16"/>
      <c r="PFJ33" s="16"/>
      <c r="PFK33" s="16"/>
      <c r="PFL33" s="16"/>
      <c r="PFM33" s="16"/>
      <c r="PFN33" s="16"/>
      <c r="PFO33" s="16"/>
      <c r="PFP33" s="16"/>
      <c r="PFQ33" s="16"/>
      <c r="PFR33" s="16"/>
      <c r="PFS33" s="16"/>
      <c r="PFT33" s="16"/>
      <c r="PFU33" s="16"/>
      <c r="PFV33" s="16"/>
      <c r="PFW33" s="16"/>
      <c r="PFX33" s="16"/>
      <c r="PFY33" s="16"/>
      <c r="PFZ33" s="16"/>
      <c r="PGA33" s="16"/>
      <c r="PGB33" s="16"/>
      <c r="PGC33" s="16"/>
      <c r="PGD33" s="16"/>
      <c r="PGE33" s="16"/>
      <c r="PGF33" s="16"/>
      <c r="PGG33" s="16"/>
      <c r="PGH33" s="16"/>
      <c r="PGI33" s="16"/>
      <c r="PGJ33" s="16"/>
      <c r="PGK33" s="16"/>
      <c r="PGL33" s="16"/>
      <c r="PGM33" s="16"/>
      <c r="PGN33" s="16"/>
      <c r="PGO33" s="16"/>
      <c r="PGP33" s="16"/>
      <c r="PGQ33" s="16"/>
      <c r="PGR33" s="16"/>
      <c r="PGS33" s="16"/>
      <c r="PGT33" s="16"/>
      <c r="PGU33" s="16"/>
      <c r="PGV33" s="16"/>
      <c r="PGW33" s="16"/>
      <c r="PGX33" s="16"/>
      <c r="PGY33" s="16"/>
      <c r="PGZ33" s="16"/>
      <c r="PHA33" s="16"/>
      <c r="PHB33" s="16"/>
      <c r="PHC33" s="16"/>
      <c r="PHD33" s="16"/>
      <c r="PHE33" s="16"/>
      <c r="PHF33" s="16"/>
      <c r="PHG33" s="16"/>
      <c r="PHH33" s="16"/>
      <c r="PHI33" s="16"/>
      <c r="PHJ33" s="16"/>
      <c r="PHK33" s="16"/>
      <c r="PHL33" s="16"/>
      <c r="PHM33" s="16"/>
      <c r="PHN33" s="16"/>
      <c r="PHO33" s="16"/>
      <c r="PHP33" s="16"/>
      <c r="PHQ33" s="16"/>
      <c r="PHR33" s="16"/>
      <c r="PHS33" s="16"/>
      <c r="PHT33" s="16"/>
      <c r="PHU33" s="16"/>
      <c r="PHV33" s="16"/>
      <c r="PHW33" s="16"/>
      <c r="PHX33" s="16"/>
      <c r="PHY33" s="16"/>
      <c r="PHZ33" s="16"/>
      <c r="PIA33" s="16"/>
      <c r="PIB33" s="16"/>
      <c r="PIC33" s="16"/>
      <c r="PID33" s="16"/>
      <c r="PIE33" s="16"/>
      <c r="PIF33" s="16"/>
      <c r="PIG33" s="16"/>
      <c r="PIH33" s="16"/>
      <c r="PII33" s="16"/>
      <c r="PIJ33" s="16"/>
      <c r="PIK33" s="16"/>
      <c r="PIL33" s="16"/>
      <c r="PIM33" s="16"/>
      <c r="PIN33" s="16"/>
      <c r="PIO33" s="16"/>
      <c r="PIP33" s="16"/>
      <c r="PIQ33" s="16"/>
      <c r="PIR33" s="16"/>
      <c r="PIS33" s="16"/>
      <c r="PIT33" s="16"/>
      <c r="PIU33" s="16"/>
      <c r="PIV33" s="16"/>
      <c r="PIW33" s="16"/>
      <c r="PIX33" s="16"/>
      <c r="PIY33" s="16"/>
      <c r="PIZ33" s="16"/>
      <c r="PJA33" s="16"/>
      <c r="PJB33" s="16"/>
      <c r="PJC33" s="16"/>
      <c r="PJD33" s="16"/>
      <c r="PJE33" s="16"/>
      <c r="PJF33" s="16"/>
      <c r="PJG33" s="16"/>
      <c r="PJH33" s="16"/>
      <c r="PJI33" s="16"/>
      <c r="PJJ33" s="16"/>
      <c r="PJK33" s="16"/>
      <c r="PJL33" s="16"/>
      <c r="PJM33" s="16"/>
      <c r="PJN33" s="16"/>
      <c r="PJO33" s="16"/>
      <c r="PJP33" s="16"/>
      <c r="PJQ33" s="16"/>
      <c r="PJR33" s="16"/>
      <c r="PJS33" s="16"/>
      <c r="PJT33" s="16"/>
      <c r="PJU33" s="16"/>
      <c r="PJV33" s="16"/>
      <c r="PJW33" s="16"/>
      <c r="PJX33" s="16"/>
      <c r="PJY33" s="16"/>
      <c r="PJZ33" s="16"/>
      <c r="PKA33" s="16"/>
      <c r="PKB33" s="16"/>
      <c r="PKC33" s="16"/>
      <c r="PKD33" s="16"/>
      <c r="PKE33" s="16"/>
      <c r="PKF33" s="16"/>
      <c r="PKG33" s="16"/>
      <c r="PKH33" s="16"/>
      <c r="PKI33" s="16"/>
      <c r="PKJ33" s="16"/>
      <c r="PKK33" s="16"/>
      <c r="PKL33" s="16"/>
      <c r="PKM33" s="16"/>
      <c r="PKN33" s="16"/>
      <c r="PKO33" s="16"/>
      <c r="PKP33" s="16"/>
      <c r="PKQ33" s="16"/>
      <c r="PKR33" s="16"/>
      <c r="PKS33" s="16"/>
      <c r="PKT33" s="16"/>
      <c r="PKU33" s="16"/>
      <c r="PKV33" s="16"/>
      <c r="PKW33" s="16"/>
      <c r="PKX33" s="16"/>
      <c r="PKY33" s="16"/>
      <c r="PKZ33" s="16"/>
      <c r="PLA33" s="16"/>
      <c r="PLB33" s="16"/>
      <c r="PLC33" s="16"/>
      <c r="PLD33" s="16"/>
      <c r="PLE33" s="16"/>
      <c r="PLF33" s="16"/>
      <c r="PLG33" s="16"/>
      <c r="PLH33" s="16"/>
      <c r="PLI33" s="16"/>
      <c r="PLJ33" s="16"/>
      <c r="PLK33" s="16"/>
      <c r="PLL33" s="16"/>
      <c r="PLM33" s="16"/>
      <c r="PLN33" s="16"/>
      <c r="PLO33" s="16"/>
      <c r="PLP33" s="16"/>
      <c r="PLQ33" s="16"/>
      <c r="PLR33" s="16"/>
      <c r="PLS33" s="16"/>
      <c r="PLT33" s="16"/>
      <c r="PLU33" s="16"/>
      <c r="PLV33" s="16"/>
      <c r="PLW33" s="16"/>
      <c r="PLX33" s="16"/>
      <c r="PLY33" s="16"/>
      <c r="PLZ33" s="16"/>
      <c r="PMA33" s="16"/>
      <c r="PMB33" s="16"/>
      <c r="PMC33" s="16"/>
      <c r="PMD33" s="16"/>
      <c r="PME33" s="16"/>
      <c r="PMF33" s="16"/>
      <c r="PMG33" s="16"/>
      <c r="PMH33" s="16"/>
      <c r="PMI33" s="16"/>
      <c r="PMJ33" s="16"/>
      <c r="PMK33" s="16"/>
      <c r="PML33" s="16"/>
      <c r="PMM33" s="16"/>
      <c r="PMN33" s="16"/>
      <c r="PMO33" s="16"/>
      <c r="PMP33" s="16"/>
      <c r="PMQ33" s="16"/>
      <c r="PMR33" s="16"/>
      <c r="PMS33" s="16"/>
      <c r="PMT33" s="16"/>
      <c r="PMU33" s="16"/>
      <c r="PMV33" s="16"/>
      <c r="PMW33" s="16"/>
      <c r="PMX33" s="16"/>
      <c r="PMY33" s="16"/>
      <c r="PMZ33" s="16"/>
      <c r="PNA33" s="16"/>
      <c r="PNB33" s="16"/>
      <c r="PNC33" s="16"/>
      <c r="PND33" s="16"/>
      <c r="PNE33" s="16"/>
      <c r="PNF33" s="16"/>
      <c r="PNG33" s="16"/>
      <c r="PNH33" s="16"/>
      <c r="PNI33" s="16"/>
      <c r="PNJ33" s="16"/>
      <c r="PNK33" s="16"/>
      <c r="PNL33" s="16"/>
      <c r="PNM33" s="16"/>
      <c r="PNN33" s="16"/>
      <c r="PNO33" s="16"/>
      <c r="PNP33" s="16"/>
      <c r="PNQ33" s="16"/>
      <c r="PNR33" s="16"/>
      <c r="PNS33" s="16"/>
      <c r="PNT33" s="16"/>
      <c r="PNU33" s="16"/>
      <c r="PNV33" s="16"/>
      <c r="PNW33" s="16"/>
      <c r="PNX33" s="16"/>
      <c r="PNY33" s="16"/>
      <c r="PNZ33" s="16"/>
      <c r="POA33" s="16"/>
      <c r="POB33" s="16"/>
      <c r="POC33" s="16"/>
      <c r="POD33" s="16"/>
      <c r="POE33" s="16"/>
      <c r="POF33" s="16"/>
      <c r="POG33" s="16"/>
      <c r="POH33" s="16"/>
      <c r="POI33" s="16"/>
      <c r="POJ33" s="16"/>
      <c r="POK33" s="16"/>
      <c r="POL33" s="16"/>
      <c r="POM33" s="16"/>
      <c r="PON33" s="16"/>
      <c r="POO33" s="16"/>
      <c r="POP33" s="16"/>
      <c r="POQ33" s="16"/>
      <c r="POR33" s="16"/>
      <c r="POS33" s="16"/>
      <c r="POT33" s="16"/>
      <c r="POU33" s="16"/>
      <c r="POV33" s="16"/>
      <c r="POW33" s="16"/>
      <c r="POX33" s="16"/>
      <c r="POY33" s="16"/>
      <c r="POZ33" s="16"/>
      <c r="PPA33" s="16"/>
      <c r="PPB33" s="16"/>
      <c r="PPC33" s="16"/>
      <c r="PPD33" s="16"/>
      <c r="PPE33" s="16"/>
      <c r="PPF33" s="16"/>
      <c r="PPG33" s="16"/>
      <c r="PPH33" s="16"/>
      <c r="PPI33" s="16"/>
      <c r="PPJ33" s="16"/>
      <c r="PPK33" s="16"/>
      <c r="PPL33" s="16"/>
      <c r="PPM33" s="16"/>
      <c r="PPN33" s="16"/>
      <c r="PPO33" s="16"/>
      <c r="PPP33" s="16"/>
      <c r="PPQ33" s="16"/>
      <c r="PPR33" s="16"/>
      <c r="PPS33" s="16"/>
      <c r="PPT33" s="16"/>
      <c r="PPU33" s="16"/>
      <c r="PPV33" s="16"/>
      <c r="PPW33" s="16"/>
      <c r="PPX33" s="16"/>
      <c r="PPY33" s="16"/>
      <c r="PPZ33" s="16"/>
      <c r="PQA33" s="16"/>
      <c r="PQB33" s="16"/>
      <c r="PQC33" s="16"/>
      <c r="PQD33" s="16"/>
      <c r="PQE33" s="16"/>
      <c r="PQF33" s="16"/>
      <c r="PQG33" s="16"/>
      <c r="PQH33" s="16"/>
      <c r="PQI33" s="16"/>
      <c r="PQJ33" s="16"/>
      <c r="PQK33" s="16"/>
      <c r="PQL33" s="16"/>
      <c r="PQM33" s="16"/>
      <c r="PQN33" s="16"/>
      <c r="PQO33" s="16"/>
      <c r="PQP33" s="16"/>
      <c r="PQQ33" s="16"/>
      <c r="PQR33" s="16"/>
      <c r="PQS33" s="16"/>
      <c r="PQT33" s="16"/>
      <c r="PQU33" s="16"/>
      <c r="PQV33" s="16"/>
      <c r="PQW33" s="16"/>
      <c r="PQX33" s="16"/>
      <c r="PQY33" s="16"/>
      <c r="PQZ33" s="16"/>
      <c r="PRA33" s="16"/>
      <c r="PRB33" s="16"/>
      <c r="PRC33" s="16"/>
      <c r="PRD33" s="16"/>
      <c r="PRE33" s="16"/>
      <c r="PRF33" s="16"/>
      <c r="PRG33" s="16"/>
      <c r="PRH33" s="16"/>
      <c r="PRI33" s="16"/>
      <c r="PRJ33" s="16"/>
      <c r="PRK33" s="16"/>
      <c r="PRL33" s="16"/>
      <c r="PRM33" s="16"/>
      <c r="PRN33" s="16"/>
      <c r="PRO33" s="16"/>
      <c r="PRP33" s="16"/>
      <c r="PRQ33" s="16"/>
      <c r="PRR33" s="16"/>
      <c r="PRS33" s="16"/>
      <c r="PRT33" s="16"/>
      <c r="PRU33" s="16"/>
      <c r="PRV33" s="16"/>
      <c r="PRW33" s="16"/>
      <c r="PRX33" s="16"/>
      <c r="PRY33" s="16"/>
      <c r="PRZ33" s="16"/>
      <c r="PSA33" s="16"/>
      <c r="PSB33" s="16"/>
      <c r="PSC33" s="16"/>
      <c r="PSD33" s="16"/>
      <c r="PSE33" s="16"/>
      <c r="PSF33" s="16"/>
      <c r="PSG33" s="16"/>
      <c r="PSH33" s="16"/>
      <c r="PSI33" s="16"/>
      <c r="PSJ33" s="16"/>
      <c r="PSK33" s="16"/>
      <c r="PSL33" s="16"/>
      <c r="PSM33" s="16"/>
      <c r="PSN33" s="16"/>
      <c r="PSO33" s="16"/>
      <c r="PSP33" s="16"/>
      <c r="PSQ33" s="16"/>
      <c r="PSR33" s="16"/>
      <c r="PSS33" s="16"/>
      <c r="PST33" s="16"/>
      <c r="PSU33" s="16"/>
      <c r="PSV33" s="16"/>
      <c r="PSW33" s="16"/>
      <c r="PSX33" s="16"/>
      <c r="PSY33" s="16"/>
      <c r="PSZ33" s="16"/>
      <c r="PTA33" s="16"/>
      <c r="PTB33" s="16"/>
      <c r="PTC33" s="16"/>
      <c r="PTD33" s="16"/>
      <c r="PTE33" s="16"/>
      <c r="PTF33" s="16"/>
      <c r="PTG33" s="16"/>
      <c r="PTH33" s="16"/>
      <c r="PTI33" s="16"/>
      <c r="PTJ33" s="16"/>
      <c r="PTK33" s="16"/>
      <c r="PTL33" s="16"/>
      <c r="PTM33" s="16"/>
      <c r="PTN33" s="16"/>
      <c r="PTO33" s="16"/>
      <c r="PTP33" s="16"/>
      <c r="PTQ33" s="16"/>
      <c r="PTR33" s="16"/>
      <c r="PTS33" s="16"/>
      <c r="PTT33" s="16"/>
      <c r="PTU33" s="16"/>
      <c r="PTV33" s="16"/>
      <c r="PTW33" s="16"/>
      <c r="PTX33" s="16"/>
      <c r="PTY33" s="16"/>
      <c r="PTZ33" s="16"/>
      <c r="PUA33" s="16"/>
      <c r="PUB33" s="16"/>
      <c r="PUC33" s="16"/>
      <c r="PUD33" s="16"/>
      <c r="PUE33" s="16"/>
      <c r="PUF33" s="16"/>
      <c r="PUG33" s="16"/>
      <c r="PUH33" s="16"/>
      <c r="PUI33" s="16"/>
      <c r="PUJ33" s="16"/>
      <c r="PUK33" s="16"/>
      <c r="PUL33" s="16"/>
      <c r="PUM33" s="16"/>
      <c r="PUN33" s="16"/>
      <c r="PUO33" s="16"/>
      <c r="PUP33" s="16"/>
      <c r="PUQ33" s="16"/>
      <c r="PUR33" s="16"/>
      <c r="PUS33" s="16"/>
      <c r="PUT33" s="16"/>
      <c r="PUU33" s="16"/>
      <c r="PUV33" s="16"/>
      <c r="PUW33" s="16"/>
      <c r="PUX33" s="16"/>
      <c r="PUY33" s="16"/>
      <c r="PUZ33" s="16"/>
      <c r="PVA33" s="16"/>
      <c r="PVB33" s="16"/>
      <c r="PVC33" s="16"/>
      <c r="PVD33" s="16"/>
      <c r="PVE33" s="16"/>
      <c r="PVF33" s="16"/>
      <c r="PVG33" s="16"/>
      <c r="PVH33" s="16"/>
      <c r="PVI33" s="16"/>
      <c r="PVJ33" s="16"/>
      <c r="PVK33" s="16"/>
      <c r="PVL33" s="16"/>
      <c r="PVM33" s="16"/>
      <c r="PVN33" s="16"/>
      <c r="PVO33" s="16"/>
      <c r="PVP33" s="16"/>
      <c r="PVQ33" s="16"/>
      <c r="PVR33" s="16"/>
      <c r="PVS33" s="16"/>
      <c r="PVT33" s="16"/>
      <c r="PVU33" s="16"/>
      <c r="PVV33" s="16"/>
      <c r="PVW33" s="16"/>
      <c r="PVX33" s="16"/>
      <c r="PVY33" s="16"/>
      <c r="PVZ33" s="16"/>
      <c r="PWA33" s="16"/>
      <c r="PWB33" s="16"/>
      <c r="PWC33" s="16"/>
      <c r="PWD33" s="16"/>
      <c r="PWE33" s="16"/>
      <c r="PWF33" s="16"/>
      <c r="PWG33" s="16"/>
      <c r="PWH33" s="16"/>
      <c r="PWI33" s="16"/>
      <c r="PWJ33" s="16"/>
      <c r="PWK33" s="16"/>
      <c r="PWL33" s="16"/>
      <c r="PWM33" s="16"/>
      <c r="PWN33" s="16"/>
      <c r="PWO33" s="16"/>
      <c r="PWP33" s="16"/>
      <c r="PWQ33" s="16"/>
      <c r="PWR33" s="16"/>
      <c r="PWS33" s="16"/>
      <c r="PWT33" s="16"/>
      <c r="PWU33" s="16"/>
      <c r="PWV33" s="16"/>
      <c r="PWW33" s="16"/>
      <c r="PWX33" s="16"/>
      <c r="PWY33" s="16"/>
      <c r="PWZ33" s="16"/>
      <c r="PXA33" s="16"/>
      <c r="PXB33" s="16"/>
      <c r="PXC33" s="16"/>
      <c r="PXD33" s="16"/>
      <c r="PXE33" s="16"/>
      <c r="PXF33" s="16"/>
      <c r="PXG33" s="16"/>
      <c r="PXH33" s="16"/>
      <c r="PXI33" s="16"/>
      <c r="PXJ33" s="16"/>
      <c r="PXK33" s="16"/>
      <c r="PXL33" s="16"/>
      <c r="PXM33" s="16"/>
      <c r="PXN33" s="16"/>
      <c r="PXO33" s="16"/>
      <c r="PXP33" s="16"/>
      <c r="PXQ33" s="16"/>
      <c r="PXR33" s="16"/>
      <c r="PXS33" s="16"/>
      <c r="PXT33" s="16"/>
      <c r="PXU33" s="16"/>
      <c r="PXV33" s="16"/>
      <c r="PXW33" s="16"/>
      <c r="PXX33" s="16"/>
      <c r="PXY33" s="16"/>
      <c r="PXZ33" s="16"/>
      <c r="PYA33" s="16"/>
      <c r="PYB33" s="16"/>
      <c r="PYC33" s="16"/>
      <c r="PYD33" s="16"/>
      <c r="PYE33" s="16"/>
      <c r="PYF33" s="16"/>
      <c r="PYG33" s="16"/>
      <c r="PYH33" s="16"/>
      <c r="PYI33" s="16"/>
      <c r="PYJ33" s="16"/>
      <c r="PYK33" s="16"/>
      <c r="PYL33" s="16"/>
      <c r="PYM33" s="16"/>
      <c r="PYN33" s="16"/>
      <c r="PYO33" s="16"/>
      <c r="PYP33" s="16"/>
      <c r="PYQ33" s="16"/>
      <c r="PYR33" s="16"/>
      <c r="PYS33" s="16"/>
      <c r="PYT33" s="16"/>
      <c r="PYU33" s="16"/>
      <c r="PYV33" s="16"/>
      <c r="PYW33" s="16"/>
      <c r="PYX33" s="16"/>
      <c r="PYY33" s="16"/>
      <c r="PYZ33" s="16"/>
      <c r="PZA33" s="16"/>
      <c r="PZB33" s="16"/>
      <c r="PZC33" s="16"/>
      <c r="PZD33" s="16"/>
      <c r="PZE33" s="16"/>
      <c r="PZF33" s="16"/>
      <c r="PZG33" s="16"/>
      <c r="PZH33" s="16"/>
      <c r="PZI33" s="16"/>
      <c r="PZJ33" s="16"/>
      <c r="PZK33" s="16"/>
      <c r="PZL33" s="16"/>
      <c r="PZM33" s="16"/>
      <c r="PZN33" s="16"/>
      <c r="PZO33" s="16"/>
      <c r="PZP33" s="16"/>
      <c r="PZQ33" s="16"/>
      <c r="PZR33" s="16"/>
      <c r="PZS33" s="16"/>
      <c r="PZT33" s="16"/>
      <c r="PZU33" s="16"/>
      <c r="PZV33" s="16"/>
      <c r="PZW33" s="16"/>
      <c r="PZX33" s="16"/>
      <c r="PZY33" s="16"/>
      <c r="PZZ33" s="16"/>
      <c r="QAA33" s="16"/>
      <c r="QAB33" s="16"/>
      <c r="QAC33" s="16"/>
      <c r="QAD33" s="16"/>
      <c r="QAE33" s="16"/>
      <c r="QAF33" s="16"/>
      <c r="QAG33" s="16"/>
      <c r="QAH33" s="16"/>
      <c r="QAI33" s="16"/>
      <c r="QAJ33" s="16"/>
      <c r="QAK33" s="16"/>
      <c r="QAL33" s="16"/>
      <c r="QAM33" s="16"/>
      <c r="QAN33" s="16"/>
      <c r="QAO33" s="16"/>
      <c r="QAP33" s="16"/>
      <c r="QAQ33" s="16"/>
      <c r="QAR33" s="16"/>
      <c r="QAS33" s="16"/>
      <c r="QAT33" s="16"/>
      <c r="QAU33" s="16"/>
      <c r="QAV33" s="16"/>
      <c r="QAW33" s="16"/>
      <c r="QAX33" s="16"/>
      <c r="QAY33" s="16"/>
      <c r="QAZ33" s="16"/>
      <c r="QBA33" s="16"/>
      <c r="QBB33" s="16"/>
      <c r="QBC33" s="16"/>
      <c r="QBD33" s="16"/>
      <c r="QBE33" s="16"/>
      <c r="QBF33" s="16"/>
      <c r="QBG33" s="16"/>
      <c r="QBH33" s="16"/>
      <c r="QBI33" s="16"/>
      <c r="QBJ33" s="16"/>
      <c r="QBK33" s="16"/>
      <c r="QBL33" s="16"/>
      <c r="QBM33" s="16"/>
      <c r="QBN33" s="16"/>
      <c r="QBO33" s="16"/>
      <c r="QBP33" s="16"/>
      <c r="QBQ33" s="16"/>
      <c r="QBR33" s="16"/>
      <c r="QBS33" s="16"/>
      <c r="QBT33" s="16"/>
      <c r="QBU33" s="16"/>
      <c r="QBV33" s="16"/>
      <c r="QBW33" s="16"/>
      <c r="QBX33" s="16"/>
      <c r="QBY33" s="16"/>
      <c r="QBZ33" s="16"/>
      <c r="QCA33" s="16"/>
      <c r="QCB33" s="16"/>
      <c r="QCC33" s="16"/>
      <c r="QCD33" s="16"/>
      <c r="QCE33" s="16"/>
      <c r="QCF33" s="16"/>
      <c r="QCG33" s="16"/>
      <c r="QCH33" s="16"/>
      <c r="QCI33" s="16"/>
      <c r="QCJ33" s="16"/>
      <c r="QCK33" s="16"/>
      <c r="QCL33" s="16"/>
      <c r="QCM33" s="16"/>
      <c r="QCN33" s="16"/>
      <c r="QCO33" s="16"/>
      <c r="QCP33" s="16"/>
      <c r="QCQ33" s="16"/>
      <c r="QCR33" s="16"/>
      <c r="QCS33" s="16"/>
      <c r="QCT33" s="16"/>
      <c r="QCU33" s="16"/>
      <c r="QCV33" s="16"/>
      <c r="QCW33" s="16"/>
      <c r="QCX33" s="16"/>
      <c r="QCY33" s="16"/>
      <c r="QCZ33" s="16"/>
      <c r="QDA33" s="16"/>
      <c r="QDB33" s="16"/>
      <c r="QDC33" s="16"/>
      <c r="QDD33" s="16"/>
      <c r="QDE33" s="16"/>
      <c r="QDF33" s="16"/>
      <c r="QDG33" s="16"/>
      <c r="QDH33" s="16"/>
      <c r="QDI33" s="16"/>
      <c r="QDJ33" s="16"/>
      <c r="QDK33" s="16"/>
      <c r="QDL33" s="16"/>
      <c r="QDM33" s="16"/>
      <c r="QDN33" s="16"/>
      <c r="QDO33" s="16"/>
      <c r="QDP33" s="16"/>
      <c r="QDQ33" s="16"/>
      <c r="QDR33" s="16"/>
      <c r="QDS33" s="16"/>
      <c r="QDT33" s="16"/>
      <c r="QDU33" s="16"/>
      <c r="QDV33" s="16"/>
      <c r="QDW33" s="16"/>
      <c r="QDX33" s="16"/>
      <c r="QDY33" s="16"/>
      <c r="QDZ33" s="16"/>
      <c r="QEA33" s="16"/>
      <c r="QEB33" s="16"/>
      <c r="QEC33" s="16"/>
      <c r="QED33" s="16"/>
      <c r="QEE33" s="16"/>
      <c r="QEF33" s="16"/>
      <c r="QEG33" s="16"/>
      <c r="QEH33" s="16"/>
      <c r="QEI33" s="16"/>
      <c r="QEJ33" s="16"/>
      <c r="QEK33" s="16"/>
      <c r="QEL33" s="16"/>
      <c r="QEM33" s="16"/>
      <c r="QEN33" s="16"/>
      <c r="QEO33" s="16"/>
      <c r="QEP33" s="16"/>
      <c r="QEQ33" s="16"/>
      <c r="QER33" s="16"/>
      <c r="QES33" s="16"/>
      <c r="QET33" s="16"/>
      <c r="QEU33" s="16"/>
      <c r="QEV33" s="16"/>
      <c r="QEW33" s="16"/>
      <c r="QEX33" s="16"/>
      <c r="QEY33" s="16"/>
      <c r="QEZ33" s="16"/>
      <c r="QFA33" s="16"/>
      <c r="QFB33" s="16"/>
      <c r="QFC33" s="16"/>
      <c r="QFD33" s="16"/>
      <c r="QFE33" s="16"/>
      <c r="QFF33" s="16"/>
      <c r="QFG33" s="16"/>
      <c r="QFH33" s="16"/>
      <c r="QFI33" s="16"/>
      <c r="QFJ33" s="16"/>
      <c r="QFK33" s="16"/>
      <c r="QFL33" s="16"/>
      <c r="QFM33" s="16"/>
      <c r="QFN33" s="16"/>
      <c r="QFO33" s="16"/>
      <c r="QFP33" s="16"/>
      <c r="QFQ33" s="16"/>
      <c r="QFR33" s="16"/>
      <c r="QFS33" s="16"/>
      <c r="QFT33" s="16"/>
      <c r="QFU33" s="16"/>
      <c r="QFV33" s="16"/>
      <c r="QFW33" s="16"/>
      <c r="QFX33" s="16"/>
      <c r="QFY33" s="16"/>
      <c r="QFZ33" s="16"/>
      <c r="QGA33" s="16"/>
      <c r="QGB33" s="16"/>
      <c r="QGC33" s="16"/>
      <c r="QGD33" s="16"/>
      <c r="QGE33" s="16"/>
      <c r="QGF33" s="16"/>
      <c r="QGG33" s="16"/>
      <c r="QGH33" s="16"/>
      <c r="QGI33" s="16"/>
      <c r="QGJ33" s="16"/>
      <c r="QGK33" s="16"/>
      <c r="QGL33" s="16"/>
      <c r="QGM33" s="16"/>
      <c r="QGN33" s="16"/>
      <c r="QGO33" s="16"/>
      <c r="QGP33" s="16"/>
      <c r="QGQ33" s="16"/>
      <c r="QGR33" s="16"/>
      <c r="QGS33" s="16"/>
      <c r="QGT33" s="16"/>
      <c r="QGU33" s="16"/>
      <c r="QGV33" s="16"/>
      <c r="QGW33" s="16"/>
      <c r="QGX33" s="16"/>
      <c r="QGY33" s="16"/>
      <c r="QGZ33" s="16"/>
      <c r="QHA33" s="16"/>
      <c r="QHB33" s="16"/>
      <c r="QHC33" s="16"/>
      <c r="QHD33" s="16"/>
      <c r="QHE33" s="16"/>
      <c r="QHF33" s="16"/>
      <c r="QHG33" s="16"/>
      <c r="QHH33" s="16"/>
      <c r="QHI33" s="16"/>
      <c r="QHJ33" s="16"/>
      <c r="QHK33" s="16"/>
      <c r="QHL33" s="16"/>
      <c r="QHM33" s="16"/>
      <c r="QHN33" s="16"/>
      <c r="QHO33" s="16"/>
      <c r="QHP33" s="16"/>
      <c r="QHQ33" s="16"/>
      <c r="QHR33" s="16"/>
      <c r="QHS33" s="16"/>
      <c r="QHT33" s="16"/>
      <c r="QHU33" s="16"/>
      <c r="QHV33" s="16"/>
      <c r="QHW33" s="16"/>
      <c r="QHX33" s="16"/>
      <c r="QHY33" s="16"/>
      <c r="QHZ33" s="16"/>
      <c r="QIA33" s="16"/>
      <c r="QIB33" s="16"/>
      <c r="QIC33" s="16"/>
      <c r="QID33" s="16"/>
      <c r="QIE33" s="16"/>
      <c r="QIF33" s="16"/>
      <c r="QIG33" s="16"/>
      <c r="QIH33" s="16"/>
      <c r="QII33" s="16"/>
      <c r="QIJ33" s="16"/>
      <c r="QIK33" s="16"/>
      <c r="QIL33" s="16"/>
      <c r="QIM33" s="16"/>
      <c r="QIN33" s="16"/>
      <c r="QIO33" s="16"/>
      <c r="QIP33" s="16"/>
      <c r="QIQ33" s="16"/>
      <c r="QIR33" s="16"/>
      <c r="QIS33" s="16"/>
      <c r="QIT33" s="16"/>
      <c r="QIU33" s="16"/>
      <c r="QIV33" s="16"/>
      <c r="QIW33" s="16"/>
      <c r="QIX33" s="16"/>
      <c r="QIY33" s="16"/>
      <c r="QIZ33" s="16"/>
      <c r="QJA33" s="16"/>
      <c r="QJB33" s="16"/>
      <c r="QJC33" s="16"/>
      <c r="QJD33" s="16"/>
      <c r="QJE33" s="16"/>
      <c r="QJF33" s="16"/>
      <c r="QJG33" s="16"/>
      <c r="QJH33" s="16"/>
      <c r="QJI33" s="16"/>
      <c r="QJJ33" s="16"/>
      <c r="QJK33" s="16"/>
      <c r="QJL33" s="16"/>
      <c r="QJM33" s="16"/>
      <c r="QJN33" s="16"/>
      <c r="QJO33" s="16"/>
      <c r="QJP33" s="16"/>
      <c r="QJQ33" s="16"/>
      <c r="QJR33" s="16"/>
      <c r="QJS33" s="16"/>
      <c r="QJT33" s="16"/>
      <c r="QJU33" s="16"/>
      <c r="QJV33" s="16"/>
      <c r="QJW33" s="16"/>
      <c r="QJX33" s="16"/>
      <c r="QJY33" s="16"/>
      <c r="QJZ33" s="16"/>
      <c r="QKA33" s="16"/>
      <c r="QKB33" s="16"/>
      <c r="QKC33" s="16"/>
      <c r="QKD33" s="16"/>
      <c r="QKE33" s="16"/>
      <c r="QKF33" s="16"/>
      <c r="QKG33" s="16"/>
      <c r="QKH33" s="16"/>
      <c r="QKI33" s="16"/>
      <c r="QKJ33" s="16"/>
      <c r="QKK33" s="16"/>
      <c r="QKL33" s="16"/>
      <c r="QKM33" s="16"/>
      <c r="QKN33" s="16"/>
      <c r="QKO33" s="16"/>
      <c r="QKP33" s="16"/>
      <c r="QKQ33" s="16"/>
      <c r="QKR33" s="16"/>
      <c r="QKS33" s="16"/>
      <c r="QKT33" s="16"/>
      <c r="QKU33" s="16"/>
      <c r="QKV33" s="16"/>
      <c r="QKW33" s="16"/>
      <c r="QKX33" s="16"/>
      <c r="QKY33" s="16"/>
      <c r="QKZ33" s="16"/>
      <c r="QLA33" s="16"/>
      <c r="QLB33" s="16"/>
      <c r="QLC33" s="16"/>
      <c r="QLD33" s="16"/>
      <c r="QLE33" s="16"/>
      <c r="QLF33" s="16"/>
      <c r="QLG33" s="16"/>
      <c r="QLH33" s="16"/>
      <c r="QLI33" s="16"/>
      <c r="QLJ33" s="16"/>
      <c r="QLK33" s="16"/>
      <c r="QLL33" s="16"/>
      <c r="QLM33" s="16"/>
      <c r="QLN33" s="16"/>
      <c r="QLO33" s="16"/>
      <c r="QLP33" s="16"/>
      <c r="QLQ33" s="16"/>
      <c r="QLR33" s="16"/>
      <c r="QLS33" s="16"/>
      <c r="QLT33" s="16"/>
      <c r="QLU33" s="16"/>
      <c r="QLV33" s="16"/>
      <c r="QLW33" s="16"/>
      <c r="QLX33" s="16"/>
      <c r="QLY33" s="16"/>
      <c r="QLZ33" s="16"/>
      <c r="QMA33" s="16"/>
      <c r="QMB33" s="16"/>
      <c r="QMC33" s="16"/>
      <c r="QMD33" s="16"/>
      <c r="QME33" s="16"/>
      <c r="QMF33" s="16"/>
      <c r="QMG33" s="16"/>
      <c r="QMH33" s="16"/>
      <c r="QMI33" s="16"/>
      <c r="QMJ33" s="16"/>
      <c r="QMK33" s="16"/>
      <c r="QML33" s="16"/>
      <c r="QMM33" s="16"/>
      <c r="QMN33" s="16"/>
      <c r="QMO33" s="16"/>
      <c r="QMP33" s="16"/>
      <c r="QMQ33" s="16"/>
      <c r="QMR33" s="16"/>
      <c r="QMS33" s="16"/>
      <c r="QMT33" s="16"/>
      <c r="QMU33" s="16"/>
      <c r="QMV33" s="16"/>
      <c r="QMW33" s="16"/>
      <c r="QMX33" s="16"/>
      <c r="QMY33" s="16"/>
      <c r="QMZ33" s="16"/>
      <c r="QNA33" s="16"/>
      <c r="QNB33" s="16"/>
      <c r="QNC33" s="16"/>
      <c r="QND33" s="16"/>
      <c r="QNE33" s="16"/>
      <c r="QNF33" s="16"/>
      <c r="QNG33" s="16"/>
      <c r="QNH33" s="16"/>
      <c r="QNI33" s="16"/>
      <c r="QNJ33" s="16"/>
      <c r="QNK33" s="16"/>
      <c r="QNL33" s="16"/>
      <c r="QNM33" s="16"/>
      <c r="QNN33" s="16"/>
      <c r="QNO33" s="16"/>
      <c r="QNP33" s="16"/>
      <c r="QNQ33" s="16"/>
      <c r="QNR33" s="16"/>
      <c r="QNS33" s="16"/>
      <c r="QNT33" s="16"/>
      <c r="QNU33" s="16"/>
      <c r="QNV33" s="16"/>
      <c r="QNW33" s="16"/>
      <c r="QNX33" s="16"/>
      <c r="QNY33" s="16"/>
      <c r="QNZ33" s="16"/>
      <c r="QOA33" s="16"/>
      <c r="QOB33" s="16"/>
      <c r="QOC33" s="16"/>
      <c r="QOD33" s="16"/>
      <c r="QOE33" s="16"/>
      <c r="QOF33" s="16"/>
      <c r="QOG33" s="16"/>
      <c r="QOH33" s="16"/>
      <c r="QOI33" s="16"/>
      <c r="QOJ33" s="16"/>
      <c r="QOK33" s="16"/>
      <c r="QOL33" s="16"/>
      <c r="QOM33" s="16"/>
      <c r="QON33" s="16"/>
      <c r="QOO33" s="16"/>
      <c r="QOP33" s="16"/>
      <c r="QOQ33" s="16"/>
      <c r="QOR33" s="16"/>
      <c r="QOS33" s="16"/>
      <c r="QOT33" s="16"/>
      <c r="QOU33" s="16"/>
      <c r="QOV33" s="16"/>
      <c r="QOW33" s="16"/>
      <c r="QOX33" s="16"/>
      <c r="QOY33" s="16"/>
      <c r="QOZ33" s="16"/>
      <c r="QPA33" s="16"/>
      <c r="QPB33" s="16"/>
      <c r="QPC33" s="16"/>
      <c r="QPD33" s="16"/>
      <c r="QPE33" s="16"/>
      <c r="QPF33" s="16"/>
      <c r="QPG33" s="16"/>
      <c r="QPH33" s="16"/>
      <c r="QPI33" s="16"/>
      <c r="QPJ33" s="16"/>
      <c r="QPK33" s="16"/>
      <c r="QPL33" s="16"/>
      <c r="QPM33" s="16"/>
      <c r="QPN33" s="16"/>
      <c r="QPO33" s="16"/>
      <c r="QPP33" s="16"/>
      <c r="QPQ33" s="16"/>
      <c r="QPR33" s="16"/>
      <c r="QPS33" s="16"/>
      <c r="QPT33" s="16"/>
      <c r="QPU33" s="16"/>
      <c r="QPV33" s="16"/>
      <c r="QPW33" s="16"/>
      <c r="QPX33" s="16"/>
      <c r="QPY33" s="16"/>
      <c r="QPZ33" s="16"/>
      <c r="QQA33" s="16"/>
      <c r="QQB33" s="16"/>
      <c r="QQC33" s="16"/>
      <c r="QQD33" s="16"/>
      <c r="QQE33" s="16"/>
      <c r="QQF33" s="16"/>
      <c r="QQG33" s="16"/>
      <c r="QQH33" s="16"/>
      <c r="QQI33" s="16"/>
      <c r="QQJ33" s="16"/>
      <c r="QQK33" s="16"/>
      <c r="QQL33" s="16"/>
      <c r="QQM33" s="16"/>
      <c r="QQN33" s="16"/>
      <c r="QQO33" s="16"/>
      <c r="QQP33" s="16"/>
      <c r="QQQ33" s="16"/>
      <c r="QQR33" s="16"/>
      <c r="QQS33" s="16"/>
      <c r="QQT33" s="16"/>
      <c r="QQU33" s="16"/>
      <c r="QQV33" s="16"/>
      <c r="QQW33" s="16"/>
      <c r="QQX33" s="16"/>
      <c r="QQY33" s="16"/>
      <c r="QQZ33" s="16"/>
      <c r="QRA33" s="16"/>
      <c r="QRB33" s="16"/>
      <c r="QRC33" s="16"/>
      <c r="QRD33" s="16"/>
      <c r="QRE33" s="16"/>
      <c r="QRF33" s="16"/>
      <c r="QRG33" s="16"/>
      <c r="QRH33" s="16"/>
      <c r="QRI33" s="16"/>
      <c r="QRJ33" s="16"/>
      <c r="QRK33" s="16"/>
      <c r="QRL33" s="16"/>
      <c r="QRM33" s="16"/>
      <c r="QRN33" s="16"/>
      <c r="QRO33" s="16"/>
      <c r="QRP33" s="16"/>
      <c r="QRQ33" s="16"/>
      <c r="QRR33" s="16"/>
      <c r="QRS33" s="16"/>
      <c r="QRT33" s="16"/>
      <c r="QRU33" s="16"/>
      <c r="QRV33" s="16"/>
      <c r="QRW33" s="16"/>
      <c r="QRX33" s="16"/>
      <c r="QRY33" s="16"/>
      <c r="QRZ33" s="16"/>
      <c r="QSA33" s="16"/>
      <c r="QSB33" s="16"/>
      <c r="QSC33" s="16"/>
      <c r="QSD33" s="16"/>
      <c r="QSE33" s="16"/>
      <c r="QSF33" s="16"/>
      <c r="QSG33" s="16"/>
      <c r="QSH33" s="16"/>
      <c r="QSI33" s="16"/>
      <c r="QSJ33" s="16"/>
      <c r="QSK33" s="16"/>
      <c r="QSL33" s="16"/>
      <c r="QSM33" s="16"/>
      <c r="QSN33" s="16"/>
      <c r="QSO33" s="16"/>
      <c r="QSP33" s="16"/>
      <c r="QSQ33" s="16"/>
      <c r="QSR33" s="16"/>
      <c r="QSS33" s="16"/>
      <c r="QST33" s="16"/>
      <c r="QSU33" s="16"/>
      <c r="QSV33" s="16"/>
      <c r="QSW33" s="16"/>
      <c r="QSX33" s="16"/>
      <c r="QSY33" s="16"/>
      <c r="QSZ33" s="16"/>
      <c r="QTA33" s="16"/>
      <c r="QTB33" s="16"/>
      <c r="QTC33" s="16"/>
      <c r="QTD33" s="16"/>
      <c r="QTE33" s="16"/>
      <c r="QTF33" s="16"/>
      <c r="QTG33" s="16"/>
      <c r="QTH33" s="16"/>
      <c r="QTI33" s="16"/>
      <c r="QTJ33" s="16"/>
      <c r="QTK33" s="16"/>
      <c r="QTL33" s="16"/>
      <c r="QTM33" s="16"/>
      <c r="QTN33" s="16"/>
      <c r="QTO33" s="16"/>
      <c r="QTP33" s="16"/>
      <c r="QTQ33" s="16"/>
      <c r="QTR33" s="16"/>
      <c r="QTS33" s="16"/>
      <c r="QTT33" s="16"/>
      <c r="QTU33" s="16"/>
      <c r="QTV33" s="16"/>
      <c r="QTW33" s="16"/>
      <c r="QTX33" s="16"/>
      <c r="QTY33" s="16"/>
      <c r="QTZ33" s="16"/>
      <c r="QUA33" s="16"/>
      <c r="QUB33" s="16"/>
      <c r="QUC33" s="16"/>
      <c r="QUD33" s="16"/>
      <c r="QUE33" s="16"/>
      <c r="QUF33" s="16"/>
      <c r="QUG33" s="16"/>
      <c r="QUH33" s="16"/>
      <c r="QUI33" s="16"/>
      <c r="QUJ33" s="16"/>
      <c r="QUK33" s="16"/>
      <c r="QUL33" s="16"/>
      <c r="QUM33" s="16"/>
      <c r="QUN33" s="16"/>
      <c r="QUO33" s="16"/>
      <c r="QUP33" s="16"/>
      <c r="QUQ33" s="16"/>
      <c r="QUR33" s="16"/>
      <c r="QUS33" s="16"/>
      <c r="QUT33" s="16"/>
      <c r="QUU33" s="16"/>
      <c r="QUV33" s="16"/>
      <c r="QUW33" s="16"/>
      <c r="QUX33" s="16"/>
      <c r="QUY33" s="16"/>
      <c r="QUZ33" s="16"/>
      <c r="QVA33" s="16"/>
      <c r="QVB33" s="16"/>
      <c r="QVC33" s="16"/>
      <c r="QVD33" s="16"/>
      <c r="QVE33" s="16"/>
      <c r="QVF33" s="16"/>
      <c r="QVG33" s="16"/>
      <c r="QVH33" s="16"/>
      <c r="QVI33" s="16"/>
      <c r="QVJ33" s="16"/>
      <c r="QVK33" s="16"/>
      <c r="QVL33" s="16"/>
      <c r="QVM33" s="16"/>
      <c r="QVN33" s="16"/>
      <c r="QVO33" s="16"/>
      <c r="QVP33" s="16"/>
      <c r="QVQ33" s="16"/>
      <c r="QVR33" s="16"/>
      <c r="QVS33" s="16"/>
      <c r="QVT33" s="16"/>
      <c r="QVU33" s="16"/>
      <c r="QVV33" s="16"/>
      <c r="QVW33" s="16"/>
      <c r="QVX33" s="16"/>
      <c r="QVY33" s="16"/>
      <c r="QVZ33" s="16"/>
      <c r="QWA33" s="16"/>
      <c r="QWB33" s="16"/>
      <c r="QWC33" s="16"/>
      <c r="QWD33" s="16"/>
      <c r="QWE33" s="16"/>
      <c r="QWF33" s="16"/>
      <c r="QWG33" s="16"/>
      <c r="QWH33" s="16"/>
      <c r="QWI33" s="16"/>
      <c r="QWJ33" s="16"/>
      <c r="QWK33" s="16"/>
      <c r="QWL33" s="16"/>
      <c r="QWM33" s="16"/>
      <c r="QWN33" s="16"/>
      <c r="QWO33" s="16"/>
      <c r="QWP33" s="16"/>
      <c r="QWQ33" s="16"/>
      <c r="QWR33" s="16"/>
      <c r="QWS33" s="16"/>
      <c r="QWT33" s="16"/>
      <c r="QWU33" s="16"/>
      <c r="QWV33" s="16"/>
      <c r="QWW33" s="16"/>
      <c r="QWX33" s="16"/>
      <c r="QWY33" s="16"/>
      <c r="QWZ33" s="16"/>
      <c r="QXA33" s="16"/>
      <c r="QXB33" s="16"/>
      <c r="QXC33" s="16"/>
      <c r="QXD33" s="16"/>
      <c r="QXE33" s="16"/>
      <c r="QXF33" s="16"/>
      <c r="QXG33" s="16"/>
      <c r="QXH33" s="16"/>
      <c r="QXI33" s="16"/>
      <c r="QXJ33" s="16"/>
      <c r="QXK33" s="16"/>
      <c r="QXL33" s="16"/>
      <c r="QXM33" s="16"/>
      <c r="QXN33" s="16"/>
      <c r="QXO33" s="16"/>
      <c r="QXP33" s="16"/>
      <c r="QXQ33" s="16"/>
      <c r="QXR33" s="16"/>
      <c r="QXS33" s="16"/>
      <c r="QXT33" s="16"/>
      <c r="QXU33" s="16"/>
      <c r="QXV33" s="16"/>
      <c r="QXW33" s="16"/>
      <c r="QXX33" s="16"/>
      <c r="QXY33" s="16"/>
      <c r="QXZ33" s="16"/>
      <c r="QYA33" s="16"/>
      <c r="QYB33" s="16"/>
      <c r="QYC33" s="16"/>
      <c r="QYD33" s="16"/>
      <c r="QYE33" s="16"/>
      <c r="QYF33" s="16"/>
      <c r="QYG33" s="16"/>
      <c r="QYH33" s="16"/>
      <c r="QYI33" s="16"/>
      <c r="QYJ33" s="16"/>
      <c r="QYK33" s="16"/>
      <c r="QYL33" s="16"/>
      <c r="QYM33" s="16"/>
      <c r="QYN33" s="16"/>
      <c r="QYO33" s="16"/>
      <c r="QYP33" s="16"/>
      <c r="QYQ33" s="16"/>
      <c r="QYR33" s="16"/>
      <c r="QYS33" s="16"/>
      <c r="QYT33" s="16"/>
      <c r="QYU33" s="16"/>
      <c r="QYV33" s="16"/>
      <c r="QYW33" s="16"/>
      <c r="QYX33" s="16"/>
      <c r="QYY33" s="16"/>
      <c r="QYZ33" s="16"/>
      <c r="QZA33" s="16"/>
      <c r="QZB33" s="16"/>
      <c r="QZC33" s="16"/>
      <c r="QZD33" s="16"/>
      <c r="QZE33" s="16"/>
      <c r="QZF33" s="16"/>
      <c r="QZG33" s="16"/>
      <c r="QZH33" s="16"/>
      <c r="QZI33" s="16"/>
      <c r="QZJ33" s="16"/>
      <c r="QZK33" s="16"/>
      <c r="QZL33" s="16"/>
      <c r="QZM33" s="16"/>
      <c r="QZN33" s="16"/>
      <c r="QZO33" s="16"/>
      <c r="QZP33" s="16"/>
      <c r="QZQ33" s="16"/>
      <c r="QZR33" s="16"/>
      <c r="QZS33" s="16"/>
      <c r="QZT33" s="16"/>
      <c r="QZU33" s="16"/>
      <c r="QZV33" s="16"/>
      <c r="QZW33" s="16"/>
      <c r="QZX33" s="16"/>
      <c r="QZY33" s="16"/>
      <c r="QZZ33" s="16"/>
      <c r="RAA33" s="16"/>
      <c r="RAB33" s="16"/>
      <c r="RAC33" s="16"/>
      <c r="RAD33" s="16"/>
      <c r="RAE33" s="16"/>
      <c r="RAF33" s="16"/>
      <c r="RAG33" s="16"/>
      <c r="RAH33" s="16"/>
      <c r="RAI33" s="16"/>
      <c r="RAJ33" s="16"/>
      <c r="RAK33" s="16"/>
      <c r="RAL33" s="16"/>
      <c r="RAM33" s="16"/>
      <c r="RAN33" s="16"/>
      <c r="RAO33" s="16"/>
      <c r="RAP33" s="16"/>
      <c r="RAQ33" s="16"/>
      <c r="RAR33" s="16"/>
      <c r="RAS33" s="16"/>
      <c r="RAT33" s="16"/>
      <c r="RAU33" s="16"/>
      <c r="RAV33" s="16"/>
      <c r="RAW33" s="16"/>
      <c r="RAX33" s="16"/>
      <c r="RAY33" s="16"/>
      <c r="RAZ33" s="16"/>
      <c r="RBA33" s="16"/>
      <c r="RBB33" s="16"/>
      <c r="RBC33" s="16"/>
      <c r="RBD33" s="16"/>
      <c r="RBE33" s="16"/>
      <c r="RBF33" s="16"/>
      <c r="RBG33" s="16"/>
      <c r="RBH33" s="16"/>
      <c r="RBI33" s="16"/>
      <c r="RBJ33" s="16"/>
      <c r="RBK33" s="16"/>
      <c r="RBL33" s="16"/>
      <c r="RBM33" s="16"/>
      <c r="RBN33" s="16"/>
      <c r="RBO33" s="16"/>
      <c r="RBP33" s="16"/>
      <c r="RBQ33" s="16"/>
      <c r="RBR33" s="16"/>
      <c r="RBS33" s="16"/>
      <c r="RBT33" s="16"/>
      <c r="RBU33" s="16"/>
      <c r="RBV33" s="16"/>
      <c r="RBW33" s="16"/>
      <c r="RBX33" s="16"/>
      <c r="RBY33" s="16"/>
      <c r="RBZ33" s="16"/>
      <c r="RCA33" s="16"/>
      <c r="RCB33" s="16"/>
      <c r="RCC33" s="16"/>
      <c r="RCD33" s="16"/>
      <c r="RCE33" s="16"/>
      <c r="RCF33" s="16"/>
      <c r="RCG33" s="16"/>
      <c r="RCH33" s="16"/>
      <c r="RCI33" s="16"/>
      <c r="RCJ33" s="16"/>
      <c r="RCK33" s="16"/>
      <c r="RCL33" s="16"/>
      <c r="RCM33" s="16"/>
      <c r="RCN33" s="16"/>
      <c r="RCO33" s="16"/>
      <c r="RCP33" s="16"/>
      <c r="RCQ33" s="16"/>
      <c r="RCR33" s="16"/>
      <c r="RCS33" s="16"/>
      <c r="RCT33" s="16"/>
      <c r="RCU33" s="16"/>
      <c r="RCV33" s="16"/>
      <c r="RCW33" s="16"/>
      <c r="RCX33" s="16"/>
      <c r="RCY33" s="16"/>
      <c r="RCZ33" s="16"/>
      <c r="RDA33" s="16"/>
      <c r="RDB33" s="16"/>
      <c r="RDC33" s="16"/>
      <c r="RDD33" s="16"/>
      <c r="RDE33" s="16"/>
      <c r="RDF33" s="16"/>
      <c r="RDG33" s="16"/>
      <c r="RDH33" s="16"/>
      <c r="RDI33" s="16"/>
      <c r="RDJ33" s="16"/>
      <c r="RDK33" s="16"/>
      <c r="RDL33" s="16"/>
      <c r="RDM33" s="16"/>
      <c r="RDN33" s="16"/>
      <c r="RDO33" s="16"/>
      <c r="RDP33" s="16"/>
      <c r="RDQ33" s="16"/>
      <c r="RDR33" s="16"/>
      <c r="RDS33" s="16"/>
      <c r="RDT33" s="16"/>
      <c r="RDU33" s="16"/>
      <c r="RDV33" s="16"/>
      <c r="RDW33" s="16"/>
      <c r="RDX33" s="16"/>
      <c r="RDY33" s="16"/>
      <c r="RDZ33" s="16"/>
      <c r="REA33" s="16"/>
      <c r="REB33" s="16"/>
      <c r="REC33" s="16"/>
      <c r="RED33" s="16"/>
      <c r="REE33" s="16"/>
      <c r="REF33" s="16"/>
      <c r="REG33" s="16"/>
      <c r="REH33" s="16"/>
      <c r="REI33" s="16"/>
      <c r="REJ33" s="16"/>
      <c r="REK33" s="16"/>
      <c r="REL33" s="16"/>
      <c r="REM33" s="16"/>
      <c r="REN33" s="16"/>
      <c r="REO33" s="16"/>
      <c r="REP33" s="16"/>
      <c r="REQ33" s="16"/>
      <c r="RER33" s="16"/>
      <c r="RES33" s="16"/>
      <c r="RET33" s="16"/>
      <c r="REU33" s="16"/>
      <c r="REV33" s="16"/>
      <c r="REW33" s="16"/>
      <c r="REX33" s="16"/>
      <c r="REY33" s="16"/>
      <c r="REZ33" s="16"/>
      <c r="RFA33" s="16"/>
      <c r="RFB33" s="16"/>
      <c r="RFC33" s="16"/>
      <c r="RFD33" s="16"/>
      <c r="RFE33" s="16"/>
      <c r="RFF33" s="16"/>
      <c r="RFG33" s="16"/>
      <c r="RFH33" s="16"/>
      <c r="RFI33" s="16"/>
      <c r="RFJ33" s="16"/>
      <c r="RFK33" s="16"/>
      <c r="RFL33" s="16"/>
      <c r="RFM33" s="16"/>
      <c r="RFN33" s="16"/>
      <c r="RFO33" s="16"/>
      <c r="RFP33" s="16"/>
      <c r="RFQ33" s="16"/>
      <c r="RFR33" s="16"/>
      <c r="RFS33" s="16"/>
      <c r="RFT33" s="16"/>
      <c r="RFU33" s="16"/>
      <c r="RFV33" s="16"/>
      <c r="RFW33" s="16"/>
      <c r="RFX33" s="16"/>
      <c r="RFY33" s="16"/>
      <c r="RFZ33" s="16"/>
      <c r="RGA33" s="16"/>
      <c r="RGB33" s="16"/>
      <c r="RGC33" s="16"/>
      <c r="RGD33" s="16"/>
      <c r="RGE33" s="16"/>
      <c r="RGF33" s="16"/>
      <c r="RGG33" s="16"/>
      <c r="RGH33" s="16"/>
      <c r="RGI33" s="16"/>
      <c r="RGJ33" s="16"/>
      <c r="RGK33" s="16"/>
      <c r="RGL33" s="16"/>
      <c r="RGM33" s="16"/>
      <c r="RGN33" s="16"/>
      <c r="RGO33" s="16"/>
      <c r="RGP33" s="16"/>
      <c r="RGQ33" s="16"/>
      <c r="RGR33" s="16"/>
      <c r="RGS33" s="16"/>
      <c r="RGT33" s="16"/>
      <c r="RGU33" s="16"/>
      <c r="RGV33" s="16"/>
      <c r="RGW33" s="16"/>
      <c r="RGX33" s="16"/>
      <c r="RGY33" s="16"/>
      <c r="RGZ33" s="16"/>
      <c r="RHA33" s="16"/>
      <c r="RHB33" s="16"/>
      <c r="RHC33" s="16"/>
      <c r="RHD33" s="16"/>
      <c r="RHE33" s="16"/>
      <c r="RHF33" s="16"/>
      <c r="RHG33" s="16"/>
      <c r="RHH33" s="16"/>
      <c r="RHI33" s="16"/>
      <c r="RHJ33" s="16"/>
      <c r="RHK33" s="16"/>
      <c r="RHL33" s="16"/>
      <c r="RHM33" s="16"/>
      <c r="RHN33" s="16"/>
      <c r="RHO33" s="16"/>
      <c r="RHP33" s="16"/>
      <c r="RHQ33" s="16"/>
      <c r="RHR33" s="16"/>
      <c r="RHS33" s="16"/>
      <c r="RHT33" s="16"/>
      <c r="RHU33" s="16"/>
      <c r="RHV33" s="16"/>
      <c r="RHW33" s="16"/>
      <c r="RHX33" s="16"/>
      <c r="RHY33" s="16"/>
      <c r="RHZ33" s="16"/>
      <c r="RIA33" s="16"/>
      <c r="RIB33" s="16"/>
      <c r="RIC33" s="16"/>
      <c r="RID33" s="16"/>
      <c r="RIE33" s="16"/>
      <c r="RIF33" s="16"/>
      <c r="RIG33" s="16"/>
      <c r="RIH33" s="16"/>
      <c r="RII33" s="16"/>
      <c r="RIJ33" s="16"/>
      <c r="RIK33" s="16"/>
      <c r="RIL33" s="16"/>
      <c r="RIM33" s="16"/>
      <c r="RIN33" s="16"/>
      <c r="RIO33" s="16"/>
      <c r="RIP33" s="16"/>
      <c r="RIQ33" s="16"/>
      <c r="RIR33" s="16"/>
      <c r="RIS33" s="16"/>
      <c r="RIT33" s="16"/>
      <c r="RIU33" s="16"/>
      <c r="RIV33" s="16"/>
      <c r="RIW33" s="16"/>
      <c r="RIX33" s="16"/>
      <c r="RIY33" s="16"/>
      <c r="RIZ33" s="16"/>
      <c r="RJA33" s="16"/>
      <c r="RJB33" s="16"/>
      <c r="RJC33" s="16"/>
      <c r="RJD33" s="16"/>
      <c r="RJE33" s="16"/>
      <c r="RJF33" s="16"/>
      <c r="RJG33" s="16"/>
      <c r="RJH33" s="16"/>
      <c r="RJI33" s="16"/>
      <c r="RJJ33" s="16"/>
      <c r="RJK33" s="16"/>
      <c r="RJL33" s="16"/>
      <c r="RJM33" s="16"/>
      <c r="RJN33" s="16"/>
      <c r="RJO33" s="16"/>
      <c r="RJP33" s="16"/>
      <c r="RJQ33" s="16"/>
      <c r="RJR33" s="16"/>
      <c r="RJS33" s="16"/>
      <c r="RJT33" s="16"/>
      <c r="RJU33" s="16"/>
      <c r="RJV33" s="16"/>
      <c r="RJW33" s="16"/>
      <c r="RJX33" s="16"/>
      <c r="RJY33" s="16"/>
      <c r="RJZ33" s="16"/>
      <c r="RKA33" s="16"/>
      <c r="RKB33" s="16"/>
      <c r="RKC33" s="16"/>
      <c r="RKD33" s="16"/>
      <c r="RKE33" s="16"/>
      <c r="RKF33" s="16"/>
      <c r="RKG33" s="16"/>
      <c r="RKH33" s="16"/>
      <c r="RKI33" s="16"/>
      <c r="RKJ33" s="16"/>
      <c r="RKK33" s="16"/>
      <c r="RKL33" s="16"/>
      <c r="RKM33" s="16"/>
      <c r="RKN33" s="16"/>
      <c r="RKO33" s="16"/>
      <c r="RKP33" s="16"/>
      <c r="RKQ33" s="16"/>
      <c r="RKR33" s="16"/>
      <c r="RKS33" s="16"/>
      <c r="RKT33" s="16"/>
      <c r="RKU33" s="16"/>
      <c r="RKV33" s="16"/>
      <c r="RKW33" s="16"/>
      <c r="RKX33" s="16"/>
      <c r="RKY33" s="16"/>
      <c r="RKZ33" s="16"/>
      <c r="RLA33" s="16"/>
      <c r="RLB33" s="16"/>
      <c r="RLC33" s="16"/>
      <c r="RLD33" s="16"/>
      <c r="RLE33" s="16"/>
      <c r="RLF33" s="16"/>
      <c r="RLG33" s="16"/>
      <c r="RLH33" s="16"/>
      <c r="RLI33" s="16"/>
      <c r="RLJ33" s="16"/>
      <c r="RLK33" s="16"/>
      <c r="RLL33" s="16"/>
      <c r="RLM33" s="16"/>
      <c r="RLN33" s="16"/>
      <c r="RLO33" s="16"/>
      <c r="RLP33" s="16"/>
      <c r="RLQ33" s="16"/>
      <c r="RLR33" s="16"/>
      <c r="RLS33" s="16"/>
      <c r="RLT33" s="16"/>
      <c r="RLU33" s="16"/>
      <c r="RLV33" s="16"/>
      <c r="RLW33" s="16"/>
      <c r="RLX33" s="16"/>
      <c r="RLY33" s="16"/>
      <c r="RLZ33" s="16"/>
      <c r="RMA33" s="16"/>
      <c r="RMB33" s="16"/>
      <c r="RMC33" s="16"/>
      <c r="RMD33" s="16"/>
      <c r="RME33" s="16"/>
      <c r="RMF33" s="16"/>
      <c r="RMG33" s="16"/>
      <c r="RMH33" s="16"/>
      <c r="RMI33" s="16"/>
      <c r="RMJ33" s="16"/>
      <c r="RMK33" s="16"/>
      <c r="RML33" s="16"/>
      <c r="RMM33" s="16"/>
      <c r="RMN33" s="16"/>
      <c r="RMO33" s="16"/>
      <c r="RMP33" s="16"/>
      <c r="RMQ33" s="16"/>
      <c r="RMR33" s="16"/>
      <c r="RMS33" s="16"/>
      <c r="RMT33" s="16"/>
      <c r="RMU33" s="16"/>
      <c r="RMV33" s="16"/>
      <c r="RMW33" s="16"/>
      <c r="RMX33" s="16"/>
      <c r="RMY33" s="16"/>
      <c r="RMZ33" s="16"/>
      <c r="RNA33" s="16"/>
      <c r="RNB33" s="16"/>
      <c r="RNC33" s="16"/>
      <c r="RND33" s="16"/>
      <c r="RNE33" s="16"/>
      <c r="RNF33" s="16"/>
      <c r="RNG33" s="16"/>
      <c r="RNH33" s="16"/>
      <c r="RNI33" s="16"/>
      <c r="RNJ33" s="16"/>
      <c r="RNK33" s="16"/>
      <c r="RNL33" s="16"/>
      <c r="RNM33" s="16"/>
      <c r="RNN33" s="16"/>
      <c r="RNO33" s="16"/>
      <c r="RNP33" s="16"/>
      <c r="RNQ33" s="16"/>
      <c r="RNR33" s="16"/>
      <c r="RNS33" s="16"/>
      <c r="RNT33" s="16"/>
      <c r="RNU33" s="16"/>
      <c r="RNV33" s="16"/>
      <c r="RNW33" s="16"/>
      <c r="RNX33" s="16"/>
      <c r="RNY33" s="16"/>
      <c r="RNZ33" s="16"/>
      <c r="ROA33" s="16"/>
      <c r="ROB33" s="16"/>
      <c r="ROC33" s="16"/>
      <c r="ROD33" s="16"/>
      <c r="ROE33" s="16"/>
      <c r="ROF33" s="16"/>
      <c r="ROG33" s="16"/>
      <c r="ROH33" s="16"/>
      <c r="ROI33" s="16"/>
      <c r="ROJ33" s="16"/>
      <c r="ROK33" s="16"/>
      <c r="ROL33" s="16"/>
      <c r="ROM33" s="16"/>
      <c r="RON33" s="16"/>
      <c r="ROO33" s="16"/>
      <c r="ROP33" s="16"/>
      <c r="ROQ33" s="16"/>
      <c r="ROR33" s="16"/>
      <c r="ROS33" s="16"/>
      <c r="ROT33" s="16"/>
      <c r="ROU33" s="16"/>
      <c r="ROV33" s="16"/>
      <c r="ROW33" s="16"/>
      <c r="ROX33" s="16"/>
      <c r="ROY33" s="16"/>
      <c r="ROZ33" s="16"/>
      <c r="RPA33" s="16"/>
      <c r="RPB33" s="16"/>
      <c r="RPC33" s="16"/>
      <c r="RPD33" s="16"/>
      <c r="RPE33" s="16"/>
      <c r="RPF33" s="16"/>
      <c r="RPG33" s="16"/>
      <c r="RPH33" s="16"/>
      <c r="RPI33" s="16"/>
      <c r="RPJ33" s="16"/>
      <c r="RPK33" s="16"/>
      <c r="RPL33" s="16"/>
      <c r="RPM33" s="16"/>
      <c r="RPN33" s="16"/>
      <c r="RPO33" s="16"/>
      <c r="RPP33" s="16"/>
      <c r="RPQ33" s="16"/>
      <c r="RPR33" s="16"/>
      <c r="RPS33" s="16"/>
      <c r="RPT33" s="16"/>
      <c r="RPU33" s="16"/>
      <c r="RPV33" s="16"/>
      <c r="RPW33" s="16"/>
      <c r="RPX33" s="16"/>
      <c r="RPY33" s="16"/>
      <c r="RPZ33" s="16"/>
      <c r="RQA33" s="16"/>
      <c r="RQB33" s="16"/>
      <c r="RQC33" s="16"/>
      <c r="RQD33" s="16"/>
      <c r="RQE33" s="16"/>
      <c r="RQF33" s="16"/>
      <c r="RQG33" s="16"/>
      <c r="RQH33" s="16"/>
      <c r="RQI33" s="16"/>
      <c r="RQJ33" s="16"/>
      <c r="RQK33" s="16"/>
      <c r="RQL33" s="16"/>
      <c r="RQM33" s="16"/>
      <c r="RQN33" s="16"/>
      <c r="RQO33" s="16"/>
      <c r="RQP33" s="16"/>
      <c r="RQQ33" s="16"/>
      <c r="RQR33" s="16"/>
      <c r="RQS33" s="16"/>
      <c r="RQT33" s="16"/>
      <c r="RQU33" s="16"/>
      <c r="RQV33" s="16"/>
      <c r="RQW33" s="16"/>
      <c r="RQX33" s="16"/>
      <c r="RQY33" s="16"/>
      <c r="RQZ33" s="16"/>
      <c r="RRA33" s="16"/>
      <c r="RRB33" s="16"/>
      <c r="RRC33" s="16"/>
      <c r="RRD33" s="16"/>
      <c r="RRE33" s="16"/>
      <c r="RRF33" s="16"/>
      <c r="RRG33" s="16"/>
      <c r="RRH33" s="16"/>
      <c r="RRI33" s="16"/>
      <c r="RRJ33" s="16"/>
      <c r="RRK33" s="16"/>
      <c r="RRL33" s="16"/>
      <c r="RRM33" s="16"/>
      <c r="RRN33" s="16"/>
      <c r="RRO33" s="16"/>
      <c r="RRP33" s="16"/>
      <c r="RRQ33" s="16"/>
      <c r="RRR33" s="16"/>
      <c r="RRS33" s="16"/>
      <c r="RRT33" s="16"/>
      <c r="RRU33" s="16"/>
      <c r="RRV33" s="16"/>
      <c r="RRW33" s="16"/>
      <c r="RRX33" s="16"/>
      <c r="RRY33" s="16"/>
      <c r="RRZ33" s="16"/>
      <c r="RSA33" s="16"/>
      <c r="RSB33" s="16"/>
      <c r="RSC33" s="16"/>
      <c r="RSD33" s="16"/>
      <c r="RSE33" s="16"/>
      <c r="RSF33" s="16"/>
      <c r="RSG33" s="16"/>
      <c r="RSH33" s="16"/>
      <c r="RSI33" s="16"/>
      <c r="RSJ33" s="16"/>
      <c r="RSK33" s="16"/>
      <c r="RSL33" s="16"/>
      <c r="RSM33" s="16"/>
      <c r="RSN33" s="16"/>
      <c r="RSO33" s="16"/>
      <c r="RSP33" s="16"/>
      <c r="RSQ33" s="16"/>
      <c r="RSR33" s="16"/>
      <c r="RSS33" s="16"/>
      <c r="RST33" s="16"/>
      <c r="RSU33" s="16"/>
      <c r="RSV33" s="16"/>
      <c r="RSW33" s="16"/>
      <c r="RSX33" s="16"/>
      <c r="RSY33" s="16"/>
      <c r="RSZ33" s="16"/>
      <c r="RTA33" s="16"/>
      <c r="RTB33" s="16"/>
      <c r="RTC33" s="16"/>
      <c r="RTD33" s="16"/>
      <c r="RTE33" s="16"/>
      <c r="RTF33" s="16"/>
      <c r="RTG33" s="16"/>
      <c r="RTH33" s="16"/>
      <c r="RTI33" s="16"/>
      <c r="RTJ33" s="16"/>
      <c r="RTK33" s="16"/>
      <c r="RTL33" s="16"/>
      <c r="RTM33" s="16"/>
      <c r="RTN33" s="16"/>
      <c r="RTO33" s="16"/>
      <c r="RTP33" s="16"/>
      <c r="RTQ33" s="16"/>
      <c r="RTR33" s="16"/>
      <c r="RTS33" s="16"/>
      <c r="RTT33" s="16"/>
      <c r="RTU33" s="16"/>
      <c r="RTV33" s="16"/>
      <c r="RTW33" s="16"/>
      <c r="RTX33" s="16"/>
      <c r="RTY33" s="16"/>
      <c r="RTZ33" s="16"/>
      <c r="RUA33" s="16"/>
      <c r="RUB33" s="16"/>
      <c r="RUC33" s="16"/>
      <c r="RUD33" s="16"/>
      <c r="RUE33" s="16"/>
      <c r="RUF33" s="16"/>
      <c r="RUG33" s="16"/>
      <c r="RUH33" s="16"/>
      <c r="RUI33" s="16"/>
      <c r="RUJ33" s="16"/>
      <c r="RUK33" s="16"/>
      <c r="RUL33" s="16"/>
      <c r="RUM33" s="16"/>
      <c r="RUN33" s="16"/>
      <c r="RUO33" s="16"/>
      <c r="RUP33" s="16"/>
      <c r="RUQ33" s="16"/>
      <c r="RUR33" s="16"/>
      <c r="RUS33" s="16"/>
      <c r="RUT33" s="16"/>
      <c r="RUU33" s="16"/>
      <c r="RUV33" s="16"/>
      <c r="RUW33" s="16"/>
      <c r="RUX33" s="16"/>
      <c r="RUY33" s="16"/>
      <c r="RUZ33" s="16"/>
      <c r="RVA33" s="16"/>
      <c r="RVB33" s="16"/>
      <c r="RVC33" s="16"/>
      <c r="RVD33" s="16"/>
      <c r="RVE33" s="16"/>
      <c r="RVF33" s="16"/>
      <c r="RVG33" s="16"/>
      <c r="RVH33" s="16"/>
      <c r="RVI33" s="16"/>
      <c r="RVJ33" s="16"/>
      <c r="RVK33" s="16"/>
      <c r="RVL33" s="16"/>
      <c r="RVM33" s="16"/>
      <c r="RVN33" s="16"/>
      <c r="RVO33" s="16"/>
      <c r="RVP33" s="16"/>
      <c r="RVQ33" s="16"/>
      <c r="RVR33" s="16"/>
      <c r="RVS33" s="16"/>
      <c r="RVT33" s="16"/>
      <c r="RVU33" s="16"/>
      <c r="RVV33" s="16"/>
      <c r="RVW33" s="16"/>
      <c r="RVX33" s="16"/>
      <c r="RVY33" s="16"/>
      <c r="RVZ33" s="16"/>
      <c r="RWA33" s="16"/>
      <c r="RWB33" s="16"/>
      <c r="RWC33" s="16"/>
      <c r="RWD33" s="16"/>
      <c r="RWE33" s="16"/>
      <c r="RWF33" s="16"/>
      <c r="RWG33" s="16"/>
      <c r="RWH33" s="16"/>
      <c r="RWI33" s="16"/>
      <c r="RWJ33" s="16"/>
      <c r="RWK33" s="16"/>
      <c r="RWL33" s="16"/>
      <c r="RWM33" s="16"/>
      <c r="RWN33" s="16"/>
      <c r="RWO33" s="16"/>
      <c r="RWP33" s="16"/>
      <c r="RWQ33" s="16"/>
      <c r="RWR33" s="16"/>
      <c r="RWS33" s="16"/>
      <c r="RWT33" s="16"/>
      <c r="RWU33" s="16"/>
      <c r="RWV33" s="16"/>
      <c r="RWW33" s="16"/>
      <c r="RWX33" s="16"/>
      <c r="RWY33" s="16"/>
      <c r="RWZ33" s="16"/>
      <c r="RXA33" s="16"/>
      <c r="RXB33" s="16"/>
      <c r="RXC33" s="16"/>
      <c r="RXD33" s="16"/>
      <c r="RXE33" s="16"/>
      <c r="RXF33" s="16"/>
      <c r="RXG33" s="16"/>
      <c r="RXH33" s="16"/>
      <c r="RXI33" s="16"/>
      <c r="RXJ33" s="16"/>
      <c r="RXK33" s="16"/>
      <c r="RXL33" s="16"/>
      <c r="RXM33" s="16"/>
      <c r="RXN33" s="16"/>
      <c r="RXO33" s="16"/>
      <c r="RXP33" s="16"/>
      <c r="RXQ33" s="16"/>
      <c r="RXR33" s="16"/>
      <c r="RXS33" s="16"/>
      <c r="RXT33" s="16"/>
      <c r="RXU33" s="16"/>
      <c r="RXV33" s="16"/>
      <c r="RXW33" s="16"/>
      <c r="RXX33" s="16"/>
      <c r="RXY33" s="16"/>
      <c r="RXZ33" s="16"/>
      <c r="RYA33" s="16"/>
      <c r="RYB33" s="16"/>
      <c r="RYC33" s="16"/>
      <c r="RYD33" s="16"/>
      <c r="RYE33" s="16"/>
      <c r="RYF33" s="16"/>
      <c r="RYG33" s="16"/>
      <c r="RYH33" s="16"/>
      <c r="RYI33" s="16"/>
      <c r="RYJ33" s="16"/>
      <c r="RYK33" s="16"/>
      <c r="RYL33" s="16"/>
      <c r="RYM33" s="16"/>
      <c r="RYN33" s="16"/>
      <c r="RYO33" s="16"/>
      <c r="RYP33" s="16"/>
      <c r="RYQ33" s="16"/>
      <c r="RYR33" s="16"/>
      <c r="RYS33" s="16"/>
      <c r="RYT33" s="16"/>
      <c r="RYU33" s="16"/>
      <c r="RYV33" s="16"/>
      <c r="RYW33" s="16"/>
      <c r="RYX33" s="16"/>
      <c r="RYY33" s="16"/>
      <c r="RYZ33" s="16"/>
      <c r="RZA33" s="16"/>
      <c r="RZB33" s="16"/>
      <c r="RZC33" s="16"/>
      <c r="RZD33" s="16"/>
      <c r="RZE33" s="16"/>
      <c r="RZF33" s="16"/>
      <c r="RZG33" s="16"/>
      <c r="RZH33" s="16"/>
      <c r="RZI33" s="16"/>
      <c r="RZJ33" s="16"/>
      <c r="RZK33" s="16"/>
      <c r="RZL33" s="16"/>
      <c r="RZM33" s="16"/>
      <c r="RZN33" s="16"/>
      <c r="RZO33" s="16"/>
      <c r="RZP33" s="16"/>
      <c r="RZQ33" s="16"/>
      <c r="RZR33" s="16"/>
      <c r="RZS33" s="16"/>
      <c r="RZT33" s="16"/>
      <c r="RZU33" s="16"/>
      <c r="RZV33" s="16"/>
      <c r="RZW33" s="16"/>
      <c r="RZX33" s="16"/>
      <c r="RZY33" s="16"/>
      <c r="RZZ33" s="16"/>
      <c r="SAA33" s="16"/>
      <c r="SAB33" s="16"/>
      <c r="SAC33" s="16"/>
      <c r="SAD33" s="16"/>
      <c r="SAE33" s="16"/>
      <c r="SAF33" s="16"/>
      <c r="SAG33" s="16"/>
      <c r="SAH33" s="16"/>
      <c r="SAI33" s="16"/>
      <c r="SAJ33" s="16"/>
      <c r="SAK33" s="16"/>
      <c r="SAL33" s="16"/>
      <c r="SAM33" s="16"/>
      <c r="SAN33" s="16"/>
      <c r="SAO33" s="16"/>
      <c r="SAP33" s="16"/>
      <c r="SAQ33" s="16"/>
      <c r="SAR33" s="16"/>
      <c r="SAS33" s="16"/>
      <c r="SAT33" s="16"/>
      <c r="SAU33" s="16"/>
      <c r="SAV33" s="16"/>
      <c r="SAW33" s="16"/>
      <c r="SAX33" s="16"/>
      <c r="SAY33" s="16"/>
      <c r="SAZ33" s="16"/>
      <c r="SBA33" s="16"/>
      <c r="SBB33" s="16"/>
      <c r="SBC33" s="16"/>
      <c r="SBD33" s="16"/>
      <c r="SBE33" s="16"/>
      <c r="SBF33" s="16"/>
      <c r="SBG33" s="16"/>
      <c r="SBH33" s="16"/>
      <c r="SBI33" s="16"/>
      <c r="SBJ33" s="16"/>
      <c r="SBK33" s="16"/>
      <c r="SBL33" s="16"/>
      <c r="SBM33" s="16"/>
      <c r="SBN33" s="16"/>
      <c r="SBO33" s="16"/>
      <c r="SBP33" s="16"/>
      <c r="SBQ33" s="16"/>
      <c r="SBR33" s="16"/>
      <c r="SBS33" s="16"/>
      <c r="SBT33" s="16"/>
      <c r="SBU33" s="16"/>
      <c r="SBV33" s="16"/>
      <c r="SBW33" s="16"/>
      <c r="SBX33" s="16"/>
      <c r="SBY33" s="16"/>
      <c r="SBZ33" s="16"/>
      <c r="SCA33" s="16"/>
      <c r="SCB33" s="16"/>
      <c r="SCC33" s="16"/>
      <c r="SCD33" s="16"/>
      <c r="SCE33" s="16"/>
      <c r="SCF33" s="16"/>
      <c r="SCG33" s="16"/>
      <c r="SCH33" s="16"/>
      <c r="SCI33" s="16"/>
      <c r="SCJ33" s="16"/>
      <c r="SCK33" s="16"/>
      <c r="SCL33" s="16"/>
      <c r="SCM33" s="16"/>
      <c r="SCN33" s="16"/>
      <c r="SCO33" s="16"/>
      <c r="SCP33" s="16"/>
      <c r="SCQ33" s="16"/>
      <c r="SCR33" s="16"/>
      <c r="SCS33" s="16"/>
      <c r="SCT33" s="16"/>
      <c r="SCU33" s="16"/>
      <c r="SCV33" s="16"/>
      <c r="SCW33" s="16"/>
      <c r="SCX33" s="16"/>
      <c r="SCY33" s="16"/>
      <c r="SCZ33" s="16"/>
      <c r="SDA33" s="16"/>
      <c r="SDB33" s="16"/>
      <c r="SDC33" s="16"/>
      <c r="SDD33" s="16"/>
      <c r="SDE33" s="16"/>
      <c r="SDF33" s="16"/>
      <c r="SDG33" s="16"/>
      <c r="SDH33" s="16"/>
      <c r="SDI33" s="16"/>
      <c r="SDJ33" s="16"/>
      <c r="SDK33" s="16"/>
      <c r="SDL33" s="16"/>
      <c r="SDM33" s="16"/>
      <c r="SDN33" s="16"/>
      <c r="SDO33" s="16"/>
      <c r="SDP33" s="16"/>
      <c r="SDQ33" s="16"/>
      <c r="SDR33" s="16"/>
      <c r="SDS33" s="16"/>
      <c r="SDT33" s="16"/>
      <c r="SDU33" s="16"/>
      <c r="SDV33" s="16"/>
      <c r="SDW33" s="16"/>
      <c r="SDX33" s="16"/>
      <c r="SDY33" s="16"/>
      <c r="SDZ33" s="16"/>
      <c r="SEA33" s="16"/>
      <c r="SEB33" s="16"/>
      <c r="SEC33" s="16"/>
      <c r="SED33" s="16"/>
      <c r="SEE33" s="16"/>
      <c r="SEF33" s="16"/>
      <c r="SEG33" s="16"/>
      <c r="SEH33" s="16"/>
      <c r="SEI33" s="16"/>
      <c r="SEJ33" s="16"/>
      <c r="SEK33" s="16"/>
      <c r="SEL33" s="16"/>
      <c r="SEM33" s="16"/>
      <c r="SEN33" s="16"/>
      <c r="SEO33" s="16"/>
      <c r="SEP33" s="16"/>
      <c r="SEQ33" s="16"/>
      <c r="SER33" s="16"/>
      <c r="SES33" s="16"/>
      <c r="SET33" s="16"/>
      <c r="SEU33" s="16"/>
      <c r="SEV33" s="16"/>
      <c r="SEW33" s="16"/>
      <c r="SEX33" s="16"/>
      <c r="SEY33" s="16"/>
      <c r="SEZ33" s="16"/>
      <c r="SFA33" s="16"/>
      <c r="SFB33" s="16"/>
      <c r="SFC33" s="16"/>
      <c r="SFD33" s="16"/>
      <c r="SFE33" s="16"/>
      <c r="SFF33" s="16"/>
      <c r="SFG33" s="16"/>
      <c r="SFH33" s="16"/>
      <c r="SFI33" s="16"/>
      <c r="SFJ33" s="16"/>
      <c r="SFK33" s="16"/>
      <c r="SFL33" s="16"/>
      <c r="SFM33" s="16"/>
      <c r="SFN33" s="16"/>
      <c r="SFO33" s="16"/>
      <c r="SFP33" s="16"/>
      <c r="SFQ33" s="16"/>
      <c r="SFR33" s="16"/>
      <c r="SFS33" s="16"/>
      <c r="SFT33" s="16"/>
      <c r="SFU33" s="16"/>
      <c r="SFV33" s="16"/>
      <c r="SFW33" s="16"/>
      <c r="SFX33" s="16"/>
      <c r="SFY33" s="16"/>
      <c r="SFZ33" s="16"/>
      <c r="SGA33" s="16"/>
      <c r="SGB33" s="16"/>
      <c r="SGC33" s="16"/>
      <c r="SGD33" s="16"/>
      <c r="SGE33" s="16"/>
      <c r="SGF33" s="16"/>
      <c r="SGG33" s="16"/>
      <c r="SGH33" s="16"/>
      <c r="SGI33" s="16"/>
      <c r="SGJ33" s="16"/>
      <c r="SGK33" s="16"/>
      <c r="SGL33" s="16"/>
      <c r="SGM33" s="16"/>
      <c r="SGN33" s="16"/>
      <c r="SGO33" s="16"/>
      <c r="SGP33" s="16"/>
      <c r="SGQ33" s="16"/>
      <c r="SGR33" s="16"/>
      <c r="SGS33" s="16"/>
      <c r="SGT33" s="16"/>
      <c r="SGU33" s="16"/>
      <c r="SGV33" s="16"/>
      <c r="SGW33" s="16"/>
      <c r="SGX33" s="16"/>
      <c r="SGY33" s="16"/>
      <c r="SGZ33" s="16"/>
      <c r="SHA33" s="16"/>
      <c r="SHB33" s="16"/>
      <c r="SHC33" s="16"/>
      <c r="SHD33" s="16"/>
      <c r="SHE33" s="16"/>
      <c r="SHF33" s="16"/>
      <c r="SHG33" s="16"/>
      <c r="SHH33" s="16"/>
      <c r="SHI33" s="16"/>
      <c r="SHJ33" s="16"/>
      <c r="SHK33" s="16"/>
      <c r="SHL33" s="16"/>
      <c r="SHM33" s="16"/>
      <c r="SHN33" s="16"/>
      <c r="SHO33" s="16"/>
      <c r="SHP33" s="16"/>
      <c r="SHQ33" s="16"/>
      <c r="SHR33" s="16"/>
      <c r="SHS33" s="16"/>
      <c r="SHT33" s="16"/>
      <c r="SHU33" s="16"/>
      <c r="SHV33" s="16"/>
      <c r="SHW33" s="16"/>
      <c r="SHX33" s="16"/>
      <c r="SHY33" s="16"/>
      <c r="SHZ33" s="16"/>
      <c r="SIA33" s="16"/>
      <c r="SIB33" s="16"/>
      <c r="SIC33" s="16"/>
      <c r="SID33" s="16"/>
      <c r="SIE33" s="16"/>
      <c r="SIF33" s="16"/>
      <c r="SIG33" s="16"/>
      <c r="SIH33" s="16"/>
      <c r="SII33" s="16"/>
      <c r="SIJ33" s="16"/>
      <c r="SIK33" s="16"/>
      <c r="SIL33" s="16"/>
      <c r="SIM33" s="16"/>
      <c r="SIN33" s="16"/>
      <c r="SIO33" s="16"/>
      <c r="SIP33" s="16"/>
      <c r="SIQ33" s="16"/>
      <c r="SIR33" s="16"/>
      <c r="SIS33" s="16"/>
      <c r="SIT33" s="16"/>
      <c r="SIU33" s="16"/>
      <c r="SIV33" s="16"/>
      <c r="SIW33" s="16"/>
      <c r="SIX33" s="16"/>
      <c r="SIY33" s="16"/>
      <c r="SIZ33" s="16"/>
      <c r="SJA33" s="16"/>
      <c r="SJB33" s="16"/>
      <c r="SJC33" s="16"/>
      <c r="SJD33" s="16"/>
      <c r="SJE33" s="16"/>
      <c r="SJF33" s="16"/>
      <c r="SJG33" s="16"/>
      <c r="SJH33" s="16"/>
      <c r="SJI33" s="16"/>
      <c r="SJJ33" s="16"/>
      <c r="SJK33" s="16"/>
      <c r="SJL33" s="16"/>
      <c r="SJM33" s="16"/>
      <c r="SJN33" s="16"/>
      <c r="SJO33" s="16"/>
      <c r="SJP33" s="16"/>
      <c r="SJQ33" s="16"/>
      <c r="SJR33" s="16"/>
      <c r="SJS33" s="16"/>
      <c r="SJT33" s="16"/>
      <c r="SJU33" s="16"/>
      <c r="SJV33" s="16"/>
      <c r="SJW33" s="16"/>
      <c r="SJX33" s="16"/>
      <c r="SJY33" s="16"/>
      <c r="SJZ33" s="16"/>
      <c r="SKA33" s="16"/>
      <c r="SKB33" s="16"/>
      <c r="SKC33" s="16"/>
      <c r="SKD33" s="16"/>
      <c r="SKE33" s="16"/>
      <c r="SKF33" s="16"/>
      <c r="SKG33" s="16"/>
      <c r="SKH33" s="16"/>
      <c r="SKI33" s="16"/>
      <c r="SKJ33" s="16"/>
      <c r="SKK33" s="16"/>
      <c r="SKL33" s="16"/>
      <c r="SKM33" s="16"/>
      <c r="SKN33" s="16"/>
      <c r="SKO33" s="16"/>
      <c r="SKP33" s="16"/>
      <c r="SKQ33" s="16"/>
      <c r="SKR33" s="16"/>
      <c r="SKS33" s="16"/>
      <c r="SKT33" s="16"/>
      <c r="SKU33" s="16"/>
      <c r="SKV33" s="16"/>
      <c r="SKW33" s="16"/>
      <c r="SKX33" s="16"/>
      <c r="SKY33" s="16"/>
      <c r="SKZ33" s="16"/>
      <c r="SLA33" s="16"/>
      <c r="SLB33" s="16"/>
      <c r="SLC33" s="16"/>
      <c r="SLD33" s="16"/>
      <c r="SLE33" s="16"/>
      <c r="SLF33" s="16"/>
      <c r="SLG33" s="16"/>
      <c r="SLH33" s="16"/>
      <c r="SLI33" s="16"/>
      <c r="SLJ33" s="16"/>
      <c r="SLK33" s="16"/>
      <c r="SLL33" s="16"/>
      <c r="SLM33" s="16"/>
      <c r="SLN33" s="16"/>
      <c r="SLO33" s="16"/>
      <c r="SLP33" s="16"/>
      <c r="SLQ33" s="16"/>
      <c r="SLR33" s="16"/>
      <c r="SLS33" s="16"/>
      <c r="SLT33" s="16"/>
      <c r="SLU33" s="16"/>
      <c r="SLV33" s="16"/>
      <c r="SLW33" s="16"/>
      <c r="SLX33" s="16"/>
      <c r="SLY33" s="16"/>
      <c r="SLZ33" s="16"/>
      <c r="SMA33" s="16"/>
      <c r="SMB33" s="16"/>
      <c r="SMC33" s="16"/>
      <c r="SMD33" s="16"/>
      <c r="SME33" s="16"/>
      <c r="SMF33" s="16"/>
      <c r="SMG33" s="16"/>
      <c r="SMH33" s="16"/>
      <c r="SMI33" s="16"/>
      <c r="SMJ33" s="16"/>
      <c r="SMK33" s="16"/>
      <c r="SML33" s="16"/>
      <c r="SMM33" s="16"/>
      <c r="SMN33" s="16"/>
      <c r="SMO33" s="16"/>
      <c r="SMP33" s="16"/>
      <c r="SMQ33" s="16"/>
      <c r="SMR33" s="16"/>
      <c r="SMS33" s="16"/>
      <c r="SMT33" s="16"/>
      <c r="SMU33" s="16"/>
      <c r="SMV33" s="16"/>
      <c r="SMW33" s="16"/>
      <c r="SMX33" s="16"/>
      <c r="SMY33" s="16"/>
      <c r="SMZ33" s="16"/>
      <c r="SNA33" s="16"/>
      <c r="SNB33" s="16"/>
      <c r="SNC33" s="16"/>
      <c r="SND33" s="16"/>
      <c r="SNE33" s="16"/>
      <c r="SNF33" s="16"/>
      <c r="SNG33" s="16"/>
      <c r="SNH33" s="16"/>
      <c r="SNI33" s="16"/>
      <c r="SNJ33" s="16"/>
      <c r="SNK33" s="16"/>
      <c r="SNL33" s="16"/>
      <c r="SNM33" s="16"/>
      <c r="SNN33" s="16"/>
      <c r="SNO33" s="16"/>
      <c r="SNP33" s="16"/>
      <c r="SNQ33" s="16"/>
      <c r="SNR33" s="16"/>
      <c r="SNS33" s="16"/>
      <c r="SNT33" s="16"/>
      <c r="SNU33" s="16"/>
      <c r="SNV33" s="16"/>
      <c r="SNW33" s="16"/>
      <c r="SNX33" s="16"/>
      <c r="SNY33" s="16"/>
      <c r="SNZ33" s="16"/>
      <c r="SOA33" s="16"/>
      <c r="SOB33" s="16"/>
      <c r="SOC33" s="16"/>
      <c r="SOD33" s="16"/>
      <c r="SOE33" s="16"/>
      <c r="SOF33" s="16"/>
      <c r="SOG33" s="16"/>
      <c r="SOH33" s="16"/>
      <c r="SOI33" s="16"/>
      <c r="SOJ33" s="16"/>
      <c r="SOK33" s="16"/>
      <c r="SOL33" s="16"/>
      <c r="SOM33" s="16"/>
      <c r="SON33" s="16"/>
      <c r="SOO33" s="16"/>
      <c r="SOP33" s="16"/>
      <c r="SOQ33" s="16"/>
      <c r="SOR33" s="16"/>
      <c r="SOS33" s="16"/>
      <c r="SOT33" s="16"/>
      <c r="SOU33" s="16"/>
      <c r="SOV33" s="16"/>
      <c r="SOW33" s="16"/>
      <c r="SOX33" s="16"/>
      <c r="SOY33" s="16"/>
      <c r="SOZ33" s="16"/>
      <c r="SPA33" s="16"/>
      <c r="SPB33" s="16"/>
      <c r="SPC33" s="16"/>
      <c r="SPD33" s="16"/>
      <c r="SPE33" s="16"/>
      <c r="SPF33" s="16"/>
      <c r="SPG33" s="16"/>
      <c r="SPH33" s="16"/>
      <c r="SPI33" s="16"/>
      <c r="SPJ33" s="16"/>
      <c r="SPK33" s="16"/>
      <c r="SPL33" s="16"/>
      <c r="SPM33" s="16"/>
      <c r="SPN33" s="16"/>
      <c r="SPO33" s="16"/>
      <c r="SPP33" s="16"/>
      <c r="SPQ33" s="16"/>
      <c r="SPR33" s="16"/>
      <c r="SPS33" s="16"/>
      <c r="SPT33" s="16"/>
      <c r="SPU33" s="16"/>
      <c r="SPV33" s="16"/>
      <c r="SPW33" s="16"/>
      <c r="SPX33" s="16"/>
      <c r="SPY33" s="16"/>
      <c r="SPZ33" s="16"/>
      <c r="SQA33" s="16"/>
      <c r="SQB33" s="16"/>
      <c r="SQC33" s="16"/>
      <c r="SQD33" s="16"/>
      <c r="SQE33" s="16"/>
      <c r="SQF33" s="16"/>
      <c r="SQG33" s="16"/>
      <c r="SQH33" s="16"/>
      <c r="SQI33" s="16"/>
      <c r="SQJ33" s="16"/>
      <c r="SQK33" s="16"/>
      <c r="SQL33" s="16"/>
      <c r="SQM33" s="16"/>
      <c r="SQN33" s="16"/>
      <c r="SQO33" s="16"/>
      <c r="SQP33" s="16"/>
      <c r="SQQ33" s="16"/>
      <c r="SQR33" s="16"/>
      <c r="SQS33" s="16"/>
      <c r="SQT33" s="16"/>
      <c r="SQU33" s="16"/>
      <c r="SQV33" s="16"/>
      <c r="SQW33" s="16"/>
      <c r="SQX33" s="16"/>
      <c r="SQY33" s="16"/>
      <c r="SQZ33" s="16"/>
      <c r="SRA33" s="16"/>
      <c r="SRB33" s="16"/>
      <c r="SRC33" s="16"/>
      <c r="SRD33" s="16"/>
      <c r="SRE33" s="16"/>
      <c r="SRF33" s="16"/>
      <c r="SRG33" s="16"/>
      <c r="SRH33" s="16"/>
      <c r="SRI33" s="16"/>
      <c r="SRJ33" s="16"/>
      <c r="SRK33" s="16"/>
      <c r="SRL33" s="16"/>
      <c r="SRM33" s="16"/>
      <c r="SRN33" s="16"/>
      <c r="SRO33" s="16"/>
      <c r="SRP33" s="16"/>
      <c r="SRQ33" s="16"/>
      <c r="SRR33" s="16"/>
      <c r="SRS33" s="16"/>
      <c r="SRT33" s="16"/>
      <c r="SRU33" s="16"/>
      <c r="SRV33" s="16"/>
      <c r="SRW33" s="16"/>
      <c r="SRX33" s="16"/>
      <c r="SRY33" s="16"/>
      <c r="SRZ33" s="16"/>
      <c r="SSA33" s="16"/>
      <c r="SSB33" s="16"/>
      <c r="SSC33" s="16"/>
      <c r="SSD33" s="16"/>
      <c r="SSE33" s="16"/>
      <c r="SSF33" s="16"/>
      <c r="SSG33" s="16"/>
      <c r="SSH33" s="16"/>
      <c r="SSI33" s="16"/>
      <c r="SSJ33" s="16"/>
      <c r="SSK33" s="16"/>
      <c r="SSL33" s="16"/>
      <c r="SSM33" s="16"/>
      <c r="SSN33" s="16"/>
      <c r="SSO33" s="16"/>
      <c r="SSP33" s="16"/>
      <c r="SSQ33" s="16"/>
      <c r="SSR33" s="16"/>
      <c r="SSS33" s="16"/>
      <c r="SST33" s="16"/>
      <c r="SSU33" s="16"/>
      <c r="SSV33" s="16"/>
      <c r="SSW33" s="16"/>
      <c r="SSX33" s="16"/>
      <c r="SSY33" s="16"/>
      <c r="SSZ33" s="16"/>
      <c r="STA33" s="16"/>
      <c r="STB33" s="16"/>
      <c r="STC33" s="16"/>
      <c r="STD33" s="16"/>
      <c r="STE33" s="16"/>
      <c r="STF33" s="16"/>
      <c r="STG33" s="16"/>
      <c r="STH33" s="16"/>
      <c r="STI33" s="16"/>
      <c r="STJ33" s="16"/>
      <c r="STK33" s="16"/>
      <c r="STL33" s="16"/>
      <c r="STM33" s="16"/>
      <c r="STN33" s="16"/>
      <c r="STO33" s="16"/>
      <c r="STP33" s="16"/>
      <c r="STQ33" s="16"/>
      <c r="STR33" s="16"/>
      <c r="STS33" s="16"/>
      <c r="STT33" s="16"/>
      <c r="STU33" s="16"/>
      <c r="STV33" s="16"/>
      <c r="STW33" s="16"/>
      <c r="STX33" s="16"/>
      <c r="STY33" s="16"/>
      <c r="STZ33" s="16"/>
      <c r="SUA33" s="16"/>
      <c r="SUB33" s="16"/>
      <c r="SUC33" s="16"/>
      <c r="SUD33" s="16"/>
      <c r="SUE33" s="16"/>
      <c r="SUF33" s="16"/>
      <c r="SUG33" s="16"/>
      <c r="SUH33" s="16"/>
      <c r="SUI33" s="16"/>
      <c r="SUJ33" s="16"/>
      <c r="SUK33" s="16"/>
      <c r="SUL33" s="16"/>
      <c r="SUM33" s="16"/>
      <c r="SUN33" s="16"/>
      <c r="SUO33" s="16"/>
      <c r="SUP33" s="16"/>
      <c r="SUQ33" s="16"/>
      <c r="SUR33" s="16"/>
      <c r="SUS33" s="16"/>
      <c r="SUT33" s="16"/>
      <c r="SUU33" s="16"/>
      <c r="SUV33" s="16"/>
      <c r="SUW33" s="16"/>
      <c r="SUX33" s="16"/>
      <c r="SUY33" s="16"/>
      <c r="SUZ33" s="16"/>
      <c r="SVA33" s="16"/>
      <c r="SVB33" s="16"/>
      <c r="SVC33" s="16"/>
      <c r="SVD33" s="16"/>
      <c r="SVE33" s="16"/>
      <c r="SVF33" s="16"/>
      <c r="SVG33" s="16"/>
      <c r="SVH33" s="16"/>
      <c r="SVI33" s="16"/>
      <c r="SVJ33" s="16"/>
      <c r="SVK33" s="16"/>
      <c r="SVL33" s="16"/>
      <c r="SVM33" s="16"/>
      <c r="SVN33" s="16"/>
      <c r="SVO33" s="16"/>
      <c r="SVP33" s="16"/>
      <c r="SVQ33" s="16"/>
      <c r="SVR33" s="16"/>
      <c r="SVS33" s="16"/>
      <c r="SVT33" s="16"/>
      <c r="SVU33" s="16"/>
      <c r="SVV33" s="16"/>
      <c r="SVW33" s="16"/>
      <c r="SVX33" s="16"/>
      <c r="SVY33" s="16"/>
      <c r="SVZ33" s="16"/>
      <c r="SWA33" s="16"/>
      <c r="SWB33" s="16"/>
      <c r="SWC33" s="16"/>
      <c r="SWD33" s="16"/>
      <c r="SWE33" s="16"/>
      <c r="SWF33" s="16"/>
      <c r="SWG33" s="16"/>
      <c r="SWH33" s="16"/>
      <c r="SWI33" s="16"/>
      <c r="SWJ33" s="16"/>
      <c r="SWK33" s="16"/>
      <c r="SWL33" s="16"/>
      <c r="SWM33" s="16"/>
      <c r="SWN33" s="16"/>
      <c r="SWO33" s="16"/>
      <c r="SWP33" s="16"/>
      <c r="SWQ33" s="16"/>
      <c r="SWR33" s="16"/>
      <c r="SWS33" s="16"/>
      <c r="SWT33" s="16"/>
      <c r="SWU33" s="16"/>
      <c r="SWV33" s="16"/>
      <c r="SWW33" s="16"/>
      <c r="SWX33" s="16"/>
      <c r="SWY33" s="16"/>
      <c r="SWZ33" s="16"/>
      <c r="SXA33" s="16"/>
      <c r="SXB33" s="16"/>
      <c r="SXC33" s="16"/>
      <c r="SXD33" s="16"/>
      <c r="SXE33" s="16"/>
      <c r="SXF33" s="16"/>
      <c r="SXG33" s="16"/>
      <c r="SXH33" s="16"/>
      <c r="SXI33" s="16"/>
      <c r="SXJ33" s="16"/>
      <c r="SXK33" s="16"/>
      <c r="SXL33" s="16"/>
      <c r="SXM33" s="16"/>
      <c r="SXN33" s="16"/>
      <c r="SXO33" s="16"/>
      <c r="SXP33" s="16"/>
      <c r="SXQ33" s="16"/>
      <c r="SXR33" s="16"/>
      <c r="SXS33" s="16"/>
      <c r="SXT33" s="16"/>
      <c r="SXU33" s="16"/>
      <c r="SXV33" s="16"/>
      <c r="SXW33" s="16"/>
      <c r="SXX33" s="16"/>
      <c r="SXY33" s="16"/>
      <c r="SXZ33" s="16"/>
      <c r="SYA33" s="16"/>
      <c r="SYB33" s="16"/>
      <c r="SYC33" s="16"/>
      <c r="SYD33" s="16"/>
      <c r="SYE33" s="16"/>
      <c r="SYF33" s="16"/>
      <c r="SYG33" s="16"/>
      <c r="SYH33" s="16"/>
      <c r="SYI33" s="16"/>
      <c r="SYJ33" s="16"/>
      <c r="SYK33" s="16"/>
      <c r="SYL33" s="16"/>
      <c r="SYM33" s="16"/>
      <c r="SYN33" s="16"/>
      <c r="SYO33" s="16"/>
      <c r="SYP33" s="16"/>
      <c r="SYQ33" s="16"/>
      <c r="SYR33" s="16"/>
      <c r="SYS33" s="16"/>
      <c r="SYT33" s="16"/>
      <c r="SYU33" s="16"/>
      <c r="SYV33" s="16"/>
      <c r="SYW33" s="16"/>
      <c r="SYX33" s="16"/>
      <c r="SYY33" s="16"/>
      <c r="SYZ33" s="16"/>
      <c r="SZA33" s="16"/>
      <c r="SZB33" s="16"/>
      <c r="SZC33" s="16"/>
      <c r="SZD33" s="16"/>
      <c r="SZE33" s="16"/>
      <c r="SZF33" s="16"/>
      <c r="SZG33" s="16"/>
      <c r="SZH33" s="16"/>
      <c r="SZI33" s="16"/>
      <c r="SZJ33" s="16"/>
      <c r="SZK33" s="16"/>
      <c r="SZL33" s="16"/>
      <c r="SZM33" s="16"/>
      <c r="SZN33" s="16"/>
      <c r="SZO33" s="16"/>
      <c r="SZP33" s="16"/>
      <c r="SZQ33" s="16"/>
      <c r="SZR33" s="16"/>
      <c r="SZS33" s="16"/>
      <c r="SZT33" s="16"/>
      <c r="SZU33" s="16"/>
      <c r="SZV33" s="16"/>
      <c r="SZW33" s="16"/>
      <c r="SZX33" s="16"/>
      <c r="SZY33" s="16"/>
      <c r="SZZ33" s="16"/>
      <c r="TAA33" s="16"/>
      <c r="TAB33" s="16"/>
      <c r="TAC33" s="16"/>
      <c r="TAD33" s="16"/>
      <c r="TAE33" s="16"/>
      <c r="TAF33" s="16"/>
      <c r="TAG33" s="16"/>
      <c r="TAH33" s="16"/>
      <c r="TAI33" s="16"/>
      <c r="TAJ33" s="16"/>
      <c r="TAK33" s="16"/>
      <c r="TAL33" s="16"/>
      <c r="TAM33" s="16"/>
      <c r="TAN33" s="16"/>
      <c r="TAO33" s="16"/>
      <c r="TAP33" s="16"/>
      <c r="TAQ33" s="16"/>
      <c r="TAR33" s="16"/>
      <c r="TAS33" s="16"/>
      <c r="TAT33" s="16"/>
      <c r="TAU33" s="16"/>
      <c r="TAV33" s="16"/>
      <c r="TAW33" s="16"/>
      <c r="TAX33" s="16"/>
      <c r="TAY33" s="16"/>
      <c r="TAZ33" s="16"/>
      <c r="TBA33" s="16"/>
      <c r="TBB33" s="16"/>
      <c r="TBC33" s="16"/>
      <c r="TBD33" s="16"/>
      <c r="TBE33" s="16"/>
      <c r="TBF33" s="16"/>
      <c r="TBG33" s="16"/>
      <c r="TBH33" s="16"/>
      <c r="TBI33" s="16"/>
      <c r="TBJ33" s="16"/>
      <c r="TBK33" s="16"/>
      <c r="TBL33" s="16"/>
      <c r="TBM33" s="16"/>
      <c r="TBN33" s="16"/>
      <c r="TBO33" s="16"/>
      <c r="TBP33" s="16"/>
      <c r="TBQ33" s="16"/>
      <c r="TBR33" s="16"/>
      <c r="TBS33" s="16"/>
      <c r="TBT33" s="16"/>
      <c r="TBU33" s="16"/>
      <c r="TBV33" s="16"/>
      <c r="TBW33" s="16"/>
      <c r="TBX33" s="16"/>
      <c r="TBY33" s="16"/>
      <c r="TBZ33" s="16"/>
      <c r="TCA33" s="16"/>
      <c r="TCB33" s="16"/>
      <c r="TCC33" s="16"/>
      <c r="TCD33" s="16"/>
      <c r="TCE33" s="16"/>
      <c r="TCF33" s="16"/>
      <c r="TCG33" s="16"/>
      <c r="TCH33" s="16"/>
      <c r="TCI33" s="16"/>
      <c r="TCJ33" s="16"/>
      <c r="TCK33" s="16"/>
      <c r="TCL33" s="16"/>
      <c r="TCM33" s="16"/>
      <c r="TCN33" s="16"/>
      <c r="TCO33" s="16"/>
      <c r="TCP33" s="16"/>
      <c r="TCQ33" s="16"/>
      <c r="TCR33" s="16"/>
      <c r="TCS33" s="16"/>
      <c r="TCT33" s="16"/>
      <c r="TCU33" s="16"/>
      <c r="TCV33" s="16"/>
      <c r="TCW33" s="16"/>
      <c r="TCX33" s="16"/>
      <c r="TCY33" s="16"/>
      <c r="TCZ33" s="16"/>
      <c r="TDA33" s="16"/>
      <c r="TDB33" s="16"/>
      <c r="TDC33" s="16"/>
      <c r="TDD33" s="16"/>
      <c r="TDE33" s="16"/>
      <c r="TDF33" s="16"/>
      <c r="TDG33" s="16"/>
      <c r="TDH33" s="16"/>
      <c r="TDI33" s="16"/>
      <c r="TDJ33" s="16"/>
      <c r="TDK33" s="16"/>
      <c r="TDL33" s="16"/>
      <c r="TDM33" s="16"/>
      <c r="TDN33" s="16"/>
      <c r="TDO33" s="16"/>
      <c r="TDP33" s="16"/>
      <c r="TDQ33" s="16"/>
      <c r="TDR33" s="16"/>
      <c r="TDS33" s="16"/>
      <c r="TDT33" s="16"/>
      <c r="TDU33" s="16"/>
      <c r="TDV33" s="16"/>
      <c r="TDW33" s="16"/>
      <c r="TDX33" s="16"/>
      <c r="TDY33" s="16"/>
      <c r="TDZ33" s="16"/>
      <c r="TEA33" s="16"/>
      <c r="TEB33" s="16"/>
      <c r="TEC33" s="16"/>
      <c r="TED33" s="16"/>
      <c r="TEE33" s="16"/>
      <c r="TEF33" s="16"/>
      <c r="TEG33" s="16"/>
      <c r="TEH33" s="16"/>
      <c r="TEI33" s="16"/>
      <c r="TEJ33" s="16"/>
      <c r="TEK33" s="16"/>
      <c r="TEL33" s="16"/>
      <c r="TEM33" s="16"/>
      <c r="TEN33" s="16"/>
      <c r="TEO33" s="16"/>
      <c r="TEP33" s="16"/>
      <c r="TEQ33" s="16"/>
      <c r="TER33" s="16"/>
      <c r="TES33" s="16"/>
      <c r="TET33" s="16"/>
      <c r="TEU33" s="16"/>
      <c r="TEV33" s="16"/>
      <c r="TEW33" s="16"/>
      <c r="TEX33" s="16"/>
      <c r="TEY33" s="16"/>
      <c r="TEZ33" s="16"/>
      <c r="TFA33" s="16"/>
      <c r="TFB33" s="16"/>
      <c r="TFC33" s="16"/>
      <c r="TFD33" s="16"/>
      <c r="TFE33" s="16"/>
      <c r="TFF33" s="16"/>
      <c r="TFG33" s="16"/>
      <c r="TFH33" s="16"/>
      <c r="TFI33" s="16"/>
      <c r="TFJ33" s="16"/>
      <c r="TFK33" s="16"/>
      <c r="TFL33" s="16"/>
      <c r="TFM33" s="16"/>
      <c r="TFN33" s="16"/>
      <c r="TFO33" s="16"/>
      <c r="TFP33" s="16"/>
      <c r="TFQ33" s="16"/>
      <c r="TFR33" s="16"/>
      <c r="TFS33" s="16"/>
      <c r="TFT33" s="16"/>
      <c r="TFU33" s="16"/>
      <c r="TFV33" s="16"/>
      <c r="TFW33" s="16"/>
      <c r="TFX33" s="16"/>
      <c r="TFY33" s="16"/>
      <c r="TFZ33" s="16"/>
      <c r="TGA33" s="16"/>
      <c r="TGB33" s="16"/>
      <c r="TGC33" s="16"/>
      <c r="TGD33" s="16"/>
      <c r="TGE33" s="16"/>
      <c r="TGF33" s="16"/>
      <c r="TGG33" s="16"/>
      <c r="TGH33" s="16"/>
      <c r="TGI33" s="16"/>
      <c r="TGJ33" s="16"/>
      <c r="TGK33" s="16"/>
      <c r="TGL33" s="16"/>
      <c r="TGM33" s="16"/>
      <c r="TGN33" s="16"/>
      <c r="TGO33" s="16"/>
      <c r="TGP33" s="16"/>
      <c r="TGQ33" s="16"/>
      <c r="TGR33" s="16"/>
      <c r="TGS33" s="16"/>
      <c r="TGT33" s="16"/>
      <c r="TGU33" s="16"/>
      <c r="TGV33" s="16"/>
      <c r="TGW33" s="16"/>
      <c r="TGX33" s="16"/>
      <c r="TGY33" s="16"/>
      <c r="TGZ33" s="16"/>
      <c r="THA33" s="16"/>
      <c r="THB33" s="16"/>
      <c r="THC33" s="16"/>
      <c r="THD33" s="16"/>
      <c r="THE33" s="16"/>
      <c r="THF33" s="16"/>
      <c r="THG33" s="16"/>
      <c r="THH33" s="16"/>
      <c r="THI33" s="16"/>
      <c r="THJ33" s="16"/>
      <c r="THK33" s="16"/>
      <c r="THL33" s="16"/>
      <c r="THM33" s="16"/>
      <c r="THN33" s="16"/>
      <c r="THO33" s="16"/>
      <c r="THP33" s="16"/>
      <c r="THQ33" s="16"/>
      <c r="THR33" s="16"/>
      <c r="THS33" s="16"/>
      <c r="THT33" s="16"/>
      <c r="THU33" s="16"/>
      <c r="THV33" s="16"/>
      <c r="THW33" s="16"/>
      <c r="THX33" s="16"/>
      <c r="THY33" s="16"/>
      <c r="THZ33" s="16"/>
      <c r="TIA33" s="16"/>
      <c r="TIB33" s="16"/>
      <c r="TIC33" s="16"/>
      <c r="TID33" s="16"/>
      <c r="TIE33" s="16"/>
      <c r="TIF33" s="16"/>
      <c r="TIG33" s="16"/>
      <c r="TIH33" s="16"/>
      <c r="TII33" s="16"/>
      <c r="TIJ33" s="16"/>
      <c r="TIK33" s="16"/>
      <c r="TIL33" s="16"/>
      <c r="TIM33" s="16"/>
      <c r="TIN33" s="16"/>
      <c r="TIO33" s="16"/>
      <c r="TIP33" s="16"/>
      <c r="TIQ33" s="16"/>
      <c r="TIR33" s="16"/>
      <c r="TIS33" s="16"/>
      <c r="TIT33" s="16"/>
      <c r="TIU33" s="16"/>
      <c r="TIV33" s="16"/>
      <c r="TIW33" s="16"/>
      <c r="TIX33" s="16"/>
      <c r="TIY33" s="16"/>
      <c r="TIZ33" s="16"/>
      <c r="TJA33" s="16"/>
      <c r="TJB33" s="16"/>
      <c r="TJC33" s="16"/>
      <c r="TJD33" s="16"/>
      <c r="TJE33" s="16"/>
      <c r="TJF33" s="16"/>
      <c r="TJG33" s="16"/>
      <c r="TJH33" s="16"/>
      <c r="TJI33" s="16"/>
      <c r="TJJ33" s="16"/>
      <c r="TJK33" s="16"/>
      <c r="TJL33" s="16"/>
      <c r="TJM33" s="16"/>
      <c r="TJN33" s="16"/>
      <c r="TJO33" s="16"/>
      <c r="TJP33" s="16"/>
      <c r="TJQ33" s="16"/>
      <c r="TJR33" s="16"/>
      <c r="TJS33" s="16"/>
      <c r="TJT33" s="16"/>
      <c r="TJU33" s="16"/>
      <c r="TJV33" s="16"/>
      <c r="TJW33" s="16"/>
      <c r="TJX33" s="16"/>
      <c r="TJY33" s="16"/>
      <c r="TJZ33" s="16"/>
      <c r="TKA33" s="16"/>
      <c r="TKB33" s="16"/>
      <c r="TKC33" s="16"/>
      <c r="TKD33" s="16"/>
      <c r="TKE33" s="16"/>
      <c r="TKF33" s="16"/>
      <c r="TKG33" s="16"/>
      <c r="TKH33" s="16"/>
      <c r="TKI33" s="16"/>
      <c r="TKJ33" s="16"/>
      <c r="TKK33" s="16"/>
      <c r="TKL33" s="16"/>
      <c r="TKM33" s="16"/>
      <c r="TKN33" s="16"/>
      <c r="TKO33" s="16"/>
      <c r="TKP33" s="16"/>
      <c r="TKQ33" s="16"/>
      <c r="TKR33" s="16"/>
      <c r="TKS33" s="16"/>
      <c r="TKT33" s="16"/>
      <c r="TKU33" s="16"/>
      <c r="TKV33" s="16"/>
      <c r="TKW33" s="16"/>
      <c r="TKX33" s="16"/>
      <c r="TKY33" s="16"/>
      <c r="TKZ33" s="16"/>
      <c r="TLA33" s="16"/>
      <c r="TLB33" s="16"/>
      <c r="TLC33" s="16"/>
      <c r="TLD33" s="16"/>
      <c r="TLE33" s="16"/>
      <c r="TLF33" s="16"/>
      <c r="TLG33" s="16"/>
      <c r="TLH33" s="16"/>
      <c r="TLI33" s="16"/>
      <c r="TLJ33" s="16"/>
      <c r="TLK33" s="16"/>
      <c r="TLL33" s="16"/>
      <c r="TLM33" s="16"/>
      <c r="TLN33" s="16"/>
      <c r="TLO33" s="16"/>
      <c r="TLP33" s="16"/>
      <c r="TLQ33" s="16"/>
      <c r="TLR33" s="16"/>
      <c r="TLS33" s="16"/>
      <c r="TLT33" s="16"/>
      <c r="TLU33" s="16"/>
      <c r="TLV33" s="16"/>
      <c r="TLW33" s="16"/>
      <c r="TLX33" s="16"/>
      <c r="TLY33" s="16"/>
      <c r="TLZ33" s="16"/>
      <c r="TMA33" s="16"/>
      <c r="TMB33" s="16"/>
      <c r="TMC33" s="16"/>
      <c r="TMD33" s="16"/>
      <c r="TME33" s="16"/>
      <c r="TMF33" s="16"/>
      <c r="TMG33" s="16"/>
      <c r="TMH33" s="16"/>
      <c r="TMI33" s="16"/>
      <c r="TMJ33" s="16"/>
      <c r="TMK33" s="16"/>
      <c r="TML33" s="16"/>
      <c r="TMM33" s="16"/>
      <c r="TMN33" s="16"/>
      <c r="TMO33" s="16"/>
      <c r="TMP33" s="16"/>
      <c r="TMQ33" s="16"/>
      <c r="TMR33" s="16"/>
      <c r="TMS33" s="16"/>
      <c r="TMT33" s="16"/>
      <c r="TMU33" s="16"/>
      <c r="TMV33" s="16"/>
      <c r="TMW33" s="16"/>
      <c r="TMX33" s="16"/>
      <c r="TMY33" s="16"/>
      <c r="TMZ33" s="16"/>
      <c r="TNA33" s="16"/>
      <c r="TNB33" s="16"/>
      <c r="TNC33" s="16"/>
      <c r="TND33" s="16"/>
      <c r="TNE33" s="16"/>
      <c r="TNF33" s="16"/>
      <c r="TNG33" s="16"/>
      <c r="TNH33" s="16"/>
      <c r="TNI33" s="16"/>
      <c r="TNJ33" s="16"/>
      <c r="TNK33" s="16"/>
      <c r="TNL33" s="16"/>
      <c r="TNM33" s="16"/>
      <c r="TNN33" s="16"/>
      <c r="TNO33" s="16"/>
      <c r="TNP33" s="16"/>
      <c r="TNQ33" s="16"/>
      <c r="TNR33" s="16"/>
      <c r="TNS33" s="16"/>
      <c r="TNT33" s="16"/>
      <c r="TNU33" s="16"/>
      <c r="TNV33" s="16"/>
      <c r="TNW33" s="16"/>
      <c r="TNX33" s="16"/>
      <c r="TNY33" s="16"/>
      <c r="TNZ33" s="16"/>
      <c r="TOA33" s="16"/>
      <c r="TOB33" s="16"/>
      <c r="TOC33" s="16"/>
      <c r="TOD33" s="16"/>
      <c r="TOE33" s="16"/>
      <c r="TOF33" s="16"/>
      <c r="TOG33" s="16"/>
      <c r="TOH33" s="16"/>
      <c r="TOI33" s="16"/>
      <c r="TOJ33" s="16"/>
      <c r="TOK33" s="16"/>
      <c r="TOL33" s="16"/>
      <c r="TOM33" s="16"/>
      <c r="TON33" s="16"/>
      <c r="TOO33" s="16"/>
      <c r="TOP33" s="16"/>
      <c r="TOQ33" s="16"/>
      <c r="TOR33" s="16"/>
      <c r="TOS33" s="16"/>
      <c r="TOT33" s="16"/>
      <c r="TOU33" s="16"/>
      <c r="TOV33" s="16"/>
      <c r="TOW33" s="16"/>
      <c r="TOX33" s="16"/>
      <c r="TOY33" s="16"/>
      <c r="TOZ33" s="16"/>
      <c r="TPA33" s="16"/>
      <c r="TPB33" s="16"/>
      <c r="TPC33" s="16"/>
      <c r="TPD33" s="16"/>
      <c r="TPE33" s="16"/>
      <c r="TPF33" s="16"/>
      <c r="TPG33" s="16"/>
      <c r="TPH33" s="16"/>
      <c r="TPI33" s="16"/>
      <c r="TPJ33" s="16"/>
      <c r="TPK33" s="16"/>
      <c r="TPL33" s="16"/>
      <c r="TPM33" s="16"/>
      <c r="TPN33" s="16"/>
      <c r="TPO33" s="16"/>
      <c r="TPP33" s="16"/>
      <c r="TPQ33" s="16"/>
      <c r="TPR33" s="16"/>
      <c r="TPS33" s="16"/>
      <c r="TPT33" s="16"/>
      <c r="TPU33" s="16"/>
      <c r="TPV33" s="16"/>
      <c r="TPW33" s="16"/>
      <c r="TPX33" s="16"/>
      <c r="TPY33" s="16"/>
      <c r="TPZ33" s="16"/>
      <c r="TQA33" s="16"/>
      <c r="TQB33" s="16"/>
      <c r="TQC33" s="16"/>
      <c r="TQD33" s="16"/>
      <c r="TQE33" s="16"/>
      <c r="TQF33" s="16"/>
      <c r="TQG33" s="16"/>
      <c r="TQH33" s="16"/>
      <c r="TQI33" s="16"/>
      <c r="TQJ33" s="16"/>
      <c r="TQK33" s="16"/>
      <c r="TQL33" s="16"/>
      <c r="TQM33" s="16"/>
      <c r="TQN33" s="16"/>
      <c r="TQO33" s="16"/>
      <c r="TQP33" s="16"/>
      <c r="TQQ33" s="16"/>
      <c r="TQR33" s="16"/>
      <c r="TQS33" s="16"/>
      <c r="TQT33" s="16"/>
      <c r="TQU33" s="16"/>
      <c r="TQV33" s="16"/>
      <c r="TQW33" s="16"/>
      <c r="TQX33" s="16"/>
      <c r="TQY33" s="16"/>
      <c r="TQZ33" s="16"/>
      <c r="TRA33" s="16"/>
      <c r="TRB33" s="16"/>
      <c r="TRC33" s="16"/>
      <c r="TRD33" s="16"/>
      <c r="TRE33" s="16"/>
      <c r="TRF33" s="16"/>
      <c r="TRG33" s="16"/>
      <c r="TRH33" s="16"/>
      <c r="TRI33" s="16"/>
      <c r="TRJ33" s="16"/>
      <c r="TRK33" s="16"/>
      <c r="TRL33" s="16"/>
      <c r="TRM33" s="16"/>
      <c r="TRN33" s="16"/>
      <c r="TRO33" s="16"/>
      <c r="TRP33" s="16"/>
      <c r="TRQ33" s="16"/>
      <c r="TRR33" s="16"/>
      <c r="TRS33" s="16"/>
      <c r="TRT33" s="16"/>
      <c r="TRU33" s="16"/>
      <c r="TRV33" s="16"/>
      <c r="TRW33" s="16"/>
      <c r="TRX33" s="16"/>
      <c r="TRY33" s="16"/>
      <c r="TRZ33" s="16"/>
      <c r="TSA33" s="16"/>
      <c r="TSB33" s="16"/>
      <c r="TSC33" s="16"/>
      <c r="TSD33" s="16"/>
      <c r="TSE33" s="16"/>
      <c r="TSF33" s="16"/>
      <c r="TSG33" s="16"/>
      <c r="TSH33" s="16"/>
      <c r="TSI33" s="16"/>
      <c r="TSJ33" s="16"/>
      <c r="TSK33" s="16"/>
      <c r="TSL33" s="16"/>
      <c r="TSM33" s="16"/>
      <c r="TSN33" s="16"/>
      <c r="TSO33" s="16"/>
      <c r="TSP33" s="16"/>
      <c r="TSQ33" s="16"/>
      <c r="TSR33" s="16"/>
      <c r="TSS33" s="16"/>
      <c r="TST33" s="16"/>
      <c r="TSU33" s="16"/>
      <c r="TSV33" s="16"/>
      <c r="TSW33" s="16"/>
      <c r="TSX33" s="16"/>
      <c r="TSY33" s="16"/>
      <c r="TSZ33" s="16"/>
      <c r="TTA33" s="16"/>
      <c r="TTB33" s="16"/>
      <c r="TTC33" s="16"/>
      <c r="TTD33" s="16"/>
      <c r="TTE33" s="16"/>
      <c r="TTF33" s="16"/>
      <c r="TTG33" s="16"/>
      <c r="TTH33" s="16"/>
      <c r="TTI33" s="16"/>
      <c r="TTJ33" s="16"/>
      <c r="TTK33" s="16"/>
      <c r="TTL33" s="16"/>
      <c r="TTM33" s="16"/>
      <c r="TTN33" s="16"/>
      <c r="TTO33" s="16"/>
      <c r="TTP33" s="16"/>
      <c r="TTQ33" s="16"/>
      <c r="TTR33" s="16"/>
      <c r="TTS33" s="16"/>
      <c r="TTT33" s="16"/>
      <c r="TTU33" s="16"/>
      <c r="TTV33" s="16"/>
      <c r="TTW33" s="16"/>
      <c r="TTX33" s="16"/>
      <c r="TTY33" s="16"/>
      <c r="TTZ33" s="16"/>
      <c r="TUA33" s="16"/>
      <c r="TUB33" s="16"/>
      <c r="TUC33" s="16"/>
      <c r="TUD33" s="16"/>
      <c r="TUE33" s="16"/>
      <c r="TUF33" s="16"/>
      <c r="TUG33" s="16"/>
      <c r="TUH33" s="16"/>
      <c r="TUI33" s="16"/>
      <c r="TUJ33" s="16"/>
      <c r="TUK33" s="16"/>
      <c r="TUL33" s="16"/>
      <c r="TUM33" s="16"/>
      <c r="TUN33" s="16"/>
      <c r="TUO33" s="16"/>
      <c r="TUP33" s="16"/>
      <c r="TUQ33" s="16"/>
      <c r="TUR33" s="16"/>
      <c r="TUS33" s="16"/>
      <c r="TUT33" s="16"/>
      <c r="TUU33" s="16"/>
      <c r="TUV33" s="16"/>
      <c r="TUW33" s="16"/>
      <c r="TUX33" s="16"/>
      <c r="TUY33" s="16"/>
      <c r="TUZ33" s="16"/>
      <c r="TVA33" s="16"/>
      <c r="TVB33" s="16"/>
      <c r="TVC33" s="16"/>
      <c r="TVD33" s="16"/>
      <c r="TVE33" s="16"/>
      <c r="TVF33" s="16"/>
      <c r="TVG33" s="16"/>
      <c r="TVH33" s="16"/>
      <c r="TVI33" s="16"/>
      <c r="TVJ33" s="16"/>
      <c r="TVK33" s="16"/>
      <c r="TVL33" s="16"/>
      <c r="TVM33" s="16"/>
      <c r="TVN33" s="16"/>
      <c r="TVO33" s="16"/>
      <c r="TVP33" s="16"/>
      <c r="TVQ33" s="16"/>
      <c r="TVR33" s="16"/>
      <c r="TVS33" s="16"/>
      <c r="TVT33" s="16"/>
      <c r="TVU33" s="16"/>
      <c r="TVV33" s="16"/>
      <c r="TVW33" s="16"/>
      <c r="TVX33" s="16"/>
      <c r="TVY33" s="16"/>
      <c r="TVZ33" s="16"/>
      <c r="TWA33" s="16"/>
      <c r="TWB33" s="16"/>
      <c r="TWC33" s="16"/>
      <c r="TWD33" s="16"/>
      <c r="TWE33" s="16"/>
      <c r="TWF33" s="16"/>
      <c r="TWG33" s="16"/>
      <c r="TWH33" s="16"/>
      <c r="TWI33" s="16"/>
      <c r="TWJ33" s="16"/>
      <c r="TWK33" s="16"/>
      <c r="TWL33" s="16"/>
      <c r="TWM33" s="16"/>
      <c r="TWN33" s="16"/>
      <c r="TWO33" s="16"/>
      <c r="TWP33" s="16"/>
      <c r="TWQ33" s="16"/>
      <c r="TWR33" s="16"/>
      <c r="TWS33" s="16"/>
      <c r="TWT33" s="16"/>
      <c r="TWU33" s="16"/>
      <c r="TWV33" s="16"/>
      <c r="TWW33" s="16"/>
      <c r="TWX33" s="16"/>
      <c r="TWY33" s="16"/>
      <c r="TWZ33" s="16"/>
      <c r="TXA33" s="16"/>
      <c r="TXB33" s="16"/>
      <c r="TXC33" s="16"/>
      <c r="TXD33" s="16"/>
      <c r="TXE33" s="16"/>
      <c r="TXF33" s="16"/>
      <c r="TXG33" s="16"/>
      <c r="TXH33" s="16"/>
      <c r="TXI33" s="16"/>
      <c r="TXJ33" s="16"/>
      <c r="TXK33" s="16"/>
      <c r="TXL33" s="16"/>
      <c r="TXM33" s="16"/>
      <c r="TXN33" s="16"/>
      <c r="TXO33" s="16"/>
      <c r="TXP33" s="16"/>
      <c r="TXQ33" s="16"/>
      <c r="TXR33" s="16"/>
      <c r="TXS33" s="16"/>
      <c r="TXT33" s="16"/>
      <c r="TXU33" s="16"/>
      <c r="TXV33" s="16"/>
      <c r="TXW33" s="16"/>
      <c r="TXX33" s="16"/>
      <c r="TXY33" s="16"/>
      <c r="TXZ33" s="16"/>
      <c r="TYA33" s="16"/>
      <c r="TYB33" s="16"/>
      <c r="TYC33" s="16"/>
      <c r="TYD33" s="16"/>
      <c r="TYE33" s="16"/>
      <c r="TYF33" s="16"/>
      <c r="TYG33" s="16"/>
      <c r="TYH33" s="16"/>
      <c r="TYI33" s="16"/>
      <c r="TYJ33" s="16"/>
      <c r="TYK33" s="16"/>
      <c r="TYL33" s="16"/>
      <c r="TYM33" s="16"/>
      <c r="TYN33" s="16"/>
      <c r="TYO33" s="16"/>
      <c r="TYP33" s="16"/>
      <c r="TYQ33" s="16"/>
      <c r="TYR33" s="16"/>
      <c r="TYS33" s="16"/>
      <c r="TYT33" s="16"/>
      <c r="TYU33" s="16"/>
      <c r="TYV33" s="16"/>
      <c r="TYW33" s="16"/>
      <c r="TYX33" s="16"/>
      <c r="TYY33" s="16"/>
      <c r="TYZ33" s="16"/>
      <c r="TZA33" s="16"/>
      <c r="TZB33" s="16"/>
      <c r="TZC33" s="16"/>
      <c r="TZD33" s="16"/>
      <c r="TZE33" s="16"/>
      <c r="TZF33" s="16"/>
      <c r="TZG33" s="16"/>
      <c r="TZH33" s="16"/>
      <c r="TZI33" s="16"/>
      <c r="TZJ33" s="16"/>
      <c r="TZK33" s="16"/>
      <c r="TZL33" s="16"/>
      <c r="TZM33" s="16"/>
      <c r="TZN33" s="16"/>
      <c r="TZO33" s="16"/>
      <c r="TZP33" s="16"/>
      <c r="TZQ33" s="16"/>
      <c r="TZR33" s="16"/>
      <c r="TZS33" s="16"/>
      <c r="TZT33" s="16"/>
      <c r="TZU33" s="16"/>
      <c r="TZV33" s="16"/>
      <c r="TZW33" s="16"/>
      <c r="TZX33" s="16"/>
      <c r="TZY33" s="16"/>
      <c r="TZZ33" s="16"/>
      <c r="UAA33" s="16"/>
      <c r="UAB33" s="16"/>
      <c r="UAC33" s="16"/>
      <c r="UAD33" s="16"/>
      <c r="UAE33" s="16"/>
      <c r="UAF33" s="16"/>
      <c r="UAG33" s="16"/>
      <c r="UAH33" s="16"/>
      <c r="UAI33" s="16"/>
      <c r="UAJ33" s="16"/>
      <c r="UAK33" s="16"/>
      <c r="UAL33" s="16"/>
      <c r="UAM33" s="16"/>
      <c r="UAN33" s="16"/>
      <c r="UAO33" s="16"/>
      <c r="UAP33" s="16"/>
      <c r="UAQ33" s="16"/>
      <c r="UAR33" s="16"/>
      <c r="UAS33" s="16"/>
      <c r="UAT33" s="16"/>
      <c r="UAU33" s="16"/>
      <c r="UAV33" s="16"/>
      <c r="UAW33" s="16"/>
      <c r="UAX33" s="16"/>
      <c r="UAY33" s="16"/>
      <c r="UAZ33" s="16"/>
      <c r="UBA33" s="16"/>
      <c r="UBB33" s="16"/>
      <c r="UBC33" s="16"/>
      <c r="UBD33" s="16"/>
      <c r="UBE33" s="16"/>
      <c r="UBF33" s="16"/>
      <c r="UBG33" s="16"/>
      <c r="UBH33" s="16"/>
      <c r="UBI33" s="16"/>
      <c r="UBJ33" s="16"/>
      <c r="UBK33" s="16"/>
      <c r="UBL33" s="16"/>
      <c r="UBM33" s="16"/>
      <c r="UBN33" s="16"/>
      <c r="UBO33" s="16"/>
      <c r="UBP33" s="16"/>
      <c r="UBQ33" s="16"/>
      <c r="UBR33" s="16"/>
      <c r="UBS33" s="16"/>
      <c r="UBT33" s="16"/>
      <c r="UBU33" s="16"/>
      <c r="UBV33" s="16"/>
      <c r="UBW33" s="16"/>
      <c r="UBX33" s="16"/>
      <c r="UBY33" s="16"/>
      <c r="UBZ33" s="16"/>
      <c r="UCA33" s="16"/>
      <c r="UCB33" s="16"/>
      <c r="UCC33" s="16"/>
      <c r="UCD33" s="16"/>
      <c r="UCE33" s="16"/>
      <c r="UCF33" s="16"/>
      <c r="UCG33" s="16"/>
      <c r="UCH33" s="16"/>
      <c r="UCI33" s="16"/>
      <c r="UCJ33" s="16"/>
      <c r="UCK33" s="16"/>
      <c r="UCL33" s="16"/>
      <c r="UCM33" s="16"/>
      <c r="UCN33" s="16"/>
      <c r="UCO33" s="16"/>
      <c r="UCP33" s="16"/>
      <c r="UCQ33" s="16"/>
      <c r="UCR33" s="16"/>
      <c r="UCS33" s="16"/>
      <c r="UCT33" s="16"/>
      <c r="UCU33" s="16"/>
      <c r="UCV33" s="16"/>
      <c r="UCW33" s="16"/>
      <c r="UCX33" s="16"/>
      <c r="UCY33" s="16"/>
      <c r="UCZ33" s="16"/>
      <c r="UDA33" s="16"/>
      <c r="UDB33" s="16"/>
      <c r="UDC33" s="16"/>
      <c r="UDD33" s="16"/>
      <c r="UDE33" s="16"/>
      <c r="UDF33" s="16"/>
      <c r="UDG33" s="16"/>
      <c r="UDH33" s="16"/>
      <c r="UDI33" s="16"/>
      <c r="UDJ33" s="16"/>
      <c r="UDK33" s="16"/>
      <c r="UDL33" s="16"/>
      <c r="UDM33" s="16"/>
      <c r="UDN33" s="16"/>
      <c r="UDO33" s="16"/>
      <c r="UDP33" s="16"/>
      <c r="UDQ33" s="16"/>
      <c r="UDR33" s="16"/>
      <c r="UDS33" s="16"/>
      <c r="UDT33" s="16"/>
      <c r="UDU33" s="16"/>
      <c r="UDV33" s="16"/>
      <c r="UDW33" s="16"/>
      <c r="UDX33" s="16"/>
      <c r="UDY33" s="16"/>
      <c r="UDZ33" s="16"/>
      <c r="UEA33" s="16"/>
      <c r="UEB33" s="16"/>
      <c r="UEC33" s="16"/>
      <c r="UED33" s="16"/>
      <c r="UEE33" s="16"/>
      <c r="UEF33" s="16"/>
      <c r="UEG33" s="16"/>
      <c r="UEH33" s="16"/>
      <c r="UEI33" s="16"/>
      <c r="UEJ33" s="16"/>
      <c r="UEK33" s="16"/>
      <c r="UEL33" s="16"/>
      <c r="UEM33" s="16"/>
      <c r="UEN33" s="16"/>
      <c r="UEO33" s="16"/>
      <c r="UEP33" s="16"/>
      <c r="UEQ33" s="16"/>
      <c r="UER33" s="16"/>
      <c r="UES33" s="16"/>
      <c r="UET33" s="16"/>
      <c r="UEU33" s="16"/>
      <c r="UEV33" s="16"/>
      <c r="UEW33" s="16"/>
      <c r="UEX33" s="16"/>
      <c r="UEY33" s="16"/>
      <c r="UEZ33" s="16"/>
      <c r="UFA33" s="16"/>
      <c r="UFB33" s="16"/>
      <c r="UFC33" s="16"/>
      <c r="UFD33" s="16"/>
      <c r="UFE33" s="16"/>
      <c r="UFF33" s="16"/>
      <c r="UFG33" s="16"/>
      <c r="UFH33" s="16"/>
      <c r="UFI33" s="16"/>
      <c r="UFJ33" s="16"/>
      <c r="UFK33" s="16"/>
      <c r="UFL33" s="16"/>
      <c r="UFM33" s="16"/>
      <c r="UFN33" s="16"/>
      <c r="UFO33" s="16"/>
      <c r="UFP33" s="16"/>
      <c r="UFQ33" s="16"/>
      <c r="UFR33" s="16"/>
      <c r="UFS33" s="16"/>
      <c r="UFT33" s="16"/>
      <c r="UFU33" s="16"/>
      <c r="UFV33" s="16"/>
      <c r="UFW33" s="16"/>
      <c r="UFX33" s="16"/>
      <c r="UFY33" s="16"/>
      <c r="UFZ33" s="16"/>
      <c r="UGA33" s="16"/>
      <c r="UGB33" s="16"/>
      <c r="UGC33" s="16"/>
      <c r="UGD33" s="16"/>
      <c r="UGE33" s="16"/>
      <c r="UGF33" s="16"/>
      <c r="UGG33" s="16"/>
      <c r="UGH33" s="16"/>
      <c r="UGI33" s="16"/>
      <c r="UGJ33" s="16"/>
      <c r="UGK33" s="16"/>
      <c r="UGL33" s="16"/>
      <c r="UGM33" s="16"/>
      <c r="UGN33" s="16"/>
      <c r="UGO33" s="16"/>
      <c r="UGP33" s="16"/>
      <c r="UGQ33" s="16"/>
      <c r="UGR33" s="16"/>
      <c r="UGS33" s="16"/>
      <c r="UGT33" s="16"/>
      <c r="UGU33" s="16"/>
      <c r="UGV33" s="16"/>
      <c r="UGW33" s="16"/>
      <c r="UGX33" s="16"/>
      <c r="UGY33" s="16"/>
      <c r="UGZ33" s="16"/>
      <c r="UHA33" s="16"/>
      <c r="UHB33" s="16"/>
      <c r="UHC33" s="16"/>
      <c r="UHD33" s="16"/>
      <c r="UHE33" s="16"/>
      <c r="UHF33" s="16"/>
      <c r="UHG33" s="16"/>
      <c r="UHH33" s="16"/>
      <c r="UHI33" s="16"/>
      <c r="UHJ33" s="16"/>
      <c r="UHK33" s="16"/>
      <c r="UHL33" s="16"/>
      <c r="UHM33" s="16"/>
      <c r="UHN33" s="16"/>
      <c r="UHO33" s="16"/>
      <c r="UHP33" s="16"/>
      <c r="UHQ33" s="16"/>
      <c r="UHR33" s="16"/>
      <c r="UHS33" s="16"/>
      <c r="UHT33" s="16"/>
      <c r="UHU33" s="16"/>
      <c r="UHV33" s="16"/>
      <c r="UHW33" s="16"/>
      <c r="UHX33" s="16"/>
      <c r="UHY33" s="16"/>
      <c r="UHZ33" s="16"/>
      <c r="UIA33" s="16"/>
      <c r="UIB33" s="16"/>
      <c r="UIC33" s="16"/>
      <c r="UID33" s="16"/>
      <c r="UIE33" s="16"/>
      <c r="UIF33" s="16"/>
      <c r="UIG33" s="16"/>
      <c r="UIH33" s="16"/>
      <c r="UII33" s="16"/>
      <c r="UIJ33" s="16"/>
      <c r="UIK33" s="16"/>
      <c r="UIL33" s="16"/>
      <c r="UIM33" s="16"/>
      <c r="UIN33" s="16"/>
      <c r="UIO33" s="16"/>
      <c r="UIP33" s="16"/>
      <c r="UIQ33" s="16"/>
      <c r="UIR33" s="16"/>
      <c r="UIS33" s="16"/>
      <c r="UIT33" s="16"/>
      <c r="UIU33" s="16"/>
      <c r="UIV33" s="16"/>
      <c r="UIW33" s="16"/>
      <c r="UIX33" s="16"/>
      <c r="UIY33" s="16"/>
      <c r="UIZ33" s="16"/>
      <c r="UJA33" s="16"/>
      <c r="UJB33" s="16"/>
      <c r="UJC33" s="16"/>
      <c r="UJD33" s="16"/>
      <c r="UJE33" s="16"/>
      <c r="UJF33" s="16"/>
      <c r="UJG33" s="16"/>
      <c r="UJH33" s="16"/>
      <c r="UJI33" s="16"/>
      <c r="UJJ33" s="16"/>
      <c r="UJK33" s="16"/>
      <c r="UJL33" s="16"/>
      <c r="UJM33" s="16"/>
      <c r="UJN33" s="16"/>
      <c r="UJO33" s="16"/>
      <c r="UJP33" s="16"/>
      <c r="UJQ33" s="16"/>
      <c r="UJR33" s="16"/>
      <c r="UJS33" s="16"/>
      <c r="UJT33" s="16"/>
      <c r="UJU33" s="16"/>
      <c r="UJV33" s="16"/>
      <c r="UJW33" s="16"/>
      <c r="UJX33" s="16"/>
      <c r="UJY33" s="16"/>
      <c r="UJZ33" s="16"/>
      <c r="UKA33" s="16"/>
      <c r="UKB33" s="16"/>
      <c r="UKC33" s="16"/>
      <c r="UKD33" s="16"/>
      <c r="UKE33" s="16"/>
      <c r="UKF33" s="16"/>
      <c r="UKG33" s="16"/>
      <c r="UKH33" s="16"/>
      <c r="UKI33" s="16"/>
      <c r="UKJ33" s="16"/>
      <c r="UKK33" s="16"/>
      <c r="UKL33" s="16"/>
      <c r="UKM33" s="16"/>
      <c r="UKN33" s="16"/>
      <c r="UKO33" s="16"/>
      <c r="UKP33" s="16"/>
      <c r="UKQ33" s="16"/>
      <c r="UKR33" s="16"/>
      <c r="UKS33" s="16"/>
      <c r="UKT33" s="16"/>
      <c r="UKU33" s="16"/>
      <c r="UKV33" s="16"/>
      <c r="UKW33" s="16"/>
      <c r="UKX33" s="16"/>
      <c r="UKY33" s="16"/>
      <c r="UKZ33" s="16"/>
      <c r="ULA33" s="16"/>
      <c r="ULB33" s="16"/>
      <c r="ULC33" s="16"/>
      <c r="ULD33" s="16"/>
      <c r="ULE33" s="16"/>
      <c r="ULF33" s="16"/>
      <c r="ULG33" s="16"/>
      <c r="ULH33" s="16"/>
      <c r="ULI33" s="16"/>
      <c r="ULJ33" s="16"/>
      <c r="ULK33" s="16"/>
      <c r="ULL33" s="16"/>
      <c r="ULM33" s="16"/>
      <c r="ULN33" s="16"/>
      <c r="ULO33" s="16"/>
      <c r="ULP33" s="16"/>
      <c r="ULQ33" s="16"/>
      <c r="ULR33" s="16"/>
      <c r="ULS33" s="16"/>
      <c r="ULT33" s="16"/>
      <c r="ULU33" s="16"/>
      <c r="ULV33" s="16"/>
      <c r="ULW33" s="16"/>
      <c r="ULX33" s="16"/>
      <c r="ULY33" s="16"/>
      <c r="ULZ33" s="16"/>
      <c r="UMA33" s="16"/>
      <c r="UMB33" s="16"/>
      <c r="UMC33" s="16"/>
      <c r="UMD33" s="16"/>
      <c r="UME33" s="16"/>
      <c r="UMF33" s="16"/>
      <c r="UMG33" s="16"/>
      <c r="UMH33" s="16"/>
      <c r="UMI33" s="16"/>
      <c r="UMJ33" s="16"/>
      <c r="UMK33" s="16"/>
      <c r="UML33" s="16"/>
      <c r="UMM33" s="16"/>
      <c r="UMN33" s="16"/>
      <c r="UMO33" s="16"/>
      <c r="UMP33" s="16"/>
      <c r="UMQ33" s="16"/>
      <c r="UMR33" s="16"/>
      <c r="UMS33" s="16"/>
      <c r="UMT33" s="16"/>
      <c r="UMU33" s="16"/>
      <c r="UMV33" s="16"/>
      <c r="UMW33" s="16"/>
      <c r="UMX33" s="16"/>
      <c r="UMY33" s="16"/>
      <c r="UMZ33" s="16"/>
      <c r="UNA33" s="16"/>
      <c r="UNB33" s="16"/>
      <c r="UNC33" s="16"/>
      <c r="UND33" s="16"/>
      <c r="UNE33" s="16"/>
      <c r="UNF33" s="16"/>
      <c r="UNG33" s="16"/>
      <c r="UNH33" s="16"/>
      <c r="UNI33" s="16"/>
      <c r="UNJ33" s="16"/>
      <c r="UNK33" s="16"/>
      <c r="UNL33" s="16"/>
      <c r="UNM33" s="16"/>
      <c r="UNN33" s="16"/>
      <c r="UNO33" s="16"/>
      <c r="UNP33" s="16"/>
      <c r="UNQ33" s="16"/>
      <c r="UNR33" s="16"/>
      <c r="UNS33" s="16"/>
      <c r="UNT33" s="16"/>
      <c r="UNU33" s="16"/>
      <c r="UNV33" s="16"/>
      <c r="UNW33" s="16"/>
      <c r="UNX33" s="16"/>
      <c r="UNY33" s="16"/>
      <c r="UNZ33" s="16"/>
      <c r="UOA33" s="16"/>
      <c r="UOB33" s="16"/>
      <c r="UOC33" s="16"/>
      <c r="UOD33" s="16"/>
      <c r="UOE33" s="16"/>
      <c r="UOF33" s="16"/>
      <c r="UOG33" s="16"/>
      <c r="UOH33" s="16"/>
      <c r="UOI33" s="16"/>
      <c r="UOJ33" s="16"/>
      <c r="UOK33" s="16"/>
      <c r="UOL33" s="16"/>
      <c r="UOM33" s="16"/>
      <c r="UON33" s="16"/>
      <c r="UOO33" s="16"/>
      <c r="UOP33" s="16"/>
      <c r="UOQ33" s="16"/>
      <c r="UOR33" s="16"/>
      <c r="UOS33" s="16"/>
      <c r="UOT33" s="16"/>
      <c r="UOU33" s="16"/>
      <c r="UOV33" s="16"/>
      <c r="UOW33" s="16"/>
      <c r="UOX33" s="16"/>
      <c r="UOY33" s="16"/>
      <c r="UOZ33" s="16"/>
      <c r="UPA33" s="16"/>
      <c r="UPB33" s="16"/>
      <c r="UPC33" s="16"/>
      <c r="UPD33" s="16"/>
      <c r="UPE33" s="16"/>
      <c r="UPF33" s="16"/>
      <c r="UPG33" s="16"/>
      <c r="UPH33" s="16"/>
      <c r="UPI33" s="16"/>
      <c r="UPJ33" s="16"/>
      <c r="UPK33" s="16"/>
      <c r="UPL33" s="16"/>
      <c r="UPM33" s="16"/>
      <c r="UPN33" s="16"/>
      <c r="UPO33" s="16"/>
      <c r="UPP33" s="16"/>
      <c r="UPQ33" s="16"/>
      <c r="UPR33" s="16"/>
      <c r="UPS33" s="16"/>
      <c r="UPT33" s="16"/>
      <c r="UPU33" s="16"/>
      <c r="UPV33" s="16"/>
      <c r="UPW33" s="16"/>
      <c r="UPX33" s="16"/>
      <c r="UPY33" s="16"/>
      <c r="UPZ33" s="16"/>
      <c r="UQA33" s="16"/>
      <c r="UQB33" s="16"/>
      <c r="UQC33" s="16"/>
      <c r="UQD33" s="16"/>
      <c r="UQE33" s="16"/>
      <c r="UQF33" s="16"/>
      <c r="UQG33" s="16"/>
      <c r="UQH33" s="16"/>
      <c r="UQI33" s="16"/>
      <c r="UQJ33" s="16"/>
      <c r="UQK33" s="16"/>
      <c r="UQL33" s="16"/>
      <c r="UQM33" s="16"/>
      <c r="UQN33" s="16"/>
      <c r="UQO33" s="16"/>
      <c r="UQP33" s="16"/>
      <c r="UQQ33" s="16"/>
      <c r="UQR33" s="16"/>
      <c r="UQS33" s="16"/>
      <c r="UQT33" s="16"/>
      <c r="UQU33" s="16"/>
      <c r="UQV33" s="16"/>
      <c r="UQW33" s="16"/>
      <c r="UQX33" s="16"/>
      <c r="UQY33" s="16"/>
      <c r="UQZ33" s="16"/>
      <c r="URA33" s="16"/>
      <c r="URB33" s="16"/>
      <c r="URC33" s="16"/>
      <c r="URD33" s="16"/>
      <c r="URE33" s="16"/>
      <c r="URF33" s="16"/>
      <c r="URG33" s="16"/>
      <c r="URH33" s="16"/>
      <c r="URI33" s="16"/>
      <c r="URJ33" s="16"/>
      <c r="URK33" s="16"/>
      <c r="URL33" s="16"/>
      <c r="URM33" s="16"/>
      <c r="URN33" s="16"/>
      <c r="URO33" s="16"/>
      <c r="URP33" s="16"/>
      <c r="URQ33" s="16"/>
      <c r="URR33" s="16"/>
      <c r="URS33" s="16"/>
      <c r="URT33" s="16"/>
      <c r="URU33" s="16"/>
      <c r="URV33" s="16"/>
      <c r="URW33" s="16"/>
      <c r="URX33" s="16"/>
      <c r="URY33" s="16"/>
      <c r="URZ33" s="16"/>
      <c r="USA33" s="16"/>
      <c r="USB33" s="16"/>
      <c r="USC33" s="16"/>
      <c r="USD33" s="16"/>
      <c r="USE33" s="16"/>
      <c r="USF33" s="16"/>
      <c r="USG33" s="16"/>
      <c r="USH33" s="16"/>
      <c r="USI33" s="16"/>
      <c r="USJ33" s="16"/>
      <c r="USK33" s="16"/>
      <c r="USL33" s="16"/>
      <c r="USM33" s="16"/>
      <c r="USN33" s="16"/>
      <c r="USO33" s="16"/>
      <c r="USP33" s="16"/>
      <c r="USQ33" s="16"/>
      <c r="USR33" s="16"/>
      <c r="USS33" s="16"/>
      <c r="UST33" s="16"/>
      <c r="USU33" s="16"/>
      <c r="USV33" s="16"/>
      <c r="USW33" s="16"/>
      <c r="USX33" s="16"/>
      <c r="USY33" s="16"/>
      <c r="USZ33" s="16"/>
      <c r="UTA33" s="16"/>
      <c r="UTB33" s="16"/>
      <c r="UTC33" s="16"/>
      <c r="UTD33" s="16"/>
      <c r="UTE33" s="16"/>
      <c r="UTF33" s="16"/>
      <c r="UTG33" s="16"/>
      <c r="UTH33" s="16"/>
      <c r="UTI33" s="16"/>
      <c r="UTJ33" s="16"/>
      <c r="UTK33" s="16"/>
      <c r="UTL33" s="16"/>
      <c r="UTM33" s="16"/>
      <c r="UTN33" s="16"/>
      <c r="UTO33" s="16"/>
      <c r="UTP33" s="16"/>
      <c r="UTQ33" s="16"/>
      <c r="UTR33" s="16"/>
      <c r="UTS33" s="16"/>
      <c r="UTT33" s="16"/>
      <c r="UTU33" s="16"/>
      <c r="UTV33" s="16"/>
      <c r="UTW33" s="16"/>
      <c r="UTX33" s="16"/>
      <c r="UTY33" s="16"/>
      <c r="UTZ33" s="16"/>
      <c r="UUA33" s="16"/>
      <c r="UUB33" s="16"/>
      <c r="UUC33" s="16"/>
      <c r="UUD33" s="16"/>
      <c r="UUE33" s="16"/>
      <c r="UUF33" s="16"/>
      <c r="UUG33" s="16"/>
      <c r="UUH33" s="16"/>
      <c r="UUI33" s="16"/>
      <c r="UUJ33" s="16"/>
      <c r="UUK33" s="16"/>
      <c r="UUL33" s="16"/>
      <c r="UUM33" s="16"/>
      <c r="UUN33" s="16"/>
      <c r="UUO33" s="16"/>
      <c r="UUP33" s="16"/>
      <c r="UUQ33" s="16"/>
      <c r="UUR33" s="16"/>
      <c r="UUS33" s="16"/>
      <c r="UUT33" s="16"/>
      <c r="UUU33" s="16"/>
      <c r="UUV33" s="16"/>
      <c r="UUW33" s="16"/>
      <c r="UUX33" s="16"/>
      <c r="UUY33" s="16"/>
      <c r="UUZ33" s="16"/>
      <c r="UVA33" s="16"/>
      <c r="UVB33" s="16"/>
      <c r="UVC33" s="16"/>
      <c r="UVD33" s="16"/>
      <c r="UVE33" s="16"/>
      <c r="UVF33" s="16"/>
      <c r="UVG33" s="16"/>
      <c r="UVH33" s="16"/>
      <c r="UVI33" s="16"/>
      <c r="UVJ33" s="16"/>
      <c r="UVK33" s="16"/>
      <c r="UVL33" s="16"/>
      <c r="UVM33" s="16"/>
      <c r="UVN33" s="16"/>
      <c r="UVO33" s="16"/>
      <c r="UVP33" s="16"/>
      <c r="UVQ33" s="16"/>
      <c r="UVR33" s="16"/>
      <c r="UVS33" s="16"/>
      <c r="UVT33" s="16"/>
      <c r="UVU33" s="16"/>
      <c r="UVV33" s="16"/>
      <c r="UVW33" s="16"/>
      <c r="UVX33" s="16"/>
      <c r="UVY33" s="16"/>
      <c r="UVZ33" s="16"/>
      <c r="UWA33" s="16"/>
      <c r="UWB33" s="16"/>
      <c r="UWC33" s="16"/>
      <c r="UWD33" s="16"/>
      <c r="UWE33" s="16"/>
      <c r="UWF33" s="16"/>
      <c r="UWG33" s="16"/>
      <c r="UWH33" s="16"/>
      <c r="UWI33" s="16"/>
      <c r="UWJ33" s="16"/>
      <c r="UWK33" s="16"/>
      <c r="UWL33" s="16"/>
      <c r="UWM33" s="16"/>
      <c r="UWN33" s="16"/>
      <c r="UWO33" s="16"/>
      <c r="UWP33" s="16"/>
      <c r="UWQ33" s="16"/>
      <c r="UWR33" s="16"/>
      <c r="UWS33" s="16"/>
      <c r="UWT33" s="16"/>
      <c r="UWU33" s="16"/>
      <c r="UWV33" s="16"/>
      <c r="UWW33" s="16"/>
      <c r="UWX33" s="16"/>
      <c r="UWY33" s="16"/>
      <c r="UWZ33" s="16"/>
      <c r="UXA33" s="16"/>
      <c r="UXB33" s="16"/>
      <c r="UXC33" s="16"/>
      <c r="UXD33" s="16"/>
      <c r="UXE33" s="16"/>
      <c r="UXF33" s="16"/>
      <c r="UXG33" s="16"/>
      <c r="UXH33" s="16"/>
      <c r="UXI33" s="16"/>
      <c r="UXJ33" s="16"/>
      <c r="UXK33" s="16"/>
      <c r="UXL33" s="16"/>
      <c r="UXM33" s="16"/>
      <c r="UXN33" s="16"/>
      <c r="UXO33" s="16"/>
      <c r="UXP33" s="16"/>
      <c r="UXQ33" s="16"/>
      <c r="UXR33" s="16"/>
      <c r="UXS33" s="16"/>
      <c r="UXT33" s="16"/>
      <c r="UXU33" s="16"/>
      <c r="UXV33" s="16"/>
      <c r="UXW33" s="16"/>
      <c r="UXX33" s="16"/>
      <c r="UXY33" s="16"/>
      <c r="UXZ33" s="16"/>
      <c r="UYA33" s="16"/>
      <c r="UYB33" s="16"/>
      <c r="UYC33" s="16"/>
      <c r="UYD33" s="16"/>
      <c r="UYE33" s="16"/>
      <c r="UYF33" s="16"/>
      <c r="UYG33" s="16"/>
      <c r="UYH33" s="16"/>
      <c r="UYI33" s="16"/>
      <c r="UYJ33" s="16"/>
      <c r="UYK33" s="16"/>
      <c r="UYL33" s="16"/>
      <c r="UYM33" s="16"/>
      <c r="UYN33" s="16"/>
      <c r="UYO33" s="16"/>
      <c r="UYP33" s="16"/>
      <c r="UYQ33" s="16"/>
      <c r="UYR33" s="16"/>
      <c r="UYS33" s="16"/>
      <c r="UYT33" s="16"/>
      <c r="UYU33" s="16"/>
      <c r="UYV33" s="16"/>
      <c r="UYW33" s="16"/>
      <c r="UYX33" s="16"/>
      <c r="UYY33" s="16"/>
      <c r="UYZ33" s="16"/>
      <c r="UZA33" s="16"/>
      <c r="UZB33" s="16"/>
      <c r="UZC33" s="16"/>
      <c r="UZD33" s="16"/>
      <c r="UZE33" s="16"/>
      <c r="UZF33" s="16"/>
      <c r="UZG33" s="16"/>
      <c r="UZH33" s="16"/>
      <c r="UZI33" s="16"/>
      <c r="UZJ33" s="16"/>
      <c r="UZK33" s="16"/>
      <c r="UZL33" s="16"/>
      <c r="UZM33" s="16"/>
      <c r="UZN33" s="16"/>
      <c r="UZO33" s="16"/>
      <c r="UZP33" s="16"/>
      <c r="UZQ33" s="16"/>
      <c r="UZR33" s="16"/>
      <c r="UZS33" s="16"/>
      <c r="UZT33" s="16"/>
      <c r="UZU33" s="16"/>
      <c r="UZV33" s="16"/>
      <c r="UZW33" s="16"/>
      <c r="UZX33" s="16"/>
      <c r="UZY33" s="16"/>
      <c r="UZZ33" s="16"/>
      <c r="VAA33" s="16"/>
      <c r="VAB33" s="16"/>
      <c r="VAC33" s="16"/>
      <c r="VAD33" s="16"/>
      <c r="VAE33" s="16"/>
      <c r="VAF33" s="16"/>
      <c r="VAG33" s="16"/>
      <c r="VAH33" s="16"/>
      <c r="VAI33" s="16"/>
      <c r="VAJ33" s="16"/>
      <c r="VAK33" s="16"/>
      <c r="VAL33" s="16"/>
      <c r="VAM33" s="16"/>
      <c r="VAN33" s="16"/>
      <c r="VAO33" s="16"/>
      <c r="VAP33" s="16"/>
      <c r="VAQ33" s="16"/>
      <c r="VAR33" s="16"/>
      <c r="VAS33" s="16"/>
      <c r="VAT33" s="16"/>
      <c r="VAU33" s="16"/>
      <c r="VAV33" s="16"/>
      <c r="VAW33" s="16"/>
      <c r="VAX33" s="16"/>
      <c r="VAY33" s="16"/>
      <c r="VAZ33" s="16"/>
      <c r="VBA33" s="16"/>
      <c r="VBB33" s="16"/>
      <c r="VBC33" s="16"/>
      <c r="VBD33" s="16"/>
      <c r="VBE33" s="16"/>
      <c r="VBF33" s="16"/>
      <c r="VBG33" s="16"/>
      <c r="VBH33" s="16"/>
      <c r="VBI33" s="16"/>
      <c r="VBJ33" s="16"/>
      <c r="VBK33" s="16"/>
      <c r="VBL33" s="16"/>
      <c r="VBM33" s="16"/>
      <c r="VBN33" s="16"/>
      <c r="VBO33" s="16"/>
      <c r="VBP33" s="16"/>
      <c r="VBQ33" s="16"/>
      <c r="VBR33" s="16"/>
      <c r="VBS33" s="16"/>
      <c r="VBT33" s="16"/>
      <c r="VBU33" s="16"/>
      <c r="VBV33" s="16"/>
      <c r="VBW33" s="16"/>
      <c r="VBX33" s="16"/>
      <c r="VBY33" s="16"/>
      <c r="VBZ33" s="16"/>
      <c r="VCA33" s="16"/>
      <c r="VCB33" s="16"/>
      <c r="VCC33" s="16"/>
      <c r="VCD33" s="16"/>
      <c r="VCE33" s="16"/>
      <c r="VCF33" s="16"/>
      <c r="VCG33" s="16"/>
      <c r="VCH33" s="16"/>
      <c r="VCI33" s="16"/>
      <c r="VCJ33" s="16"/>
      <c r="VCK33" s="16"/>
      <c r="VCL33" s="16"/>
      <c r="VCM33" s="16"/>
      <c r="VCN33" s="16"/>
      <c r="VCO33" s="16"/>
      <c r="VCP33" s="16"/>
      <c r="VCQ33" s="16"/>
      <c r="VCR33" s="16"/>
      <c r="VCS33" s="16"/>
      <c r="VCT33" s="16"/>
      <c r="VCU33" s="16"/>
      <c r="VCV33" s="16"/>
      <c r="VCW33" s="16"/>
      <c r="VCX33" s="16"/>
      <c r="VCY33" s="16"/>
      <c r="VCZ33" s="16"/>
      <c r="VDA33" s="16"/>
      <c r="VDB33" s="16"/>
      <c r="VDC33" s="16"/>
      <c r="VDD33" s="16"/>
      <c r="VDE33" s="16"/>
      <c r="VDF33" s="16"/>
      <c r="VDG33" s="16"/>
      <c r="VDH33" s="16"/>
      <c r="VDI33" s="16"/>
      <c r="VDJ33" s="16"/>
      <c r="VDK33" s="16"/>
      <c r="VDL33" s="16"/>
      <c r="VDM33" s="16"/>
      <c r="VDN33" s="16"/>
      <c r="VDO33" s="16"/>
      <c r="VDP33" s="16"/>
      <c r="VDQ33" s="16"/>
      <c r="VDR33" s="16"/>
      <c r="VDS33" s="16"/>
      <c r="VDT33" s="16"/>
      <c r="VDU33" s="16"/>
      <c r="VDV33" s="16"/>
      <c r="VDW33" s="16"/>
      <c r="VDX33" s="16"/>
      <c r="VDY33" s="16"/>
      <c r="VDZ33" s="16"/>
      <c r="VEA33" s="16"/>
      <c r="VEB33" s="16"/>
      <c r="VEC33" s="16"/>
      <c r="VED33" s="16"/>
      <c r="VEE33" s="16"/>
      <c r="VEF33" s="16"/>
      <c r="VEG33" s="16"/>
      <c r="VEH33" s="16"/>
      <c r="VEI33" s="16"/>
      <c r="VEJ33" s="16"/>
      <c r="VEK33" s="16"/>
      <c r="VEL33" s="16"/>
      <c r="VEM33" s="16"/>
      <c r="VEN33" s="16"/>
      <c r="VEO33" s="16"/>
      <c r="VEP33" s="16"/>
      <c r="VEQ33" s="16"/>
      <c r="VER33" s="16"/>
      <c r="VES33" s="16"/>
      <c r="VET33" s="16"/>
      <c r="VEU33" s="16"/>
      <c r="VEV33" s="16"/>
      <c r="VEW33" s="16"/>
      <c r="VEX33" s="16"/>
      <c r="VEY33" s="16"/>
      <c r="VEZ33" s="16"/>
      <c r="VFA33" s="16"/>
      <c r="VFB33" s="16"/>
      <c r="VFC33" s="16"/>
      <c r="VFD33" s="16"/>
      <c r="VFE33" s="16"/>
      <c r="VFF33" s="16"/>
      <c r="VFG33" s="16"/>
      <c r="VFH33" s="16"/>
      <c r="VFI33" s="16"/>
      <c r="VFJ33" s="16"/>
      <c r="VFK33" s="16"/>
      <c r="VFL33" s="16"/>
      <c r="VFM33" s="16"/>
      <c r="VFN33" s="16"/>
      <c r="VFO33" s="16"/>
      <c r="VFP33" s="16"/>
      <c r="VFQ33" s="16"/>
      <c r="VFR33" s="16"/>
      <c r="VFS33" s="16"/>
      <c r="VFT33" s="16"/>
      <c r="VFU33" s="16"/>
      <c r="VFV33" s="16"/>
      <c r="VFW33" s="16"/>
      <c r="VFX33" s="16"/>
      <c r="VFY33" s="16"/>
      <c r="VFZ33" s="16"/>
      <c r="VGA33" s="16"/>
      <c r="VGB33" s="16"/>
      <c r="VGC33" s="16"/>
      <c r="VGD33" s="16"/>
      <c r="VGE33" s="16"/>
      <c r="VGF33" s="16"/>
      <c r="VGG33" s="16"/>
      <c r="VGH33" s="16"/>
      <c r="VGI33" s="16"/>
      <c r="VGJ33" s="16"/>
      <c r="VGK33" s="16"/>
      <c r="VGL33" s="16"/>
      <c r="VGM33" s="16"/>
      <c r="VGN33" s="16"/>
      <c r="VGO33" s="16"/>
      <c r="VGP33" s="16"/>
      <c r="VGQ33" s="16"/>
      <c r="VGR33" s="16"/>
      <c r="VGS33" s="16"/>
      <c r="VGT33" s="16"/>
      <c r="VGU33" s="16"/>
      <c r="VGV33" s="16"/>
      <c r="VGW33" s="16"/>
      <c r="VGX33" s="16"/>
      <c r="VGY33" s="16"/>
      <c r="VGZ33" s="16"/>
      <c r="VHA33" s="16"/>
      <c r="VHB33" s="16"/>
      <c r="VHC33" s="16"/>
      <c r="VHD33" s="16"/>
      <c r="VHE33" s="16"/>
      <c r="VHF33" s="16"/>
      <c r="VHG33" s="16"/>
      <c r="VHH33" s="16"/>
      <c r="VHI33" s="16"/>
      <c r="VHJ33" s="16"/>
      <c r="VHK33" s="16"/>
      <c r="VHL33" s="16"/>
      <c r="VHM33" s="16"/>
      <c r="VHN33" s="16"/>
      <c r="VHO33" s="16"/>
      <c r="VHP33" s="16"/>
      <c r="VHQ33" s="16"/>
      <c r="VHR33" s="16"/>
      <c r="VHS33" s="16"/>
      <c r="VHT33" s="16"/>
      <c r="VHU33" s="16"/>
      <c r="VHV33" s="16"/>
      <c r="VHW33" s="16"/>
      <c r="VHX33" s="16"/>
      <c r="VHY33" s="16"/>
      <c r="VHZ33" s="16"/>
      <c r="VIA33" s="16"/>
      <c r="VIB33" s="16"/>
      <c r="VIC33" s="16"/>
      <c r="VID33" s="16"/>
      <c r="VIE33" s="16"/>
      <c r="VIF33" s="16"/>
      <c r="VIG33" s="16"/>
      <c r="VIH33" s="16"/>
      <c r="VII33" s="16"/>
      <c r="VIJ33" s="16"/>
      <c r="VIK33" s="16"/>
      <c r="VIL33" s="16"/>
      <c r="VIM33" s="16"/>
      <c r="VIN33" s="16"/>
      <c r="VIO33" s="16"/>
      <c r="VIP33" s="16"/>
      <c r="VIQ33" s="16"/>
      <c r="VIR33" s="16"/>
      <c r="VIS33" s="16"/>
      <c r="VIT33" s="16"/>
      <c r="VIU33" s="16"/>
      <c r="VIV33" s="16"/>
      <c r="VIW33" s="16"/>
      <c r="VIX33" s="16"/>
      <c r="VIY33" s="16"/>
      <c r="VIZ33" s="16"/>
      <c r="VJA33" s="16"/>
      <c r="VJB33" s="16"/>
      <c r="VJC33" s="16"/>
      <c r="VJD33" s="16"/>
      <c r="VJE33" s="16"/>
      <c r="VJF33" s="16"/>
      <c r="VJG33" s="16"/>
      <c r="VJH33" s="16"/>
      <c r="VJI33" s="16"/>
      <c r="VJJ33" s="16"/>
      <c r="VJK33" s="16"/>
      <c r="VJL33" s="16"/>
      <c r="VJM33" s="16"/>
      <c r="VJN33" s="16"/>
      <c r="VJO33" s="16"/>
      <c r="VJP33" s="16"/>
      <c r="VJQ33" s="16"/>
      <c r="VJR33" s="16"/>
      <c r="VJS33" s="16"/>
      <c r="VJT33" s="16"/>
      <c r="VJU33" s="16"/>
      <c r="VJV33" s="16"/>
      <c r="VJW33" s="16"/>
      <c r="VJX33" s="16"/>
      <c r="VJY33" s="16"/>
      <c r="VJZ33" s="16"/>
      <c r="VKA33" s="16"/>
      <c r="VKB33" s="16"/>
      <c r="VKC33" s="16"/>
      <c r="VKD33" s="16"/>
      <c r="VKE33" s="16"/>
      <c r="VKF33" s="16"/>
      <c r="VKG33" s="16"/>
      <c r="VKH33" s="16"/>
      <c r="VKI33" s="16"/>
      <c r="VKJ33" s="16"/>
      <c r="VKK33" s="16"/>
      <c r="VKL33" s="16"/>
      <c r="VKM33" s="16"/>
      <c r="VKN33" s="16"/>
      <c r="VKO33" s="16"/>
      <c r="VKP33" s="16"/>
      <c r="VKQ33" s="16"/>
      <c r="VKR33" s="16"/>
      <c r="VKS33" s="16"/>
      <c r="VKT33" s="16"/>
      <c r="VKU33" s="16"/>
      <c r="VKV33" s="16"/>
      <c r="VKW33" s="16"/>
      <c r="VKX33" s="16"/>
      <c r="VKY33" s="16"/>
      <c r="VKZ33" s="16"/>
      <c r="VLA33" s="16"/>
      <c r="VLB33" s="16"/>
      <c r="VLC33" s="16"/>
      <c r="VLD33" s="16"/>
      <c r="VLE33" s="16"/>
      <c r="VLF33" s="16"/>
      <c r="VLG33" s="16"/>
      <c r="VLH33" s="16"/>
      <c r="VLI33" s="16"/>
      <c r="VLJ33" s="16"/>
      <c r="VLK33" s="16"/>
      <c r="VLL33" s="16"/>
      <c r="VLM33" s="16"/>
      <c r="VLN33" s="16"/>
      <c r="VLO33" s="16"/>
      <c r="VLP33" s="16"/>
      <c r="VLQ33" s="16"/>
      <c r="VLR33" s="16"/>
      <c r="VLS33" s="16"/>
      <c r="VLT33" s="16"/>
      <c r="VLU33" s="16"/>
      <c r="VLV33" s="16"/>
      <c r="VLW33" s="16"/>
      <c r="VLX33" s="16"/>
      <c r="VLY33" s="16"/>
      <c r="VLZ33" s="16"/>
      <c r="VMA33" s="16"/>
      <c r="VMB33" s="16"/>
      <c r="VMC33" s="16"/>
      <c r="VMD33" s="16"/>
      <c r="VME33" s="16"/>
      <c r="VMF33" s="16"/>
      <c r="VMG33" s="16"/>
      <c r="VMH33" s="16"/>
      <c r="VMI33" s="16"/>
      <c r="VMJ33" s="16"/>
      <c r="VMK33" s="16"/>
      <c r="VML33" s="16"/>
      <c r="VMM33" s="16"/>
      <c r="VMN33" s="16"/>
      <c r="VMO33" s="16"/>
      <c r="VMP33" s="16"/>
      <c r="VMQ33" s="16"/>
      <c r="VMR33" s="16"/>
      <c r="VMS33" s="16"/>
      <c r="VMT33" s="16"/>
      <c r="VMU33" s="16"/>
      <c r="VMV33" s="16"/>
      <c r="VMW33" s="16"/>
      <c r="VMX33" s="16"/>
      <c r="VMY33" s="16"/>
      <c r="VMZ33" s="16"/>
      <c r="VNA33" s="16"/>
      <c r="VNB33" s="16"/>
      <c r="VNC33" s="16"/>
      <c r="VND33" s="16"/>
      <c r="VNE33" s="16"/>
      <c r="VNF33" s="16"/>
      <c r="VNG33" s="16"/>
      <c r="VNH33" s="16"/>
      <c r="VNI33" s="16"/>
      <c r="VNJ33" s="16"/>
      <c r="VNK33" s="16"/>
      <c r="VNL33" s="16"/>
      <c r="VNM33" s="16"/>
      <c r="VNN33" s="16"/>
      <c r="VNO33" s="16"/>
      <c r="VNP33" s="16"/>
      <c r="VNQ33" s="16"/>
      <c r="VNR33" s="16"/>
      <c r="VNS33" s="16"/>
      <c r="VNT33" s="16"/>
      <c r="VNU33" s="16"/>
      <c r="VNV33" s="16"/>
      <c r="VNW33" s="16"/>
      <c r="VNX33" s="16"/>
      <c r="VNY33" s="16"/>
      <c r="VNZ33" s="16"/>
      <c r="VOA33" s="16"/>
      <c r="VOB33" s="16"/>
      <c r="VOC33" s="16"/>
      <c r="VOD33" s="16"/>
      <c r="VOE33" s="16"/>
      <c r="VOF33" s="16"/>
      <c r="VOG33" s="16"/>
      <c r="VOH33" s="16"/>
      <c r="VOI33" s="16"/>
      <c r="VOJ33" s="16"/>
      <c r="VOK33" s="16"/>
      <c r="VOL33" s="16"/>
      <c r="VOM33" s="16"/>
      <c r="VON33" s="16"/>
      <c r="VOO33" s="16"/>
      <c r="VOP33" s="16"/>
      <c r="VOQ33" s="16"/>
      <c r="VOR33" s="16"/>
      <c r="VOS33" s="16"/>
      <c r="VOT33" s="16"/>
      <c r="VOU33" s="16"/>
      <c r="VOV33" s="16"/>
      <c r="VOW33" s="16"/>
      <c r="VOX33" s="16"/>
      <c r="VOY33" s="16"/>
      <c r="VOZ33" s="16"/>
      <c r="VPA33" s="16"/>
      <c r="VPB33" s="16"/>
      <c r="VPC33" s="16"/>
      <c r="VPD33" s="16"/>
      <c r="VPE33" s="16"/>
      <c r="VPF33" s="16"/>
      <c r="VPG33" s="16"/>
      <c r="VPH33" s="16"/>
      <c r="VPI33" s="16"/>
      <c r="VPJ33" s="16"/>
      <c r="VPK33" s="16"/>
      <c r="VPL33" s="16"/>
      <c r="VPM33" s="16"/>
      <c r="VPN33" s="16"/>
      <c r="VPO33" s="16"/>
      <c r="VPP33" s="16"/>
      <c r="VPQ33" s="16"/>
      <c r="VPR33" s="16"/>
      <c r="VPS33" s="16"/>
      <c r="VPT33" s="16"/>
      <c r="VPU33" s="16"/>
      <c r="VPV33" s="16"/>
      <c r="VPW33" s="16"/>
      <c r="VPX33" s="16"/>
      <c r="VPY33" s="16"/>
      <c r="VPZ33" s="16"/>
      <c r="VQA33" s="16"/>
      <c r="VQB33" s="16"/>
      <c r="VQC33" s="16"/>
      <c r="VQD33" s="16"/>
      <c r="VQE33" s="16"/>
      <c r="VQF33" s="16"/>
      <c r="VQG33" s="16"/>
      <c r="VQH33" s="16"/>
      <c r="VQI33" s="16"/>
      <c r="VQJ33" s="16"/>
      <c r="VQK33" s="16"/>
      <c r="VQL33" s="16"/>
      <c r="VQM33" s="16"/>
      <c r="VQN33" s="16"/>
      <c r="VQO33" s="16"/>
      <c r="VQP33" s="16"/>
      <c r="VQQ33" s="16"/>
      <c r="VQR33" s="16"/>
      <c r="VQS33" s="16"/>
      <c r="VQT33" s="16"/>
      <c r="VQU33" s="16"/>
      <c r="VQV33" s="16"/>
      <c r="VQW33" s="16"/>
      <c r="VQX33" s="16"/>
      <c r="VQY33" s="16"/>
      <c r="VQZ33" s="16"/>
      <c r="VRA33" s="16"/>
      <c r="VRB33" s="16"/>
      <c r="VRC33" s="16"/>
      <c r="VRD33" s="16"/>
      <c r="VRE33" s="16"/>
      <c r="VRF33" s="16"/>
      <c r="VRG33" s="16"/>
      <c r="VRH33" s="16"/>
      <c r="VRI33" s="16"/>
      <c r="VRJ33" s="16"/>
      <c r="VRK33" s="16"/>
      <c r="VRL33" s="16"/>
      <c r="VRM33" s="16"/>
      <c r="VRN33" s="16"/>
      <c r="VRO33" s="16"/>
      <c r="VRP33" s="16"/>
      <c r="VRQ33" s="16"/>
      <c r="VRR33" s="16"/>
      <c r="VRS33" s="16"/>
      <c r="VRT33" s="16"/>
      <c r="VRU33" s="16"/>
      <c r="VRV33" s="16"/>
      <c r="VRW33" s="16"/>
      <c r="VRX33" s="16"/>
      <c r="VRY33" s="16"/>
      <c r="VRZ33" s="16"/>
      <c r="VSA33" s="16"/>
      <c r="VSB33" s="16"/>
      <c r="VSC33" s="16"/>
      <c r="VSD33" s="16"/>
      <c r="VSE33" s="16"/>
      <c r="VSF33" s="16"/>
      <c r="VSG33" s="16"/>
      <c r="VSH33" s="16"/>
      <c r="VSI33" s="16"/>
      <c r="VSJ33" s="16"/>
      <c r="VSK33" s="16"/>
      <c r="VSL33" s="16"/>
      <c r="VSM33" s="16"/>
      <c r="VSN33" s="16"/>
      <c r="VSO33" s="16"/>
      <c r="VSP33" s="16"/>
      <c r="VSQ33" s="16"/>
      <c r="VSR33" s="16"/>
      <c r="VSS33" s="16"/>
      <c r="VST33" s="16"/>
      <c r="VSU33" s="16"/>
      <c r="VSV33" s="16"/>
      <c r="VSW33" s="16"/>
      <c r="VSX33" s="16"/>
      <c r="VSY33" s="16"/>
      <c r="VSZ33" s="16"/>
      <c r="VTA33" s="16"/>
      <c r="VTB33" s="16"/>
      <c r="VTC33" s="16"/>
      <c r="VTD33" s="16"/>
      <c r="VTE33" s="16"/>
      <c r="VTF33" s="16"/>
      <c r="VTG33" s="16"/>
      <c r="VTH33" s="16"/>
      <c r="VTI33" s="16"/>
      <c r="VTJ33" s="16"/>
      <c r="VTK33" s="16"/>
      <c r="VTL33" s="16"/>
      <c r="VTM33" s="16"/>
      <c r="VTN33" s="16"/>
      <c r="VTO33" s="16"/>
      <c r="VTP33" s="16"/>
      <c r="VTQ33" s="16"/>
      <c r="VTR33" s="16"/>
      <c r="VTS33" s="16"/>
      <c r="VTT33" s="16"/>
      <c r="VTU33" s="16"/>
      <c r="VTV33" s="16"/>
      <c r="VTW33" s="16"/>
      <c r="VTX33" s="16"/>
      <c r="VTY33" s="16"/>
      <c r="VTZ33" s="16"/>
      <c r="VUA33" s="16"/>
      <c r="VUB33" s="16"/>
      <c r="VUC33" s="16"/>
      <c r="VUD33" s="16"/>
      <c r="VUE33" s="16"/>
      <c r="VUF33" s="16"/>
      <c r="VUG33" s="16"/>
      <c r="VUH33" s="16"/>
      <c r="VUI33" s="16"/>
      <c r="VUJ33" s="16"/>
      <c r="VUK33" s="16"/>
      <c r="VUL33" s="16"/>
      <c r="VUM33" s="16"/>
      <c r="VUN33" s="16"/>
      <c r="VUO33" s="16"/>
      <c r="VUP33" s="16"/>
      <c r="VUQ33" s="16"/>
      <c r="VUR33" s="16"/>
      <c r="VUS33" s="16"/>
      <c r="VUT33" s="16"/>
      <c r="VUU33" s="16"/>
      <c r="VUV33" s="16"/>
      <c r="VUW33" s="16"/>
      <c r="VUX33" s="16"/>
      <c r="VUY33" s="16"/>
      <c r="VUZ33" s="16"/>
      <c r="VVA33" s="16"/>
      <c r="VVB33" s="16"/>
      <c r="VVC33" s="16"/>
      <c r="VVD33" s="16"/>
      <c r="VVE33" s="16"/>
      <c r="VVF33" s="16"/>
      <c r="VVG33" s="16"/>
      <c r="VVH33" s="16"/>
      <c r="VVI33" s="16"/>
      <c r="VVJ33" s="16"/>
      <c r="VVK33" s="16"/>
      <c r="VVL33" s="16"/>
      <c r="VVM33" s="16"/>
      <c r="VVN33" s="16"/>
      <c r="VVO33" s="16"/>
      <c r="VVP33" s="16"/>
      <c r="VVQ33" s="16"/>
      <c r="VVR33" s="16"/>
      <c r="VVS33" s="16"/>
      <c r="VVT33" s="16"/>
      <c r="VVU33" s="16"/>
      <c r="VVV33" s="16"/>
      <c r="VVW33" s="16"/>
      <c r="VVX33" s="16"/>
      <c r="VVY33" s="16"/>
      <c r="VVZ33" s="16"/>
      <c r="VWA33" s="16"/>
      <c r="VWB33" s="16"/>
      <c r="VWC33" s="16"/>
      <c r="VWD33" s="16"/>
      <c r="VWE33" s="16"/>
      <c r="VWF33" s="16"/>
      <c r="VWG33" s="16"/>
      <c r="VWH33" s="16"/>
      <c r="VWI33" s="16"/>
      <c r="VWJ33" s="16"/>
      <c r="VWK33" s="16"/>
      <c r="VWL33" s="16"/>
      <c r="VWM33" s="16"/>
      <c r="VWN33" s="16"/>
      <c r="VWO33" s="16"/>
      <c r="VWP33" s="16"/>
      <c r="VWQ33" s="16"/>
      <c r="VWR33" s="16"/>
      <c r="VWS33" s="16"/>
      <c r="VWT33" s="16"/>
      <c r="VWU33" s="16"/>
      <c r="VWV33" s="16"/>
      <c r="VWW33" s="16"/>
      <c r="VWX33" s="16"/>
      <c r="VWY33" s="16"/>
      <c r="VWZ33" s="16"/>
      <c r="VXA33" s="16"/>
      <c r="VXB33" s="16"/>
      <c r="VXC33" s="16"/>
      <c r="VXD33" s="16"/>
      <c r="VXE33" s="16"/>
      <c r="VXF33" s="16"/>
      <c r="VXG33" s="16"/>
      <c r="VXH33" s="16"/>
      <c r="VXI33" s="16"/>
      <c r="VXJ33" s="16"/>
      <c r="VXK33" s="16"/>
      <c r="VXL33" s="16"/>
      <c r="VXM33" s="16"/>
      <c r="VXN33" s="16"/>
      <c r="VXO33" s="16"/>
      <c r="VXP33" s="16"/>
      <c r="VXQ33" s="16"/>
      <c r="VXR33" s="16"/>
      <c r="VXS33" s="16"/>
      <c r="VXT33" s="16"/>
      <c r="VXU33" s="16"/>
      <c r="VXV33" s="16"/>
      <c r="VXW33" s="16"/>
      <c r="VXX33" s="16"/>
      <c r="VXY33" s="16"/>
      <c r="VXZ33" s="16"/>
      <c r="VYA33" s="16"/>
      <c r="VYB33" s="16"/>
      <c r="VYC33" s="16"/>
      <c r="VYD33" s="16"/>
      <c r="VYE33" s="16"/>
      <c r="VYF33" s="16"/>
      <c r="VYG33" s="16"/>
      <c r="VYH33" s="16"/>
      <c r="VYI33" s="16"/>
      <c r="VYJ33" s="16"/>
      <c r="VYK33" s="16"/>
      <c r="VYL33" s="16"/>
      <c r="VYM33" s="16"/>
      <c r="VYN33" s="16"/>
      <c r="VYO33" s="16"/>
      <c r="VYP33" s="16"/>
      <c r="VYQ33" s="16"/>
      <c r="VYR33" s="16"/>
      <c r="VYS33" s="16"/>
      <c r="VYT33" s="16"/>
      <c r="VYU33" s="16"/>
      <c r="VYV33" s="16"/>
      <c r="VYW33" s="16"/>
      <c r="VYX33" s="16"/>
      <c r="VYY33" s="16"/>
      <c r="VYZ33" s="16"/>
      <c r="VZA33" s="16"/>
      <c r="VZB33" s="16"/>
      <c r="VZC33" s="16"/>
      <c r="VZD33" s="16"/>
      <c r="VZE33" s="16"/>
      <c r="VZF33" s="16"/>
      <c r="VZG33" s="16"/>
      <c r="VZH33" s="16"/>
      <c r="VZI33" s="16"/>
      <c r="VZJ33" s="16"/>
      <c r="VZK33" s="16"/>
      <c r="VZL33" s="16"/>
      <c r="VZM33" s="16"/>
      <c r="VZN33" s="16"/>
      <c r="VZO33" s="16"/>
      <c r="VZP33" s="16"/>
      <c r="VZQ33" s="16"/>
      <c r="VZR33" s="16"/>
      <c r="VZS33" s="16"/>
      <c r="VZT33" s="16"/>
      <c r="VZU33" s="16"/>
      <c r="VZV33" s="16"/>
      <c r="VZW33" s="16"/>
      <c r="VZX33" s="16"/>
      <c r="VZY33" s="16"/>
      <c r="VZZ33" s="16"/>
      <c r="WAA33" s="16"/>
      <c r="WAB33" s="16"/>
      <c r="WAC33" s="16"/>
      <c r="WAD33" s="16"/>
      <c r="WAE33" s="16"/>
      <c r="WAF33" s="16"/>
      <c r="WAG33" s="16"/>
      <c r="WAH33" s="16"/>
      <c r="WAI33" s="16"/>
      <c r="WAJ33" s="16"/>
      <c r="WAK33" s="16"/>
      <c r="WAL33" s="16"/>
      <c r="WAM33" s="16"/>
      <c r="WAN33" s="16"/>
      <c r="WAO33" s="16"/>
      <c r="WAP33" s="16"/>
      <c r="WAQ33" s="16"/>
      <c r="WAR33" s="16"/>
      <c r="WAS33" s="16"/>
      <c r="WAT33" s="16"/>
      <c r="WAU33" s="16"/>
      <c r="WAV33" s="16"/>
      <c r="WAW33" s="16"/>
      <c r="WAX33" s="16"/>
      <c r="WAY33" s="16"/>
      <c r="WAZ33" s="16"/>
      <c r="WBA33" s="16"/>
      <c r="WBB33" s="16"/>
      <c r="WBC33" s="16"/>
      <c r="WBD33" s="16"/>
      <c r="WBE33" s="16"/>
      <c r="WBF33" s="16"/>
      <c r="WBG33" s="16"/>
      <c r="WBH33" s="16"/>
      <c r="WBI33" s="16"/>
      <c r="WBJ33" s="16"/>
      <c r="WBK33" s="16"/>
      <c r="WBL33" s="16"/>
      <c r="WBM33" s="16"/>
      <c r="WBN33" s="16"/>
      <c r="WBO33" s="16"/>
      <c r="WBP33" s="16"/>
      <c r="WBQ33" s="16"/>
      <c r="WBR33" s="16"/>
      <c r="WBS33" s="16"/>
      <c r="WBT33" s="16"/>
      <c r="WBU33" s="16"/>
      <c r="WBV33" s="16"/>
      <c r="WBW33" s="16"/>
      <c r="WBX33" s="16"/>
      <c r="WBY33" s="16"/>
      <c r="WBZ33" s="16"/>
      <c r="WCA33" s="16"/>
      <c r="WCB33" s="16"/>
      <c r="WCC33" s="16"/>
      <c r="WCD33" s="16"/>
      <c r="WCE33" s="16"/>
      <c r="WCF33" s="16"/>
      <c r="WCG33" s="16"/>
      <c r="WCH33" s="16"/>
      <c r="WCI33" s="16"/>
      <c r="WCJ33" s="16"/>
      <c r="WCK33" s="16"/>
      <c r="WCL33" s="16"/>
      <c r="WCM33" s="16"/>
      <c r="WCN33" s="16"/>
      <c r="WCO33" s="16"/>
      <c r="WCP33" s="16"/>
      <c r="WCQ33" s="16"/>
      <c r="WCR33" s="16"/>
      <c r="WCS33" s="16"/>
      <c r="WCT33" s="16"/>
      <c r="WCU33" s="16"/>
      <c r="WCV33" s="16"/>
      <c r="WCW33" s="16"/>
      <c r="WCX33" s="16"/>
      <c r="WCY33" s="16"/>
      <c r="WCZ33" s="16"/>
      <c r="WDA33" s="16"/>
      <c r="WDB33" s="16"/>
      <c r="WDC33" s="16"/>
      <c r="WDD33" s="16"/>
      <c r="WDE33" s="16"/>
      <c r="WDF33" s="16"/>
      <c r="WDG33" s="16"/>
      <c r="WDH33" s="16"/>
      <c r="WDI33" s="16"/>
      <c r="WDJ33" s="16"/>
      <c r="WDK33" s="16"/>
      <c r="WDL33" s="16"/>
      <c r="WDM33" s="16"/>
      <c r="WDN33" s="16"/>
      <c r="WDO33" s="16"/>
      <c r="WDP33" s="16"/>
      <c r="WDQ33" s="16"/>
      <c r="WDR33" s="16"/>
      <c r="WDS33" s="16"/>
      <c r="WDT33" s="16"/>
      <c r="WDU33" s="16"/>
      <c r="WDV33" s="16"/>
      <c r="WDW33" s="16"/>
      <c r="WDX33" s="16"/>
      <c r="WDY33" s="16"/>
      <c r="WDZ33" s="16"/>
      <c r="WEA33" s="16"/>
      <c r="WEB33" s="16"/>
      <c r="WEC33" s="16"/>
      <c r="WED33" s="16"/>
      <c r="WEE33" s="16"/>
      <c r="WEF33" s="16"/>
      <c r="WEG33" s="16"/>
      <c r="WEH33" s="16"/>
      <c r="WEI33" s="16"/>
      <c r="WEJ33" s="16"/>
      <c r="WEK33" s="16"/>
      <c r="WEL33" s="16"/>
      <c r="WEM33" s="16"/>
      <c r="WEN33" s="16"/>
      <c r="WEO33" s="16"/>
      <c r="WEP33" s="16"/>
      <c r="WEQ33" s="16"/>
      <c r="WER33" s="16"/>
      <c r="WES33" s="16"/>
      <c r="WET33" s="16"/>
      <c r="WEU33" s="16"/>
      <c r="WEV33" s="16"/>
      <c r="WEW33" s="16"/>
      <c r="WEX33" s="16"/>
      <c r="WEY33" s="16"/>
      <c r="WEZ33" s="16"/>
      <c r="WFA33" s="16"/>
      <c r="WFB33" s="16"/>
      <c r="WFC33" s="16"/>
      <c r="WFD33" s="16"/>
      <c r="WFE33" s="16"/>
      <c r="WFF33" s="16"/>
      <c r="WFG33" s="16"/>
      <c r="WFH33" s="16"/>
      <c r="WFI33" s="16"/>
      <c r="WFJ33" s="16"/>
      <c r="WFK33" s="16"/>
      <c r="WFL33" s="16"/>
      <c r="WFM33" s="16"/>
      <c r="WFN33" s="16"/>
      <c r="WFO33" s="16"/>
      <c r="WFP33" s="16"/>
      <c r="WFQ33" s="16"/>
      <c r="WFR33" s="16"/>
      <c r="WFS33" s="16"/>
      <c r="WFT33" s="16"/>
      <c r="WFU33" s="16"/>
      <c r="WFV33" s="16"/>
      <c r="WFW33" s="16"/>
      <c r="WFX33" s="16"/>
      <c r="WFY33" s="16"/>
      <c r="WFZ33" s="16"/>
      <c r="WGA33" s="16"/>
      <c r="WGB33" s="16"/>
      <c r="WGC33" s="16"/>
      <c r="WGD33" s="16"/>
      <c r="WGE33" s="16"/>
      <c r="WGF33" s="16"/>
      <c r="WGG33" s="16"/>
      <c r="WGH33" s="16"/>
      <c r="WGI33" s="16"/>
      <c r="WGJ33" s="16"/>
      <c r="WGK33" s="16"/>
      <c r="WGL33" s="16"/>
      <c r="WGM33" s="16"/>
      <c r="WGN33" s="16"/>
      <c r="WGO33" s="16"/>
      <c r="WGP33" s="16"/>
      <c r="WGQ33" s="16"/>
      <c r="WGR33" s="16"/>
      <c r="WGS33" s="16"/>
      <c r="WGT33" s="16"/>
      <c r="WGU33" s="16"/>
      <c r="WGV33" s="16"/>
      <c r="WGW33" s="16"/>
      <c r="WGX33" s="16"/>
      <c r="WGY33" s="16"/>
      <c r="WGZ33" s="16"/>
      <c r="WHA33" s="16"/>
      <c r="WHB33" s="16"/>
      <c r="WHC33" s="16"/>
      <c r="WHD33" s="16"/>
      <c r="WHE33" s="16"/>
      <c r="WHF33" s="16"/>
      <c r="WHG33" s="16"/>
      <c r="WHH33" s="16"/>
      <c r="WHI33" s="16"/>
      <c r="WHJ33" s="16"/>
      <c r="WHK33" s="16"/>
      <c r="WHL33" s="16"/>
      <c r="WHM33" s="16"/>
      <c r="WHN33" s="16"/>
      <c r="WHO33" s="16"/>
      <c r="WHP33" s="16"/>
      <c r="WHQ33" s="16"/>
      <c r="WHR33" s="16"/>
      <c r="WHS33" s="16"/>
      <c r="WHT33" s="16"/>
      <c r="WHU33" s="16"/>
      <c r="WHV33" s="16"/>
      <c r="WHW33" s="16"/>
      <c r="WHX33" s="16"/>
      <c r="WHY33" s="16"/>
      <c r="WHZ33" s="16"/>
      <c r="WIA33" s="16"/>
      <c r="WIB33" s="16"/>
      <c r="WIC33" s="16"/>
      <c r="WID33" s="16"/>
      <c r="WIE33" s="16"/>
      <c r="WIF33" s="16"/>
      <c r="WIG33" s="16"/>
      <c r="WIH33" s="16"/>
      <c r="WII33" s="16"/>
      <c r="WIJ33" s="16"/>
      <c r="WIK33" s="16"/>
      <c r="WIL33" s="16"/>
      <c r="WIM33" s="16"/>
      <c r="WIN33" s="16"/>
      <c r="WIO33" s="16"/>
      <c r="WIP33" s="16"/>
      <c r="WIQ33" s="16"/>
      <c r="WIR33" s="16"/>
      <c r="WIS33" s="16"/>
      <c r="WIT33" s="16"/>
      <c r="WIU33" s="16"/>
      <c r="WIV33" s="16"/>
      <c r="WIW33" s="16"/>
      <c r="WIX33" s="16"/>
      <c r="WIY33" s="16"/>
      <c r="WIZ33" s="16"/>
      <c r="WJA33" s="16"/>
      <c r="WJB33" s="16"/>
      <c r="WJC33" s="16"/>
      <c r="WJD33" s="16"/>
      <c r="WJE33" s="16"/>
      <c r="WJF33" s="16"/>
      <c r="WJG33" s="16"/>
      <c r="WJH33" s="16"/>
      <c r="WJI33" s="16"/>
      <c r="WJJ33" s="16"/>
      <c r="WJK33" s="16"/>
      <c r="WJL33" s="16"/>
      <c r="WJM33" s="16"/>
      <c r="WJN33" s="16"/>
      <c r="WJO33" s="16"/>
      <c r="WJP33" s="16"/>
      <c r="WJQ33" s="16"/>
      <c r="WJR33" s="16"/>
      <c r="WJS33" s="16"/>
      <c r="WJT33" s="16"/>
      <c r="WJU33" s="16"/>
      <c r="WJV33" s="16"/>
      <c r="WJW33" s="16"/>
      <c r="WJX33" s="16"/>
      <c r="WJY33" s="16"/>
      <c r="WJZ33" s="16"/>
      <c r="WKA33" s="16"/>
      <c r="WKB33" s="16"/>
      <c r="WKC33" s="16"/>
      <c r="WKD33" s="16"/>
      <c r="WKE33" s="16"/>
      <c r="WKF33" s="16"/>
      <c r="WKG33" s="16"/>
      <c r="WKH33" s="16"/>
      <c r="WKI33" s="16"/>
      <c r="WKJ33" s="16"/>
      <c r="WKK33" s="16"/>
      <c r="WKL33" s="16"/>
      <c r="WKM33" s="16"/>
      <c r="WKN33" s="16"/>
      <c r="WKO33" s="16"/>
      <c r="WKP33" s="16"/>
      <c r="WKQ33" s="16"/>
      <c r="WKR33" s="16"/>
      <c r="WKS33" s="16"/>
      <c r="WKT33" s="16"/>
      <c r="WKU33" s="16"/>
      <c r="WKV33" s="16"/>
      <c r="WKW33" s="16"/>
      <c r="WKX33" s="16"/>
      <c r="WKY33" s="16"/>
      <c r="WKZ33" s="16"/>
      <c r="WLA33" s="16"/>
      <c r="WLB33" s="16"/>
      <c r="WLC33" s="16"/>
      <c r="WLD33" s="16"/>
      <c r="WLE33" s="16"/>
      <c r="WLF33" s="16"/>
      <c r="WLG33" s="16"/>
      <c r="WLH33" s="16"/>
      <c r="WLI33" s="16"/>
      <c r="WLJ33" s="16"/>
      <c r="WLK33" s="16"/>
      <c r="WLL33" s="16"/>
      <c r="WLM33" s="16"/>
      <c r="WLN33" s="16"/>
      <c r="WLO33" s="16"/>
      <c r="WLP33" s="16"/>
      <c r="WLQ33" s="16"/>
      <c r="WLR33" s="16"/>
      <c r="WLS33" s="16"/>
      <c r="WLT33" s="16"/>
      <c r="WLU33" s="16"/>
      <c r="WLV33" s="16"/>
      <c r="WLW33" s="16"/>
      <c r="WLX33" s="16"/>
      <c r="WLY33" s="16"/>
      <c r="WLZ33" s="16"/>
      <c r="WMA33" s="16"/>
      <c r="WMB33" s="16"/>
      <c r="WMC33" s="16"/>
      <c r="WMD33" s="16"/>
      <c r="WME33" s="16"/>
      <c r="WMF33" s="16"/>
      <c r="WMG33" s="16"/>
      <c r="WMH33" s="16"/>
      <c r="WMI33" s="16"/>
      <c r="WMJ33" s="16"/>
      <c r="WMK33" s="16"/>
      <c r="WML33" s="16"/>
      <c r="WMM33" s="16"/>
      <c r="WMN33" s="16"/>
      <c r="WMO33" s="16"/>
      <c r="WMP33" s="16"/>
      <c r="WMQ33" s="16"/>
      <c r="WMR33" s="16"/>
      <c r="WMS33" s="16"/>
      <c r="WMT33" s="16"/>
      <c r="WMU33" s="16"/>
      <c r="WMV33" s="16"/>
      <c r="WMW33" s="16"/>
      <c r="WMX33" s="16"/>
      <c r="WMY33" s="16"/>
      <c r="WMZ33" s="16"/>
      <c r="WNA33" s="16"/>
      <c r="WNB33" s="16"/>
      <c r="WNC33" s="16"/>
      <c r="WND33" s="16"/>
      <c r="WNE33" s="16"/>
      <c r="WNF33" s="16"/>
      <c r="WNG33" s="16"/>
      <c r="WNH33" s="16"/>
      <c r="WNI33" s="16"/>
      <c r="WNJ33" s="16"/>
      <c r="WNK33" s="16"/>
      <c r="WNL33" s="16"/>
      <c r="WNM33" s="16"/>
      <c r="WNN33" s="16"/>
      <c r="WNO33" s="16"/>
      <c r="WNP33" s="16"/>
      <c r="WNQ33" s="16"/>
      <c r="WNR33" s="16"/>
      <c r="WNS33" s="16"/>
      <c r="WNT33" s="16"/>
      <c r="WNU33" s="16"/>
      <c r="WNV33" s="16"/>
      <c r="WNW33" s="16"/>
      <c r="WNX33" s="16"/>
      <c r="WNY33" s="16"/>
      <c r="WNZ33" s="16"/>
      <c r="WOA33" s="16"/>
      <c r="WOB33" s="16"/>
      <c r="WOC33" s="16"/>
      <c r="WOD33" s="16"/>
      <c r="WOE33" s="16"/>
      <c r="WOF33" s="16"/>
      <c r="WOG33" s="16"/>
      <c r="WOH33" s="16"/>
      <c r="WOI33" s="16"/>
      <c r="WOJ33" s="16"/>
      <c r="WOK33" s="16"/>
      <c r="WOL33" s="16"/>
      <c r="WOM33" s="16"/>
      <c r="WON33" s="16"/>
      <c r="WOO33" s="16"/>
      <c r="WOP33" s="16"/>
      <c r="WOQ33" s="16"/>
      <c r="WOR33" s="16"/>
      <c r="WOS33" s="16"/>
      <c r="WOT33" s="16"/>
      <c r="WOU33" s="16"/>
      <c r="WOV33" s="16"/>
      <c r="WOW33" s="16"/>
      <c r="WOX33" s="16"/>
      <c r="WOY33" s="16"/>
      <c r="WOZ33" s="16"/>
      <c r="WPA33" s="16"/>
      <c r="WPB33" s="16"/>
      <c r="WPC33" s="16"/>
      <c r="WPD33" s="16"/>
      <c r="WPE33" s="16"/>
      <c r="WPF33" s="16"/>
      <c r="WPG33" s="16"/>
      <c r="WPH33" s="16"/>
      <c r="WPI33" s="16"/>
      <c r="WPJ33" s="16"/>
      <c r="WPK33" s="16"/>
      <c r="WPL33" s="16"/>
      <c r="WPM33" s="16"/>
      <c r="WPN33" s="16"/>
      <c r="WPO33" s="16"/>
      <c r="WPP33" s="16"/>
      <c r="WPQ33" s="16"/>
      <c r="WPR33" s="16"/>
      <c r="WPS33" s="16"/>
      <c r="WPT33" s="16"/>
      <c r="WPU33" s="16"/>
      <c r="WPV33" s="16"/>
      <c r="WPW33" s="16"/>
      <c r="WPX33" s="16"/>
      <c r="WPY33" s="16"/>
      <c r="WPZ33" s="16"/>
      <c r="WQA33" s="16"/>
      <c r="WQB33" s="16"/>
      <c r="WQC33" s="16"/>
      <c r="WQD33" s="16"/>
      <c r="WQE33" s="16"/>
      <c r="WQF33" s="16"/>
      <c r="WQG33" s="16"/>
      <c r="WQH33" s="16"/>
      <c r="WQI33" s="16"/>
      <c r="WQJ33" s="16"/>
      <c r="WQK33" s="16"/>
      <c r="WQL33" s="16"/>
      <c r="WQM33" s="16"/>
      <c r="WQN33" s="16"/>
      <c r="WQO33" s="16"/>
      <c r="WQP33" s="16"/>
      <c r="WQQ33" s="16"/>
      <c r="WQR33" s="16"/>
      <c r="WQS33" s="16"/>
      <c r="WQT33" s="16"/>
      <c r="WQU33" s="16"/>
      <c r="WQV33" s="16"/>
      <c r="WQW33" s="16"/>
      <c r="WQX33" s="16"/>
      <c r="WQY33" s="16"/>
      <c r="WQZ33" s="16"/>
      <c r="WRA33" s="16"/>
      <c r="WRB33" s="16"/>
      <c r="WRC33" s="16"/>
      <c r="WRD33" s="16"/>
      <c r="WRE33" s="16"/>
      <c r="WRF33" s="16"/>
      <c r="WRG33" s="16"/>
      <c r="WRH33" s="16"/>
      <c r="WRI33" s="16"/>
      <c r="WRJ33" s="16"/>
      <c r="WRK33" s="16"/>
      <c r="WRL33" s="16"/>
      <c r="WRM33" s="16"/>
      <c r="WRN33" s="16"/>
      <c r="WRO33" s="16"/>
      <c r="WRP33" s="16"/>
      <c r="WRQ33" s="16"/>
      <c r="WRR33" s="16"/>
      <c r="WRS33" s="16"/>
      <c r="WRT33" s="16"/>
      <c r="WRU33" s="16"/>
      <c r="WRV33" s="16"/>
      <c r="WRW33" s="16"/>
      <c r="WRX33" s="16"/>
      <c r="WRY33" s="16"/>
      <c r="WRZ33" s="16"/>
      <c r="WSA33" s="16"/>
      <c r="WSB33" s="16"/>
      <c r="WSC33" s="16"/>
      <c r="WSD33" s="16"/>
      <c r="WSE33" s="16"/>
      <c r="WSF33" s="16"/>
      <c r="WSG33" s="16"/>
      <c r="WSH33" s="16"/>
      <c r="WSI33" s="16"/>
      <c r="WSJ33" s="16"/>
      <c r="WSK33" s="16"/>
      <c r="WSL33" s="16"/>
      <c r="WSM33" s="16"/>
      <c r="WSN33" s="16"/>
      <c r="WSO33" s="16"/>
      <c r="WSP33" s="16"/>
      <c r="WSQ33" s="16"/>
      <c r="WSR33" s="16"/>
      <c r="WSS33" s="16"/>
      <c r="WST33" s="16"/>
      <c r="WSU33" s="16"/>
      <c r="WSV33" s="16"/>
      <c r="WSW33" s="16"/>
      <c r="WSX33" s="16"/>
      <c r="WSY33" s="16"/>
      <c r="WSZ33" s="16"/>
      <c r="WTA33" s="16"/>
      <c r="WTB33" s="16"/>
      <c r="WTC33" s="16"/>
      <c r="WTD33" s="16"/>
      <c r="WTE33" s="16"/>
      <c r="WTF33" s="16"/>
      <c r="WTG33" s="16"/>
      <c r="WTH33" s="16"/>
      <c r="WTI33" s="16"/>
      <c r="WTJ33" s="16"/>
      <c r="WTK33" s="16"/>
      <c r="WTL33" s="16"/>
      <c r="WTM33" s="16"/>
      <c r="WTN33" s="16"/>
      <c r="WTO33" s="16"/>
      <c r="WTP33" s="16"/>
      <c r="WTQ33" s="16"/>
      <c r="WTR33" s="16"/>
      <c r="WTS33" s="16"/>
      <c r="WTT33" s="16"/>
      <c r="WTU33" s="16"/>
      <c r="WTV33" s="16"/>
      <c r="WTW33" s="16"/>
      <c r="WTX33" s="16"/>
      <c r="WTY33" s="16"/>
      <c r="WTZ33" s="16"/>
      <c r="WUA33" s="16"/>
      <c r="WUB33" s="16"/>
      <c r="WUC33" s="16"/>
      <c r="WUD33" s="16"/>
      <c r="WUE33" s="16"/>
      <c r="WUF33" s="16"/>
      <c r="WUG33" s="16"/>
      <c r="WUH33" s="16"/>
      <c r="WUI33" s="16"/>
      <c r="WUJ33" s="16"/>
      <c r="WUK33" s="16"/>
      <c r="WUL33" s="16"/>
      <c r="WUM33" s="16"/>
      <c r="WUN33" s="16"/>
      <c r="WUO33" s="16"/>
      <c r="WUP33" s="16"/>
      <c r="WUQ33" s="16"/>
      <c r="WUR33" s="16"/>
      <c r="WUS33" s="16"/>
      <c r="WUT33" s="16"/>
      <c r="WUU33" s="16"/>
      <c r="WUV33" s="16"/>
      <c r="WUW33" s="16"/>
      <c r="WUX33" s="16"/>
      <c r="WUY33" s="16"/>
      <c r="WUZ33" s="16"/>
      <c r="WVA33" s="16"/>
      <c r="WVB33" s="16"/>
      <c r="WVC33" s="16"/>
      <c r="WVD33" s="16"/>
      <c r="WVE33" s="16"/>
      <c r="WVF33" s="16"/>
      <c r="WVG33" s="16"/>
      <c r="WVH33" s="16"/>
      <c r="WVI33" s="16"/>
      <c r="WVJ33" s="16"/>
      <c r="WVK33" s="16"/>
      <c r="WVL33" s="16"/>
      <c r="WVM33" s="16"/>
      <c r="WVN33" s="16"/>
      <c r="WVO33" s="16"/>
      <c r="WVP33" s="16"/>
      <c r="WVQ33" s="16"/>
      <c r="WVR33" s="16"/>
      <c r="WVS33" s="16"/>
      <c r="WVT33" s="16"/>
      <c r="WVU33" s="16"/>
      <c r="WVV33" s="16"/>
      <c r="WVW33" s="16"/>
      <c r="WVX33" s="16"/>
      <c r="WVY33" s="16"/>
      <c r="WVZ33" s="16"/>
      <c r="WWA33" s="16"/>
      <c r="WWB33" s="16"/>
      <c r="WWC33" s="16"/>
      <c r="WWD33" s="16"/>
      <c r="WWE33" s="16"/>
      <c r="WWF33" s="16"/>
      <c r="WWG33" s="16"/>
      <c r="WWH33" s="16"/>
      <c r="WWI33" s="16"/>
      <c r="WWJ33" s="16"/>
      <c r="WWK33" s="16"/>
      <c r="WWL33" s="16"/>
      <c r="WWM33" s="16"/>
      <c r="WWN33" s="16"/>
      <c r="WWO33" s="16"/>
      <c r="WWP33" s="16"/>
      <c r="WWQ33" s="16"/>
      <c r="WWR33" s="16"/>
      <c r="WWS33" s="16"/>
      <c r="WWT33" s="16"/>
      <c r="WWU33" s="16"/>
      <c r="WWV33" s="16"/>
      <c r="WWW33" s="16"/>
      <c r="WWX33" s="16"/>
      <c r="WWY33" s="16"/>
      <c r="WWZ33" s="16"/>
      <c r="WXA33" s="16"/>
      <c r="WXB33" s="16"/>
      <c r="WXC33" s="16"/>
      <c r="WXD33" s="16"/>
      <c r="WXE33" s="16"/>
      <c r="WXF33" s="16"/>
      <c r="WXG33" s="16"/>
      <c r="WXH33" s="16"/>
      <c r="WXI33" s="16"/>
      <c r="WXJ33" s="16"/>
      <c r="WXK33" s="16"/>
      <c r="WXL33" s="16"/>
      <c r="WXM33" s="16"/>
      <c r="WXN33" s="16"/>
      <c r="WXO33" s="16"/>
      <c r="WXP33" s="16"/>
      <c r="WXQ33" s="16"/>
      <c r="WXR33" s="16"/>
      <c r="WXS33" s="16"/>
      <c r="WXT33" s="16"/>
      <c r="WXU33" s="16"/>
      <c r="WXV33" s="16"/>
      <c r="WXW33" s="16"/>
      <c r="WXX33" s="16"/>
      <c r="WXY33" s="16"/>
      <c r="WXZ33" s="16"/>
      <c r="WYA33" s="16"/>
      <c r="WYB33" s="16"/>
      <c r="WYC33" s="16"/>
      <c r="WYD33" s="16"/>
      <c r="WYE33" s="16"/>
      <c r="WYF33" s="16"/>
      <c r="WYG33" s="16"/>
      <c r="WYH33" s="16"/>
      <c r="WYI33" s="16"/>
      <c r="WYJ33" s="16"/>
      <c r="WYK33" s="16"/>
      <c r="WYL33" s="16"/>
      <c r="WYM33" s="16"/>
      <c r="WYN33" s="16"/>
      <c r="WYO33" s="16"/>
      <c r="WYP33" s="16"/>
      <c r="WYQ33" s="16"/>
      <c r="WYR33" s="16"/>
      <c r="WYS33" s="16"/>
      <c r="WYT33" s="16"/>
      <c r="WYU33" s="16"/>
      <c r="WYV33" s="16"/>
      <c r="WYW33" s="16"/>
      <c r="WYX33" s="16"/>
      <c r="WYY33" s="16"/>
      <c r="WYZ33" s="16"/>
      <c r="WZA33" s="16"/>
      <c r="WZB33" s="16"/>
      <c r="WZC33" s="16"/>
      <c r="WZD33" s="16"/>
      <c r="WZE33" s="16"/>
      <c r="WZF33" s="16"/>
      <c r="WZG33" s="16"/>
      <c r="WZH33" s="16"/>
      <c r="WZI33" s="16"/>
      <c r="WZJ33" s="16"/>
      <c r="WZK33" s="16"/>
      <c r="WZL33" s="16"/>
      <c r="WZM33" s="16"/>
      <c r="WZN33" s="16"/>
      <c r="WZO33" s="16"/>
      <c r="WZP33" s="16"/>
      <c r="WZQ33" s="16"/>
      <c r="WZR33" s="16"/>
      <c r="WZS33" s="16"/>
      <c r="WZT33" s="16"/>
      <c r="WZU33" s="16"/>
      <c r="WZV33" s="16"/>
      <c r="WZW33" s="16"/>
      <c r="WZX33" s="16"/>
      <c r="WZY33" s="16"/>
      <c r="WZZ33" s="16"/>
      <c r="XAA33" s="16"/>
      <c r="XAB33" s="16"/>
      <c r="XAC33" s="16"/>
      <c r="XAD33" s="16"/>
      <c r="XAE33" s="16"/>
      <c r="XAF33" s="16"/>
      <c r="XAG33" s="16"/>
      <c r="XAH33" s="16"/>
      <c r="XAI33" s="16"/>
      <c r="XAJ33" s="16"/>
      <c r="XAK33" s="16"/>
      <c r="XAL33" s="16"/>
      <c r="XAM33" s="16"/>
      <c r="XAN33" s="16"/>
      <c r="XAO33" s="16"/>
      <c r="XAP33" s="16"/>
      <c r="XAQ33" s="16"/>
      <c r="XAR33" s="16"/>
      <c r="XAS33" s="16"/>
      <c r="XAT33" s="16"/>
      <c r="XAU33" s="16"/>
      <c r="XAV33" s="16"/>
      <c r="XAW33" s="16"/>
      <c r="XAX33" s="16"/>
      <c r="XAY33" s="16"/>
      <c r="XAZ33" s="16"/>
      <c r="XBA33" s="16"/>
      <c r="XBB33" s="16"/>
      <c r="XBC33" s="16"/>
      <c r="XBD33" s="16"/>
      <c r="XBE33" s="16"/>
      <c r="XBF33" s="16"/>
      <c r="XBG33" s="16"/>
      <c r="XBH33" s="16"/>
      <c r="XBI33" s="16"/>
      <c r="XBJ33" s="16"/>
      <c r="XBK33" s="16"/>
      <c r="XBL33" s="16"/>
      <c r="XBM33" s="16"/>
      <c r="XBN33" s="16"/>
      <c r="XBO33" s="16"/>
      <c r="XBP33" s="16"/>
      <c r="XBQ33" s="16"/>
      <c r="XBR33" s="16"/>
      <c r="XBS33" s="16"/>
      <c r="XBT33" s="16"/>
      <c r="XBU33" s="16"/>
      <c r="XBV33" s="16"/>
      <c r="XBW33" s="16"/>
      <c r="XBX33" s="16"/>
      <c r="XBY33" s="16"/>
      <c r="XBZ33" s="16"/>
      <c r="XCA33" s="16"/>
      <c r="XCB33" s="16"/>
      <c r="XCC33" s="16"/>
      <c r="XCD33" s="16"/>
      <c r="XCE33" s="16"/>
      <c r="XCF33" s="16"/>
      <c r="XCG33" s="16"/>
      <c r="XCH33" s="16"/>
      <c r="XCI33" s="16"/>
      <c r="XCJ33" s="16"/>
      <c r="XCK33" s="16"/>
      <c r="XCL33" s="16"/>
      <c r="XCM33" s="16"/>
      <c r="XCN33" s="16"/>
      <c r="XCO33" s="16"/>
      <c r="XCP33" s="16"/>
      <c r="XCQ33" s="16"/>
      <c r="XCR33" s="16"/>
      <c r="XCS33" s="16"/>
      <c r="XCT33" s="16"/>
      <c r="XCU33" s="16"/>
      <c r="XCV33" s="16"/>
      <c r="XCW33" s="16"/>
      <c r="XCX33" s="16"/>
      <c r="XCY33" s="16"/>
      <c r="XCZ33" s="16"/>
      <c r="XDA33" s="16"/>
      <c r="XDB33" s="16"/>
      <c r="XDC33" s="16"/>
      <c r="XDD33" s="16"/>
      <c r="XDE33" s="16"/>
      <c r="XDF33" s="16"/>
      <c r="XDG33" s="16"/>
      <c r="XDH33" s="16"/>
      <c r="XDI33" s="16"/>
      <c r="XDJ33" s="16"/>
      <c r="XDK33" s="16"/>
      <c r="XDL33" s="16"/>
      <c r="XDM33" s="16"/>
      <c r="XDN33" s="16"/>
      <c r="XDO33" s="16"/>
      <c r="XDP33" s="16"/>
      <c r="XDQ33" s="16"/>
      <c r="XDR33" s="16"/>
      <c r="XDS33" s="16"/>
      <c r="XDT33" s="16"/>
      <c r="XDU33" s="16"/>
      <c r="XDV33" s="16"/>
      <c r="XDW33" s="16"/>
      <c r="XDX33" s="16"/>
      <c r="XDY33" s="16"/>
      <c r="XDZ33" s="16"/>
      <c r="XEA33" s="16"/>
      <c r="XEB33" s="16"/>
      <c r="XEC33" s="16"/>
      <c r="XED33" s="16"/>
      <c r="XEE33" s="16"/>
      <c r="XEF33" s="16"/>
      <c r="XEG33" s="16"/>
      <c r="XEH33" s="16"/>
      <c r="XEI33" s="16"/>
      <c r="XEJ33" s="16"/>
      <c r="XEK33" s="16"/>
      <c r="XEL33" s="16"/>
      <c r="XEM33" s="16"/>
      <c r="XEN33" s="16"/>
      <c r="XEO33" s="16"/>
      <c r="XEP33" s="16"/>
      <c r="XEQ33" s="16"/>
      <c r="XER33" s="16"/>
      <c r="XES33" s="16"/>
      <c r="XET33" s="16"/>
      <c r="XEU33" s="16"/>
      <c r="XEV33" s="16"/>
      <c r="XEW33" s="16"/>
      <c r="XEX33" s="16"/>
      <c r="XEY33" s="16"/>
      <c r="XEZ33" s="16"/>
      <c r="XFA33" s="16"/>
      <c r="XFB33" s="16"/>
      <c r="XFC33" s="16"/>
      <c r="XFD33" s="16"/>
    </row>
    <row r="34" spans="1:16384" ht="15.75" customHeight="1">
      <c r="A34" s="904"/>
      <c r="B34" s="904"/>
      <c r="C34" s="904"/>
      <c r="D34" s="9" t="s">
        <v>1902</v>
      </c>
      <c r="E34" s="32">
        <v>20</v>
      </c>
      <c r="F34" s="1248">
        <v>30000</v>
      </c>
      <c r="G34" s="1248">
        <f t="shared" si="1"/>
        <v>600000</v>
      </c>
      <c r="H34" s="904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  <c r="AA34" s="16"/>
      <c r="AB34" s="16"/>
      <c r="AC34" s="16"/>
      <c r="AD34" s="16"/>
      <c r="AE34" s="16"/>
      <c r="AF34" s="16"/>
      <c r="AG34" s="16"/>
      <c r="AH34" s="16"/>
      <c r="AI34" s="16"/>
      <c r="AJ34" s="16"/>
      <c r="AK34" s="16"/>
      <c r="AL34" s="16"/>
      <c r="AM34" s="16"/>
      <c r="AN34" s="16"/>
      <c r="AO34" s="16"/>
      <c r="AP34" s="16"/>
      <c r="AQ34" s="16"/>
      <c r="AR34" s="16"/>
      <c r="AS34" s="16"/>
      <c r="AT34" s="16"/>
      <c r="AU34" s="16"/>
      <c r="AV34" s="16"/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  <c r="DO34" s="16"/>
      <c r="DP34" s="16"/>
      <c r="DQ34" s="16"/>
      <c r="DR34" s="16"/>
      <c r="DS34" s="16"/>
      <c r="DT34" s="16"/>
      <c r="DU34" s="16"/>
      <c r="DV34" s="16"/>
      <c r="DW34" s="16"/>
      <c r="DX34" s="16"/>
      <c r="DY34" s="16"/>
      <c r="DZ34" s="16"/>
      <c r="EA34" s="16"/>
      <c r="EB34" s="16"/>
      <c r="EC34" s="16"/>
      <c r="ED34" s="16"/>
      <c r="EE34" s="16"/>
      <c r="EF34" s="16"/>
      <c r="EG34" s="16"/>
      <c r="EH34" s="16"/>
      <c r="EI34" s="16"/>
      <c r="EJ34" s="16"/>
      <c r="EK34" s="16"/>
      <c r="EL34" s="16"/>
      <c r="EM34" s="16"/>
      <c r="EN34" s="16"/>
      <c r="EO34" s="16"/>
      <c r="EP34" s="16"/>
      <c r="EQ34" s="16"/>
      <c r="ER34" s="16"/>
      <c r="ES34" s="16"/>
      <c r="ET34" s="16"/>
      <c r="EU34" s="16"/>
      <c r="EV34" s="16"/>
      <c r="EW34" s="16"/>
      <c r="EX34" s="16"/>
      <c r="EY34" s="16"/>
      <c r="EZ34" s="16"/>
      <c r="FA34" s="16"/>
      <c r="FB34" s="16"/>
      <c r="FC34" s="16"/>
      <c r="FD34" s="16"/>
      <c r="FE34" s="16"/>
      <c r="FF34" s="16"/>
      <c r="FG34" s="16"/>
      <c r="FH34" s="16"/>
      <c r="FI34" s="16"/>
      <c r="FJ34" s="16"/>
      <c r="FK34" s="16"/>
      <c r="FL34" s="16"/>
      <c r="FM34" s="16"/>
      <c r="FN34" s="16"/>
      <c r="FO34" s="16"/>
      <c r="FP34" s="16"/>
      <c r="FQ34" s="16"/>
      <c r="FR34" s="16"/>
      <c r="FS34" s="16"/>
      <c r="FT34" s="16"/>
      <c r="FU34" s="16"/>
      <c r="FV34" s="16"/>
      <c r="FW34" s="16"/>
      <c r="FX34" s="16"/>
      <c r="FY34" s="16"/>
      <c r="FZ34" s="16"/>
      <c r="GA34" s="16"/>
      <c r="GB34" s="16"/>
      <c r="GC34" s="16"/>
      <c r="GD34" s="16"/>
      <c r="GE34" s="16"/>
      <c r="GF34" s="16"/>
      <c r="GG34" s="16"/>
      <c r="GH34" s="16"/>
      <c r="GI34" s="16"/>
      <c r="GJ34" s="16"/>
      <c r="GK34" s="16"/>
      <c r="GL34" s="16"/>
      <c r="GM34" s="16"/>
      <c r="GN34" s="16"/>
      <c r="GO34" s="16"/>
      <c r="GP34" s="16"/>
      <c r="GQ34" s="16"/>
      <c r="GR34" s="16"/>
      <c r="GS34" s="16"/>
      <c r="GT34" s="16"/>
      <c r="GU34" s="16"/>
      <c r="GV34" s="16"/>
      <c r="GW34" s="16"/>
      <c r="GX34" s="16"/>
      <c r="GY34" s="16"/>
      <c r="GZ34" s="16"/>
      <c r="HA34" s="16"/>
      <c r="HB34" s="16"/>
      <c r="HC34" s="16"/>
      <c r="HD34" s="16"/>
      <c r="HE34" s="16"/>
      <c r="HF34" s="16"/>
      <c r="HG34" s="16"/>
      <c r="HH34" s="16"/>
      <c r="HI34" s="16"/>
      <c r="HJ34" s="16"/>
      <c r="HK34" s="16"/>
      <c r="HL34" s="16"/>
      <c r="HM34" s="16"/>
      <c r="HN34" s="16"/>
      <c r="HO34" s="16"/>
      <c r="HP34" s="16"/>
      <c r="HQ34" s="16"/>
      <c r="HR34" s="16"/>
      <c r="HS34" s="16"/>
      <c r="HT34" s="16"/>
      <c r="HU34" s="16"/>
      <c r="HV34" s="16"/>
      <c r="HW34" s="16"/>
      <c r="HX34" s="16"/>
      <c r="HY34" s="16"/>
      <c r="HZ34" s="16"/>
      <c r="IA34" s="16"/>
      <c r="IB34" s="16"/>
      <c r="IC34" s="16"/>
      <c r="ID34" s="16"/>
      <c r="IE34" s="16"/>
      <c r="IF34" s="16"/>
      <c r="IG34" s="16"/>
      <c r="IH34" s="16"/>
      <c r="II34" s="16"/>
      <c r="IJ34" s="16"/>
      <c r="IK34" s="16"/>
      <c r="IL34" s="16"/>
      <c r="IM34" s="16"/>
      <c r="IN34" s="16"/>
      <c r="IO34" s="16"/>
      <c r="IP34" s="16"/>
      <c r="IQ34" s="16"/>
      <c r="IR34" s="16"/>
      <c r="IS34" s="16"/>
      <c r="IT34" s="16"/>
      <c r="IU34" s="16"/>
      <c r="IV34" s="16"/>
      <c r="IW34" s="16"/>
      <c r="IX34" s="16"/>
      <c r="IY34" s="16"/>
      <c r="IZ34" s="16"/>
      <c r="JA34" s="16"/>
      <c r="JB34" s="16"/>
      <c r="JC34" s="16"/>
      <c r="JD34" s="16"/>
      <c r="JE34" s="16"/>
      <c r="JF34" s="16"/>
      <c r="JG34" s="16"/>
      <c r="JH34" s="16"/>
      <c r="JI34" s="16"/>
      <c r="JJ34" s="16"/>
      <c r="JK34" s="16"/>
      <c r="JL34" s="16"/>
      <c r="JM34" s="16"/>
      <c r="JN34" s="16"/>
      <c r="JO34" s="16"/>
      <c r="JP34" s="16"/>
      <c r="JQ34" s="16"/>
      <c r="JR34" s="16"/>
      <c r="JS34" s="16"/>
      <c r="JT34" s="16"/>
      <c r="JU34" s="16"/>
      <c r="JV34" s="16"/>
      <c r="JW34" s="16"/>
      <c r="JX34" s="16"/>
      <c r="JY34" s="16"/>
      <c r="JZ34" s="16"/>
      <c r="KA34" s="16"/>
      <c r="KB34" s="16"/>
      <c r="KC34" s="16"/>
      <c r="KD34" s="16"/>
      <c r="KE34" s="16"/>
      <c r="KF34" s="16"/>
      <c r="KG34" s="16"/>
      <c r="KH34" s="16"/>
      <c r="KI34" s="16"/>
      <c r="KJ34" s="16"/>
      <c r="KK34" s="16"/>
      <c r="KL34" s="16"/>
      <c r="KM34" s="16"/>
      <c r="KN34" s="16"/>
      <c r="KO34" s="16"/>
      <c r="KP34" s="16"/>
      <c r="KQ34" s="16"/>
      <c r="KR34" s="16"/>
      <c r="KS34" s="16"/>
      <c r="KT34" s="16"/>
      <c r="KU34" s="16"/>
      <c r="KV34" s="16"/>
      <c r="KW34" s="16"/>
      <c r="KX34" s="16"/>
      <c r="KY34" s="16"/>
      <c r="KZ34" s="16"/>
      <c r="LA34" s="16"/>
      <c r="LB34" s="16"/>
      <c r="LC34" s="16"/>
      <c r="LD34" s="16"/>
      <c r="LE34" s="16"/>
      <c r="LF34" s="16"/>
      <c r="LG34" s="16"/>
      <c r="LH34" s="16"/>
      <c r="LI34" s="16"/>
      <c r="LJ34" s="16"/>
      <c r="LK34" s="16"/>
      <c r="LL34" s="16"/>
      <c r="LM34" s="16"/>
      <c r="LN34" s="16"/>
      <c r="LO34" s="16"/>
      <c r="LP34" s="16"/>
      <c r="LQ34" s="16"/>
      <c r="LR34" s="16"/>
      <c r="LS34" s="16"/>
      <c r="LT34" s="16"/>
      <c r="LU34" s="16"/>
      <c r="LV34" s="16"/>
      <c r="LW34" s="16"/>
      <c r="LX34" s="16"/>
      <c r="LY34" s="16"/>
      <c r="LZ34" s="16"/>
      <c r="MA34" s="16"/>
      <c r="MB34" s="16"/>
      <c r="MC34" s="16"/>
      <c r="MD34" s="16"/>
      <c r="ME34" s="16"/>
      <c r="MF34" s="16"/>
      <c r="MG34" s="16"/>
      <c r="MH34" s="16"/>
      <c r="MI34" s="16"/>
      <c r="MJ34" s="16"/>
      <c r="MK34" s="16"/>
      <c r="ML34" s="16"/>
      <c r="MM34" s="16"/>
      <c r="MN34" s="16"/>
      <c r="MO34" s="16"/>
      <c r="MP34" s="16"/>
      <c r="MQ34" s="16"/>
      <c r="MR34" s="16"/>
      <c r="MS34" s="16"/>
      <c r="MT34" s="16"/>
      <c r="MU34" s="16"/>
      <c r="MV34" s="16"/>
      <c r="MW34" s="16"/>
      <c r="MX34" s="16"/>
      <c r="MY34" s="16"/>
      <c r="MZ34" s="16"/>
      <c r="NA34" s="16"/>
      <c r="NB34" s="16"/>
      <c r="NC34" s="16"/>
      <c r="ND34" s="16"/>
      <c r="NE34" s="16"/>
      <c r="NF34" s="16"/>
      <c r="NG34" s="16"/>
      <c r="NH34" s="16"/>
      <c r="NI34" s="16"/>
      <c r="NJ34" s="16"/>
      <c r="NK34" s="16"/>
      <c r="NL34" s="16"/>
      <c r="NM34" s="16"/>
      <c r="NN34" s="16"/>
      <c r="NO34" s="16"/>
      <c r="NP34" s="16"/>
      <c r="NQ34" s="16"/>
      <c r="NR34" s="16"/>
      <c r="NS34" s="16"/>
      <c r="NT34" s="16"/>
      <c r="NU34" s="16"/>
      <c r="NV34" s="16"/>
      <c r="NW34" s="16"/>
      <c r="NX34" s="16"/>
      <c r="NY34" s="16"/>
      <c r="NZ34" s="16"/>
      <c r="OA34" s="16"/>
      <c r="OB34" s="16"/>
      <c r="OC34" s="16"/>
      <c r="OD34" s="16"/>
      <c r="OE34" s="16"/>
      <c r="OF34" s="16"/>
      <c r="OG34" s="16"/>
      <c r="OH34" s="16"/>
      <c r="OI34" s="16"/>
      <c r="OJ34" s="16"/>
      <c r="OK34" s="16"/>
      <c r="OL34" s="16"/>
      <c r="OM34" s="16"/>
      <c r="ON34" s="16"/>
      <c r="OO34" s="16"/>
      <c r="OP34" s="16"/>
      <c r="OQ34" s="16"/>
      <c r="OR34" s="16"/>
      <c r="OS34" s="16"/>
      <c r="OT34" s="16"/>
      <c r="OU34" s="16"/>
      <c r="OV34" s="16"/>
      <c r="OW34" s="16"/>
      <c r="OX34" s="16"/>
      <c r="OY34" s="16"/>
      <c r="OZ34" s="16"/>
      <c r="PA34" s="16"/>
      <c r="PB34" s="16"/>
      <c r="PC34" s="16"/>
      <c r="PD34" s="16"/>
      <c r="PE34" s="16"/>
      <c r="PF34" s="16"/>
      <c r="PG34" s="16"/>
      <c r="PH34" s="16"/>
      <c r="PI34" s="16"/>
      <c r="PJ34" s="16"/>
      <c r="PK34" s="16"/>
      <c r="PL34" s="16"/>
      <c r="PM34" s="16"/>
      <c r="PN34" s="16"/>
      <c r="PO34" s="16"/>
      <c r="PP34" s="16"/>
      <c r="PQ34" s="16"/>
      <c r="PR34" s="16"/>
      <c r="PS34" s="16"/>
      <c r="PT34" s="16"/>
      <c r="PU34" s="16"/>
      <c r="PV34" s="16"/>
      <c r="PW34" s="16"/>
      <c r="PX34" s="16"/>
      <c r="PY34" s="16"/>
      <c r="PZ34" s="16"/>
      <c r="QA34" s="16"/>
      <c r="QB34" s="16"/>
      <c r="QC34" s="16"/>
      <c r="QD34" s="16"/>
      <c r="QE34" s="16"/>
      <c r="QF34" s="16"/>
      <c r="QG34" s="16"/>
      <c r="QH34" s="16"/>
      <c r="QI34" s="16"/>
      <c r="QJ34" s="16"/>
      <c r="QK34" s="16"/>
      <c r="QL34" s="16"/>
      <c r="QM34" s="16"/>
      <c r="QN34" s="16"/>
      <c r="QO34" s="16"/>
      <c r="QP34" s="16"/>
      <c r="QQ34" s="16"/>
      <c r="QR34" s="16"/>
      <c r="QS34" s="16"/>
      <c r="QT34" s="16"/>
      <c r="QU34" s="16"/>
      <c r="QV34" s="16"/>
      <c r="QW34" s="16"/>
      <c r="QX34" s="16"/>
      <c r="QY34" s="16"/>
      <c r="QZ34" s="16"/>
      <c r="RA34" s="16"/>
      <c r="RB34" s="16"/>
      <c r="RC34" s="16"/>
      <c r="RD34" s="16"/>
      <c r="RE34" s="16"/>
      <c r="RF34" s="16"/>
      <c r="RG34" s="16"/>
      <c r="RH34" s="16"/>
      <c r="RI34" s="16"/>
      <c r="RJ34" s="16"/>
      <c r="RK34" s="16"/>
      <c r="RL34" s="16"/>
      <c r="RM34" s="16"/>
      <c r="RN34" s="16"/>
      <c r="RO34" s="16"/>
      <c r="RP34" s="16"/>
      <c r="RQ34" s="16"/>
      <c r="RR34" s="16"/>
      <c r="RS34" s="16"/>
      <c r="RT34" s="16"/>
      <c r="RU34" s="16"/>
      <c r="RV34" s="16"/>
      <c r="RW34" s="16"/>
      <c r="RX34" s="16"/>
      <c r="RY34" s="16"/>
      <c r="RZ34" s="16"/>
      <c r="SA34" s="16"/>
      <c r="SB34" s="16"/>
      <c r="SC34" s="16"/>
      <c r="SD34" s="16"/>
      <c r="SE34" s="16"/>
      <c r="SF34" s="16"/>
      <c r="SG34" s="16"/>
      <c r="SH34" s="16"/>
      <c r="SI34" s="16"/>
      <c r="SJ34" s="16"/>
      <c r="SK34" s="16"/>
      <c r="SL34" s="16"/>
      <c r="SM34" s="16"/>
      <c r="SN34" s="16"/>
      <c r="SO34" s="16"/>
      <c r="SP34" s="16"/>
      <c r="SQ34" s="16"/>
      <c r="SR34" s="16"/>
      <c r="SS34" s="16"/>
      <c r="ST34" s="16"/>
      <c r="SU34" s="16"/>
      <c r="SV34" s="16"/>
      <c r="SW34" s="16"/>
      <c r="SX34" s="16"/>
      <c r="SY34" s="16"/>
      <c r="SZ34" s="16"/>
      <c r="TA34" s="16"/>
      <c r="TB34" s="16"/>
      <c r="TC34" s="16"/>
      <c r="TD34" s="16"/>
      <c r="TE34" s="16"/>
      <c r="TF34" s="16"/>
      <c r="TG34" s="16"/>
      <c r="TH34" s="16"/>
      <c r="TI34" s="16"/>
      <c r="TJ34" s="16"/>
      <c r="TK34" s="16"/>
      <c r="TL34" s="16"/>
      <c r="TM34" s="16"/>
      <c r="TN34" s="16"/>
      <c r="TO34" s="16"/>
      <c r="TP34" s="16"/>
      <c r="TQ34" s="16"/>
      <c r="TR34" s="16"/>
      <c r="TS34" s="16"/>
      <c r="TT34" s="16"/>
      <c r="TU34" s="16"/>
      <c r="TV34" s="16"/>
      <c r="TW34" s="16"/>
      <c r="TX34" s="16"/>
      <c r="TY34" s="16"/>
      <c r="TZ34" s="16"/>
      <c r="UA34" s="16"/>
      <c r="UB34" s="16"/>
      <c r="UC34" s="16"/>
      <c r="UD34" s="16"/>
      <c r="UE34" s="16"/>
      <c r="UF34" s="16"/>
      <c r="UG34" s="16"/>
      <c r="UH34" s="16"/>
      <c r="UI34" s="16"/>
      <c r="UJ34" s="16"/>
      <c r="UK34" s="16"/>
      <c r="UL34" s="16"/>
      <c r="UM34" s="16"/>
      <c r="UN34" s="16"/>
      <c r="UO34" s="16"/>
      <c r="UP34" s="16"/>
      <c r="UQ34" s="16"/>
      <c r="UR34" s="16"/>
      <c r="US34" s="16"/>
      <c r="UT34" s="16"/>
      <c r="UU34" s="16"/>
      <c r="UV34" s="16"/>
      <c r="UW34" s="16"/>
      <c r="UX34" s="16"/>
      <c r="UY34" s="16"/>
      <c r="UZ34" s="16"/>
      <c r="VA34" s="16"/>
      <c r="VB34" s="16"/>
      <c r="VC34" s="16"/>
      <c r="VD34" s="16"/>
      <c r="VE34" s="16"/>
      <c r="VF34" s="16"/>
      <c r="VG34" s="16"/>
      <c r="VH34" s="16"/>
      <c r="VI34" s="16"/>
      <c r="VJ34" s="16"/>
      <c r="VK34" s="16"/>
      <c r="VL34" s="16"/>
      <c r="VM34" s="16"/>
      <c r="VN34" s="16"/>
      <c r="VO34" s="16"/>
      <c r="VP34" s="16"/>
      <c r="VQ34" s="16"/>
      <c r="VR34" s="16"/>
      <c r="VS34" s="16"/>
      <c r="VT34" s="16"/>
      <c r="VU34" s="16"/>
      <c r="VV34" s="16"/>
      <c r="VW34" s="16"/>
      <c r="VX34" s="16"/>
      <c r="VY34" s="16"/>
      <c r="VZ34" s="16"/>
      <c r="WA34" s="16"/>
      <c r="WB34" s="16"/>
      <c r="WC34" s="16"/>
      <c r="WD34" s="16"/>
      <c r="WE34" s="16"/>
      <c r="WF34" s="16"/>
      <c r="WG34" s="16"/>
      <c r="WH34" s="16"/>
      <c r="WI34" s="16"/>
      <c r="WJ34" s="16"/>
      <c r="WK34" s="16"/>
      <c r="WL34" s="16"/>
      <c r="WM34" s="16"/>
      <c r="WN34" s="16"/>
      <c r="WO34" s="16"/>
      <c r="WP34" s="16"/>
      <c r="WQ34" s="16"/>
      <c r="WR34" s="16"/>
      <c r="WS34" s="16"/>
      <c r="WT34" s="16"/>
      <c r="WU34" s="16"/>
      <c r="WV34" s="16"/>
      <c r="WW34" s="16"/>
      <c r="WX34" s="16"/>
      <c r="WY34" s="16"/>
      <c r="WZ34" s="16"/>
      <c r="XA34" s="16"/>
      <c r="XB34" s="16"/>
      <c r="XC34" s="16"/>
      <c r="XD34" s="16"/>
      <c r="XE34" s="16"/>
      <c r="XF34" s="16"/>
      <c r="XG34" s="16"/>
      <c r="XH34" s="16"/>
      <c r="XI34" s="16"/>
      <c r="XJ34" s="16"/>
      <c r="XK34" s="16"/>
      <c r="XL34" s="16"/>
      <c r="XM34" s="16"/>
      <c r="XN34" s="16"/>
      <c r="XO34" s="16"/>
      <c r="XP34" s="16"/>
      <c r="XQ34" s="16"/>
      <c r="XR34" s="16"/>
      <c r="XS34" s="16"/>
      <c r="XT34" s="16"/>
      <c r="XU34" s="16"/>
      <c r="XV34" s="16"/>
      <c r="XW34" s="16"/>
      <c r="XX34" s="16"/>
      <c r="XY34" s="16"/>
      <c r="XZ34" s="16"/>
      <c r="YA34" s="16"/>
      <c r="YB34" s="16"/>
      <c r="YC34" s="16"/>
      <c r="YD34" s="16"/>
      <c r="YE34" s="16"/>
      <c r="YF34" s="16"/>
      <c r="YG34" s="16"/>
      <c r="YH34" s="16"/>
      <c r="YI34" s="16"/>
      <c r="YJ34" s="16"/>
      <c r="YK34" s="16"/>
      <c r="YL34" s="16"/>
      <c r="YM34" s="16"/>
      <c r="YN34" s="16"/>
      <c r="YO34" s="16"/>
      <c r="YP34" s="16"/>
      <c r="YQ34" s="16"/>
      <c r="YR34" s="16"/>
      <c r="YS34" s="16"/>
      <c r="YT34" s="16"/>
      <c r="YU34" s="16"/>
      <c r="YV34" s="16"/>
      <c r="YW34" s="16"/>
      <c r="YX34" s="16"/>
      <c r="YY34" s="16"/>
      <c r="YZ34" s="16"/>
      <c r="ZA34" s="16"/>
      <c r="ZB34" s="16"/>
      <c r="ZC34" s="16"/>
      <c r="ZD34" s="16"/>
      <c r="ZE34" s="16"/>
      <c r="ZF34" s="16"/>
      <c r="ZG34" s="16"/>
      <c r="ZH34" s="16"/>
      <c r="ZI34" s="16"/>
      <c r="ZJ34" s="16"/>
      <c r="ZK34" s="16"/>
      <c r="ZL34" s="16"/>
      <c r="ZM34" s="16"/>
      <c r="ZN34" s="16"/>
      <c r="ZO34" s="16"/>
      <c r="ZP34" s="16"/>
      <c r="ZQ34" s="16"/>
      <c r="ZR34" s="16"/>
      <c r="ZS34" s="16"/>
      <c r="ZT34" s="16"/>
      <c r="ZU34" s="16"/>
      <c r="ZV34" s="16"/>
      <c r="ZW34" s="16"/>
      <c r="ZX34" s="16"/>
      <c r="ZY34" s="16"/>
      <c r="ZZ34" s="16"/>
      <c r="AAA34" s="16"/>
      <c r="AAB34" s="16"/>
      <c r="AAC34" s="16"/>
      <c r="AAD34" s="16"/>
      <c r="AAE34" s="16"/>
      <c r="AAF34" s="16"/>
      <c r="AAG34" s="16"/>
      <c r="AAH34" s="16"/>
      <c r="AAI34" s="16"/>
      <c r="AAJ34" s="16"/>
      <c r="AAK34" s="16"/>
      <c r="AAL34" s="16"/>
      <c r="AAM34" s="16"/>
      <c r="AAN34" s="16"/>
      <c r="AAO34" s="16"/>
      <c r="AAP34" s="16"/>
      <c r="AAQ34" s="16"/>
      <c r="AAR34" s="16"/>
      <c r="AAS34" s="16"/>
      <c r="AAT34" s="16"/>
      <c r="AAU34" s="16"/>
      <c r="AAV34" s="16"/>
      <c r="AAW34" s="16"/>
      <c r="AAX34" s="16"/>
      <c r="AAY34" s="16"/>
      <c r="AAZ34" s="16"/>
      <c r="ABA34" s="16"/>
      <c r="ABB34" s="16"/>
      <c r="ABC34" s="16"/>
      <c r="ABD34" s="16"/>
      <c r="ABE34" s="16"/>
      <c r="ABF34" s="16"/>
      <c r="ABG34" s="16"/>
      <c r="ABH34" s="16"/>
      <c r="ABI34" s="16"/>
      <c r="ABJ34" s="16"/>
      <c r="ABK34" s="16"/>
      <c r="ABL34" s="16"/>
      <c r="ABM34" s="16"/>
      <c r="ABN34" s="16"/>
      <c r="ABO34" s="16"/>
      <c r="ABP34" s="16"/>
      <c r="ABQ34" s="16"/>
      <c r="ABR34" s="16"/>
      <c r="ABS34" s="16"/>
      <c r="ABT34" s="16"/>
      <c r="ABU34" s="16"/>
      <c r="ABV34" s="16"/>
      <c r="ABW34" s="16"/>
      <c r="ABX34" s="16"/>
      <c r="ABY34" s="16"/>
      <c r="ABZ34" s="16"/>
      <c r="ACA34" s="16"/>
      <c r="ACB34" s="16"/>
      <c r="ACC34" s="16"/>
      <c r="ACD34" s="16"/>
      <c r="ACE34" s="16"/>
      <c r="ACF34" s="16"/>
      <c r="ACG34" s="16"/>
      <c r="ACH34" s="16"/>
      <c r="ACI34" s="16"/>
      <c r="ACJ34" s="16"/>
      <c r="ACK34" s="16"/>
      <c r="ACL34" s="16"/>
      <c r="ACM34" s="16"/>
      <c r="ACN34" s="16"/>
      <c r="ACO34" s="16"/>
      <c r="ACP34" s="16"/>
      <c r="ACQ34" s="16"/>
      <c r="ACR34" s="16"/>
      <c r="ACS34" s="16"/>
      <c r="ACT34" s="16"/>
      <c r="ACU34" s="16"/>
      <c r="ACV34" s="16"/>
      <c r="ACW34" s="16"/>
      <c r="ACX34" s="16"/>
      <c r="ACY34" s="16"/>
      <c r="ACZ34" s="16"/>
      <c r="ADA34" s="16"/>
      <c r="ADB34" s="16"/>
      <c r="ADC34" s="16"/>
      <c r="ADD34" s="16"/>
      <c r="ADE34" s="16"/>
      <c r="ADF34" s="16"/>
      <c r="ADG34" s="16"/>
      <c r="ADH34" s="16"/>
      <c r="ADI34" s="16"/>
      <c r="ADJ34" s="16"/>
      <c r="ADK34" s="16"/>
      <c r="ADL34" s="16"/>
      <c r="ADM34" s="16"/>
      <c r="ADN34" s="16"/>
      <c r="ADO34" s="16"/>
      <c r="ADP34" s="16"/>
      <c r="ADQ34" s="16"/>
      <c r="ADR34" s="16"/>
      <c r="ADS34" s="16"/>
      <c r="ADT34" s="16"/>
      <c r="ADU34" s="16"/>
      <c r="ADV34" s="16"/>
      <c r="ADW34" s="16"/>
      <c r="ADX34" s="16"/>
      <c r="ADY34" s="16"/>
      <c r="ADZ34" s="16"/>
      <c r="AEA34" s="16"/>
      <c r="AEB34" s="16"/>
      <c r="AEC34" s="16"/>
      <c r="AED34" s="16"/>
      <c r="AEE34" s="16"/>
      <c r="AEF34" s="16"/>
      <c r="AEG34" s="16"/>
      <c r="AEH34" s="16"/>
      <c r="AEI34" s="16"/>
      <c r="AEJ34" s="16"/>
      <c r="AEK34" s="16"/>
      <c r="AEL34" s="16"/>
      <c r="AEM34" s="16"/>
      <c r="AEN34" s="16"/>
      <c r="AEO34" s="16"/>
      <c r="AEP34" s="16"/>
      <c r="AEQ34" s="16"/>
      <c r="AER34" s="16"/>
      <c r="AES34" s="16"/>
      <c r="AET34" s="16"/>
      <c r="AEU34" s="16"/>
      <c r="AEV34" s="16"/>
      <c r="AEW34" s="16"/>
      <c r="AEX34" s="16"/>
      <c r="AEY34" s="16"/>
      <c r="AEZ34" s="16"/>
      <c r="AFA34" s="16"/>
      <c r="AFB34" s="16"/>
      <c r="AFC34" s="16"/>
      <c r="AFD34" s="16"/>
      <c r="AFE34" s="16"/>
      <c r="AFF34" s="16"/>
      <c r="AFG34" s="16"/>
      <c r="AFH34" s="16"/>
      <c r="AFI34" s="16"/>
      <c r="AFJ34" s="16"/>
      <c r="AFK34" s="16"/>
      <c r="AFL34" s="16"/>
      <c r="AFM34" s="16"/>
      <c r="AFN34" s="16"/>
      <c r="AFO34" s="16"/>
      <c r="AFP34" s="16"/>
      <c r="AFQ34" s="16"/>
      <c r="AFR34" s="16"/>
      <c r="AFS34" s="16"/>
      <c r="AFT34" s="16"/>
      <c r="AFU34" s="16"/>
      <c r="AFV34" s="16"/>
      <c r="AFW34" s="16"/>
      <c r="AFX34" s="16"/>
      <c r="AFY34" s="16"/>
      <c r="AFZ34" s="16"/>
      <c r="AGA34" s="16"/>
      <c r="AGB34" s="16"/>
      <c r="AGC34" s="16"/>
      <c r="AGD34" s="16"/>
      <c r="AGE34" s="16"/>
      <c r="AGF34" s="16"/>
      <c r="AGG34" s="16"/>
      <c r="AGH34" s="16"/>
      <c r="AGI34" s="16"/>
      <c r="AGJ34" s="16"/>
      <c r="AGK34" s="16"/>
      <c r="AGL34" s="16"/>
      <c r="AGM34" s="16"/>
      <c r="AGN34" s="16"/>
      <c r="AGO34" s="16"/>
      <c r="AGP34" s="16"/>
      <c r="AGQ34" s="16"/>
      <c r="AGR34" s="16"/>
      <c r="AGS34" s="16"/>
      <c r="AGT34" s="16"/>
      <c r="AGU34" s="16"/>
      <c r="AGV34" s="16"/>
      <c r="AGW34" s="16"/>
      <c r="AGX34" s="16"/>
      <c r="AGY34" s="16"/>
      <c r="AGZ34" s="16"/>
      <c r="AHA34" s="16"/>
      <c r="AHB34" s="16"/>
      <c r="AHC34" s="16"/>
      <c r="AHD34" s="16"/>
      <c r="AHE34" s="16"/>
      <c r="AHF34" s="16"/>
      <c r="AHG34" s="16"/>
      <c r="AHH34" s="16"/>
      <c r="AHI34" s="16"/>
      <c r="AHJ34" s="16"/>
      <c r="AHK34" s="16"/>
      <c r="AHL34" s="16"/>
      <c r="AHM34" s="16"/>
      <c r="AHN34" s="16"/>
      <c r="AHO34" s="16"/>
      <c r="AHP34" s="16"/>
      <c r="AHQ34" s="16"/>
      <c r="AHR34" s="16"/>
      <c r="AHS34" s="16"/>
      <c r="AHT34" s="16"/>
      <c r="AHU34" s="16"/>
      <c r="AHV34" s="16"/>
      <c r="AHW34" s="16"/>
      <c r="AHX34" s="16"/>
      <c r="AHY34" s="16"/>
      <c r="AHZ34" s="16"/>
      <c r="AIA34" s="16"/>
      <c r="AIB34" s="16"/>
      <c r="AIC34" s="16"/>
      <c r="AID34" s="16"/>
      <c r="AIE34" s="16"/>
      <c r="AIF34" s="16"/>
      <c r="AIG34" s="16"/>
      <c r="AIH34" s="16"/>
      <c r="AII34" s="16"/>
      <c r="AIJ34" s="16"/>
      <c r="AIK34" s="16"/>
      <c r="AIL34" s="16"/>
      <c r="AIM34" s="16"/>
      <c r="AIN34" s="16"/>
      <c r="AIO34" s="16"/>
      <c r="AIP34" s="16"/>
      <c r="AIQ34" s="16"/>
      <c r="AIR34" s="16"/>
      <c r="AIS34" s="16"/>
      <c r="AIT34" s="16"/>
      <c r="AIU34" s="16"/>
      <c r="AIV34" s="16"/>
      <c r="AIW34" s="16"/>
      <c r="AIX34" s="16"/>
      <c r="AIY34" s="16"/>
      <c r="AIZ34" s="16"/>
      <c r="AJA34" s="16"/>
      <c r="AJB34" s="16"/>
      <c r="AJC34" s="16"/>
      <c r="AJD34" s="16"/>
      <c r="AJE34" s="16"/>
      <c r="AJF34" s="16"/>
      <c r="AJG34" s="16"/>
      <c r="AJH34" s="16"/>
      <c r="AJI34" s="16"/>
      <c r="AJJ34" s="16"/>
      <c r="AJK34" s="16"/>
      <c r="AJL34" s="16"/>
      <c r="AJM34" s="16"/>
      <c r="AJN34" s="16"/>
      <c r="AJO34" s="16"/>
      <c r="AJP34" s="16"/>
      <c r="AJQ34" s="16"/>
      <c r="AJR34" s="16"/>
      <c r="AJS34" s="16"/>
      <c r="AJT34" s="16"/>
      <c r="AJU34" s="16"/>
      <c r="AJV34" s="16"/>
      <c r="AJW34" s="16"/>
      <c r="AJX34" s="16"/>
      <c r="AJY34" s="16"/>
      <c r="AJZ34" s="16"/>
      <c r="AKA34" s="16"/>
      <c r="AKB34" s="16"/>
      <c r="AKC34" s="16"/>
      <c r="AKD34" s="16"/>
      <c r="AKE34" s="16"/>
      <c r="AKF34" s="16"/>
      <c r="AKG34" s="16"/>
      <c r="AKH34" s="16"/>
      <c r="AKI34" s="16"/>
      <c r="AKJ34" s="16"/>
      <c r="AKK34" s="16"/>
      <c r="AKL34" s="16"/>
      <c r="AKM34" s="16"/>
      <c r="AKN34" s="16"/>
      <c r="AKO34" s="16"/>
      <c r="AKP34" s="16"/>
      <c r="AKQ34" s="16"/>
      <c r="AKR34" s="16"/>
      <c r="AKS34" s="16"/>
      <c r="AKT34" s="16"/>
      <c r="AKU34" s="16"/>
      <c r="AKV34" s="16"/>
      <c r="AKW34" s="16"/>
      <c r="AKX34" s="16"/>
      <c r="AKY34" s="16"/>
      <c r="AKZ34" s="16"/>
      <c r="ALA34" s="16"/>
      <c r="ALB34" s="16"/>
      <c r="ALC34" s="16"/>
      <c r="ALD34" s="16"/>
      <c r="ALE34" s="16"/>
      <c r="ALF34" s="16"/>
      <c r="ALG34" s="16"/>
      <c r="ALH34" s="16"/>
      <c r="ALI34" s="16"/>
      <c r="ALJ34" s="16"/>
      <c r="ALK34" s="16"/>
      <c r="ALL34" s="16"/>
      <c r="ALM34" s="16"/>
      <c r="ALN34" s="16"/>
      <c r="ALO34" s="16"/>
      <c r="ALP34" s="16"/>
      <c r="ALQ34" s="16"/>
      <c r="ALR34" s="16"/>
      <c r="ALS34" s="16"/>
      <c r="ALT34" s="16"/>
      <c r="ALU34" s="16"/>
      <c r="ALV34" s="16"/>
      <c r="ALW34" s="16"/>
      <c r="ALX34" s="16"/>
      <c r="ALY34" s="16"/>
      <c r="ALZ34" s="16"/>
      <c r="AMA34" s="16"/>
      <c r="AMB34" s="16"/>
      <c r="AMC34" s="16"/>
      <c r="AMD34" s="16"/>
      <c r="AME34" s="16"/>
      <c r="AMF34" s="16"/>
      <c r="AMG34" s="16"/>
      <c r="AMH34" s="16"/>
      <c r="AMI34" s="16"/>
      <c r="AMJ34" s="16"/>
      <c r="AMK34" s="16"/>
      <c r="AML34" s="16"/>
      <c r="AMM34" s="16"/>
      <c r="AMN34" s="16"/>
      <c r="AMO34" s="16"/>
      <c r="AMP34" s="16"/>
      <c r="AMQ34" s="16"/>
      <c r="AMR34" s="16"/>
      <c r="AMS34" s="16"/>
      <c r="AMT34" s="16"/>
      <c r="AMU34" s="16"/>
      <c r="AMV34" s="16"/>
      <c r="AMW34" s="16"/>
      <c r="AMX34" s="16"/>
      <c r="AMY34" s="16"/>
      <c r="AMZ34" s="16"/>
      <c r="ANA34" s="16"/>
      <c r="ANB34" s="16"/>
      <c r="ANC34" s="16"/>
      <c r="AND34" s="16"/>
      <c r="ANE34" s="16"/>
      <c r="ANF34" s="16"/>
      <c r="ANG34" s="16"/>
      <c r="ANH34" s="16"/>
      <c r="ANI34" s="16"/>
      <c r="ANJ34" s="16"/>
      <c r="ANK34" s="16"/>
      <c r="ANL34" s="16"/>
      <c r="ANM34" s="16"/>
      <c r="ANN34" s="16"/>
      <c r="ANO34" s="16"/>
      <c r="ANP34" s="16"/>
      <c r="ANQ34" s="16"/>
      <c r="ANR34" s="16"/>
      <c r="ANS34" s="16"/>
      <c r="ANT34" s="16"/>
      <c r="ANU34" s="16"/>
      <c r="ANV34" s="16"/>
      <c r="ANW34" s="16"/>
      <c r="ANX34" s="16"/>
      <c r="ANY34" s="16"/>
      <c r="ANZ34" s="16"/>
      <c r="AOA34" s="16"/>
      <c r="AOB34" s="16"/>
      <c r="AOC34" s="16"/>
      <c r="AOD34" s="16"/>
      <c r="AOE34" s="16"/>
      <c r="AOF34" s="16"/>
      <c r="AOG34" s="16"/>
      <c r="AOH34" s="16"/>
      <c r="AOI34" s="16"/>
      <c r="AOJ34" s="16"/>
      <c r="AOK34" s="16"/>
      <c r="AOL34" s="16"/>
      <c r="AOM34" s="16"/>
      <c r="AON34" s="16"/>
      <c r="AOO34" s="16"/>
      <c r="AOP34" s="16"/>
      <c r="AOQ34" s="16"/>
      <c r="AOR34" s="16"/>
      <c r="AOS34" s="16"/>
      <c r="AOT34" s="16"/>
      <c r="AOU34" s="16"/>
      <c r="AOV34" s="16"/>
      <c r="AOW34" s="16"/>
      <c r="AOX34" s="16"/>
      <c r="AOY34" s="16"/>
      <c r="AOZ34" s="16"/>
      <c r="APA34" s="16"/>
      <c r="APB34" s="16"/>
      <c r="APC34" s="16"/>
      <c r="APD34" s="16"/>
      <c r="APE34" s="16"/>
      <c r="APF34" s="16"/>
      <c r="APG34" s="16"/>
      <c r="APH34" s="16"/>
      <c r="API34" s="16"/>
      <c r="APJ34" s="16"/>
      <c r="APK34" s="16"/>
      <c r="APL34" s="16"/>
      <c r="APM34" s="16"/>
      <c r="APN34" s="16"/>
      <c r="APO34" s="16"/>
      <c r="APP34" s="16"/>
      <c r="APQ34" s="16"/>
      <c r="APR34" s="16"/>
      <c r="APS34" s="16"/>
      <c r="APT34" s="16"/>
      <c r="APU34" s="16"/>
      <c r="APV34" s="16"/>
      <c r="APW34" s="16"/>
      <c r="APX34" s="16"/>
      <c r="APY34" s="16"/>
      <c r="APZ34" s="16"/>
      <c r="AQA34" s="16"/>
      <c r="AQB34" s="16"/>
      <c r="AQC34" s="16"/>
      <c r="AQD34" s="16"/>
      <c r="AQE34" s="16"/>
      <c r="AQF34" s="16"/>
      <c r="AQG34" s="16"/>
      <c r="AQH34" s="16"/>
      <c r="AQI34" s="16"/>
      <c r="AQJ34" s="16"/>
      <c r="AQK34" s="16"/>
      <c r="AQL34" s="16"/>
      <c r="AQM34" s="16"/>
      <c r="AQN34" s="16"/>
      <c r="AQO34" s="16"/>
      <c r="AQP34" s="16"/>
      <c r="AQQ34" s="16"/>
      <c r="AQR34" s="16"/>
      <c r="AQS34" s="16"/>
      <c r="AQT34" s="16"/>
      <c r="AQU34" s="16"/>
      <c r="AQV34" s="16"/>
      <c r="AQW34" s="16"/>
      <c r="AQX34" s="16"/>
      <c r="AQY34" s="16"/>
      <c r="AQZ34" s="16"/>
      <c r="ARA34" s="16"/>
      <c r="ARB34" s="16"/>
      <c r="ARC34" s="16"/>
      <c r="ARD34" s="16"/>
      <c r="ARE34" s="16"/>
      <c r="ARF34" s="16"/>
      <c r="ARG34" s="16"/>
      <c r="ARH34" s="16"/>
      <c r="ARI34" s="16"/>
      <c r="ARJ34" s="16"/>
      <c r="ARK34" s="16"/>
      <c r="ARL34" s="16"/>
      <c r="ARM34" s="16"/>
      <c r="ARN34" s="16"/>
      <c r="ARO34" s="16"/>
      <c r="ARP34" s="16"/>
      <c r="ARQ34" s="16"/>
      <c r="ARR34" s="16"/>
      <c r="ARS34" s="16"/>
      <c r="ART34" s="16"/>
      <c r="ARU34" s="16"/>
      <c r="ARV34" s="16"/>
      <c r="ARW34" s="16"/>
      <c r="ARX34" s="16"/>
      <c r="ARY34" s="16"/>
      <c r="ARZ34" s="16"/>
      <c r="ASA34" s="16"/>
      <c r="ASB34" s="16"/>
      <c r="ASC34" s="16"/>
      <c r="ASD34" s="16"/>
      <c r="ASE34" s="16"/>
      <c r="ASF34" s="16"/>
      <c r="ASG34" s="16"/>
      <c r="ASH34" s="16"/>
      <c r="ASI34" s="16"/>
      <c r="ASJ34" s="16"/>
      <c r="ASK34" s="16"/>
      <c r="ASL34" s="16"/>
      <c r="ASM34" s="16"/>
      <c r="ASN34" s="16"/>
      <c r="ASO34" s="16"/>
      <c r="ASP34" s="16"/>
      <c r="ASQ34" s="16"/>
      <c r="ASR34" s="16"/>
      <c r="ASS34" s="16"/>
      <c r="AST34" s="16"/>
      <c r="ASU34" s="16"/>
      <c r="ASV34" s="16"/>
      <c r="ASW34" s="16"/>
      <c r="ASX34" s="16"/>
      <c r="ASY34" s="16"/>
      <c r="ASZ34" s="16"/>
      <c r="ATA34" s="16"/>
      <c r="ATB34" s="16"/>
      <c r="ATC34" s="16"/>
      <c r="ATD34" s="16"/>
      <c r="ATE34" s="16"/>
      <c r="ATF34" s="16"/>
      <c r="ATG34" s="16"/>
      <c r="ATH34" s="16"/>
      <c r="ATI34" s="16"/>
      <c r="ATJ34" s="16"/>
      <c r="ATK34" s="16"/>
      <c r="ATL34" s="16"/>
      <c r="ATM34" s="16"/>
      <c r="ATN34" s="16"/>
      <c r="ATO34" s="16"/>
      <c r="ATP34" s="16"/>
      <c r="ATQ34" s="16"/>
      <c r="ATR34" s="16"/>
      <c r="ATS34" s="16"/>
      <c r="ATT34" s="16"/>
      <c r="ATU34" s="16"/>
      <c r="ATV34" s="16"/>
      <c r="ATW34" s="16"/>
      <c r="ATX34" s="16"/>
      <c r="ATY34" s="16"/>
      <c r="ATZ34" s="16"/>
      <c r="AUA34" s="16"/>
      <c r="AUB34" s="16"/>
      <c r="AUC34" s="16"/>
      <c r="AUD34" s="16"/>
      <c r="AUE34" s="16"/>
      <c r="AUF34" s="16"/>
      <c r="AUG34" s="16"/>
      <c r="AUH34" s="16"/>
      <c r="AUI34" s="16"/>
      <c r="AUJ34" s="16"/>
      <c r="AUK34" s="16"/>
      <c r="AUL34" s="16"/>
      <c r="AUM34" s="16"/>
      <c r="AUN34" s="16"/>
      <c r="AUO34" s="16"/>
      <c r="AUP34" s="16"/>
      <c r="AUQ34" s="16"/>
      <c r="AUR34" s="16"/>
      <c r="AUS34" s="16"/>
      <c r="AUT34" s="16"/>
      <c r="AUU34" s="16"/>
      <c r="AUV34" s="16"/>
      <c r="AUW34" s="16"/>
      <c r="AUX34" s="16"/>
      <c r="AUY34" s="16"/>
      <c r="AUZ34" s="16"/>
      <c r="AVA34" s="16"/>
      <c r="AVB34" s="16"/>
      <c r="AVC34" s="16"/>
      <c r="AVD34" s="16"/>
      <c r="AVE34" s="16"/>
      <c r="AVF34" s="16"/>
      <c r="AVG34" s="16"/>
      <c r="AVH34" s="16"/>
      <c r="AVI34" s="16"/>
      <c r="AVJ34" s="16"/>
      <c r="AVK34" s="16"/>
      <c r="AVL34" s="16"/>
      <c r="AVM34" s="16"/>
      <c r="AVN34" s="16"/>
      <c r="AVO34" s="16"/>
      <c r="AVP34" s="16"/>
      <c r="AVQ34" s="16"/>
      <c r="AVR34" s="16"/>
      <c r="AVS34" s="16"/>
      <c r="AVT34" s="16"/>
      <c r="AVU34" s="16"/>
      <c r="AVV34" s="16"/>
      <c r="AVW34" s="16"/>
      <c r="AVX34" s="16"/>
      <c r="AVY34" s="16"/>
      <c r="AVZ34" s="16"/>
      <c r="AWA34" s="16"/>
      <c r="AWB34" s="16"/>
      <c r="AWC34" s="16"/>
      <c r="AWD34" s="16"/>
      <c r="AWE34" s="16"/>
      <c r="AWF34" s="16"/>
      <c r="AWG34" s="16"/>
      <c r="AWH34" s="16"/>
      <c r="AWI34" s="16"/>
      <c r="AWJ34" s="16"/>
      <c r="AWK34" s="16"/>
      <c r="AWL34" s="16"/>
      <c r="AWM34" s="16"/>
      <c r="AWN34" s="16"/>
      <c r="AWO34" s="16"/>
      <c r="AWP34" s="16"/>
      <c r="AWQ34" s="16"/>
      <c r="AWR34" s="16"/>
      <c r="AWS34" s="16"/>
      <c r="AWT34" s="16"/>
      <c r="AWU34" s="16"/>
      <c r="AWV34" s="16"/>
      <c r="AWW34" s="16"/>
      <c r="AWX34" s="16"/>
      <c r="AWY34" s="16"/>
      <c r="AWZ34" s="16"/>
      <c r="AXA34" s="16"/>
      <c r="AXB34" s="16"/>
      <c r="AXC34" s="16"/>
      <c r="AXD34" s="16"/>
      <c r="AXE34" s="16"/>
      <c r="AXF34" s="16"/>
      <c r="AXG34" s="16"/>
      <c r="AXH34" s="16"/>
      <c r="AXI34" s="16"/>
      <c r="AXJ34" s="16"/>
      <c r="AXK34" s="16"/>
      <c r="AXL34" s="16"/>
      <c r="AXM34" s="16"/>
      <c r="AXN34" s="16"/>
      <c r="AXO34" s="16"/>
      <c r="AXP34" s="16"/>
      <c r="AXQ34" s="16"/>
      <c r="AXR34" s="16"/>
      <c r="AXS34" s="16"/>
      <c r="AXT34" s="16"/>
      <c r="AXU34" s="16"/>
      <c r="AXV34" s="16"/>
      <c r="AXW34" s="16"/>
      <c r="AXX34" s="16"/>
      <c r="AXY34" s="16"/>
      <c r="AXZ34" s="16"/>
      <c r="AYA34" s="16"/>
      <c r="AYB34" s="16"/>
      <c r="AYC34" s="16"/>
      <c r="AYD34" s="16"/>
      <c r="AYE34" s="16"/>
      <c r="AYF34" s="16"/>
      <c r="AYG34" s="16"/>
      <c r="AYH34" s="16"/>
      <c r="AYI34" s="16"/>
      <c r="AYJ34" s="16"/>
      <c r="AYK34" s="16"/>
      <c r="AYL34" s="16"/>
      <c r="AYM34" s="16"/>
      <c r="AYN34" s="16"/>
      <c r="AYO34" s="16"/>
      <c r="AYP34" s="16"/>
      <c r="AYQ34" s="16"/>
      <c r="AYR34" s="16"/>
      <c r="AYS34" s="16"/>
      <c r="AYT34" s="16"/>
      <c r="AYU34" s="16"/>
      <c r="AYV34" s="16"/>
      <c r="AYW34" s="16"/>
      <c r="AYX34" s="16"/>
      <c r="AYY34" s="16"/>
      <c r="AYZ34" s="16"/>
      <c r="AZA34" s="16"/>
      <c r="AZB34" s="16"/>
      <c r="AZC34" s="16"/>
      <c r="AZD34" s="16"/>
      <c r="AZE34" s="16"/>
      <c r="AZF34" s="16"/>
      <c r="AZG34" s="16"/>
      <c r="AZH34" s="16"/>
      <c r="AZI34" s="16"/>
      <c r="AZJ34" s="16"/>
      <c r="AZK34" s="16"/>
      <c r="AZL34" s="16"/>
      <c r="AZM34" s="16"/>
      <c r="AZN34" s="16"/>
      <c r="AZO34" s="16"/>
      <c r="AZP34" s="16"/>
      <c r="AZQ34" s="16"/>
      <c r="AZR34" s="16"/>
      <c r="AZS34" s="16"/>
      <c r="AZT34" s="16"/>
      <c r="AZU34" s="16"/>
      <c r="AZV34" s="16"/>
      <c r="AZW34" s="16"/>
      <c r="AZX34" s="16"/>
      <c r="AZY34" s="16"/>
      <c r="AZZ34" s="16"/>
      <c r="BAA34" s="16"/>
      <c r="BAB34" s="16"/>
      <c r="BAC34" s="16"/>
      <c r="BAD34" s="16"/>
      <c r="BAE34" s="16"/>
      <c r="BAF34" s="16"/>
      <c r="BAG34" s="16"/>
      <c r="BAH34" s="16"/>
      <c r="BAI34" s="16"/>
      <c r="BAJ34" s="16"/>
      <c r="BAK34" s="16"/>
      <c r="BAL34" s="16"/>
      <c r="BAM34" s="16"/>
      <c r="BAN34" s="16"/>
      <c r="BAO34" s="16"/>
      <c r="BAP34" s="16"/>
      <c r="BAQ34" s="16"/>
      <c r="BAR34" s="16"/>
      <c r="BAS34" s="16"/>
      <c r="BAT34" s="16"/>
      <c r="BAU34" s="16"/>
      <c r="BAV34" s="16"/>
      <c r="BAW34" s="16"/>
      <c r="BAX34" s="16"/>
      <c r="BAY34" s="16"/>
      <c r="BAZ34" s="16"/>
      <c r="BBA34" s="16"/>
      <c r="BBB34" s="16"/>
      <c r="BBC34" s="16"/>
      <c r="BBD34" s="16"/>
      <c r="BBE34" s="16"/>
      <c r="BBF34" s="16"/>
      <c r="BBG34" s="16"/>
      <c r="BBH34" s="16"/>
      <c r="BBI34" s="16"/>
      <c r="BBJ34" s="16"/>
      <c r="BBK34" s="16"/>
      <c r="BBL34" s="16"/>
      <c r="BBM34" s="16"/>
      <c r="BBN34" s="16"/>
      <c r="BBO34" s="16"/>
      <c r="BBP34" s="16"/>
      <c r="BBQ34" s="16"/>
      <c r="BBR34" s="16"/>
      <c r="BBS34" s="16"/>
      <c r="BBT34" s="16"/>
      <c r="BBU34" s="16"/>
      <c r="BBV34" s="16"/>
      <c r="BBW34" s="16"/>
      <c r="BBX34" s="16"/>
      <c r="BBY34" s="16"/>
      <c r="BBZ34" s="16"/>
      <c r="BCA34" s="16"/>
      <c r="BCB34" s="16"/>
      <c r="BCC34" s="16"/>
      <c r="BCD34" s="16"/>
      <c r="BCE34" s="16"/>
      <c r="BCF34" s="16"/>
      <c r="BCG34" s="16"/>
      <c r="BCH34" s="16"/>
      <c r="BCI34" s="16"/>
      <c r="BCJ34" s="16"/>
      <c r="BCK34" s="16"/>
      <c r="BCL34" s="16"/>
      <c r="BCM34" s="16"/>
      <c r="BCN34" s="16"/>
      <c r="BCO34" s="16"/>
      <c r="BCP34" s="16"/>
      <c r="BCQ34" s="16"/>
      <c r="BCR34" s="16"/>
      <c r="BCS34" s="16"/>
      <c r="BCT34" s="16"/>
      <c r="BCU34" s="16"/>
      <c r="BCV34" s="16"/>
      <c r="BCW34" s="16"/>
      <c r="BCX34" s="16"/>
      <c r="BCY34" s="16"/>
      <c r="BCZ34" s="16"/>
      <c r="BDA34" s="16"/>
      <c r="BDB34" s="16"/>
      <c r="BDC34" s="16"/>
      <c r="BDD34" s="16"/>
      <c r="BDE34" s="16"/>
      <c r="BDF34" s="16"/>
      <c r="BDG34" s="16"/>
      <c r="BDH34" s="16"/>
      <c r="BDI34" s="16"/>
      <c r="BDJ34" s="16"/>
      <c r="BDK34" s="16"/>
      <c r="BDL34" s="16"/>
      <c r="BDM34" s="16"/>
      <c r="BDN34" s="16"/>
      <c r="BDO34" s="16"/>
      <c r="BDP34" s="16"/>
      <c r="BDQ34" s="16"/>
      <c r="BDR34" s="16"/>
      <c r="BDS34" s="16"/>
      <c r="BDT34" s="16"/>
      <c r="BDU34" s="16"/>
      <c r="BDV34" s="16"/>
      <c r="BDW34" s="16"/>
      <c r="BDX34" s="16"/>
      <c r="BDY34" s="16"/>
      <c r="BDZ34" s="16"/>
      <c r="BEA34" s="16"/>
      <c r="BEB34" s="16"/>
      <c r="BEC34" s="16"/>
      <c r="BED34" s="16"/>
      <c r="BEE34" s="16"/>
      <c r="BEF34" s="16"/>
      <c r="BEG34" s="16"/>
      <c r="BEH34" s="16"/>
      <c r="BEI34" s="16"/>
      <c r="BEJ34" s="16"/>
      <c r="BEK34" s="16"/>
      <c r="BEL34" s="16"/>
      <c r="BEM34" s="16"/>
      <c r="BEN34" s="16"/>
      <c r="BEO34" s="16"/>
      <c r="BEP34" s="16"/>
      <c r="BEQ34" s="16"/>
      <c r="BER34" s="16"/>
      <c r="BES34" s="16"/>
      <c r="BET34" s="16"/>
      <c r="BEU34" s="16"/>
      <c r="BEV34" s="16"/>
      <c r="BEW34" s="16"/>
      <c r="BEX34" s="16"/>
      <c r="BEY34" s="16"/>
      <c r="BEZ34" s="16"/>
      <c r="BFA34" s="16"/>
      <c r="BFB34" s="16"/>
      <c r="BFC34" s="16"/>
      <c r="BFD34" s="16"/>
      <c r="BFE34" s="16"/>
      <c r="BFF34" s="16"/>
      <c r="BFG34" s="16"/>
      <c r="BFH34" s="16"/>
      <c r="BFI34" s="16"/>
      <c r="BFJ34" s="16"/>
      <c r="BFK34" s="16"/>
      <c r="BFL34" s="16"/>
      <c r="BFM34" s="16"/>
      <c r="BFN34" s="16"/>
      <c r="BFO34" s="16"/>
      <c r="BFP34" s="16"/>
      <c r="BFQ34" s="16"/>
      <c r="BFR34" s="16"/>
      <c r="BFS34" s="16"/>
      <c r="BFT34" s="16"/>
      <c r="BFU34" s="16"/>
      <c r="BFV34" s="16"/>
      <c r="BFW34" s="16"/>
      <c r="BFX34" s="16"/>
      <c r="BFY34" s="16"/>
      <c r="BFZ34" s="16"/>
      <c r="BGA34" s="16"/>
      <c r="BGB34" s="16"/>
      <c r="BGC34" s="16"/>
      <c r="BGD34" s="16"/>
      <c r="BGE34" s="16"/>
      <c r="BGF34" s="16"/>
      <c r="BGG34" s="16"/>
      <c r="BGH34" s="16"/>
      <c r="BGI34" s="16"/>
      <c r="BGJ34" s="16"/>
      <c r="BGK34" s="16"/>
      <c r="BGL34" s="16"/>
      <c r="BGM34" s="16"/>
      <c r="BGN34" s="16"/>
      <c r="BGO34" s="16"/>
      <c r="BGP34" s="16"/>
      <c r="BGQ34" s="16"/>
      <c r="BGR34" s="16"/>
      <c r="BGS34" s="16"/>
      <c r="BGT34" s="16"/>
      <c r="BGU34" s="16"/>
      <c r="BGV34" s="16"/>
      <c r="BGW34" s="16"/>
      <c r="BGX34" s="16"/>
      <c r="BGY34" s="16"/>
      <c r="BGZ34" s="16"/>
      <c r="BHA34" s="16"/>
      <c r="BHB34" s="16"/>
      <c r="BHC34" s="16"/>
      <c r="BHD34" s="16"/>
      <c r="BHE34" s="16"/>
      <c r="BHF34" s="16"/>
      <c r="BHG34" s="16"/>
      <c r="BHH34" s="16"/>
      <c r="BHI34" s="16"/>
      <c r="BHJ34" s="16"/>
      <c r="BHK34" s="16"/>
      <c r="BHL34" s="16"/>
      <c r="BHM34" s="16"/>
      <c r="BHN34" s="16"/>
      <c r="BHO34" s="16"/>
      <c r="BHP34" s="16"/>
      <c r="BHQ34" s="16"/>
      <c r="BHR34" s="16"/>
      <c r="BHS34" s="16"/>
      <c r="BHT34" s="16"/>
      <c r="BHU34" s="16"/>
      <c r="BHV34" s="16"/>
      <c r="BHW34" s="16"/>
      <c r="BHX34" s="16"/>
      <c r="BHY34" s="16"/>
      <c r="BHZ34" s="16"/>
      <c r="BIA34" s="16"/>
      <c r="BIB34" s="16"/>
      <c r="BIC34" s="16"/>
      <c r="BID34" s="16"/>
      <c r="BIE34" s="16"/>
      <c r="BIF34" s="16"/>
      <c r="BIG34" s="16"/>
      <c r="BIH34" s="16"/>
      <c r="BII34" s="16"/>
      <c r="BIJ34" s="16"/>
      <c r="BIK34" s="16"/>
      <c r="BIL34" s="16"/>
      <c r="BIM34" s="16"/>
      <c r="BIN34" s="16"/>
      <c r="BIO34" s="16"/>
      <c r="BIP34" s="16"/>
      <c r="BIQ34" s="16"/>
      <c r="BIR34" s="16"/>
      <c r="BIS34" s="16"/>
      <c r="BIT34" s="16"/>
      <c r="BIU34" s="16"/>
      <c r="BIV34" s="16"/>
      <c r="BIW34" s="16"/>
      <c r="BIX34" s="16"/>
      <c r="BIY34" s="16"/>
      <c r="BIZ34" s="16"/>
      <c r="BJA34" s="16"/>
      <c r="BJB34" s="16"/>
      <c r="BJC34" s="16"/>
      <c r="BJD34" s="16"/>
      <c r="BJE34" s="16"/>
      <c r="BJF34" s="16"/>
      <c r="BJG34" s="16"/>
      <c r="BJH34" s="16"/>
      <c r="BJI34" s="16"/>
      <c r="BJJ34" s="16"/>
      <c r="BJK34" s="16"/>
      <c r="BJL34" s="16"/>
      <c r="BJM34" s="16"/>
      <c r="BJN34" s="16"/>
      <c r="BJO34" s="16"/>
      <c r="BJP34" s="16"/>
      <c r="BJQ34" s="16"/>
      <c r="BJR34" s="16"/>
      <c r="BJS34" s="16"/>
      <c r="BJT34" s="16"/>
      <c r="BJU34" s="16"/>
      <c r="BJV34" s="16"/>
      <c r="BJW34" s="16"/>
      <c r="BJX34" s="16"/>
      <c r="BJY34" s="16"/>
      <c r="BJZ34" s="16"/>
      <c r="BKA34" s="16"/>
      <c r="BKB34" s="16"/>
      <c r="BKC34" s="16"/>
      <c r="BKD34" s="16"/>
      <c r="BKE34" s="16"/>
      <c r="BKF34" s="16"/>
      <c r="BKG34" s="16"/>
      <c r="BKH34" s="16"/>
      <c r="BKI34" s="16"/>
      <c r="BKJ34" s="16"/>
      <c r="BKK34" s="16"/>
      <c r="BKL34" s="16"/>
      <c r="BKM34" s="16"/>
      <c r="BKN34" s="16"/>
      <c r="BKO34" s="16"/>
      <c r="BKP34" s="16"/>
      <c r="BKQ34" s="16"/>
      <c r="BKR34" s="16"/>
      <c r="BKS34" s="16"/>
      <c r="BKT34" s="16"/>
      <c r="BKU34" s="16"/>
      <c r="BKV34" s="16"/>
      <c r="BKW34" s="16"/>
      <c r="BKX34" s="16"/>
      <c r="BKY34" s="16"/>
      <c r="BKZ34" s="16"/>
      <c r="BLA34" s="16"/>
      <c r="BLB34" s="16"/>
      <c r="BLC34" s="16"/>
      <c r="BLD34" s="16"/>
      <c r="BLE34" s="16"/>
      <c r="BLF34" s="16"/>
      <c r="BLG34" s="16"/>
      <c r="BLH34" s="16"/>
      <c r="BLI34" s="16"/>
      <c r="BLJ34" s="16"/>
      <c r="BLK34" s="16"/>
      <c r="BLL34" s="16"/>
      <c r="BLM34" s="16"/>
      <c r="BLN34" s="16"/>
      <c r="BLO34" s="16"/>
      <c r="BLP34" s="16"/>
      <c r="BLQ34" s="16"/>
      <c r="BLR34" s="16"/>
      <c r="BLS34" s="16"/>
      <c r="BLT34" s="16"/>
      <c r="BLU34" s="16"/>
      <c r="BLV34" s="16"/>
      <c r="BLW34" s="16"/>
      <c r="BLX34" s="16"/>
      <c r="BLY34" s="16"/>
      <c r="BLZ34" s="16"/>
      <c r="BMA34" s="16"/>
      <c r="BMB34" s="16"/>
      <c r="BMC34" s="16"/>
      <c r="BMD34" s="16"/>
      <c r="BME34" s="16"/>
      <c r="BMF34" s="16"/>
      <c r="BMG34" s="16"/>
      <c r="BMH34" s="16"/>
      <c r="BMI34" s="16"/>
      <c r="BMJ34" s="16"/>
      <c r="BMK34" s="16"/>
      <c r="BML34" s="16"/>
      <c r="BMM34" s="16"/>
      <c r="BMN34" s="16"/>
      <c r="BMO34" s="16"/>
      <c r="BMP34" s="16"/>
      <c r="BMQ34" s="16"/>
      <c r="BMR34" s="16"/>
      <c r="BMS34" s="16"/>
      <c r="BMT34" s="16"/>
      <c r="BMU34" s="16"/>
      <c r="BMV34" s="16"/>
      <c r="BMW34" s="16"/>
      <c r="BMX34" s="16"/>
      <c r="BMY34" s="16"/>
      <c r="BMZ34" s="16"/>
      <c r="BNA34" s="16"/>
      <c r="BNB34" s="16"/>
      <c r="BNC34" s="16"/>
      <c r="BND34" s="16"/>
      <c r="BNE34" s="16"/>
      <c r="BNF34" s="16"/>
      <c r="BNG34" s="16"/>
      <c r="BNH34" s="16"/>
      <c r="BNI34" s="16"/>
      <c r="BNJ34" s="16"/>
      <c r="BNK34" s="16"/>
      <c r="BNL34" s="16"/>
      <c r="BNM34" s="16"/>
      <c r="BNN34" s="16"/>
      <c r="BNO34" s="16"/>
      <c r="BNP34" s="16"/>
      <c r="BNQ34" s="16"/>
      <c r="BNR34" s="16"/>
      <c r="BNS34" s="16"/>
      <c r="BNT34" s="16"/>
      <c r="BNU34" s="16"/>
      <c r="BNV34" s="16"/>
      <c r="BNW34" s="16"/>
      <c r="BNX34" s="16"/>
      <c r="BNY34" s="16"/>
      <c r="BNZ34" s="16"/>
      <c r="BOA34" s="16"/>
      <c r="BOB34" s="16"/>
      <c r="BOC34" s="16"/>
      <c r="BOD34" s="16"/>
      <c r="BOE34" s="16"/>
      <c r="BOF34" s="16"/>
      <c r="BOG34" s="16"/>
      <c r="BOH34" s="16"/>
      <c r="BOI34" s="16"/>
      <c r="BOJ34" s="16"/>
      <c r="BOK34" s="16"/>
      <c r="BOL34" s="16"/>
      <c r="BOM34" s="16"/>
      <c r="BON34" s="16"/>
      <c r="BOO34" s="16"/>
      <c r="BOP34" s="16"/>
      <c r="BOQ34" s="16"/>
      <c r="BOR34" s="16"/>
      <c r="BOS34" s="16"/>
      <c r="BOT34" s="16"/>
      <c r="BOU34" s="16"/>
      <c r="BOV34" s="16"/>
      <c r="BOW34" s="16"/>
      <c r="BOX34" s="16"/>
      <c r="BOY34" s="16"/>
      <c r="BOZ34" s="16"/>
      <c r="BPA34" s="16"/>
      <c r="BPB34" s="16"/>
      <c r="BPC34" s="16"/>
      <c r="BPD34" s="16"/>
      <c r="BPE34" s="16"/>
      <c r="BPF34" s="16"/>
      <c r="BPG34" s="16"/>
      <c r="BPH34" s="16"/>
      <c r="BPI34" s="16"/>
      <c r="BPJ34" s="16"/>
      <c r="BPK34" s="16"/>
      <c r="BPL34" s="16"/>
      <c r="BPM34" s="16"/>
      <c r="BPN34" s="16"/>
      <c r="BPO34" s="16"/>
      <c r="BPP34" s="16"/>
      <c r="BPQ34" s="16"/>
      <c r="BPR34" s="16"/>
      <c r="BPS34" s="16"/>
      <c r="BPT34" s="16"/>
      <c r="BPU34" s="16"/>
      <c r="BPV34" s="16"/>
      <c r="BPW34" s="16"/>
      <c r="BPX34" s="16"/>
      <c r="BPY34" s="16"/>
      <c r="BPZ34" s="16"/>
      <c r="BQA34" s="16"/>
      <c r="BQB34" s="16"/>
      <c r="BQC34" s="16"/>
      <c r="BQD34" s="16"/>
      <c r="BQE34" s="16"/>
      <c r="BQF34" s="16"/>
      <c r="BQG34" s="16"/>
      <c r="BQH34" s="16"/>
      <c r="BQI34" s="16"/>
      <c r="BQJ34" s="16"/>
      <c r="BQK34" s="16"/>
      <c r="BQL34" s="16"/>
      <c r="BQM34" s="16"/>
      <c r="BQN34" s="16"/>
      <c r="BQO34" s="16"/>
      <c r="BQP34" s="16"/>
      <c r="BQQ34" s="16"/>
      <c r="BQR34" s="16"/>
      <c r="BQS34" s="16"/>
      <c r="BQT34" s="16"/>
      <c r="BQU34" s="16"/>
      <c r="BQV34" s="16"/>
      <c r="BQW34" s="16"/>
      <c r="BQX34" s="16"/>
      <c r="BQY34" s="16"/>
      <c r="BQZ34" s="16"/>
      <c r="BRA34" s="16"/>
      <c r="BRB34" s="16"/>
      <c r="BRC34" s="16"/>
      <c r="BRD34" s="16"/>
      <c r="BRE34" s="16"/>
      <c r="BRF34" s="16"/>
      <c r="BRG34" s="16"/>
      <c r="BRH34" s="16"/>
      <c r="BRI34" s="16"/>
      <c r="BRJ34" s="16"/>
      <c r="BRK34" s="16"/>
      <c r="BRL34" s="16"/>
      <c r="BRM34" s="16"/>
      <c r="BRN34" s="16"/>
      <c r="BRO34" s="16"/>
      <c r="BRP34" s="16"/>
      <c r="BRQ34" s="16"/>
      <c r="BRR34" s="16"/>
      <c r="BRS34" s="16"/>
      <c r="BRT34" s="16"/>
      <c r="BRU34" s="16"/>
      <c r="BRV34" s="16"/>
      <c r="BRW34" s="16"/>
      <c r="BRX34" s="16"/>
      <c r="BRY34" s="16"/>
      <c r="BRZ34" s="16"/>
      <c r="BSA34" s="16"/>
      <c r="BSB34" s="16"/>
      <c r="BSC34" s="16"/>
      <c r="BSD34" s="16"/>
      <c r="BSE34" s="16"/>
      <c r="BSF34" s="16"/>
      <c r="BSG34" s="16"/>
      <c r="BSH34" s="16"/>
      <c r="BSI34" s="16"/>
      <c r="BSJ34" s="16"/>
      <c r="BSK34" s="16"/>
      <c r="BSL34" s="16"/>
      <c r="BSM34" s="16"/>
      <c r="BSN34" s="16"/>
      <c r="BSO34" s="16"/>
      <c r="BSP34" s="16"/>
      <c r="BSQ34" s="16"/>
      <c r="BSR34" s="16"/>
      <c r="BSS34" s="16"/>
      <c r="BST34" s="16"/>
      <c r="BSU34" s="16"/>
      <c r="BSV34" s="16"/>
      <c r="BSW34" s="16"/>
      <c r="BSX34" s="16"/>
      <c r="BSY34" s="16"/>
      <c r="BSZ34" s="16"/>
      <c r="BTA34" s="16"/>
      <c r="BTB34" s="16"/>
      <c r="BTC34" s="16"/>
      <c r="BTD34" s="16"/>
      <c r="BTE34" s="16"/>
      <c r="BTF34" s="16"/>
      <c r="BTG34" s="16"/>
      <c r="BTH34" s="16"/>
      <c r="BTI34" s="16"/>
      <c r="BTJ34" s="16"/>
      <c r="BTK34" s="16"/>
      <c r="BTL34" s="16"/>
      <c r="BTM34" s="16"/>
      <c r="BTN34" s="16"/>
      <c r="BTO34" s="16"/>
      <c r="BTP34" s="16"/>
      <c r="BTQ34" s="16"/>
      <c r="BTR34" s="16"/>
      <c r="BTS34" s="16"/>
      <c r="BTT34" s="16"/>
      <c r="BTU34" s="16"/>
      <c r="BTV34" s="16"/>
      <c r="BTW34" s="16"/>
      <c r="BTX34" s="16"/>
      <c r="BTY34" s="16"/>
      <c r="BTZ34" s="16"/>
      <c r="BUA34" s="16"/>
      <c r="BUB34" s="16"/>
      <c r="BUC34" s="16"/>
      <c r="BUD34" s="16"/>
      <c r="BUE34" s="16"/>
      <c r="BUF34" s="16"/>
      <c r="BUG34" s="16"/>
      <c r="BUH34" s="16"/>
      <c r="BUI34" s="16"/>
      <c r="BUJ34" s="16"/>
      <c r="BUK34" s="16"/>
      <c r="BUL34" s="16"/>
      <c r="BUM34" s="16"/>
      <c r="BUN34" s="16"/>
      <c r="BUO34" s="16"/>
      <c r="BUP34" s="16"/>
      <c r="BUQ34" s="16"/>
      <c r="BUR34" s="16"/>
      <c r="BUS34" s="16"/>
      <c r="BUT34" s="16"/>
      <c r="BUU34" s="16"/>
      <c r="BUV34" s="16"/>
      <c r="BUW34" s="16"/>
      <c r="BUX34" s="16"/>
      <c r="BUY34" s="16"/>
      <c r="BUZ34" s="16"/>
      <c r="BVA34" s="16"/>
      <c r="BVB34" s="16"/>
      <c r="BVC34" s="16"/>
      <c r="BVD34" s="16"/>
      <c r="BVE34" s="16"/>
      <c r="BVF34" s="16"/>
      <c r="BVG34" s="16"/>
      <c r="BVH34" s="16"/>
      <c r="BVI34" s="16"/>
      <c r="BVJ34" s="16"/>
      <c r="BVK34" s="16"/>
      <c r="BVL34" s="16"/>
      <c r="BVM34" s="16"/>
      <c r="BVN34" s="16"/>
      <c r="BVO34" s="16"/>
      <c r="BVP34" s="16"/>
      <c r="BVQ34" s="16"/>
      <c r="BVR34" s="16"/>
      <c r="BVS34" s="16"/>
      <c r="BVT34" s="16"/>
      <c r="BVU34" s="16"/>
      <c r="BVV34" s="16"/>
      <c r="BVW34" s="16"/>
      <c r="BVX34" s="16"/>
      <c r="BVY34" s="16"/>
      <c r="BVZ34" s="16"/>
      <c r="BWA34" s="16"/>
      <c r="BWB34" s="16"/>
      <c r="BWC34" s="16"/>
      <c r="BWD34" s="16"/>
      <c r="BWE34" s="16"/>
      <c r="BWF34" s="16"/>
      <c r="BWG34" s="16"/>
      <c r="BWH34" s="16"/>
      <c r="BWI34" s="16"/>
      <c r="BWJ34" s="16"/>
      <c r="BWK34" s="16"/>
      <c r="BWL34" s="16"/>
      <c r="BWM34" s="16"/>
      <c r="BWN34" s="16"/>
      <c r="BWO34" s="16"/>
      <c r="BWP34" s="16"/>
      <c r="BWQ34" s="16"/>
      <c r="BWR34" s="16"/>
      <c r="BWS34" s="16"/>
      <c r="BWT34" s="16"/>
      <c r="BWU34" s="16"/>
      <c r="BWV34" s="16"/>
      <c r="BWW34" s="16"/>
      <c r="BWX34" s="16"/>
      <c r="BWY34" s="16"/>
      <c r="BWZ34" s="16"/>
      <c r="BXA34" s="16"/>
      <c r="BXB34" s="16"/>
      <c r="BXC34" s="16"/>
      <c r="BXD34" s="16"/>
      <c r="BXE34" s="16"/>
      <c r="BXF34" s="16"/>
      <c r="BXG34" s="16"/>
      <c r="BXH34" s="16"/>
      <c r="BXI34" s="16"/>
      <c r="BXJ34" s="16"/>
      <c r="BXK34" s="16"/>
      <c r="BXL34" s="16"/>
      <c r="BXM34" s="16"/>
      <c r="BXN34" s="16"/>
      <c r="BXO34" s="16"/>
      <c r="BXP34" s="16"/>
      <c r="BXQ34" s="16"/>
      <c r="BXR34" s="16"/>
      <c r="BXS34" s="16"/>
      <c r="BXT34" s="16"/>
      <c r="BXU34" s="16"/>
      <c r="BXV34" s="16"/>
      <c r="BXW34" s="16"/>
      <c r="BXX34" s="16"/>
      <c r="BXY34" s="16"/>
      <c r="BXZ34" s="16"/>
      <c r="BYA34" s="16"/>
      <c r="BYB34" s="16"/>
      <c r="BYC34" s="16"/>
      <c r="BYD34" s="16"/>
      <c r="BYE34" s="16"/>
      <c r="BYF34" s="16"/>
      <c r="BYG34" s="16"/>
      <c r="BYH34" s="16"/>
      <c r="BYI34" s="16"/>
      <c r="BYJ34" s="16"/>
      <c r="BYK34" s="16"/>
      <c r="BYL34" s="16"/>
      <c r="BYM34" s="16"/>
      <c r="BYN34" s="16"/>
      <c r="BYO34" s="16"/>
      <c r="BYP34" s="16"/>
      <c r="BYQ34" s="16"/>
      <c r="BYR34" s="16"/>
      <c r="BYS34" s="16"/>
      <c r="BYT34" s="16"/>
      <c r="BYU34" s="16"/>
      <c r="BYV34" s="16"/>
      <c r="BYW34" s="16"/>
      <c r="BYX34" s="16"/>
      <c r="BYY34" s="16"/>
      <c r="BYZ34" s="16"/>
      <c r="BZA34" s="16"/>
      <c r="BZB34" s="16"/>
      <c r="BZC34" s="16"/>
      <c r="BZD34" s="16"/>
      <c r="BZE34" s="16"/>
      <c r="BZF34" s="16"/>
      <c r="BZG34" s="16"/>
      <c r="BZH34" s="16"/>
      <c r="BZI34" s="16"/>
      <c r="BZJ34" s="16"/>
      <c r="BZK34" s="16"/>
      <c r="BZL34" s="16"/>
      <c r="BZM34" s="16"/>
      <c r="BZN34" s="16"/>
      <c r="BZO34" s="16"/>
      <c r="BZP34" s="16"/>
      <c r="BZQ34" s="16"/>
      <c r="BZR34" s="16"/>
      <c r="BZS34" s="16"/>
      <c r="BZT34" s="16"/>
      <c r="BZU34" s="16"/>
      <c r="BZV34" s="16"/>
      <c r="BZW34" s="16"/>
      <c r="BZX34" s="16"/>
      <c r="BZY34" s="16"/>
      <c r="BZZ34" s="16"/>
      <c r="CAA34" s="16"/>
      <c r="CAB34" s="16"/>
      <c r="CAC34" s="16"/>
      <c r="CAD34" s="16"/>
      <c r="CAE34" s="16"/>
      <c r="CAF34" s="16"/>
      <c r="CAG34" s="16"/>
      <c r="CAH34" s="16"/>
      <c r="CAI34" s="16"/>
      <c r="CAJ34" s="16"/>
      <c r="CAK34" s="16"/>
      <c r="CAL34" s="16"/>
      <c r="CAM34" s="16"/>
      <c r="CAN34" s="16"/>
      <c r="CAO34" s="16"/>
      <c r="CAP34" s="16"/>
      <c r="CAQ34" s="16"/>
      <c r="CAR34" s="16"/>
      <c r="CAS34" s="16"/>
      <c r="CAT34" s="16"/>
      <c r="CAU34" s="16"/>
      <c r="CAV34" s="16"/>
      <c r="CAW34" s="16"/>
      <c r="CAX34" s="16"/>
      <c r="CAY34" s="16"/>
      <c r="CAZ34" s="16"/>
      <c r="CBA34" s="16"/>
      <c r="CBB34" s="16"/>
      <c r="CBC34" s="16"/>
      <c r="CBD34" s="16"/>
      <c r="CBE34" s="16"/>
      <c r="CBF34" s="16"/>
      <c r="CBG34" s="16"/>
      <c r="CBH34" s="16"/>
      <c r="CBI34" s="16"/>
      <c r="CBJ34" s="16"/>
      <c r="CBK34" s="16"/>
      <c r="CBL34" s="16"/>
      <c r="CBM34" s="16"/>
      <c r="CBN34" s="16"/>
      <c r="CBO34" s="16"/>
      <c r="CBP34" s="16"/>
      <c r="CBQ34" s="16"/>
      <c r="CBR34" s="16"/>
      <c r="CBS34" s="16"/>
      <c r="CBT34" s="16"/>
      <c r="CBU34" s="16"/>
      <c r="CBV34" s="16"/>
      <c r="CBW34" s="16"/>
      <c r="CBX34" s="16"/>
      <c r="CBY34" s="16"/>
      <c r="CBZ34" s="16"/>
      <c r="CCA34" s="16"/>
      <c r="CCB34" s="16"/>
      <c r="CCC34" s="16"/>
      <c r="CCD34" s="16"/>
      <c r="CCE34" s="16"/>
      <c r="CCF34" s="16"/>
      <c r="CCG34" s="16"/>
      <c r="CCH34" s="16"/>
      <c r="CCI34" s="16"/>
      <c r="CCJ34" s="16"/>
      <c r="CCK34" s="16"/>
      <c r="CCL34" s="16"/>
      <c r="CCM34" s="16"/>
      <c r="CCN34" s="16"/>
      <c r="CCO34" s="16"/>
      <c r="CCP34" s="16"/>
      <c r="CCQ34" s="16"/>
      <c r="CCR34" s="16"/>
      <c r="CCS34" s="16"/>
      <c r="CCT34" s="16"/>
      <c r="CCU34" s="16"/>
      <c r="CCV34" s="16"/>
      <c r="CCW34" s="16"/>
      <c r="CCX34" s="16"/>
      <c r="CCY34" s="16"/>
      <c r="CCZ34" s="16"/>
      <c r="CDA34" s="16"/>
      <c r="CDB34" s="16"/>
      <c r="CDC34" s="16"/>
      <c r="CDD34" s="16"/>
      <c r="CDE34" s="16"/>
      <c r="CDF34" s="16"/>
      <c r="CDG34" s="16"/>
      <c r="CDH34" s="16"/>
      <c r="CDI34" s="16"/>
      <c r="CDJ34" s="16"/>
      <c r="CDK34" s="16"/>
      <c r="CDL34" s="16"/>
      <c r="CDM34" s="16"/>
      <c r="CDN34" s="16"/>
      <c r="CDO34" s="16"/>
      <c r="CDP34" s="16"/>
      <c r="CDQ34" s="16"/>
      <c r="CDR34" s="16"/>
      <c r="CDS34" s="16"/>
      <c r="CDT34" s="16"/>
      <c r="CDU34" s="16"/>
      <c r="CDV34" s="16"/>
      <c r="CDW34" s="16"/>
      <c r="CDX34" s="16"/>
      <c r="CDY34" s="16"/>
      <c r="CDZ34" s="16"/>
      <c r="CEA34" s="16"/>
      <c r="CEB34" s="16"/>
      <c r="CEC34" s="16"/>
      <c r="CED34" s="16"/>
      <c r="CEE34" s="16"/>
      <c r="CEF34" s="16"/>
      <c r="CEG34" s="16"/>
      <c r="CEH34" s="16"/>
      <c r="CEI34" s="16"/>
      <c r="CEJ34" s="16"/>
      <c r="CEK34" s="16"/>
      <c r="CEL34" s="16"/>
      <c r="CEM34" s="16"/>
      <c r="CEN34" s="16"/>
      <c r="CEO34" s="16"/>
      <c r="CEP34" s="16"/>
      <c r="CEQ34" s="16"/>
      <c r="CER34" s="16"/>
      <c r="CES34" s="16"/>
      <c r="CET34" s="16"/>
      <c r="CEU34" s="16"/>
      <c r="CEV34" s="16"/>
      <c r="CEW34" s="16"/>
      <c r="CEX34" s="16"/>
      <c r="CEY34" s="16"/>
      <c r="CEZ34" s="16"/>
      <c r="CFA34" s="16"/>
      <c r="CFB34" s="16"/>
      <c r="CFC34" s="16"/>
      <c r="CFD34" s="16"/>
      <c r="CFE34" s="16"/>
      <c r="CFF34" s="16"/>
      <c r="CFG34" s="16"/>
      <c r="CFH34" s="16"/>
      <c r="CFI34" s="16"/>
      <c r="CFJ34" s="16"/>
      <c r="CFK34" s="16"/>
      <c r="CFL34" s="16"/>
      <c r="CFM34" s="16"/>
      <c r="CFN34" s="16"/>
      <c r="CFO34" s="16"/>
      <c r="CFP34" s="16"/>
      <c r="CFQ34" s="16"/>
      <c r="CFR34" s="16"/>
      <c r="CFS34" s="16"/>
      <c r="CFT34" s="16"/>
      <c r="CFU34" s="16"/>
      <c r="CFV34" s="16"/>
      <c r="CFW34" s="16"/>
      <c r="CFX34" s="16"/>
      <c r="CFY34" s="16"/>
      <c r="CFZ34" s="16"/>
      <c r="CGA34" s="16"/>
      <c r="CGB34" s="16"/>
      <c r="CGC34" s="16"/>
      <c r="CGD34" s="16"/>
      <c r="CGE34" s="16"/>
      <c r="CGF34" s="16"/>
      <c r="CGG34" s="16"/>
      <c r="CGH34" s="16"/>
      <c r="CGI34" s="16"/>
      <c r="CGJ34" s="16"/>
      <c r="CGK34" s="16"/>
      <c r="CGL34" s="16"/>
      <c r="CGM34" s="16"/>
      <c r="CGN34" s="16"/>
      <c r="CGO34" s="16"/>
      <c r="CGP34" s="16"/>
      <c r="CGQ34" s="16"/>
      <c r="CGR34" s="16"/>
      <c r="CGS34" s="16"/>
      <c r="CGT34" s="16"/>
      <c r="CGU34" s="16"/>
      <c r="CGV34" s="16"/>
      <c r="CGW34" s="16"/>
      <c r="CGX34" s="16"/>
      <c r="CGY34" s="16"/>
      <c r="CGZ34" s="16"/>
      <c r="CHA34" s="16"/>
      <c r="CHB34" s="16"/>
      <c r="CHC34" s="16"/>
      <c r="CHD34" s="16"/>
      <c r="CHE34" s="16"/>
      <c r="CHF34" s="16"/>
      <c r="CHG34" s="16"/>
      <c r="CHH34" s="16"/>
      <c r="CHI34" s="16"/>
      <c r="CHJ34" s="16"/>
      <c r="CHK34" s="16"/>
      <c r="CHL34" s="16"/>
      <c r="CHM34" s="16"/>
      <c r="CHN34" s="16"/>
      <c r="CHO34" s="16"/>
      <c r="CHP34" s="16"/>
      <c r="CHQ34" s="16"/>
      <c r="CHR34" s="16"/>
      <c r="CHS34" s="16"/>
      <c r="CHT34" s="16"/>
      <c r="CHU34" s="16"/>
      <c r="CHV34" s="16"/>
      <c r="CHW34" s="16"/>
      <c r="CHX34" s="16"/>
      <c r="CHY34" s="16"/>
      <c r="CHZ34" s="16"/>
      <c r="CIA34" s="16"/>
      <c r="CIB34" s="16"/>
      <c r="CIC34" s="16"/>
      <c r="CID34" s="16"/>
      <c r="CIE34" s="16"/>
      <c r="CIF34" s="16"/>
      <c r="CIG34" s="16"/>
      <c r="CIH34" s="16"/>
      <c r="CII34" s="16"/>
      <c r="CIJ34" s="16"/>
      <c r="CIK34" s="16"/>
      <c r="CIL34" s="16"/>
      <c r="CIM34" s="16"/>
      <c r="CIN34" s="16"/>
      <c r="CIO34" s="16"/>
      <c r="CIP34" s="16"/>
      <c r="CIQ34" s="16"/>
      <c r="CIR34" s="16"/>
      <c r="CIS34" s="16"/>
      <c r="CIT34" s="16"/>
      <c r="CIU34" s="16"/>
      <c r="CIV34" s="16"/>
      <c r="CIW34" s="16"/>
      <c r="CIX34" s="16"/>
      <c r="CIY34" s="16"/>
      <c r="CIZ34" s="16"/>
      <c r="CJA34" s="16"/>
      <c r="CJB34" s="16"/>
      <c r="CJC34" s="16"/>
      <c r="CJD34" s="16"/>
      <c r="CJE34" s="16"/>
      <c r="CJF34" s="16"/>
      <c r="CJG34" s="16"/>
      <c r="CJH34" s="16"/>
      <c r="CJI34" s="16"/>
      <c r="CJJ34" s="16"/>
      <c r="CJK34" s="16"/>
      <c r="CJL34" s="16"/>
      <c r="CJM34" s="16"/>
      <c r="CJN34" s="16"/>
      <c r="CJO34" s="16"/>
      <c r="CJP34" s="16"/>
      <c r="CJQ34" s="16"/>
      <c r="CJR34" s="16"/>
      <c r="CJS34" s="16"/>
      <c r="CJT34" s="16"/>
      <c r="CJU34" s="16"/>
      <c r="CJV34" s="16"/>
      <c r="CJW34" s="16"/>
      <c r="CJX34" s="16"/>
      <c r="CJY34" s="16"/>
      <c r="CJZ34" s="16"/>
      <c r="CKA34" s="16"/>
      <c r="CKB34" s="16"/>
      <c r="CKC34" s="16"/>
      <c r="CKD34" s="16"/>
      <c r="CKE34" s="16"/>
      <c r="CKF34" s="16"/>
      <c r="CKG34" s="16"/>
      <c r="CKH34" s="16"/>
      <c r="CKI34" s="16"/>
      <c r="CKJ34" s="16"/>
      <c r="CKK34" s="16"/>
      <c r="CKL34" s="16"/>
      <c r="CKM34" s="16"/>
      <c r="CKN34" s="16"/>
      <c r="CKO34" s="16"/>
      <c r="CKP34" s="16"/>
      <c r="CKQ34" s="16"/>
      <c r="CKR34" s="16"/>
      <c r="CKS34" s="16"/>
      <c r="CKT34" s="16"/>
      <c r="CKU34" s="16"/>
      <c r="CKV34" s="16"/>
      <c r="CKW34" s="16"/>
      <c r="CKX34" s="16"/>
      <c r="CKY34" s="16"/>
      <c r="CKZ34" s="16"/>
      <c r="CLA34" s="16"/>
      <c r="CLB34" s="16"/>
      <c r="CLC34" s="16"/>
      <c r="CLD34" s="16"/>
      <c r="CLE34" s="16"/>
      <c r="CLF34" s="16"/>
      <c r="CLG34" s="16"/>
      <c r="CLH34" s="16"/>
      <c r="CLI34" s="16"/>
      <c r="CLJ34" s="16"/>
      <c r="CLK34" s="16"/>
      <c r="CLL34" s="16"/>
      <c r="CLM34" s="16"/>
      <c r="CLN34" s="16"/>
      <c r="CLO34" s="16"/>
      <c r="CLP34" s="16"/>
      <c r="CLQ34" s="16"/>
      <c r="CLR34" s="16"/>
      <c r="CLS34" s="16"/>
      <c r="CLT34" s="16"/>
      <c r="CLU34" s="16"/>
      <c r="CLV34" s="16"/>
      <c r="CLW34" s="16"/>
      <c r="CLX34" s="16"/>
      <c r="CLY34" s="16"/>
      <c r="CLZ34" s="16"/>
      <c r="CMA34" s="16"/>
      <c r="CMB34" s="16"/>
      <c r="CMC34" s="16"/>
      <c r="CMD34" s="16"/>
      <c r="CME34" s="16"/>
      <c r="CMF34" s="16"/>
      <c r="CMG34" s="16"/>
      <c r="CMH34" s="16"/>
      <c r="CMI34" s="16"/>
      <c r="CMJ34" s="16"/>
      <c r="CMK34" s="16"/>
      <c r="CML34" s="16"/>
      <c r="CMM34" s="16"/>
      <c r="CMN34" s="16"/>
      <c r="CMO34" s="16"/>
      <c r="CMP34" s="16"/>
      <c r="CMQ34" s="16"/>
      <c r="CMR34" s="16"/>
      <c r="CMS34" s="16"/>
      <c r="CMT34" s="16"/>
      <c r="CMU34" s="16"/>
      <c r="CMV34" s="16"/>
      <c r="CMW34" s="16"/>
      <c r="CMX34" s="16"/>
      <c r="CMY34" s="16"/>
      <c r="CMZ34" s="16"/>
      <c r="CNA34" s="16"/>
      <c r="CNB34" s="16"/>
      <c r="CNC34" s="16"/>
      <c r="CND34" s="16"/>
      <c r="CNE34" s="16"/>
      <c r="CNF34" s="16"/>
      <c r="CNG34" s="16"/>
      <c r="CNH34" s="16"/>
      <c r="CNI34" s="16"/>
      <c r="CNJ34" s="16"/>
      <c r="CNK34" s="16"/>
      <c r="CNL34" s="16"/>
      <c r="CNM34" s="16"/>
      <c r="CNN34" s="16"/>
      <c r="CNO34" s="16"/>
      <c r="CNP34" s="16"/>
      <c r="CNQ34" s="16"/>
      <c r="CNR34" s="16"/>
      <c r="CNS34" s="16"/>
      <c r="CNT34" s="16"/>
      <c r="CNU34" s="16"/>
      <c r="CNV34" s="16"/>
      <c r="CNW34" s="16"/>
      <c r="CNX34" s="16"/>
      <c r="CNY34" s="16"/>
      <c r="CNZ34" s="16"/>
      <c r="COA34" s="16"/>
      <c r="COB34" s="16"/>
      <c r="COC34" s="16"/>
      <c r="COD34" s="16"/>
      <c r="COE34" s="16"/>
      <c r="COF34" s="16"/>
      <c r="COG34" s="16"/>
      <c r="COH34" s="16"/>
      <c r="COI34" s="16"/>
      <c r="COJ34" s="16"/>
      <c r="COK34" s="16"/>
      <c r="COL34" s="16"/>
      <c r="COM34" s="16"/>
      <c r="CON34" s="16"/>
      <c r="COO34" s="16"/>
      <c r="COP34" s="16"/>
      <c r="COQ34" s="16"/>
      <c r="COR34" s="16"/>
      <c r="COS34" s="16"/>
      <c r="COT34" s="16"/>
      <c r="COU34" s="16"/>
      <c r="COV34" s="16"/>
      <c r="COW34" s="16"/>
      <c r="COX34" s="16"/>
      <c r="COY34" s="16"/>
      <c r="COZ34" s="16"/>
      <c r="CPA34" s="16"/>
      <c r="CPB34" s="16"/>
      <c r="CPC34" s="16"/>
      <c r="CPD34" s="16"/>
      <c r="CPE34" s="16"/>
      <c r="CPF34" s="16"/>
      <c r="CPG34" s="16"/>
      <c r="CPH34" s="16"/>
      <c r="CPI34" s="16"/>
      <c r="CPJ34" s="16"/>
      <c r="CPK34" s="16"/>
      <c r="CPL34" s="16"/>
      <c r="CPM34" s="16"/>
      <c r="CPN34" s="16"/>
      <c r="CPO34" s="16"/>
      <c r="CPP34" s="16"/>
      <c r="CPQ34" s="16"/>
      <c r="CPR34" s="16"/>
      <c r="CPS34" s="16"/>
      <c r="CPT34" s="16"/>
      <c r="CPU34" s="16"/>
      <c r="CPV34" s="16"/>
      <c r="CPW34" s="16"/>
      <c r="CPX34" s="16"/>
      <c r="CPY34" s="16"/>
      <c r="CPZ34" s="16"/>
      <c r="CQA34" s="16"/>
      <c r="CQB34" s="16"/>
      <c r="CQC34" s="16"/>
      <c r="CQD34" s="16"/>
      <c r="CQE34" s="16"/>
      <c r="CQF34" s="16"/>
      <c r="CQG34" s="16"/>
      <c r="CQH34" s="16"/>
      <c r="CQI34" s="16"/>
      <c r="CQJ34" s="16"/>
      <c r="CQK34" s="16"/>
      <c r="CQL34" s="16"/>
      <c r="CQM34" s="16"/>
      <c r="CQN34" s="16"/>
      <c r="CQO34" s="16"/>
      <c r="CQP34" s="16"/>
      <c r="CQQ34" s="16"/>
      <c r="CQR34" s="16"/>
      <c r="CQS34" s="16"/>
      <c r="CQT34" s="16"/>
      <c r="CQU34" s="16"/>
      <c r="CQV34" s="16"/>
      <c r="CQW34" s="16"/>
      <c r="CQX34" s="16"/>
      <c r="CQY34" s="16"/>
      <c r="CQZ34" s="16"/>
      <c r="CRA34" s="16"/>
      <c r="CRB34" s="16"/>
      <c r="CRC34" s="16"/>
      <c r="CRD34" s="16"/>
      <c r="CRE34" s="16"/>
      <c r="CRF34" s="16"/>
      <c r="CRG34" s="16"/>
      <c r="CRH34" s="16"/>
      <c r="CRI34" s="16"/>
      <c r="CRJ34" s="16"/>
      <c r="CRK34" s="16"/>
      <c r="CRL34" s="16"/>
      <c r="CRM34" s="16"/>
      <c r="CRN34" s="16"/>
      <c r="CRO34" s="16"/>
      <c r="CRP34" s="16"/>
      <c r="CRQ34" s="16"/>
      <c r="CRR34" s="16"/>
      <c r="CRS34" s="16"/>
      <c r="CRT34" s="16"/>
      <c r="CRU34" s="16"/>
      <c r="CRV34" s="16"/>
      <c r="CRW34" s="16"/>
      <c r="CRX34" s="16"/>
      <c r="CRY34" s="16"/>
      <c r="CRZ34" s="16"/>
      <c r="CSA34" s="16"/>
      <c r="CSB34" s="16"/>
      <c r="CSC34" s="16"/>
      <c r="CSD34" s="16"/>
      <c r="CSE34" s="16"/>
      <c r="CSF34" s="16"/>
      <c r="CSG34" s="16"/>
      <c r="CSH34" s="16"/>
      <c r="CSI34" s="16"/>
      <c r="CSJ34" s="16"/>
      <c r="CSK34" s="16"/>
      <c r="CSL34" s="16"/>
      <c r="CSM34" s="16"/>
      <c r="CSN34" s="16"/>
      <c r="CSO34" s="16"/>
      <c r="CSP34" s="16"/>
      <c r="CSQ34" s="16"/>
      <c r="CSR34" s="16"/>
      <c r="CSS34" s="16"/>
      <c r="CST34" s="16"/>
      <c r="CSU34" s="16"/>
      <c r="CSV34" s="16"/>
      <c r="CSW34" s="16"/>
      <c r="CSX34" s="16"/>
      <c r="CSY34" s="16"/>
      <c r="CSZ34" s="16"/>
      <c r="CTA34" s="16"/>
      <c r="CTB34" s="16"/>
      <c r="CTC34" s="16"/>
      <c r="CTD34" s="16"/>
      <c r="CTE34" s="16"/>
      <c r="CTF34" s="16"/>
      <c r="CTG34" s="16"/>
      <c r="CTH34" s="16"/>
      <c r="CTI34" s="16"/>
      <c r="CTJ34" s="16"/>
      <c r="CTK34" s="16"/>
      <c r="CTL34" s="16"/>
      <c r="CTM34" s="16"/>
      <c r="CTN34" s="16"/>
      <c r="CTO34" s="16"/>
      <c r="CTP34" s="16"/>
      <c r="CTQ34" s="16"/>
      <c r="CTR34" s="16"/>
      <c r="CTS34" s="16"/>
      <c r="CTT34" s="16"/>
      <c r="CTU34" s="16"/>
      <c r="CTV34" s="16"/>
      <c r="CTW34" s="16"/>
      <c r="CTX34" s="16"/>
      <c r="CTY34" s="16"/>
      <c r="CTZ34" s="16"/>
      <c r="CUA34" s="16"/>
      <c r="CUB34" s="16"/>
      <c r="CUC34" s="16"/>
      <c r="CUD34" s="16"/>
      <c r="CUE34" s="16"/>
      <c r="CUF34" s="16"/>
      <c r="CUG34" s="16"/>
      <c r="CUH34" s="16"/>
      <c r="CUI34" s="16"/>
      <c r="CUJ34" s="16"/>
      <c r="CUK34" s="16"/>
      <c r="CUL34" s="16"/>
      <c r="CUM34" s="16"/>
      <c r="CUN34" s="16"/>
      <c r="CUO34" s="16"/>
      <c r="CUP34" s="16"/>
      <c r="CUQ34" s="16"/>
      <c r="CUR34" s="16"/>
      <c r="CUS34" s="16"/>
      <c r="CUT34" s="16"/>
      <c r="CUU34" s="16"/>
      <c r="CUV34" s="16"/>
      <c r="CUW34" s="16"/>
      <c r="CUX34" s="16"/>
      <c r="CUY34" s="16"/>
      <c r="CUZ34" s="16"/>
      <c r="CVA34" s="16"/>
      <c r="CVB34" s="16"/>
      <c r="CVC34" s="16"/>
      <c r="CVD34" s="16"/>
      <c r="CVE34" s="16"/>
      <c r="CVF34" s="16"/>
      <c r="CVG34" s="16"/>
      <c r="CVH34" s="16"/>
      <c r="CVI34" s="16"/>
      <c r="CVJ34" s="16"/>
      <c r="CVK34" s="16"/>
      <c r="CVL34" s="16"/>
      <c r="CVM34" s="16"/>
      <c r="CVN34" s="16"/>
      <c r="CVO34" s="16"/>
      <c r="CVP34" s="16"/>
      <c r="CVQ34" s="16"/>
      <c r="CVR34" s="16"/>
      <c r="CVS34" s="16"/>
      <c r="CVT34" s="16"/>
      <c r="CVU34" s="16"/>
      <c r="CVV34" s="16"/>
      <c r="CVW34" s="16"/>
      <c r="CVX34" s="16"/>
      <c r="CVY34" s="16"/>
      <c r="CVZ34" s="16"/>
      <c r="CWA34" s="16"/>
      <c r="CWB34" s="16"/>
      <c r="CWC34" s="16"/>
      <c r="CWD34" s="16"/>
      <c r="CWE34" s="16"/>
      <c r="CWF34" s="16"/>
      <c r="CWG34" s="16"/>
      <c r="CWH34" s="16"/>
      <c r="CWI34" s="16"/>
      <c r="CWJ34" s="16"/>
      <c r="CWK34" s="16"/>
      <c r="CWL34" s="16"/>
      <c r="CWM34" s="16"/>
      <c r="CWN34" s="16"/>
      <c r="CWO34" s="16"/>
      <c r="CWP34" s="16"/>
      <c r="CWQ34" s="16"/>
      <c r="CWR34" s="16"/>
      <c r="CWS34" s="16"/>
      <c r="CWT34" s="16"/>
      <c r="CWU34" s="16"/>
      <c r="CWV34" s="16"/>
      <c r="CWW34" s="16"/>
      <c r="CWX34" s="16"/>
      <c r="CWY34" s="16"/>
      <c r="CWZ34" s="16"/>
      <c r="CXA34" s="16"/>
      <c r="CXB34" s="16"/>
      <c r="CXC34" s="16"/>
      <c r="CXD34" s="16"/>
      <c r="CXE34" s="16"/>
      <c r="CXF34" s="16"/>
      <c r="CXG34" s="16"/>
      <c r="CXH34" s="16"/>
      <c r="CXI34" s="16"/>
      <c r="CXJ34" s="16"/>
      <c r="CXK34" s="16"/>
      <c r="CXL34" s="16"/>
      <c r="CXM34" s="16"/>
      <c r="CXN34" s="16"/>
      <c r="CXO34" s="16"/>
      <c r="CXP34" s="16"/>
      <c r="CXQ34" s="16"/>
      <c r="CXR34" s="16"/>
      <c r="CXS34" s="16"/>
      <c r="CXT34" s="16"/>
      <c r="CXU34" s="16"/>
      <c r="CXV34" s="16"/>
      <c r="CXW34" s="16"/>
      <c r="CXX34" s="16"/>
      <c r="CXY34" s="16"/>
      <c r="CXZ34" s="16"/>
      <c r="CYA34" s="16"/>
      <c r="CYB34" s="16"/>
      <c r="CYC34" s="16"/>
      <c r="CYD34" s="16"/>
      <c r="CYE34" s="16"/>
      <c r="CYF34" s="16"/>
      <c r="CYG34" s="16"/>
      <c r="CYH34" s="16"/>
      <c r="CYI34" s="16"/>
      <c r="CYJ34" s="16"/>
      <c r="CYK34" s="16"/>
      <c r="CYL34" s="16"/>
      <c r="CYM34" s="16"/>
      <c r="CYN34" s="16"/>
      <c r="CYO34" s="16"/>
      <c r="CYP34" s="16"/>
      <c r="CYQ34" s="16"/>
      <c r="CYR34" s="16"/>
      <c r="CYS34" s="16"/>
      <c r="CYT34" s="16"/>
      <c r="CYU34" s="16"/>
      <c r="CYV34" s="16"/>
      <c r="CYW34" s="16"/>
      <c r="CYX34" s="16"/>
      <c r="CYY34" s="16"/>
      <c r="CYZ34" s="16"/>
      <c r="CZA34" s="16"/>
      <c r="CZB34" s="16"/>
      <c r="CZC34" s="16"/>
      <c r="CZD34" s="16"/>
      <c r="CZE34" s="16"/>
      <c r="CZF34" s="16"/>
      <c r="CZG34" s="16"/>
      <c r="CZH34" s="16"/>
      <c r="CZI34" s="16"/>
      <c r="CZJ34" s="16"/>
      <c r="CZK34" s="16"/>
      <c r="CZL34" s="16"/>
      <c r="CZM34" s="16"/>
      <c r="CZN34" s="16"/>
      <c r="CZO34" s="16"/>
      <c r="CZP34" s="16"/>
      <c r="CZQ34" s="16"/>
      <c r="CZR34" s="16"/>
      <c r="CZS34" s="16"/>
      <c r="CZT34" s="16"/>
      <c r="CZU34" s="16"/>
      <c r="CZV34" s="16"/>
      <c r="CZW34" s="16"/>
      <c r="CZX34" s="16"/>
      <c r="CZY34" s="16"/>
      <c r="CZZ34" s="16"/>
      <c r="DAA34" s="16"/>
      <c r="DAB34" s="16"/>
      <c r="DAC34" s="16"/>
      <c r="DAD34" s="16"/>
      <c r="DAE34" s="16"/>
      <c r="DAF34" s="16"/>
      <c r="DAG34" s="16"/>
      <c r="DAH34" s="16"/>
      <c r="DAI34" s="16"/>
      <c r="DAJ34" s="16"/>
      <c r="DAK34" s="16"/>
      <c r="DAL34" s="16"/>
      <c r="DAM34" s="16"/>
      <c r="DAN34" s="16"/>
      <c r="DAO34" s="16"/>
      <c r="DAP34" s="16"/>
      <c r="DAQ34" s="16"/>
      <c r="DAR34" s="16"/>
      <c r="DAS34" s="16"/>
      <c r="DAT34" s="16"/>
      <c r="DAU34" s="16"/>
      <c r="DAV34" s="16"/>
      <c r="DAW34" s="16"/>
      <c r="DAX34" s="16"/>
      <c r="DAY34" s="16"/>
      <c r="DAZ34" s="16"/>
      <c r="DBA34" s="16"/>
      <c r="DBB34" s="16"/>
      <c r="DBC34" s="16"/>
      <c r="DBD34" s="16"/>
      <c r="DBE34" s="16"/>
      <c r="DBF34" s="16"/>
      <c r="DBG34" s="16"/>
      <c r="DBH34" s="16"/>
      <c r="DBI34" s="16"/>
      <c r="DBJ34" s="16"/>
      <c r="DBK34" s="16"/>
      <c r="DBL34" s="16"/>
      <c r="DBM34" s="16"/>
      <c r="DBN34" s="16"/>
      <c r="DBO34" s="16"/>
      <c r="DBP34" s="16"/>
      <c r="DBQ34" s="16"/>
      <c r="DBR34" s="16"/>
      <c r="DBS34" s="16"/>
      <c r="DBT34" s="16"/>
      <c r="DBU34" s="16"/>
      <c r="DBV34" s="16"/>
      <c r="DBW34" s="16"/>
      <c r="DBX34" s="16"/>
      <c r="DBY34" s="16"/>
      <c r="DBZ34" s="16"/>
      <c r="DCA34" s="16"/>
      <c r="DCB34" s="16"/>
      <c r="DCC34" s="16"/>
      <c r="DCD34" s="16"/>
      <c r="DCE34" s="16"/>
      <c r="DCF34" s="16"/>
      <c r="DCG34" s="16"/>
      <c r="DCH34" s="16"/>
      <c r="DCI34" s="16"/>
      <c r="DCJ34" s="16"/>
      <c r="DCK34" s="16"/>
      <c r="DCL34" s="16"/>
      <c r="DCM34" s="16"/>
      <c r="DCN34" s="16"/>
      <c r="DCO34" s="16"/>
      <c r="DCP34" s="16"/>
      <c r="DCQ34" s="16"/>
      <c r="DCR34" s="16"/>
      <c r="DCS34" s="16"/>
      <c r="DCT34" s="16"/>
      <c r="DCU34" s="16"/>
      <c r="DCV34" s="16"/>
      <c r="DCW34" s="16"/>
      <c r="DCX34" s="16"/>
      <c r="DCY34" s="16"/>
      <c r="DCZ34" s="16"/>
      <c r="DDA34" s="16"/>
      <c r="DDB34" s="16"/>
      <c r="DDC34" s="16"/>
      <c r="DDD34" s="16"/>
      <c r="DDE34" s="16"/>
      <c r="DDF34" s="16"/>
      <c r="DDG34" s="16"/>
      <c r="DDH34" s="16"/>
      <c r="DDI34" s="16"/>
      <c r="DDJ34" s="16"/>
      <c r="DDK34" s="16"/>
      <c r="DDL34" s="16"/>
      <c r="DDM34" s="16"/>
      <c r="DDN34" s="16"/>
      <c r="DDO34" s="16"/>
      <c r="DDP34" s="16"/>
      <c r="DDQ34" s="16"/>
      <c r="DDR34" s="16"/>
      <c r="DDS34" s="16"/>
      <c r="DDT34" s="16"/>
      <c r="DDU34" s="16"/>
      <c r="DDV34" s="16"/>
      <c r="DDW34" s="16"/>
      <c r="DDX34" s="16"/>
      <c r="DDY34" s="16"/>
      <c r="DDZ34" s="16"/>
      <c r="DEA34" s="16"/>
      <c r="DEB34" s="16"/>
      <c r="DEC34" s="16"/>
      <c r="DED34" s="16"/>
      <c r="DEE34" s="16"/>
      <c r="DEF34" s="16"/>
      <c r="DEG34" s="16"/>
      <c r="DEH34" s="16"/>
      <c r="DEI34" s="16"/>
      <c r="DEJ34" s="16"/>
      <c r="DEK34" s="16"/>
      <c r="DEL34" s="16"/>
      <c r="DEM34" s="16"/>
      <c r="DEN34" s="16"/>
      <c r="DEO34" s="16"/>
      <c r="DEP34" s="16"/>
      <c r="DEQ34" s="16"/>
      <c r="DER34" s="16"/>
      <c r="DES34" s="16"/>
      <c r="DET34" s="16"/>
      <c r="DEU34" s="16"/>
      <c r="DEV34" s="16"/>
      <c r="DEW34" s="16"/>
      <c r="DEX34" s="16"/>
      <c r="DEY34" s="16"/>
      <c r="DEZ34" s="16"/>
      <c r="DFA34" s="16"/>
      <c r="DFB34" s="16"/>
      <c r="DFC34" s="16"/>
      <c r="DFD34" s="16"/>
      <c r="DFE34" s="16"/>
      <c r="DFF34" s="16"/>
      <c r="DFG34" s="16"/>
      <c r="DFH34" s="16"/>
      <c r="DFI34" s="16"/>
      <c r="DFJ34" s="16"/>
      <c r="DFK34" s="16"/>
      <c r="DFL34" s="16"/>
      <c r="DFM34" s="16"/>
      <c r="DFN34" s="16"/>
      <c r="DFO34" s="16"/>
      <c r="DFP34" s="16"/>
      <c r="DFQ34" s="16"/>
      <c r="DFR34" s="16"/>
      <c r="DFS34" s="16"/>
      <c r="DFT34" s="16"/>
      <c r="DFU34" s="16"/>
      <c r="DFV34" s="16"/>
      <c r="DFW34" s="16"/>
      <c r="DFX34" s="16"/>
      <c r="DFY34" s="16"/>
      <c r="DFZ34" s="16"/>
      <c r="DGA34" s="16"/>
      <c r="DGB34" s="16"/>
      <c r="DGC34" s="16"/>
      <c r="DGD34" s="16"/>
      <c r="DGE34" s="16"/>
      <c r="DGF34" s="16"/>
      <c r="DGG34" s="16"/>
      <c r="DGH34" s="16"/>
      <c r="DGI34" s="16"/>
      <c r="DGJ34" s="16"/>
      <c r="DGK34" s="16"/>
      <c r="DGL34" s="16"/>
      <c r="DGM34" s="16"/>
      <c r="DGN34" s="16"/>
      <c r="DGO34" s="16"/>
      <c r="DGP34" s="16"/>
      <c r="DGQ34" s="16"/>
      <c r="DGR34" s="16"/>
      <c r="DGS34" s="16"/>
      <c r="DGT34" s="16"/>
      <c r="DGU34" s="16"/>
      <c r="DGV34" s="16"/>
      <c r="DGW34" s="16"/>
      <c r="DGX34" s="16"/>
      <c r="DGY34" s="16"/>
      <c r="DGZ34" s="16"/>
      <c r="DHA34" s="16"/>
      <c r="DHB34" s="16"/>
      <c r="DHC34" s="16"/>
      <c r="DHD34" s="16"/>
      <c r="DHE34" s="16"/>
      <c r="DHF34" s="16"/>
      <c r="DHG34" s="16"/>
      <c r="DHH34" s="16"/>
      <c r="DHI34" s="16"/>
      <c r="DHJ34" s="16"/>
      <c r="DHK34" s="16"/>
      <c r="DHL34" s="16"/>
      <c r="DHM34" s="16"/>
      <c r="DHN34" s="16"/>
      <c r="DHO34" s="16"/>
      <c r="DHP34" s="16"/>
      <c r="DHQ34" s="16"/>
      <c r="DHR34" s="16"/>
      <c r="DHS34" s="16"/>
      <c r="DHT34" s="16"/>
      <c r="DHU34" s="16"/>
      <c r="DHV34" s="16"/>
      <c r="DHW34" s="16"/>
      <c r="DHX34" s="16"/>
      <c r="DHY34" s="16"/>
      <c r="DHZ34" s="16"/>
      <c r="DIA34" s="16"/>
      <c r="DIB34" s="16"/>
      <c r="DIC34" s="16"/>
      <c r="DID34" s="16"/>
      <c r="DIE34" s="16"/>
      <c r="DIF34" s="16"/>
      <c r="DIG34" s="16"/>
      <c r="DIH34" s="16"/>
      <c r="DII34" s="16"/>
      <c r="DIJ34" s="16"/>
      <c r="DIK34" s="16"/>
      <c r="DIL34" s="16"/>
      <c r="DIM34" s="16"/>
      <c r="DIN34" s="16"/>
      <c r="DIO34" s="16"/>
      <c r="DIP34" s="16"/>
      <c r="DIQ34" s="16"/>
      <c r="DIR34" s="16"/>
      <c r="DIS34" s="16"/>
      <c r="DIT34" s="16"/>
      <c r="DIU34" s="16"/>
      <c r="DIV34" s="16"/>
      <c r="DIW34" s="16"/>
      <c r="DIX34" s="16"/>
      <c r="DIY34" s="16"/>
      <c r="DIZ34" s="16"/>
      <c r="DJA34" s="16"/>
      <c r="DJB34" s="16"/>
      <c r="DJC34" s="16"/>
      <c r="DJD34" s="16"/>
      <c r="DJE34" s="16"/>
      <c r="DJF34" s="16"/>
      <c r="DJG34" s="16"/>
      <c r="DJH34" s="16"/>
      <c r="DJI34" s="16"/>
      <c r="DJJ34" s="16"/>
      <c r="DJK34" s="16"/>
      <c r="DJL34" s="16"/>
      <c r="DJM34" s="16"/>
      <c r="DJN34" s="16"/>
      <c r="DJO34" s="16"/>
      <c r="DJP34" s="16"/>
      <c r="DJQ34" s="16"/>
      <c r="DJR34" s="16"/>
      <c r="DJS34" s="16"/>
      <c r="DJT34" s="16"/>
      <c r="DJU34" s="16"/>
      <c r="DJV34" s="16"/>
      <c r="DJW34" s="16"/>
      <c r="DJX34" s="16"/>
      <c r="DJY34" s="16"/>
      <c r="DJZ34" s="16"/>
      <c r="DKA34" s="16"/>
      <c r="DKB34" s="16"/>
      <c r="DKC34" s="16"/>
      <c r="DKD34" s="16"/>
      <c r="DKE34" s="16"/>
      <c r="DKF34" s="16"/>
      <c r="DKG34" s="16"/>
      <c r="DKH34" s="16"/>
      <c r="DKI34" s="16"/>
      <c r="DKJ34" s="16"/>
      <c r="DKK34" s="16"/>
      <c r="DKL34" s="16"/>
      <c r="DKM34" s="16"/>
      <c r="DKN34" s="16"/>
      <c r="DKO34" s="16"/>
      <c r="DKP34" s="16"/>
      <c r="DKQ34" s="16"/>
      <c r="DKR34" s="16"/>
      <c r="DKS34" s="16"/>
      <c r="DKT34" s="16"/>
      <c r="DKU34" s="16"/>
      <c r="DKV34" s="16"/>
      <c r="DKW34" s="16"/>
      <c r="DKX34" s="16"/>
      <c r="DKY34" s="16"/>
      <c r="DKZ34" s="16"/>
      <c r="DLA34" s="16"/>
      <c r="DLB34" s="16"/>
      <c r="DLC34" s="16"/>
      <c r="DLD34" s="16"/>
      <c r="DLE34" s="16"/>
      <c r="DLF34" s="16"/>
      <c r="DLG34" s="16"/>
      <c r="DLH34" s="16"/>
      <c r="DLI34" s="16"/>
      <c r="DLJ34" s="16"/>
      <c r="DLK34" s="16"/>
      <c r="DLL34" s="16"/>
      <c r="DLM34" s="16"/>
      <c r="DLN34" s="16"/>
      <c r="DLO34" s="16"/>
      <c r="DLP34" s="16"/>
      <c r="DLQ34" s="16"/>
      <c r="DLR34" s="16"/>
      <c r="DLS34" s="16"/>
      <c r="DLT34" s="16"/>
      <c r="DLU34" s="16"/>
      <c r="DLV34" s="16"/>
      <c r="DLW34" s="16"/>
      <c r="DLX34" s="16"/>
      <c r="DLY34" s="16"/>
      <c r="DLZ34" s="16"/>
      <c r="DMA34" s="16"/>
      <c r="DMB34" s="16"/>
      <c r="DMC34" s="16"/>
      <c r="DMD34" s="16"/>
      <c r="DME34" s="16"/>
      <c r="DMF34" s="16"/>
      <c r="DMG34" s="16"/>
      <c r="DMH34" s="16"/>
      <c r="DMI34" s="16"/>
      <c r="DMJ34" s="16"/>
      <c r="DMK34" s="16"/>
      <c r="DML34" s="16"/>
      <c r="DMM34" s="16"/>
      <c r="DMN34" s="16"/>
      <c r="DMO34" s="16"/>
      <c r="DMP34" s="16"/>
      <c r="DMQ34" s="16"/>
      <c r="DMR34" s="16"/>
      <c r="DMS34" s="16"/>
      <c r="DMT34" s="16"/>
      <c r="DMU34" s="16"/>
      <c r="DMV34" s="16"/>
      <c r="DMW34" s="16"/>
      <c r="DMX34" s="16"/>
      <c r="DMY34" s="16"/>
      <c r="DMZ34" s="16"/>
      <c r="DNA34" s="16"/>
      <c r="DNB34" s="16"/>
      <c r="DNC34" s="16"/>
      <c r="DND34" s="16"/>
      <c r="DNE34" s="16"/>
      <c r="DNF34" s="16"/>
      <c r="DNG34" s="16"/>
      <c r="DNH34" s="16"/>
      <c r="DNI34" s="16"/>
      <c r="DNJ34" s="16"/>
      <c r="DNK34" s="16"/>
      <c r="DNL34" s="16"/>
      <c r="DNM34" s="16"/>
      <c r="DNN34" s="16"/>
      <c r="DNO34" s="16"/>
      <c r="DNP34" s="16"/>
      <c r="DNQ34" s="16"/>
      <c r="DNR34" s="16"/>
      <c r="DNS34" s="16"/>
      <c r="DNT34" s="16"/>
      <c r="DNU34" s="16"/>
      <c r="DNV34" s="16"/>
      <c r="DNW34" s="16"/>
      <c r="DNX34" s="16"/>
      <c r="DNY34" s="16"/>
      <c r="DNZ34" s="16"/>
      <c r="DOA34" s="16"/>
      <c r="DOB34" s="16"/>
      <c r="DOC34" s="16"/>
      <c r="DOD34" s="16"/>
      <c r="DOE34" s="16"/>
      <c r="DOF34" s="16"/>
      <c r="DOG34" s="16"/>
      <c r="DOH34" s="16"/>
      <c r="DOI34" s="16"/>
      <c r="DOJ34" s="16"/>
      <c r="DOK34" s="16"/>
      <c r="DOL34" s="16"/>
      <c r="DOM34" s="16"/>
      <c r="DON34" s="16"/>
      <c r="DOO34" s="16"/>
      <c r="DOP34" s="16"/>
      <c r="DOQ34" s="16"/>
      <c r="DOR34" s="16"/>
      <c r="DOS34" s="16"/>
      <c r="DOT34" s="16"/>
      <c r="DOU34" s="16"/>
      <c r="DOV34" s="16"/>
      <c r="DOW34" s="16"/>
      <c r="DOX34" s="16"/>
      <c r="DOY34" s="16"/>
      <c r="DOZ34" s="16"/>
      <c r="DPA34" s="16"/>
      <c r="DPB34" s="16"/>
      <c r="DPC34" s="16"/>
      <c r="DPD34" s="16"/>
      <c r="DPE34" s="16"/>
      <c r="DPF34" s="16"/>
      <c r="DPG34" s="16"/>
      <c r="DPH34" s="16"/>
      <c r="DPI34" s="16"/>
      <c r="DPJ34" s="16"/>
      <c r="DPK34" s="16"/>
      <c r="DPL34" s="16"/>
      <c r="DPM34" s="16"/>
      <c r="DPN34" s="16"/>
      <c r="DPO34" s="16"/>
      <c r="DPP34" s="16"/>
      <c r="DPQ34" s="16"/>
      <c r="DPR34" s="16"/>
      <c r="DPS34" s="16"/>
      <c r="DPT34" s="16"/>
      <c r="DPU34" s="16"/>
      <c r="DPV34" s="16"/>
      <c r="DPW34" s="16"/>
      <c r="DPX34" s="16"/>
      <c r="DPY34" s="16"/>
      <c r="DPZ34" s="16"/>
      <c r="DQA34" s="16"/>
      <c r="DQB34" s="16"/>
      <c r="DQC34" s="16"/>
      <c r="DQD34" s="16"/>
      <c r="DQE34" s="16"/>
      <c r="DQF34" s="16"/>
      <c r="DQG34" s="16"/>
      <c r="DQH34" s="16"/>
      <c r="DQI34" s="16"/>
      <c r="DQJ34" s="16"/>
      <c r="DQK34" s="16"/>
      <c r="DQL34" s="16"/>
      <c r="DQM34" s="16"/>
      <c r="DQN34" s="16"/>
      <c r="DQO34" s="16"/>
      <c r="DQP34" s="16"/>
      <c r="DQQ34" s="16"/>
      <c r="DQR34" s="16"/>
      <c r="DQS34" s="16"/>
      <c r="DQT34" s="16"/>
      <c r="DQU34" s="16"/>
      <c r="DQV34" s="16"/>
      <c r="DQW34" s="16"/>
      <c r="DQX34" s="16"/>
      <c r="DQY34" s="16"/>
      <c r="DQZ34" s="16"/>
      <c r="DRA34" s="16"/>
      <c r="DRB34" s="16"/>
      <c r="DRC34" s="16"/>
      <c r="DRD34" s="16"/>
      <c r="DRE34" s="16"/>
      <c r="DRF34" s="16"/>
      <c r="DRG34" s="16"/>
      <c r="DRH34" s="16"/>
      <c r="DRI34" s="16"/>
      <c r="DRJ34" s="16"/>
      <c r="DRK34" s="16"/>
      <c r="DRL34" s="16"/>
      <c r="DRM34" s="16"/>
      <c r="DRN34" s="16"/>
      <c r="DRO34" s="16"/>
      <c r="DRP34" s="16"/>
      <c r="DRQ34" s="16"/>
      <c r="DRR34" s="16"/>
      <c r="DRS34" s="16"/>
      <c r="DRT34" s="16"/>
      <c r="DRU34" s="16"/>
      <c r="DRV34" s="16"/>
      <c r="DRW34" s="16"/>
      <c r="DRX34" s="16"/>
      <c r="DRY34" s="16"/>
      <c r="DRZ34" s="16"/>
      <c r="DSA34" s="16"/>
      <c r="DSB34" s="16"/>
      <c r="DSC34" s="16"/>
      <c r="DSD34" s="16"/>
      <c r="DSE34" s="16"/>
      <c r="DSF34" s="16"/>
      <c r="DSG34" s="16"/>
      <c r="DSH34" s="16"/>
      <c r="DSI34" s="16"/>
      <c r="DSJ34" s="16"/>
      <c r="DSK34" s="16"/>
      <c r="DSL34" s="16"/>
      <c r="DSM34" s="16"/>
      <c r="DSN34" s="16"/>
      <c r="DSO34" s="16"/>
      <c r="DSP34" s="16"/>
      <c r="DSQ34" s="16"/>
      <c r="DSR34" s="16"/>
      <c r="DSS34" s="16"/>
      <c r="DST34" s="16"/>
      <c r="DSU34" s="16"/>
      <c r="DSV34" s="16"/>
      <c r="DSW34" s="16"/>
      <c r="DSX34" s="16"/>
      <c r="DSY34" s="16"/>
      <c r="DSZ34" s="16"/>
      <c r="DTA34" s="16"/>
      <c r="DTB34" s="16"/>
      <c r="DTC34" s="16"/>
      <c r="DTD34" s="16"/>
      <c r="DTE34" s="16"/>
      <c r="DTF34" s="16"/>
      <c r="DTG34" s="16"/>
      <c r="DTH34" s="16"/>
      <c r="DTI34" s="16"/>
      <c r="DTJ34" s="16"/>
      <c r="DTK34" s="16"/>
      <c r="DTL34" s="16"/>
      <c r="DTM34" s="16"/>
      <c r="DTN34" s="16"/>
      <c r="DTO34" s="16"/>
      <c r="DTP34" s="16"/>
      <c r="DTQ34" s="16"/>
      <c r="DTR34" s="16"/>
      <c r="DTS34" s="16"/>
      <c r="DTT34" s="16"/>
      <c r="DTU34" s="16"/>
      <c r="DTV34" s="16"/>
      <c r="DTW34" s="16"/>
      <c r="DTX34" s="16"/>
      <c r="DTY34" s="16"/>
      <c r="DTZ34" s="16"/>
      <c r="DUA34" s="16"/>
      <c r="DUB34" s="16"/>
      <c r="DUC34" s="16"/>
      <c r="DUD34" s="16"/>
      <c r="DUE34" s="16"/>
      <c r="DUF34" s="16"/>
      <c r="DUG34" s="16"/>
      <c r="DUH34" s="16"/>
      <c r="DUI34" s="16"/>
      <c r="DUJ34" s="16"/>
      <c r="DUK34" s="16"/>
      <c r="DUL34" s="16"/>
      <c r="DUM34" s="16"/>
      <c r="DUN34" s="16"/>
      <c r="DUO34" s="16"/>
      <c r="DUP34" s="16"/>
      <c r="DUQ34" s="16"/>
      <c r="DUR34" s="16"/>
      <c r="DUS34" s="16"/>
      <c r="DUT34" s="16"/>
      <c r="DUU34" s="16"/>
      <c r="DUV34" s="16"/>
      <c r="DUW34" s="16"/>
      <c r="DUX34" s="16"/>
      <c r="DUY34" s="16"/>
      <c r="DUZ34" s="16"/>
      <c r="DVA34" s="16"/>
      <c r="DVB34" s="16"/>
      <c r="DVC34" s="16"/>
      <c r="DVD34" s="16"/>
      <c r="DVE34" s="16"/>
      <c r="DVF34" s="16"/>
      <c r="DVG34" s="16"/>
      <c r="DVH34" s="16"/>
      <c r="DVI34" s="16"/>
      <c r="DVJ34" s="16"/>
      <c r="DVK34" s="16"/>
      <c r="DVL34" s="16"/>
      <c r="DVM34" s="16"/>
      <c r="DVN34" s="16"/>
      <c r="DVO34" s="16"/>
      <c r="DVP34" s="16"/>
      <c r="DVQ34" s="16"/>
      <c r="DVR34" s="16"/>
      <c r="DVS34" s="16"/>
      <c r="DVT34" s="16"/>
      <c r="DVU34" s="16"/>
      <c r="DVV34" s="16"/>
      <c r="DVW34" s="16"/>
      <c r="DVX34" s="16"/>
      <c r="DVY34" s="16"/>
      <c r="DVZ34" s="16"/>
      <c r="DWA34" s="16"/>
      <c r="DWB34" s="16"/>
      <c r="DWC34" s="16"/>
      <c r="DWD34" s="16"/>
      <c r="DWE34" s="16"/>
      <c r="DWF34" s="16"/>
      <c r="DWG34" s="16"/>
      <c r="DWH34" s="16"/>
      <c r="DWI34" s="16"/>
      <c r="DWJ34" s="16"/>
      <c r="DWK34" s="16"/>
      <c r="DWL34" s="16"/>
      <c r="DWM34" s="16"/>
      <c r="DWN34" s="16"/>
      <c r="DWO34" s="16"/>
      <c r="DWP34" s="16"/>
      <c r="DWQ34" s="16"/>
      <c r="DWR34" s="16"/>
      <c r="DWS34" s="16"/>
      <c r="DWT34" s="16"/>
      <c r="DWU34" s="16"/>
      <c r="DWV34" s="16"/>
      <c r="DWW34" s="16"/>
      <c r="DWX34" s="16"/>
      <c r="DWY34" s="16"/>
      <c r="DWZ34" s="16"/>
      <c r="DXA34" s="16"/>
      <c r="DXB34" s="16"/>
      <c r="DXC34" s="16"/>
      <c r="DXD34" s="16"/>
      <c r="DXE34" s="16"/>
      <c r="DXF34" s="16"/>
      <c r="DXG34" s="16"/>
      <c r="DXH34" s="16"/>
      <c r="DXI34" s="16"/>
      <c r="DXJ34" s="16"/>
      <c r="DXK34" s="16"/>
      <c r="DXL34" s="16"/>
      <c r="DXM34" s="16"/>
      <c r="DXN34" s="16"/>
      <c r="DXO34" s="16"/>
      <c r="DXP34" s="16"/>
      <c r="DXQ34" s="16"/>
      <c r="DXR34" s="16"/>
      <c r="DXS34" s="16"/>
      <c r="DXT34" s="16"/>
      <c r="DXU34" s="16"/>
      <c r="DXV34" s="16"/>
      <c r="DXW34" s="16"/>
      <c r="DXX34" s="16"/>
      <c r="DXY34" s="16"/>
      <c r="DXZ34" s="16"/>
      <c r="DYA34" s="16"/>
      <c r="DYB34" s="16"/>
      <c r="DYC34" s="16"/>
      <c r="DYD34" s="16"/>
      <c r="DYE34" s="16"/>
      <c r="DYF34" s="16"/>
      <c r="DYG34" s="16"/>
      <c r="DYH34" s="16"/>
      <c r="DYI34" s="16"/>
      <c r="DYJ34" s="16"/>
      <c r="DYK34" s="16"/>
      <c r="DYL34" s="16"/>
      <c r="DYM34" s="16"/>
      <c r="DYN34" s="16"/>
      <c r="DYO34" s="16"/>
      <c r="DYP34" s="16"/>
      <c r="DYQ34" s="16"/>
      <c r="DYR34" s="16"/>
      <c r="DYS34" s="16"/>
      <c r="DYT34" s="16"/>
      <c r="DYU34" s="16"/>
      <c r="DYV34" s="16"/>
      <c r="DYW34" s="16"/>
      <c r="DYX34" s="16"/>
      <c r="DYY34" s="16"/>
      <c r="DYZ34" s="16"/>
      <c r="DZA34" s="16"/>
      <c r="DZB34" s="16"/>
      <c r="DZC34" s="16"/>
      <c r="DZD34" s="16"/>
      <c r="DZE34" s="16"/>
      <c r="DZF34" s="16"/>
      <c r="DZG34" s="16"/>
      <c r="DZH34" s="16"/>
      <c r="DZI34" s="16"/>
      <c r="DZJ34" s="16"/>
      <c r="DZK34" s="16"/>
      <c r="DZL34" s="16"/>
      <c r="DZM34" s="16"/>
      <c r="DZN34" s="16"/>
      <c r="DZO34" s="16"/>
      <c r="DZP34" s="16"/>
      <c r="DZQ34" s="16"/>
      <c r="DZR34" s="16"/>
      <c r="DZS34" s="16"/>
      <c r="DZT34" s="16"/>
      <c r="DZU34" s="16"/>
      <c r="DZV34" s="16"/>
      <c r="DZW34" s="16"/>
      <c r="DZX34" s="16"/>
      <c r="DZY34" s="16"/>
      <c r="DZZ34" s="16"/>
      <c r="EAA34" s="16"/>
      <c r="EAB34" s="16"/>
      <c r="EAC34" s="16"/>
      <c r="EAD34" s="16"/>
      <c r="EAE34" s="16"/>
      <c r="EAF34" s="16"/>
      <c r="EAG34" s="16"/>
      <c r="EAH34" s="16"/>
      <c r="EAI34" s="16"/>
      <c r="EAJ34" s="16"/>
      <c r="EAK34" s="16"/>
      <c r="EAL34" s="16"/>
      <c r="EAM34" s="16"/>
      <c r="EAN34" s="16"/>
      <c r="EAO34" s="16"/>
      <c r="EAP34" s="16"/>
      <c r="EAQ34" s="16"/>
      <c r="EAR34" s="16"/>
      <c r="EAS34" s="16"/>
      <c r="EAT34" s="16"/>
      <c r="EAU34" s="16"/>
      <c r="EAV34" s="16"/>
      <c r="EAW34" s="16"/>
      <c r="EAX34" s="16"/>
      <c r="EAY34" s="16"/>
      <c r="EAZ34" s="16"/>
      <c r="EBA34" s="16"/>
      <c r="EBB34" s="16"/>
      <c r="EBC34" s="16"/>
      <c r="EBD34" s="16"/>
      <c r="EBE34" s="16"/>
      <c r="EBF34" s="16"/>
      <c r="EBG34" s="16"/>
      <c r="EBH34" s="16"/>
      <c r="EBI34" s="16"/>
      <c r="EBJ34" s="16"/>
      <c r="EBK34" s="16"/>
      <c r="EBL34" s="16"/>
      <c r="EBM34" s="16"/>
      <c r="EBN34" s="16"/>
      <c r="EBO34" s="16"/>
      <c r="EBP34" s="16"/>
      <c r="EBQ34" s="16"/>
      <c r="EBR34" s="16"/>
      <c r="EBS34" s="16"/>
      <c r="EBT34" s="16"/>
      <c r="EBU34" s="16"/>
      <c r="EBV34" s="16"/>
      <c r="EBW34" s="16"/>
      <c r="EBX34" s="16"/>
      <c r="EBY34" s="16"/>
      <c r="EBZ34" s="16"/>
      <c r="ECA34" s="16"/>
      <c r="ECB34" s="16"/>
      <c r="ECC34" s="16"/>
      <c r="ECD34" s="16"/>
      <c r="ECE34" s="16"/>
      <c r="ECF34" s="16"/>
      <c r="ECG34" s="16"/>
      <c r="ECH34" s="16"/>
      <c r="ECI34" s="16"/>
      <c r="ECJ34" s="16"/>
      <c r="ECK34" s="16"/>
      <c r="ECL34" s="16"/>
      <c r="ECM34" s="16"/>
      <c r="ECN34" s="16"/>
      <c r="ECO34" s="16"/>
      <c r="ECP34" s="16"/>
      <c r="ECQ34" s="16"/>
      <c r="ECR34" s="16"/>
      <c r="ECS34" s="16"/>
      <c r="ECT34" s="16"/>
      <c r="ECU34" s="16"/>
      <c r="ECV34" s="16"/>
      <c r="ECW34" s="16"/>
      <c r="ECX34" s="16"/>
      <c r="ECY34" s="16"/>
      <c r="ECZ34" s="16"/>
      <c r="EDA34" s="16"/>
      <c r="EDB34" s="16"/>
      <c r="EDC34" s="16"/>
      <c r="EDD34" s="16"/>
      <c r="EDE34" s="16"/>
      <c r="EDF34" s="16"/>
      <c r="EDG34" s="16"/>
      <c r="EDH34" s="16"/>
      <c r="EDI34" s="16"/>
      <c r="EDJ34" s="16"/>
      <c r="EDK34" s="16"/>
      <c r="EDL34" s="16"/>
      <c r="EDM34" s="16"/>
      <c r="EDN34" s="16"/>
      <c r="EDO34" s="16"/>
      <c r="EDP34" s="16"/>
      <c r="EDQ34" s="16"/>
      <c r="EDR34" s="16"/>
      <c r="EDS34" s="16"/>
      <c r="EDT34" s="16"/>
      <c r="EDU34" s="16"/>
      <c r="EDV34" s="16"/>
      <c r="EDW34" s="16"/>
      <c r="EDX34" s="16"/>
      <c r="EDY34" s="16"/>
      <c r="EDZ34" s="16"/>
      <c r="EEA34" s="16"/>
      <c r="EEB34" s="16"/>
      <c r="EEC34" s="16"/>
      <c r="EED34" s="16"/>
      <c r="EEE34" s="16"/>
      <c r="EEF34" s="16"/>
      <c r="EEG34" s="16"/>
      <c r="EEH34" s="16"/>
      <c r="EEI34" s="16"/>
      <c r="EEJ34" s="16"/>
      <c r="EEK34" s="16"/>
      <c r="EEL34" s="16"/>
      <c r="EEM34" s="16"/>
      <c r="EEN34" s="16"/>
      <c r="EEO34" s="16"/>
      <c r="EEP34" s="16"/>
      <c r="EEQ34" s="16"/>
      <c r="EER34" s="16"/>
      <c r="EES34" s="16"/>
      <c r="EET34" s="16"/>
      <c r="EEU34" s="16"/>
      <c r="EEV34" s="16"/>
      <c r="EEW34" s="16"/>
      <c r="EEX34" s="16"/>
      <c r="EEY34" s="16"/>
      <c r="EEZ34" s="16"/>
      <c r="EFA34" s="16"/>
      <c r="EFB34" s="16"/>
      <c r="EFC34" s="16"/>
      <c r="EFD34" s="16"/>
      <c r="EFE34" s="16"/>
      <c r="EFF34" s="16"/>
      <c r="EFG34" s="16"/>
      <c r="EFH34" s="16"/>
      <c r="EFI34" s="16"/>
      <c r="EFJ34" s="16"/>
      <c r="EFK34" s="16"/>
      <c r="EFL34" s="16"/>
      <c r="EFM34" s="16"/>
      <c r="EFN34" s="16"/>
      <c r="EFO34" s="16"/>
      <c r="EFP34" s="16"/>
      <c r="EFQ34" s="16"/>
      <c r="EFR34" s="16"/>
      <c r="EFS34" s="16"/>
      <c r="EFT34" s="16"/>
      <c r="EFU34" s="16"/>
      <c r="EFV34" s="16"/>
      <c r="EFW34" s="16"/>
      <c r="EFX34" s="16"/>
      <c r="EFY34" s="16"/>
      <c r="EFZ34" s="16"/>
      <c r="EGA34" s="16"/>
      <c r="EGB34" s="16"/>
      <c r="EGC34" s="16"/>
      <c r="EGD34" s="16"/>
      <c r="EGE34" s="16"/>
      <c r="EGF34" s="16"/>
      <c r="EGG34" s="16"/>
      <c r="EGH34" s="16"/>
      <c r="EGI34" s="16"/>
      <c r="EGJ34" s="16"/>
      <c r="EGK34" s="16"/>
      <c r="EGL34" s="16"/>
      <c r="EGM34" s="16"/>
      <c r="EGN34" s="16"/>
      <c r="EGO34" s="16"/>
      <c r="EGP34" s="16"/>
      <c r="EGQ34" s="16"/>
      <c r="EGR34" s="16"/>
      <c r="EGS34" s="16"/>
      <c r="EGT34" s="16"/>
      <c r="EGU34" s="16"/>
      <c r="EGV34" s="16"/>
      <c r="EGW34" s="16"/>
      <c r="EGX34" s="16"/>
      <c r="EGY34" s="16"/>
      <c r="EGZ34" s="16"/>
      <c r="EHA34" s="16"/>
      <c r="EHB34" s="16"/>
      <c r="EHC34" s="16"/>
      <c r="EHD34" s="16"/>
      <c r="EHE34" s="16"/>
      <c r="EHF34" s="16"/>
      <c r="EHG34" s="16"/>
      <c r="EHH34" s="16"/>
      <c r="EHI34" s="16"/>
      <c r="EHJ34" s="16"/>
      <c r="EHK34" s="16"/>
      <c r="EHL34" s="16"/>
      <c r="EHM34" s="16"/>
      <c r="EHN34" s="16"/>
      <c r="EHO34" s="16"/>
      <c r="EHP34" s="16"/>
      <c r="EHQ34" s="16"/>
      <c r="EHR34" s="16"/>
      <c r="EHS34" s="16"/>
      <c r="EHT34" s="16"/>
      <c r="EHU34" s="16"/>
      <c r="EHV34" s="16"/>
      <c r="EHW34" s="16"/>
      <c r="EHX34" s="16"/>
      <c r="EHY34" s="16"/>
      <c r="EHZ34" s="16"/>
      <c r="EIA34" s="16"/>
      <c r="EIB34" s="16"/>
      <c r="EIC34" s="16"/>
      <c r="EID34" s="16"/>
      <c r="EIE34" s="16"/>
      <c r="EIF34" s="16"/>
      <c r="EIG34" s="16"/>
      <c r="EIH34" s="16"/>
      <c r="EII34" s="16"/>
      <c r="EIJ34" s="16"/>
      <c r="EIK34" s="16"/>
      <c r="EIL34" s="16"/>
      <c r="EIM34" s="16"/>
      <c r="EIN34" s="16"/>
      <c r="EIO34" s="16"/>
      <c r="EIP34" s="16"/>
      <c r="EIQ34" s="16"/>
      <c r="EIR34" s="16"/>
      <c r="EIS34" s="16"/>
      <c r="EIT34" s="16"/>
      <c r="EIU34" s="16"/>
      <c r="EIV34" s="16"/>
      <c r="EIW34" s="16"/>
      <c r="EIX34" s="16"/>
      <c r="EIY34" s="16"/>
      <c r="EIZ34" s="16"/>
      <c r="EJA34" s="16"/>
      <c r="EJB34" s="16"/>
      <c r="EJC34" s="16"/>
      <c r="EJD34" s="16"/>
      <c r="EJE34" s="16"/>
      <c r="EJF34" s="16"/>
      <c r="EJG34" s="16"/>
      <c r="EJH34" s="16"/>
      <c r="EJI34" s="16"/>
      <c r="EJJ34" s="16"/>
      <c r="EJK34" s="16"/>
      <c r="EJL34" s="16"/>
      <c r="EJM34" s="16"/>
      <c r="EJN34" s="16"/>
      <c r="EJO34" s="16"/>
      <c r="EJP34" s="16"/>
      <c r="EJQ34" s="16"/>
      <c r="EJR34" s="16"/>
      <c r="EJS34" s="16"/>
      <c r="EJT34" s="16"/>
      <c r="EJU34" s="16"/>
      <c r="EJV34" s="16"/>
      <c r="EJW34" s="16"/>
      <c r="EJX34" s="16"/>
      <c r="EJY34" s="16"/>
      <c r="EJZ34" s="16"/>
      <c r="EKA34" s="16"/>
      <c r="EKB34" s="16"/>
      <c r="EKC34" s="16"/>
      <c r="EKD34" s="16"/>
      <c r="EKE34" s="16"/>
      <c r="EKF34" s="16"/>
      <c r="EKG34" s="16"/>
      <c r="EKH34" s="16"/>
      <c r="EKI34" s="16"/>
      <c r="EKJ34" s="16"/>
      <c r="EKK34" s="16"/>
      <c r="EKL34" s="16"/>
      <c r="EKM34" s="16"/>
      <c r="EKN34" s="16"/>
      <c r="EKO34" s="16"/>
      <c r="EKP34" s="16"/>
      <c r="EKQ34" s="16"/>
      <c r="EKR34" s="16"/>
      <c r="EKS34" s="16"/>
      <c r="EKT34" s="16"/>
      <c r="EKU34" s="16"/>
      <c r="EKV34" s="16"/>
      <c r="EKW34" s="16"/>
      <c r="EKX34" s="16"/>
      <c r="EKY34" s="16"/>
      <c r="EKZ34" s="16"/>
      <c r="ELA34" s="16"/>
      <c r="ELB34" s="16"/>
      <c r="ELC34" s="16"/>
      <c r="ELD34" s="16"/>
      <c r="ELE34" s="16"/>
      <c r="ELF34" s="16"/>
      <c r="ELG34" s="16"/>
      <c r="ELH34" s="16"/>
      <c r="ELI34" s="16"/>
      <c r="ELJ34" s="16"/>
      <c r="ELK34" s="16"/>
      <c r="ELL34" s="16"/>
      <c r="ELM34" s="16"/>
      <c r="ELN34" s="16"/>
      <c r="ELO34" s="16"/>
      <c r="ELP34" s="16"/>
      <c r="ELQ34" s="16"/>
      <c r="ELR34" s="16"/>
      <c r="ELS34" s="16"/>
      <c r="ELT34" s="16"/>
      <c r="ELU34" s="16"/>
      <c r="ELV34" s="16"/>
      <c r="ELW34" s="16"/>
      <c r="ELX34" s="16"/>
      <c r="ELY34" s="16"/>
      <c r="ELZ34" s="16"/>
      <c r="EMA34" s="16"/>
      <c r="EMB34" s="16"/>
      <c r="EMC34" s="16"/>
      <c r="EMD34" s="16"/>
      <c r="EME34" s="16"/>
      <c r="EMF34" s="16"/>
      <c r="EMG34" s="16"/>
      <c r="EMH34" s="16"/>
      <c r="EMI34" s="16"/>
      <c r="EMJ34" s="16"/>
      <c r="EMK34" s="16"/>
      <c r="EML34" s="16"/>
      <c r="EMM34" s="16"/>
      <c r="EMN34" s="16"/>
      <c r="EMO34" s="16"/>
      <c r="EMP34" s="16"/>
      <c r="EMQ34" s="16"/>
      <c r="EMR34" s="16"/>
      <c r="EMS34" s="16"/>
      <c r="EMT34" s="16"/>
      <c r="EMU34" s="16"/>
      <c r="EMV34" s="16"/>
      <c r="EMW34" s="16"/>
      <c r="EMX34" s="16"/>
      <c r="EMY34" s="16"/>
      <c r="EMZ34" s="16"/>
      <c r="ENA34" s="16"/>
      <c r="ENB34" s="16"/>
      <c r="ENC34" s="16"/>
      <c r="END34" s="16"/>
      <c r="ENE34" s="16"/>
      <c r="ENF34" s="16"/>
      <c r="ENG34" s="16"/>
      <c r="ENH34" s="16"/>
      <c r="ENI34" s="16"/>
      <c r="ENJ34" s="16"/>
      <c r="ENK34" s="16"/>
      <c r="ENL34" s="16"/>
      <c r="ENM34" s="16"/>
      <c r="ENN34" s="16"/>
      <c r="ENO34" s="16"/>
      <c r="ENP34" s="16"/>
      <c r="ENQ34" s="16"/>
      <c r="ENR34" s="16"/>
      <c r="ENS34" s="16"/>
      <c r="ENT34" s="16"/>
      <c r="ENU34" s="16"/>
      <c r="ENV34" s="16"/>
      <c r="ENW34" s="16"/>
      <c r="ENX34" s="16"/>
      <c r="ENY34" s="16"/>
      <c r="ENZ34" s="16"/>
      <c r="EOA34" s="16"/>
      <c r="EOB34" s="16"/>
      <c r="EOC34" s="16"/>
      <c r="EOD34" s="16"/>
      <c r="EOE34" s="16"/>
      <c r="EOF34" s="16"/>
      <c r="EOG34" s="16"/>
      <c r="EOH34" s="16"/>
      <c r="EOI34" s="16"/>
      <c r="EOJ34" s="16"/>
      <c r="EOK34" s="16"/>
      <c r="EOL34" s="16"/>
      <c r="EOM34" s="16"/>
      <c r="EON34" s="16"/>
      <c r="EOO34" s="16"/>
      <c r="EOP34" s="16"/>
      <c r="EOQ34" s="16"/>
      <c r="EOR34" s="16"/>
      <c r="EOS34" s="16"/>
      <c r="EOT34" s="16"/>
      <c r="EOU34" s="16"/>
      <c r="EOV34" s="16"/>
      <c r="EOW34" s="16"/>
      <c r="EOX34" s="16"/>
      <c r="EOY34" s="16"/>
      <c r="EOZ34" s="16"/>
      <c r="EPA34" s="16"/>
      <c r="EPB34" s="16"/>
      <c r="EPC34" s="16"/>
      <c r="EPD34" s="16"/>
      <c r="EPE34" s="16"/>
      <c r="EPF34" s="16"/>
      <c r="EPG34" s="16"/>
      <c r="EPH34" s="16"/>
      <c r="EPI34" s="16"/>
      <c r="EPJ34" s="16"/>
      <c r="EPK34" s="16"/>
      <c r="EPL34" s="16"/>
      <c r="EPM34" s="16"/>
      <c r="EPN34" s="16"/>
      <c r="EPO34" s="16"/>
      <c r="EPP34" s="16"/>
      <c r="EPQ34" s="16"/>
      <c r="EPR34" s="16"/>
      <c r="EPS34" s="16"/>
      <c r="EPT34" s="16"/>
      <c r="EPU34" s="16"/>
      <c r="EPV34" s="16"/>
      <c r="EPW34" s="16"/>
      <c r="EPX34" s="16"/>
      <c r="EPY34" s="16"/>
      <c r="EPZ34" s="16"/>
      <c r="EQA34" s="16"/>
      <c r="EQB34" s="16"/>
      <c r="EQC34" s="16"/>
      <c r="EQD34" s="16"/>
      <c r="EQE34" s="16"/>
      <c r="EQF34" s="16"/>
      <c r="EQG34" s="16"/>
      <c r="EQH34" s="16"/>
      <c r="EQI34" s="16"/>
      <c r="EQJ34" s="16"/>
      <c r="EQK34" s="16"/>
      <c r="EQL34" s="16"/>
      <c r="EQM34" s="16"/>
      <c r="EQN34" s="16"/>
      <c r="EQO34" s="16"/>
      <c r="EQP34" s="16"/>
      <c r="EQQ34" s="16"/>
      <c r="EQR34" s="16"/>
      <c r="EQS34" s="16"/>
      <c r="EQT34" s="16"/>
      <c r="EQU34" s="16"/>
      <c r="EQV34" s="16"/>
      <c r="EQW34" s="16"/>
      <c r="EQX34" s="16"/>
      <c r="EQY34" s="16"/>
      <c r="EQZ34" s="16"/>
      <c r="ERA34" s="16"/>
      <c r="ERB34" s="16"/>
      <c r="ERC34" s="16"/>
      <c r="ERD34" s="16"/>
      <c r="ERE34" s="16"/>
      <c r="ERF34" s="16"/>
      <c r="ERG34" s="16"/>
      <c r="ERH34" s="16"/>
      <c r="ERI34" s="16"/>
      <c r="ERJ34" s="16"/>
      <c r="ERK34" s="16"/>
      <c r="ERL34" s="16"/>
      <c r="ERM34" s="16"/>
      <c r="ERN34" s="16"/>
      <c r="ERO34" s="16"/>
      <c r="ERP34" s="16"/>
      <c r="ERQ34" s="16"/>
      <c r="ERR34" s="16"/>
      <c r="ERS34" s="16"/>
      <c r="ERT34" s="16"/>
      <c r="ERU34" s="16"/>
      <c r="ERV34" s="16"/>
      <c r="ERW34" s="16"/>
      <c r="ERX34" s="16"/>
      <c r="ERY34" s="16"/>
      <c r="ERZ34" s="16"/>
      <c r="ESA34" s="16"/>
      <c r="ESB34" s="16"/>
      <c r="ESC34" s="16"/>
      <c r="ESD34" s="16"/>
      <c r="ESE34" s="16"/>
      <c r="ESF34" s="16"/>
      <c r="ESG34" s="16"/>
      <c r="ESH34" s="16"/>
      <c r="ESI34" s="16"/>
      <c r="ESJ34" s="16"/>
      <c r="ESK34" s="16"/>
      <c r="ESL34" s="16"/>
      <c r="ESM34" s="16"/>
      <c r="ESN34" s="16"/>
      <c r="ESO34" s="16"/>
      <c r="ESP34" s="16"/>
      <c r="ESQ34" s="16"/>
      <c r="ESR34" s="16"/>
      <c r="ESS34" s="16"/>
      <c r="EST34" s="16"/>
      <c r="ESU34" s="16"/>
      <c r="ESV34" s="16"/>
      <c r="ESW34" s="16"/>
      <c r="ESX34" s="16"/>
      <c r="ESY34" s="16"/>
      <c r="ESZ34" s="16"/>
      <c r="ETA34" s="16"/>
      <c r="ETB34" s="16"/>
      <c r="ETC34" s="16"/>
      <c r="ETD34" s="16"/>
      <c r="ETE34" s="16"/>
      <c r="ETF34" s="16"/>
      <c r="ETG34" s="16"/>
      <c r="ETH34" s="16"/>
      <c r="ETI34" s="16"/>
      <c r="ETJ34" s="16"/>
      <c r="ETK34" s="16"/>
      <c r="ETL34" s="16"/>
      <c r="ETM34" s="16"/>
      <c r="ETN34" s="16"/>
      <c r="ETO34" s="16"/>
      <c r="ETP34" s="16"/>
      <c r="ETQ34" s="16"/>
      <c r="ETR34" s="16"/>
      <c r="ETS34" s="16"/>
      <c r="ETT34" s="16"/>
      <c r="ETU34" s="16"/>
      <c r="ETV34" s="16"/>
      <c r="ETW34" s="16"/>
      <c r="ETX34" s="16"/>
      <c r="ETY34" s="16"/>
      <c r="ETZ34" s="16"/>
      <c r="EUA34" s="16"/>
      <c r="EUB34" s="16"/>
      <c r="EUC34" s="16"/>
      <c r="EUD34" s="16"/>
      <c r="EUE34" s="16"/>
      <c r="EUF34" s="16"/>
      <c r="EUG34" s="16"/>
      <c r="EUH34" s="16"/>
      <c r="EUI34" s="16"/>
      <c r="EUJ34" s="16"/>
      <c r="EUK34" s="16"/>
      <c r="EUL34" s="16"/>
      <c r="EUM34" s="16"/>
      <c r="EUN34" s="16"/>
      <c r="EUO34" s="16"/>
      <c r="EUP34" s="16"/>
      <c r="EUQ34" s="16"/>
      <c r="EUR34" s="16"/>
      <c r="EUS34" s="16"/>
      <c r="EUT34" s="16"/>
      <c r="EUU34" s="16"/>
      <c r="EUV34" s="16"/>
      <c r="EUW34" s="16"/>
      <c r="EUX34" s="16"/>
      <c r="EUY34" s="16"/>
      <c r="EUZ34" s="16"/>
      <c r="EVA34" s="16"/>
      <c r="EVB34" s="16"/>
      <c r="EVC34" s="16"/>
      <c r="EVD34" s="16"/>
      <c r="EVE34" s="16"/>
      <c r="EVF34" s="16"/>
      <c r="EVG34" s="16"/>
      <c r="EVH34" s="16"/>
      <c r="EVI34" s="16"/>
      <c r="EVJ34" s="16"/>
      <c r="EVK34" s="16"/>
      <c r="EVL34" s="16"/>
      <c r="EVM34" s="16"/>
      <c r="EVN34" s="16"/>
      <c r="EVO34" s="16"/>
      <c r="EVP34" s="16"/>
      <c r="EVQ34" s="16"/>
      <c r="EVR34" s="16"/>
      <c r="EVS34" s="16"/>
      <c r="EVT34" s="16"/>
      <c r="EVU34" s="16"/>
      <c r="EVV34" s="16"/>
      <c r="EVW34" s="16"/>
      <c r="EVX34" s="16"/>
      <c r="EVY34" s="16"/>
      <c r="EVZ34" s="16"/>
      <c r="EWA34" s="16"/>
      <c r="EWB34" s="16"/>
      <c r="EWC34" s="16"/>
      <c r="EWD34" s="16"/>
      <c r="EWE34" s="16"/>
      <c r="EWF34" s="16"/>
      <c r="EWG34" s="16"/>
      <c r="EWH34" s="16"/>
      <c r="EWI34" s="16"/>
      <c r="EWJ34" s="16"/>
      <c r="EWK34" s="16"/>
      <c r="EWL34" s="16"/>
      <c r="EWM34" s="16"/>
      <c r="EWN34" s="16"/>
      <c r="EWO34" s="16"/>
      <c r="EWP34" s="16"/>
      <c r="EWQ34" s="16"/>
      <c r="EWR34" s="16"/>
      <c r="EWS34" s="16"/>
      <c r="EWT34" s="16"/>
      <c r="EWU34" s="16"/>
      <c r="EWV34" s="16"/>
      <c r="EWW34" s="16"/>
      <c r="EWX34" s="16"/>
      <c r="EWY34" s="16"/>
      <c r="EWZ34" s="16"/>
      <c r="EXA34" s="16"/>
      <c r="EXB34" s="16"/>
      <c r="EXC34" s="16"/>
      <c r="EXD34" s="16"/>
      <c r="EXE34" s="16"/>
      <c r="EXF34" s="16"/>
      <c r="EXG34" s="16"/>
      <c r="EXH34" s="16"/>
      <c r="EXI34" s="16"/>
      <c r="EXJ34" s="16"/>
      <c r="EXK34" s="16"/>
      <c r="EXL34" s="16"/>
      <c r="EXM34" s="16"/>
      <c r="EXN34" s="16"/>
      <c r="EXO34" s="16"/>
      <c r="EXP34" s="16"/>
      <c r="EXQ34" s="16"/>
      <c r="EXR34" s="16"/>
      <c r="EXS34" s="16"/>
      <c r="EXT34" s="16"/>
      <c r="EXU34" s="16"/>
      <c r="EXV34" s="16"/>
      <c r="EXW34" s="16"/>
      <c r="EXX34" s="16"/>
      <c r="EXY34" s="16"/>
      <c r="EXZ34" s="16"/>
      <c r="EYA34" s="16"/>
      <c r="EYB34" s="16"/>
      <c r="EYC34" s="16"/>
      <c r="EYD34" s="16"/>
      <c r="EYE34" s="16"/>
      <c r="EYF34" s="16"/>
      <c r="EYG34" s="16"/>
      <c r="EYH34" s="16"/>
      <c r="EYI34" s="16"/>
      <c r="EYJ34" s="16"/>
      <c r="EYK34" s="16"/>
      <c r="EYL34" s="16"/>
      <c r="EYM34" s="16"/>
      <c r="EYN34" s="16"/>
      <c r="EYO34" s="16"/>
      <c r="EYP34" s="16"/>
      <c r="EYQ34" s="16"/>
      <c r="EYR34" s="16"/>
      <c r="EYS34" s="16"/>
      <c r="EYT34" s="16"/>
      <c r="EYU34" s="16"/>
      <c r="EYV34" s="16"/>
      <c r="EYW34" s="16"/>
      <c r="EYX34" s="16"/>
      <c r="EYY34" s="16"/>
      <c r="EYZ34" s="16"/>
      <c r="EZA34" s="16"/>
      <c r="EZB34" s="16"/>
      <c r="EZC34" s="16"/>
      <c r="EZD34" s="16"/>
      <c r="EZE34" s="16"/>
      <c r="EZF34" s="16"/>
      <c r="EZG34" s="16"/>
      <c r="EZH34" s="16"/>
      <c r="EZI34" s="16"/>
      <c r="EZJ34" s="16"/>
      <c r="EZK34" s="16"/>
      <c r="EZL34" s="16"/>
      <c r="EZM34" s="16"/>
      <c r="EZN34" s="16"/>
      <c r="EZO34" s="16"/>
      <c r="EZP34" s="16"/>
      <c r="EZQ34" s="16"/>
      <c r="EZR34" s="16"/>
      <c r="EZS34" s="16"/>
      <c r="EZT34" s="16"/>
      <c r="EZU34" s="16"/>
      <c r="EZV34" s="16"/>
      <c r="EZW34" s="16"/>
      <c r="EZX34" s="16"/>
      <c r="EZY34" s="16"/>
      <c r="EZZ34" s="16"/>
      <c r="FAA34" s="16"/>
      <c r="FAB34" s="16"/>
      <c r="FAC34" s="16"/>
      <c r="FAD34" s="16"/>
      <c r="FAE34" s="16"/>
      <c r="FAF34" s="16"/>
      <c r="FAG34" s="16"/>
      <c r="FAH34" s="16"/>
      <c r="FAI34" s="16"/>
      <c r="FAJ34" s="16"/>
      <c r="FAK34" s="16"/>
      <c r="FAL34" s="16"/>
      <c r="FAM34" s="16"/>
      <c r="FAN34" s="16"/>
      <c r="FAO34" s="16"/>
      <c r="FAP34" s="16"/>
      <c r="FAQ34" s="16"/>
      <c r="FAR34" s="16"/>
      <c r="FAS34" s="16"/>
      <c r="FAT34" s="16"/>
      <c r="FAU34" s="16"/>
      <c r="FAV34" s="16"/>
      <c r="FAW34" s="16"/>
      <c r="FAX34" s="16"/>
      <c r="FAY34" s="16"/>
      <c r="FAZ34" s="16"/>
      <c r="FBA34" s="16"/>
      <c r="FBB34" s="16"/>
      <c r="FBC34" s="16"/>
      <c r="FBD34" s="16"/>
      <c r="FBE34" s="16"/>
      <c r="FBF34" s="16"/>
      <c r="FBG34" s="16"/>
      <c r="FBH34" s="16"/>
      <c r="FBI34" s="16"/>
      <c r="FBJ34" s="16"/>
      <c r="FBK34" s="16"/>
      <c r="FBL34" s="16"/>
      <c r="FBM34" s="16"/>
      <c r="FBN34" s="16"/>
      <c r="FBO34" s="16"/>
      <c r="FBP34" s="16"/>
      <c r="FBQ34" s="16"/>
      <c r="FBR34" s="16"/>
      <c r="FBS34" s="16"/>
      <c r="FBT34" s="16"/>
      <c r="FBU34" s="16"/>
      <c r="FBV34" s="16"/>
      <c r="FBW34" s="16"/>
      <c r="FBX34" s="16"/>
      <c r="FBY34" s="16"/>
      <c r="FBZ34" s="16"/>
      <c r="FCA34" s="16"/>
      <c r="FCB34" s="16"/>
      <c r="FCC34" s="16"/>
      <c r="FCD34" s="16"/>
      <c r="FCE34" s="16"/>
      <c r="FCF34" s="16"/>
      <c r="FCG34" s="16"/>
      <c r="FCH34" s="16"/>
      <c r="FCI34" s="16"/>
      <c r="FCJ34" s="16"/>
      <c r="FCK34" s="16"/>
      <c r="FCL34" s="16"/>
      <c r="FCM34" s="16"/>
      <c r="FCN34" s="16"/>
      <c r="FCO34" s="16"/>
      <c r="FCP34" s="16"/>
      <c r="FCQ34" s="16"/>
      <c r="FCR34" s="16"/>
      <c r="FCS34" s="16"/>
      <c r="FCT34" s="16"/>
      <c r="FCU34" s="16"/>
      <c r="FCV34" s="16"/>
      <c r="FCW34" s="16"/>
      <c r="FCX34" s="16"/>
      <c r="FCY34" s="16"/>
      <c r="FCZ34" s="16"/>
      <c r="FDA34" s="16"/>
      <c r="FDB34" s="16"/>
      <c r="FDC34" s="16"/>
      <c r="FDD34" s="16"/>
      <c r="FDE34" s="16"/>
      <c r="FDF34" s="16"/>
      <c r="FDG34" s="16"/>
      <c r="FDH34" s="16"/>
      <c r="FDI34" s="16"/>
      <c r="FDJ34" s="16"/>
      <c r="FDK34" s="16"/>
      <c r="FDL34" s="16"/>
      <c r="FDM34" s="16"/>
      <c r="FDN34" s="16"/>
      <c r="FDO34" s="16"/>
      <c r="FDP34" s="16"/>
      <c r="FDQ34" s="16"/>
      <c r="FDR34" s="16"/>
      <c r="FDS34" s="16"/>
      <c r="FDT34" s="16"/>
      <c r="FDU34" s="16"/>
      <c r="FDV34" s="16"/>
      <c r="FDW34" s="16"/>
      <c r="FDX34" s="16"/>
      <c r="FDY34" s="16"/>
      <c r="FDZ34" s="16"/>
      <c r="FEA34" s="16"/>
      <c r="FEB34" s="16"/>
      <c r="FEC34" s="16"/>
      <c r="FED34" s="16"/>
      <c r="FEE34" s="16"/>
      <c r="FEF34" s="16"/>
      <c r="FEG34" s="16"/>
      <c r="FEH34" s="16"/>
      <c r="FEI34" s="16"/>
      <c r="FEJ34" s="16"/>
      <c r="FEK34" s="16"/>
      <c r="FEL34" s="16"/>
      <c r="FEM34" s="16"/>
      <c r="FEN34" s="16"/>
      <c r="FEO34" s="16"/>
      <c r="FEP34" s="16"/>
      <c r="FEQ34" s="16"/>
      <c r="FER34" s="16"/>
      <c r="FES34" s="16"/>
      <c r="FET34" s="16"/>
      <c r="FEU34" s="16"/>
      <c r="FEV34" s="16"/>
      <c r="FEW34" s="16"/>
      <c r="FEX34" s="16"/>
      <c r="FEY34" s="16"/>
      <c r="FEZ34" s="16"/>
      <c r="FFA34" s="16"/>
      <c r="FFB34" s="16"/>
      <c r="FFC34" s="16"/>
      <c r="FFD34" s="16"/>
      <c r="FFE34" s="16"/>
      <c r="FFF34" s="16"/>
      <c r="FFG34" s="16"/>
      <c r="FFH34" s="16"/>
      <c r="FFI34" s="16"/>
      <c r="FFJ34" s="16"/>
      <c r="FFK34" s="16"/>
      <c r="FFL34" s="16"/>
      <c r="FFM34" s="16"/>
      <c r="FFN34" s="16"/>
      <c r="FFO34" s="16"/>
      <c r="FFP34" s="16"/>
      <c r="FFQ34" s="16"/>
      <c r="FFR34" s="16"/>
      <c r="FFS34" s="16"/>
      <c r="FFT34" s="16"/>
      <c r="FFU34" s="16"/>
      <c r="FFV34" s="16"/>
      <c r="FFW34" s="16"/>
      <c r="FFX34" s="16"/>
      <c r="FFY34" s="16"/>
      <c r="FFZ34" s="16"/>
      <c r="FGA34" s="16"/>
      <c r="FGB34" s="16"/>
      <c r="FGC34" s="16"/>
      <c r="FGD34" s="16"/>
      <c r="FGE34" s="16"/>
      <c r="FGF34" s="16"/>
      <c r="FGG34" s="16"/>
      <c r="FGH34" s="16"/>
      <c r="FGI34" s="16"/>
      <c r="FGJ34" s="16"/>
      <c r="FGK34" s="16"/>
      <c r="FGL34" s="16"/>
      <c r="FGM34" s="16"/>
      <c r="FGN34" s="16"/>
      <c r="FGO34" s="16"/>
      <c r="FGP34" s="16"/>
      <c r="FGQ34" s="16"/>
      <c r="FGR34" s="16"/>
      <c r="FGS34" s="16"/>
      <c r="FGT34" s="16"/>
      <c r="FGU34" s="16"/>
      <c r="FGV34" s="16"/>
      <c r="FGW34" s="16"/>
      <c r="FGX34" s="16"/>
      <c r="FGY34" s="16"/>
      <c r="FGZ34" s="16"/>
      <c r="FHA34" s="16"/>
      <c r="FHB34" s="16"/>
      <c r="FHC34" s="16"/>
      <c r="FHD34" s="16"/>
      <c r="FHE34" s="16"/>
      <c r="FHF34" s="16"/>
      <c r="FHG34" s="16"/>
      <c r="FHH34" s="16"/>
      <c r="FHI34" s="16"/>
      <c r="FHJ34" s="16"/>
      <c r="FHK34" s="16"/>
      <c r="FHL34" s="16"/>
      <c r="FHM34" s="16"/>
      <c r="FHN34" s="16"/>
      <c r="FHO34" s="16"/>
      <c r="FHP34" s="16"/>
      <c r="FHQ34" s="16"/>
      <c r="FHR34" s="16"/>
      <c r="FHS34" s="16"/>
      <c r="FHT34" s="16"/>
      <c r="FHU34" s="16"/>
      <c r="FHV34" s="16"/>
      <c r="FHW34" s="16"/>
      <c r="FHX34" s="16"/>
      <c r="FHY34" s="16"/>
      <c r="FHZ34" s="16"/>
      <c r="FIA34" s="16"/>
      <c r="FIB34" s="16"/>
      <c r="FIC34" s="16"/>
      <c r="FID34" s="16"/>
      <c r="FIE34" s="16"/>
      <c r="FIF34" s="16"/>
      <c r="FIG34" s="16"/>
      <c r="FIH34" s="16"/>
      <c r="FII34" s="16"/>
      <c r="FIJ34" s="16"/>
      <c r="FIK34" s="16"/>
      <c r="FIL34" s="16"/>
      <c r="FIM34" s="16"/>
      <c r="FIN34" s="16"/>
      <c r="FIO34" s="16"/>
      <c r="FIP34" s="16"/>
      <c r="FIQ34" s="16"/>
      <c r="FIR34" s="16"/>
      <c r="FIS34" s="16"/>
      <c r="FIT34" s="16"/>
      <c r="FIU34" s="16"/>
      <c r="FIV34" s="16"/>
      <c r="FIW34" s="16"/>
      <c r="FIX34" s="16"/>
      <c r="FIY34" s="16"/>
      <c r="FIZ34" s="16"/>
      <c r="FJA34" s="16"/>
      <c r="FJB34" s="16"/>
      <c r="FJC34" s="16"/>
      <c r="FJD34" s="16"/>
      <c r="FJE34" s="16"/>
      <c r="FJF34" s="16"/>
      <c r="FJG34" s="16"/>
      <c r="FJH34" s="16"/>
      <c r="FJI34" s="16"/>
      <c r="FJJ34" s="16"/>
      <c r="FJK34" s="16"/>
      <c r="FJL34" s="16"/>
      <c r="FJM34" s="16"/>
      <c r="FJN34" s="16"/>
      <c r="FJO34" s="16"/>
      <c r="FJP34" s="16"/>
      <c r="FJQ34" s="16"/>
      <c r="FJR34" s="16"/>
      <c r="FJS34" s="16"/>
      <c r="FJT34" s="16"/>
      <c r="FJU34" s="16"/>
      <c r="FJV34" s="16"/>
      <c r="FJW34" s="16"/>
      <c r="FJX34" s="16"/>
      <c r="FJY34" s="16"/>
      <c r="FJZ34" s="16"/>
      <c r="FKA34" s="16"/>
      <c r="FKB34" s="16"/>
      <c r="FKC34" s="16"/>
      <c r="FKD34" s="16"/>
      <c r="FKE34" s="16"/>
      <c r="FKF34" s="16"/>
      <c r="FKG34" s="16"/>
      <c r="FKH34" s="16"/>
      <c r="FKI34" s="16"/>
      <c r="FKJ34" s="16"/>
      <c r="FKK34" s="16"/>
      <c r="FKL34" s="16"/>
      <c r="FKM34" s="16"/>
      <c r="FKN34" s="16"/>
      <c r="FKO34" s="16"/>
      <c r="FKP34" s="16"/>
      <c r="FKQ34" s="16"/>
      <c r="FKR34" s="16"/>
      <c r="FKS34" s="16"/>
      <c r="FKT34" s="16"/>
      <c r="FKU34" s="16"/>
      <c r="FKV34" s="16"/>
      <c r="FKW34" s="16"/>
      <c r="FKX34" s="16"/>
      <c r="FKY34" s="16"/>
      <c r="FKZ34" s="16"/>
      <c r="FLA34" s="16"/>
      <c r="FLB34" s="16"/>
      <c r="FLC34" s="16"/>
      <c r="FLD34" s="16"/>
      <c r="FLE34" s="16"/>
      <c r="FLF34" s="16"/>
      <c r="FLG34" s="16"/>
      <c r="FLH34" s="16"/>
      <c r="FLI34" s="16"/>
      <c r="FLJ34" s="16"/>
      <c r="FLK34" s="16"/>
      <c r="FLL34" s="16"/>
      <c r="FLM34" s="16"/>
      <c r="FLN34" s="16"/>
      <c r="FLO34" s="16"/>
      <c r="FLP34" s="16"/>
      <c r="FLQ34" s="16"/>
      <c r="FLR34" s="16"/>
      <c r="FLS34" s="16"/>
      <c r="FLT34" s="16"/>
      <c r="FLU34" s="16"/>
      <c r="FLV34" s="16"/>
      <c r="FLW34" s="16"/>
      <c r="FLX34" s="16"/>
      <c r="FLY34" s="16"/>
      <c r="FLZ34" s="16"/>
      <c r="FMA34" s="16"/>
      <c r="FMB34" s="16"/>
      <c r="FMC34" s="16"/>
      <c r="FMD34" s="16"/>
      <c r="FME34" s="16"/>
      <c r="FMF34" s="16"/>
      <c r="FMG34" s="16"/>
      <c r="FMH34" s="16"/>
      <c r="FMI34" s="16"/>
      <c r="FMJ34" s="16"/>
      <c r="FMK34" s="16"/>
      <c r="FML34" s="16"/>
      <c r="FMM34" s="16"/>
      <c r="FMN34" s="16"/>
      <c r="FMO34" s="16"/>
      <c r="FMP34" s="16"/>
      <c r="FMQ34" s="16"/>
      <c r="FMR34" s="16"/>
      <c r="FMS34" s="16"/>
      <c r="FMT34" s="16"/>
      <c r="FMU34" s="16"/>
      <c r="FMV34" s="16"/>
      <c r="FMW34" s="16"/>
      <c r="FMX34" s="16"/>
      <c r="FMY34" s="16"/>
      <c r="FMZ34" s="16"/>
      <c r="FNA34" s="16"/>
      <c r="FNB34" s="16"/>
      <c r="FNC34" s="16"/>
      <c r="FND34" s="16"/>
      <c r="FNE34" s="16"/>
      <c r="FNF34" s="16"/>
      <c r="FNG34" s="16"/>
      <c r="FNH34" s="16"/>
      <c r="FNI34" s="16"/>
      <c r="FNJ34" s="16"/>
      <c r="FNK34" s="16"/>
      <c r="FNL34" s="16"/>
      <c r="FNM34" s="16"/>
      <c r="FNN34" s="16"/>
      <c r="FNO34" s="16"/>
      <c r="FNP34" s="16"/>
      <c r="FNQ34" s="16"/>
      <c r="FNR34" s="16"/>
      <c r="FNS34" s="16"/>
      <c r="FNT34" s="16"/>
      <c r="FNU34" s="16"/>
      <c r="FNV34" s="16"/>
      <c r="FNW34" s="16"/>
      <c r="FNX34" s="16"/>
      <c r="FNY34" s="16"/>
      <c r="FNZ34" s="16"/>
      <c r="FOA34" s="16"/>
      <c r="FOB34" s="16"/>
      <c r="FOC34" s="16"/>
      <c r="FOD34" s="16"/>
      <c r="FOE34" s="16"/>
      <c r="FOF34" s="16"/>
      <c r="FOG34" s="16"/>
      <c r="FOH34" s="16"/>
      <c r="FOI34" s="16"/>
      <c r="FOJ34" s="16"/>
      <c r="FOK34" s="16"/>
      <c r="FOL34" s="16"/>
      <c r="FOM34" s="16"/>
      <c r="FON34" s="16"/>
      <c r="FOO34" s="16"/>
      <c r="FOP34" s="16"/>
      <c r="FOQ34" s="16"/>
      <c r="FOR34" s="16"/>
      <c r="FOS34" s="16"/>
      <c r="FOT34" s="16"/>
      <c r="FOU34" s="16"/>
      <c r="FOV34" s="16"/>
      <c r="FOW34" s="16"/>
      <c r="FOX34" s="16"/>
      <c r="FOY34" s="16"/>
      <c r="FOZ34" s="16"/>
      <c r="FPA34" s="16"/>
      <c r="FPB34" s="16"/>
      <c r="FPC34" s="16"/>
      <c r="FPD34" s="16"/>
      <c r="FPE34" s="16"/>
      <c r="FPF34" s="16"/>
      <c r="FPG34" s="16"/>
      <c r="FPH34" s="16"/>
      <c r="FPI34" s="16"/>
      <c r="FPJ34" s="16"/>
      <c r="FPK34" s="16"/>
      <c r="FPL34" s="16"/>
      <c r="FPM34" s="16"/>
      <c r="FPN34" s="16"/>
      <c r="FPO34" s="16"/>
      <c r="FPP34" s="16"/>
      <c r="FPQ34" s="16"/>
      <c r="FPR34" s="16"/>
      <c r="FPS34" s="16"/>
      <c r="FPT34" s="16"/>
      <c r="FPU34" s="16"/>
      <c r="FPV34" s="16"/>
      <c r="FPW34" s="16"/>
      <c r="FPX34" s="16"/>
      <c r="FPY34" s="16"/>
      <c r="FPZ34" s="16"/>
      <c r="FQA34" s="16"/>
      <c r="FQB34" s="16"/>
      <c r="FQC34" s="16"/>
      <c r="FQD34" s="16"/>
      <c r="FQE34" s="16"/>
      <c r="FQF34" s="16"/>
      <c r="FQG34" s="16"/>
      <c r="FQH34" s="16"/>
      <c r="FQI34" s="16"/>
      <c r="FQJ34" s="16"/>
      <c r="FQK34" s="16"/>
      <c r="FQL34" s="16"/>
      <c r="FQM34" s="16"/>
      <c r="FQN34" s="16"/>
      <c r="FQO34" s="16"/>
      <c r="FQP34" s="16"/>
      <c r="FQQ34" s="16"/>
      <c r="FQR34" s="16"/>
      <c r="FQS34" s="16"/>
      <c r="FQT34" s="16"/>
      <c r="FQU34" s="16"/>
      <c r="FQV34" s="16"/>
      <c r="FQW34" s="16"/>
      <c r="FQX34" s="16"/>
      <c r="FQY34" s="16"/>
      <c r="FQZ34" s="16"/>
      <c r="FRA34" s="16"/>
      <c r="FRB34" s="16"/>
      <c r="FRC34" s="16"/>
      <c r="FRD34" s="16"/>
      <c r="FRE34" s="16"/>
      <c r="FRF34" s="16"/>
      <c r="FRG34" s="16"/>
      <c r="FRH34" s="16"/>
      <c r="FRI34" s="16"/>
      <c r="FRJ34" s="16"/>
      <c r="FRK34" s="16"/>
      <c r="FRL34" s="16"/>
      <c r="FRM34" s="16"/>
      <c r="FRN34" s="16"/>
      <c r="FRO34" s="16"/>
      <c r="FRP34" s="16"/>
      <c r="FRQ34" s="16"/>
      <c r="FRR34" s="16"/>
      <c r="FRS34" s="16"/>
      <c r="FRT34" s="16"/>
      <c r="FRU34" s="16"/>
      <c r="FRV34" s="16"/>
      <c r="FRW34" s="16"/>
      <c r="FRX34" s="16"/>
      <c r="FRY34" s="16"/>
      <c r="FRZ34" s="16"/>
      <c r="FSA34" s="16"/>
      <c r="FSB34" s="16"/>
      <c r="FSC34" s="16"/>
      <c r="FSD34" s="16"/>
      <c r="FSE34" s="16"/>
      <c r="FSF34" s="16"/>
      <c r="FSG34" s="16"/>
      <c r="FSH34" s="16"/>
      <c r="FSI34" s="16"/>
      <c r="FSJ34" s="16"/>
      <c r="FSK34" s="16"/>
      <c r="FSL34" s="16"/>
      <c r="FSM34" s="16"/>
      <c r="FSN34" s="16"/>
      <c r="FSO34" s="16"/>
      <c r="FSP34" s="16"/>
      <c r="FSQ34" s="16"/>
      <c r="FSR34" s="16"/>
      <c r="FSS34" s="16"/>
      <c r="FST34" s="16"/>
      <c r="FSU34" s="16"/>
      <c r="FSV34" s="16"/>
      <c r="FSW34" s="16"/>
      <c r="FSX34" s="16"/>
      <c r="FSY34" s="16"/>
      <c r="FSZ34" s="16"/>
      <c r="FTA34" s="16"/>
      <c r="FTB34" s="16"/>
      <c r="FTC34" s="16"/>
      <c r="FTD34" s="16"/>
      <c r="FTE34" s="16"/>
      <c r="FTF34" s="16"/>
      <c r="FTG34" s="16"/>
      <c r="FTH34" s="16"/>
      <c r="FTI34" s="16"/>
      <c r="FTJ34" s="16"/>
      <c r="FTK34" s="16"/>
      <c r="FTL34" s="16"/>
      <c r="FTM34" s="16"/>
      <c r="FTN34" s="16"/>
      <c r="FTO34" s="16"/>
      <c r="FTP34" s="16"/>
      <c r="FTQ34" s="16"/>
      <c r="FTR34" s="16"/>
      <c r="FTS34" s="16"/>
      <c r="FTT34" s="16"/>
      <c r="FTU34" s="16"/>
      <c r="FTV34" s="16"/>
      <c r="FTW34" s="16"/>
      <c r="FTX34" s="16"/>
      <c r="FTY34" s="16"/>
      <c r="FTZ34" s="16"/>
      <c r="FUA34" s="16"/>
      <c r="FUB34" s="16"/>
      <c r="FUC34" s="16"/>
      <c r="FUD34" s="16"/>
      <c r="FUE34" s="16"/>
      <c r="FUF34" s="16"/>
      <c r="FUG34" s="16"/>
      <c r="FUH34" s="16"/>
      <c r="FUI34" s="16"/>
      <c r="FUJ34" s="16"/>
      <c r="FUK34" s="16"/>
      <c r="FUL34" s="16"/>
      <c r="FUM34" s="16"/>
      <c r="FUN34" s="16"/>
      <c r="FUO34" s="16"/>
      <c r="FUP34" s="16"/>
      <c r="FUQ34" s="16"/>
      <c r="FUR34" s="16"/>
      <c r="FUS34" s="16"/>
      <c r="FUT34" s="16"/>
      <c r="FUU34" s="16"/>
      <c r="FUV34" s="16"/>
      <c r="FUW34" s="16"/>
      <c r="FUX34" s="16"/>
      <c r="FUY34" s="16"/>
      <c r="FUZ34" s="16"/>
      <c r="FVA34" s="16"/>
      <c r="FVB34" s="16"/>
      <c r="FVC34" s="16"/>
      <c r="FVD34" s="16"/>
      <c r="FVE34" s="16"/>
      <c r="FVF34" s="16"/>
      <c r="FVG34" s="16"/>
      <c r="FVH34" s="16"/>
      <c r="FVI34" s="16"/>
      <c r="FVJ34" s="16"/>
      <c r="FVK34" s="16"/>
      <c r="FVL34" s="16"/>
      <c r="FVM34" s="16"/>
      <c r="FVN34" s="16"/>
      <c r="FVO34" s="16"/>
      <c r="FVP34" s="16"/>
      <c r="FVQ34" s="16"/>
      <c r="FVR34" s="16"/>
      <c r="FVS34" s="16"/>
      <c r="FVT34" s="16"/>
      <c r="FVU34" s="16"/>
      <c r="FVV34" s="16"/>
      <c r="FVW34" s="16"/>
      <c r="FVX34" s="16"/>
      <c r="FVY34" s="16"/>
      <c r="FVZ34" s="16"/>
      <c r="FWA34" s="16"/>
      <c r="FWB34" s="16"/>
      <c r="FWC34" s="16"/>
      <c r="FWD34" s="16"/>
      <c r="FWE34" s="16"/>
      <c r="FWF34" s="16"/>
      <c r="FWG34" s="16"/>
      <c r="FWH34" s="16"/>
      <c r="FWI34" s="16"/>
      <c r="FWJ34" s="16"/>
      <c r="FWK34" s="16"/>
      <c r="FWL34" s="16"/>
      <c r="FWM34" s="16"/>
      <c r="FWN34" s="16"/>
      <c r="FWO34" s="16"/>
      <c r="FWP34" s="16"/>
      <c r="FWQ34" s="16"/>
      <c r="FWR34" s="16"/>
      <c r="FWS34" s="16"/>
      <c r="FWT34" s="16"/>
      <c r="FWU34" s="16"/>
      <c r="FWV34" s="16"/>
      <c r="FWW34" s="16"/>
      <c r="FWX34" s="16"/>
      <c r="FWY34" s="16"/>
      <c r="FWZ34" s="16"/>
      <c r="FXA34" s="16"/>
      <c r="FXB34" s="16"/>
      <c r="FXC34" s="16"/>
      <c r="FXD34" s="16"/>
      <c r="FXE34" s="16"/>
      <c r="FXF34" s="16"/>
      <c r="FXG34" s="16"/>
      <c r="FXH34" s="16"/>
      <c r="FXI34" s="16"/>
      <c r="FXJ34" s="16"/>
      <c r="FXK34" s="16"/>
      <c r="FXL34" s="16"/>
      <c r="FXM34" s="16"/>
      <c r="FXN34" s="16"/>
      <c r="FXO34" s="16"/>
      <c r="FXP34" s="16"/>
      <c r="FXQ34" s="16"/>
      <c r="FXR34" s="16"/>
      <c r="FXS34" s="16"/>
      <c r="FXT34" s="16"/>
      <c r="FXU34" s="16"/>
      <c r="FXV34" s="16"/>
      <c r="FXW34" s="16"/>
      <c r="FXX34" s="16"/>
      <c r="FXY34" s="16"/>
      <c r="FXZ34" s="16"/>
      <c r="FYA34" s="16"/>
      <c r="FYB34" s="16"/>
      <c r="FYC34" s="16"/>
      <c r="FYD34" s="16"/>
      <c r="FYE34" s="16"/>
      <c r="FYF34" s="16"/>
      <c r="FYG34" s="16"/>
      <c r="FYH34" s="16"/>
      <c r="FYI34" s="16"/>
      <c r="FYJ34" s="16"/>
      <c r="FYK34" s="16"/>
      <c r="FYL34" s="16"/>
      <c r="FYM34" s="16"/>
      <c r="FYN34" s="16"/>
      <c r="FYO34" s="16"/>
      <c r="FYP34" s="16"/>
      <c r="FYQ34" s="16"/>
      <c r="FYR34" s="16"/>
      <c r="FYS34" s="16"/>
      <c r="FYT34" s="16"/>
      <c r="FYU34" s="16"/>
      <c r="FYV34" s="16"/>
      <c r="FYW34" s="16"/>
      <c r="FYX34" s="16"/>
      <c r="FYY34" s="16"/>
      <c r="FYZ34" s="16"/>
      <c r="FZA34" s="16"/>
      <c r="FZB34" s="16"/>
      <c r="FZC34" s="16"/>
      <c r="FZD34" s="16"/>
      <c r="FZE34" s="16"/>
      <c r="FZF34" s="16"/>
      <c r="FZG34" s="16"/>
      <c r="FZH34" s="16"/>
      <c r="FZI34" s="16"/>
      <c r="FZJ34" s="16"/>
      <c r="FZK34" s="16"/>
      <c r="FZL34" s="16"/>
      <c r="FZM34" s="16"/>
      <c r="FZN34" s="16"/>
      <c r="FZO34" s="16"/>
      <c r="FZP34" s="16"/>
      <c r="FZQ34" s="16"/>
      <c r="FZR34" s="16"/>
      <c r="FZS34" s="16"/>
      <c r="FZT34" s="16"/>
      <c r="FZU34" s="16"/>
      <c r="FZV34" s="16"/>
      <c r="FZW34" s="16"/>
      <c r="FZX34" s="16"/>
      <c r="FZY34" s="16"/>
      <c r="FZZ34" s="16"/>
      <c r="GAA34" s="16"/>
      <c r="GAB34" s="16"/>
      <c r="GAC34" s="16"/>
      <c r="GAD34" s="16"/>
      <c r="GAE34" s="16"/>
      <c r="GAF34" s="16"/>
      <c r="GAG34" s="16"/>
      <c r="GAH34" s="16"/>
      <c r="GAI34" s="16"/>
      <c r="GAJ34" s="16"/>
      <c r="GAK34" s="16"/>
      <c r="GAL34" s="16"/>
      <c r="GAM34" s="16"/>
      <c r="GAN34" s="16"/>
      <c r="GAO34" s="16"/>
      <c r="GAP34" s="16"/>
      <c r="GAQ34" s="16"/>
      <c r="GAR34" s="16"/>
      <c r="GAS34" s="16"/>
      <c r="GAT34" s="16"/>
      <c r="GAU34" s="16"/>
      <c r="GAV34" s="16"/>
      <c r="GAW34" s="16"/>
      <c r="GAX34" s="16"/>
      <c r="GAY34" s="16"/>
      <c r="GAZ34" s="16"/>
      <c r="GBA34" s="16"/>
      <c r="GBB34" s="16"/>
      <c r="GBC34" s="16"/>
      <c r="GBD34" s="16"/>
      <c r="GBE34" s="16"/>
      <c r="GBF34" s="16"/>
      <c r="GBG34" s="16"/>
      <c r="GBH34" s="16"/>
      <c r="GBI34" s="16"/>
      <c r="GBJ34" s="16"/>
      <c r="GBK34" s="16"/>
      <c r="GBL34" s="16"/>
      <c r="GBM34" s="16"/>
      <c r="GBN34" s="16"/>
      <c r="GBO34" s="16"/>
      <c r="GBP34" s="16"/>
      <c r="GBQ34" s="16"/>
      <c r="GBR34" s="16"/>
      <c r="GBS34" s="16"/>
      <c r="GBT34" s="16"/>
      <c r="GBU34" s="16"/>
      <c r="GBV34" s="16"/>
      <c r="GBW34" s="16"/>
      <c r="GBX34" s="16"/>
      <c r="GBY34" s="16"/>
      <c r="GBZ34" s="16"/>
      <c r="GCA34" s="16"/>
      <c r="GCB34" s="16"/>
      <c r="GCC34" s="16"/>
      <c r="GCD34" s="16"/>
      <c r="GCE34" s="16"/>
      <c r="GCF34" s="16"/>
      <c r="GCG34" s="16"/>
      <c r="GCH34" s="16"/>
      <c r="GCI34" s="16"/>
      <c r="GCJ34" s="16"/>
      <c r="GCK34" s="16"/>
      <c r="GCL34" s="16"/>
      <c r="GCM34" s="16"/>
      <c r="GCN34" s="16"/>
      <c r="GCO34" s="16"/>
      <c r="GCP34" s="16"/>
      <c r="GCQ34" s="16"/>
      <c r="GCR34" s="16"/>
      <c r="GCS34" s="16"/>
      <c r="GCT34" s="16"/>
      <c r="GCU34" s="16"/>
      <c r="GCV34" s="16"/>
      <c r="GCW34" s="16"/>
      <c r="GCX34" s="16"/>
      <c r="GCY34" s="16"/>
      <c r="GCZ34" s="16"/>
      <c r="GDA34" s="16"/>
      <c r="GDB34" s="16"/>
      <c r="GDC34" s="16"/>
      <c r="GDD34" s="16"/>
      <c r="GDE34" s="16"/>
      <c r="GDF34" s="16"/>
      <c r="GDG34" s="16"/>
      <c r="GDH34" s="16"/>
      <c r="GDI34" s="16"/>
      <c r="GDJ34" s="16"/>
      <c r="GDK34" s="16"/>
      <c r="GDL34" s="16"/>
      <c r="GDM34" s="16"/>
      <c r="GDN34" s="16"/>
      <c r="GDO34" s="16"/>
      <c r="GDP34" s="16"/>
      <c r="GDQ34" s="16"/>
      <c r="GDR34" s="16"/>
      <c r="GDS34" s="16"/>
      <c r="GDT34" s="16"/>
      <c r="GDU34" s="16"/>
      <c r="GDV34" s="16"/>
      <c r="GDW34" s="16"/>
      <c r="GDX34" s="16"/>
      <c r="GDY34" s="16"/>
      <c r="GDZ34" s="16"/>
      <c r="GEA34" s="16"/>
      <c r="GEB34" s="16"/>
      <c r="GEC34" s="16"/>
      <c r="GED34" s="16"/>
      <c r="GEE34" s="16"/>
      <c r="GEF34" s="16"/>
      <c r="GEG34" s="16"/>
      <c r="GEH34" s="16"/>
      <c r="GEI34" s="16"/>
      <c r="GEJ34" s="16"/>
      <c r="GEK34" s="16"/>
      <c r="GEL34" s="16"/>
      <c r="GEM34" s="16"/>
      <c r="GEN34" s="16"/>
      <c r="GEO34" s="16"/>
      <c r="GEP34" s="16"/>
      <c r="GEQ34" s="16"/>
      <c r="GER34" s="16"/>
      <c r="GES34" s="16"/>
      <c r="GET34" s="16"/>
      <c r="GEU34" s="16"/>
      <c r="GEV34" s="16"/>
      <c r="GEW34" s="16"/>
      <c r="GEX34" s="16"/>
      <c r="GEY34" s="16"/>
      <c r="GEZ34" s="16"/>
      <c r="GFA34" s="16"/>
      <c r="GFB34" s="16"/>
      <c r="GFC34" s="16"/>
      <c r="GFD34" s="16"/>
      <c r="GFE34" s="16"/>
      <c r="GFF34" s="16"/>
      <c r="GFG34" s="16"/>
      <c r="GFH34" s="16"/>
      <c r="GFI34" s="16"/>
      <c r="GFJ34" s="16"/>
      <c r="GFK34" s="16"/>
      <c r="GFL34" s="16"/>
      <c r="GFM34" s="16"/>
      <c r="GFN34" s="16"/>
      <c r="GFO34" s="16"/>
      <c r="GFP34" s="16"/>
      <c r="GFQ34" s="16"/>
      <c r="GFR34" s="16"/>
      <c r="GFS34" s="16"/>
      <c r="GFT34" s="16"/>
      <c r="GFU34" s="16"/>
      <c r="GFV34" s="16"/>
      <c r="GFW34" s="16"/>
      <c r="GFX34" s="16"/>
      <c r="GFY34" s="16"/>
      <c r="GFZ34" s="16"/>
      <c r="GGA34" s="16"/>
      <c r="GGB34" s="16"/>
      <c r="GGC34" s="16"/>
      <c r="GGD34" s="16"/>
      <c r="GGE34" s="16"/>
      <c r="GGF34" s="16"/>
      <c r="GGG34" s="16"/>
      <c r="GGH34" s="16"/>
      <c r="GGI34" s="16"/>
      <c r="GGJ34" s="16"/>
      <c r="GGK34" s="16"/>
      <c r="GGL34" s="16"/>
      <c r="GGM34" s="16"/>
      <c r="GGN34" s="16"/>
      <c r="GGO34" s="16"/>
      <c r="GGP34" s="16"/>
      <c r="GGQ34" s="16"/>
      <c r="GGR34" s="16"/>
      <c r="GGS34" s="16"/>
      <c r="GGT34" s="16"/>
      <c r="GGU34" s="16"/>
      <c r="GGV34" s="16"/>
      <c r="GGW34" s="16"/>
      <c r="GGX34" s="16"/>
      <c r="GGY34" s="16"/>
      <c r="GGZ34" s="16"/>
      <c r="GHA34" s="16"/>
      <c r="GHB34" s="16"/>
      <c r="GHC34" s="16"/>
      <c r="GHD34" s="16"/>
      <c r="GHE34" s="16"/>
      <c r="GHF34" s="16"/>
      <c r="GHG34" s="16"/>
      <c r="GHH34" s="16"/>
      <c r="GHI34" s="16"/>
      <c r="GHJ34" s="16"/>
      <c r="GHK34" s="16"/>
      <c r="GHL34" s="16"/>
      <c r="GHM34" s="16"/>
      <c r="GHN34" s="16"/>
      <c r="GHO34" s="16"/>
      <c r="GHP34" s="16"/>
      <c r="GHQ34" s="16"/>
      <c r="GHR34" s="16"/>
      <c r="GHS34" s="16"/>
      <c r="GHT34" s="16"/>
      <c r="GHU34" s="16"/>
      <c r="GHV34" s="16"/>
      <c r="GHW34" s="16"/>
      <c r="GHX34" s="16"/>
      <c r="GHY34" s="16"/>
      <c r="GHZ34" s="16"/>
      <c r="GIA34" s="16"/>
      <c r="GIB34" s="16"/>
      <c r="GIC34" s="16"/>
      <c r="GID34" s="16"/>
      <c r="GIE34" s="16"/>
      <c r="GIF34" s="16"/>
      <c r="GIG34" s="16"/>
      <c r="GIH34" s="16"/>
      <c r="GII34" s="16"/>
      <c r="GIJ34" s="16"/>
      <c r="GIK34" s="16"/>
      <c r="GIL34" s="16"/>
      <c r="GIM34" s="16"/>
      <c r="GIN34" s="16"/>
      <c r="GIO34" s="16"/>
      <c r="GIP34" s="16"/>
      <c r="GIQ34" s="16"/>
      <c r="GIR34" s="16"/>
      <c r="GIS34" s="16"/>
      <c r="GIT34" s="16"/>
      <c r="GIU34" s="16"/>
      <c r="GIV34" s="16"/>
      <c r="GIW34" s="16"/>
      <c r="GIX34" s="16"/>
      <c r="GIY34" s="16"/>
      <c r="GIZ34" s="16"/>
      <c r="GJA34" s="16"/>
      <c r="GJB34" s="16"/>
      <c r="GJC34" s="16"/>
      <c r="GJD34" s="16"/>
      <c r="GJE34" s="16"/>
      <c r="GJF34" s="16"/>
      <c r="GJG34" s="16"/>
      <c r="GJH34" s="16"/>
      <c r="GJI34" s="16"/>
      <c r="GJJ34" s="16"/>
      <c r="GJK34" s="16"/>
      <c r="GJL34" s="16"/>
      <c r="GJM34" s="16"/>
      <c r="GJN34" s="16"/>
      <c r="GJO34" s="16"/>
      <c r="GJP34" s="16"/>
      <c r="GJQ34" s="16"/>
      <c r="GJR34" s="16"/>
      <c r="GJS34" s="16"/>
      <c r="GJT34" s="16"/>
      <c r="GJU34" s="16"/>
      <c r="GJV34" s="16"/>
      <c r="GJW34" s="16"/>
      <c r="GJX34" s="16"/>
      <c r="GJY34" s="16"/>
      <c r="GJZ34" s="16"/>
      <c r="GKA34" s="16"/>
      <c r="GKB34" s="16"/>
      <c r="GKC34" s="16"/>
      <c r="GKD34" s="16"/>
      <c r="GKE34" s="16"/>
      <c r="GKF34" s="16"/>
      <c r="GKG34" s="16"/>
      <c r="GKH34" s="16"/>
      <c r="GKI34" s="16"/>
      <c r="GKJ34" s="16"/>
      <c r="GKK34" s="16"/>
      <c r="GKL34" s="16"/>
      <c r="GKM34" s="16"/>
      <c r="GKN34" s="16"/>
      <c r="GKO34" s="16"/>
      <c r="GKP34" s="16"/>
      <c r="GKQ34" s="16"/>
      <c r="GKR34" s="16"/>
      <c r="GKS34" s="16"/>
      <c r="GKT34" s="16"/>
      <c r="GKU34" s="16"/>
      <c r="GKV34" s="16"/>
      <c r="GKW34" s="16"/>
      <c r="GKX34" s="16"/>
      <c r="GKY34" s="16"/>
      <c r="GKZ34" s="16"/>
      <c r="GLA34" s="16"/>
      <c r="GLB34" s="16"/>
      <c r="GLC34" s="16"/>
      <c r="GLD34" s="16"/>
      <c r="GLE34" s="16"/>
      <c r="GLF34" s="16"/>
      <c r="GLG34" s="16"/>
      <c r="GLH34" s="16"/>
      <c r="GLI34" s="16"/>
      <c r="GLJ34" s="16"/>
      <c r="GLK34" s="16"/>
      <c r="GLL34" s="16"/>
      <c r="GLM34" s="16"/>
      <c r="GLN34" s="16"/>
      <c r="GLO34" s="16"/>
      <c r="GLP34" s="16"/>
      <c r="GLQ34" s="16"/>
      <c r="GLR34" s="16"/>
      <c r="GLS34" s="16"/>
      <c r="GLT34" s="16"/>
      <c r="GLU34" s="16"/>
      <c r="GLV34" s="16"/>
      <c r="GLW34" s="16"/>
      <c r="GLX34" s="16"/>
      <c r="GLY34" s="16"/>
      <c r="GLZ34" s="16"/>
      <c r="GMA34" s="16"/>
      <c r="GMB34" s="16"/>
      <c r="GMC34" s="16"/>
      <c r="GMD34" s="16"/>
      <c r="GME34" s="16"/>
      <c r="GMF34" s="16"/>
      <c r="GMG34" s="16"/>
      <c r="GMH34" s="16"/>
      <c r="GMI34" s="16"/>
      <c r="GMJ34" s="16"/>
      <c r="GMK34" s="16"/>
      <c r="GML34" s="16"/>
      <c r="GMM34" s="16"/>
      <c r="GMN34" s="16"/>
      <c r="GMO34" s="16"/>
      <c r="GMP34" s="16"/>
      <c r="GMQ34" s="16"/>
      <c r="GMR34" s="16"/>
      <c r="GMS34" s="16"/>
      <c r="GMT34" s="16"/>
      <c r="GMU34" s="16"/>
      <c r="GMV34" s="16"/>
      <c r="GMW34" s="16"/>
      <c r="GMX34" s="16"/>
      <c r="GMY34" s="16"/>
      <c r="GMZ34" s="16"/>
      <c r="GNA34" s="16"/>
      <c r="GNB34" s="16"/>
      <c r="GNC34" s="16"/>
      <c r="GND34" s="16"/>
      <c r="GNE34" s="16"/>
      <c r="GNF34" s="16"/>
      <c r="GNG34" s="16"/>
      <c r="GNH34" s="16"/>
      <c r="GNI34" s="16"/>
      <c r="GNJ34" s="16"/>
      <c r="GNK34" s="16"/>
      <c r="GNL34" s="16"/>
      <c r="GNM34" s="16"/>
      <c r="GNN34" s="16"/>
      <c r="GNO34" s="16"/>
      <c r="GNP34" s="16"/>
      <c r="GNQ34" s="16"/>
      <c r="GNR34" s="16"/>
      <c r="GNS34" s="16"/>
      <c r="GNT34" s="16"/>
      <c r="GNU34" s="16"/>
      <c r="GNV34" s="16"/>
      <c r="GNW34" s="16"/>
      <c r="GNX34" s="16"/>
      <c r="GNY34" s="16"/>
      <c r="GNZ34" s="16"/>
      <c r="GOA34" s="16"/>
      <c r="GOB34" s="16"/>
      <c r="GOC34" s="16"/>
      <c r="GOD34" s="16"/>
      <c r="GOE34" s="16"/>
      <c r="GOF34" s="16"/>
      <c r="GOG34" s="16"/>
      <c r="GOH34" s="16"/>
      <c r="GOI34" s="16"/>
      <c r="GOJ34" s="16"/>
      <c r="GOK34" s="16"/>
      <c r="GOL34" s="16"/>
      <c r="GOM34" s="16"/>
      <c r="GON34" s="16"/>
      <c r="GOO34" s="16"/>
      <c r="GOP34" s="16"/>
      <c r="GOQ34" s="16"/>
      <c r="GOR34" s="16"/>
      <c r="GOS34" s="16"/>
      <c r="GOT34" s="16"/>
      <c r="GOU34" s="16"/>
      <c r="GOV34" s="16"/>
      <c r="GOW34" s="16"/>
      <c r="GOX34" s="16"/>
      <c r="GOY34" s="16"/>
      <c r="GOZ34" s="16"/>
      <c r="GPA34" s="16"/>
      <c r="GPB34" s="16"/>
      <c r="GPC34" s="16"/>
      <c r="GPD34" s="16"/>
      <c r="GPE34" s="16"/>
      <c r="GPF34" s="16"/>
      <c r="GPG34" s="16"/>
      <c r="GPH34" s="16"/>
      <c r="GPI34" s="16"/>
      <c r="GPJ34" s="16"/>
      <c r="GPK34" s="16"/>
      <c r="GPL34" s="16"/>
      <c r="GPM34" s="16"/>
      <c r="GPN34" s="16"/>
      <c r="GPO34" s="16"/>
      <c r="GPP34" s="16"/>
      <c r="GPQ34" s="16"/>
      <c r="GPR34" s="16"/>
      <c r="GPS34" s="16"/>
      <c r="GPT34" s="16"/>
      <c r="GPU34" s="16"/>
      <c r="GPV34" s="16"/>
      <c r="GPW34" s="16"/>
      <c r="GPX34" s="16"/>
      <c r="GPY34" s="16"/>
      <c r="GPZ34" s="16"/>
      <c r="GQA34" s="16"/>
      <c r="GQB34" s="16"/>
      <c r="GQC34" s="16"/>
      <c r="GQD34" s="16"/>
      <c r="GQE34" s="16"/>
      <c r="GQF34" s="16"/>
      <c r="GQG34" s="16"/>
      <c r="GQH34" s="16"/>
      <c r="GQI34" s="16"/>
      <c r="GQJ34" s="16"/>
      <c r="GQK34" s="16"/>
      <c r="GQL34" s="16"/>
      <c r="GQM34" s="16"/>
      <c r="GQN34" s="16"/>
      <c r="GQO34" s="16"/>
      <c r="GQP34" s="16"/>
      <c r="GQQ34" s="16"/>
      <c r="GQR34" s="16"/>
      <c r="GQS34" s="16"/>
      <c r="GQT34" s="16"/>
      <c r="GQU34" s="16"/>
      <c r="GQV34" s="16"/>
      <c r="GQW34" s="16"/>
      <c r="GQX34" s="16"/>
      <c r="GQY34" s="16"/>
      <c r="GQZ34" s="16"/>
      <c r="GRA34" s="16"/>
      <c r="GRB34" s="16"/>
      <c r="GRC34" s="16"/>
      <c r="GRD34" s="16"/>
      <c r="GRE34" s="16"/>
      <c r="GRF34" s="16"/>
      <c r="GRG34" s="16"/>
      <c r="GRH34" s="16"/>
      <c r="GRI34" s="16"/>
      <c r="GRJ34" s="16"/>
      <c r="GRK34" s="16"/>
      <c r="GRL34" s="16"/>
      <c r="GRM34" s="16"/>
      <c r="GRN34" s="16"/>
      <c r="GRO34" s="16"/>
      <c r="GRP34" s="16"/>
      <c r="GRQ34" s="16"/>
      <c r="GRR34" s="16"/>
      <c r="GRS34" s="16"/>
      <c r="GRT34" s="16"/>
      <c r="GRU34" s="16"/>
      <c r="GRV34" s="16"/>
      <c r="GRW34" s="16"/>
      <c r="GRX34" s="16"/>
      <c r="GRY34" s="16"/>
      <c r="GRZ34" s="16"/>
      <c r="GSA34" s="16"/>
      <c r="GSB34" s="16"/>
      <c r="GSC34" s="16"/>
      <c r="GSD34" s="16"/>
      <c r="GSE34" s="16"/>
      <c r="GSF34" s="16"/>
      <c r="GSG34" s="16"/>
      <c r="GSH34" s="16"/>
      <c r="GSI34" s="16"/>
      <c r="GSJ34" s="16"/>
      <c r="GSK34" s="16"/>
      <c r="GSL34" s="16"/>
      <c r="GSM34" s="16"/>
      <c r="GSN34" s="16"/>
      <c r="GSO34" s="16"/>
      <c r="GSP34" s="16"/>
      <c r="GSQ34" s="16"/>
      <c r="GSR34" s="16"/>
      <c r="GSS34" s="16"/>
      <c r="GST34" s="16"/>
      <c r="GSU34" s="16"/>
      <c r="GSV34" s="16"/>
      <c r="GSW34" s="16"/>
      <c r="GSX34" s="16"/>
      <c r="GSY34" s="16"/>
      <c r="GSZ34" s="16"/>
      <c r="GTA34" s="16"/>
      <c r="GTB34" s="16"/>
      <c r="GTC34" s="16"/>
      <c r="GTD34" s="16"/>
      <c r="GTE34" s="16"/>
      <c r="GTF34" s="16"/>
      <c r="GTG34" s="16"/>
      <c r="GTH34" s="16"/>
      <c r="GTI34" s="16"/>
      <c r="GTJ34" s="16"/>
      <c r="GTK34" s="16"/>
      <c r="GTL34" s="16"/>
      <c r="GTM34" s="16"/>
      <c r="GTN34" s="16"/>
      <c r="GTO34" s="16"/>
      <c r="GTP34" s="16"/>
      <c r="GTQ34" s="16"/>
      <c r="GTR34" s="16"/>
      <c r="GTS34" s="16"/>
      <c r="GTT34" s="16"/>
      <c r="GTU34" s="16"/>
      <c r="GTV34" s="16"/>
      <c r="GTW34" s="16"/>
      <c r="GTX34" s="16"/>
      <c r="GTY34" s="16"/>
      <c r="GTZ34" s="16"/>
      <c r="GUA34" s="16"/>
      <c r="GUB34" s="16"/>
      <c r="GUC34" s="16"/>
      <c r="GUD34" s="16"/>
      <c r="GUE34" s="16"/>
      <c r="GUF34" s="16"/>
      <c r="GUG34" s="16"/>
      <c r="GUH34" s="16"/>
      <c r="GUI34" s="16"/>
      <c r="GUJ34" s="16"/>
      <c r="GUK34" s="16"/>
      <c r="GUL34" s="16"/>
      <c r="GUM34" s="16"/>
      <c r="GUN34" s="16"/>
      <c r="GUO34" s="16"/>
      <c r="GUP34" s="16"/>
      <c r="GUQ34" s="16"/>
      <c r="GUR34" s="16"/>
      <c r="GUS34" s="16"/>
      <c r="GUT34" s="16"/>
      <c r="GUU34" s="16"/>
      <c r="GUV34" s="16"/>
      <c r="GUW34" s="16"/>
      <c r="GUX34" s="16"/>
      <c r="GUY34" s="16"/>
      <c r="GUZ34" s="16"/>
      <c r="GVA34" s="16"/>
      <c r="GVB34" s="16"/>
      <c r="GVC34" s="16"/>
      <c r="GVD34" s="16"/>
      <c r="GVE34" s="16"/>
      <c r="GVF34" s="16"/>
      <c r="GVG34" s="16"/>
      <c r="GVH34" s="16"/>
      <c r="GVI34" s="16"/>
      <c r="GVJ34" s="16"/>
      <c r="GVK34" s="16"/>
      <c r="GVL34" s="16"/>
      <c r="GVM34" s="16"/>
      <c r="GVN34" s="16"/>
      <c r="GVO34" s="16"/>
      <c r="GVP34" s="16"/>
      <c r="GVQ34" s="16"/>
      <c r="GVR34" s="16"/>
      <c r="GVS34" s="16"/>
      <c r="GVT34" s="16"/>
      <c r="GVU34" s="16"/>
      <c r="GVV34" s="16"/>
      <c r="GVW34" s="16"/>
      <c r="GVX34" s="16"/>
      <c r="GVY34" s="16"/>
      <c r="GVZ34" s="16"/>
      <c r="GWA34" s="16"/>
      <c r="GWB34" s="16"/>
      <c r="GWC34" s="16"/>
      <c r="GWD34" s="16"/>
      <c r="GWE34" s="16"/>
      <c r="GWF34" s="16"/>
      <c r="GWG34" s="16"/>
      <c r="GWH34" s="16"/>
      <c r="GWI34" s="16"/>
      <c r="GWJ34" s="16"/>
      <c r="GWK34" s="16"/>
      <c r="GWL34" s="16"/>
      <c r="GWM34" s="16"/>
      <c r="GWN34" s="16"/>
      <c r="GWO34" s="16"/>
      <c r="GWP34" s="16"/>
      <c r="GWQ34" s="16"/>
      <c r="GWR34" s="16"/>
      <c r="GWS34" s="16"/>
      <c r="GWT34" s="16"/>
      <c r="GWU34" s="16"/>
      <c r="GWV34" s="16"/>
      <c r="GWW34" s="16"/>
      <c r="GWX34" s="16"/>
      <c r="GWY34" s="16"/>
      <c r="GWZ34" s="16"/>
      <c r="GXA34" s="16"/>
      <c r="GXB34" s="16"/>
      <c r="GXC34" s="16"/>
      <c r="GXD34" s="16"/>
      <c r="GXE34" s="16"/>
      <c r="GXF34" s="16"/>
      <c r="GXG34" s="16"/>
      <c r="GXH34" s="16"/>
      <c r="GXI34" s="16"/>
      <c r="GXJ34" s="16"/>
      <c r="GXK34" s="16"/>
      <c r="GXL34" s="16"/>
      <c r="GXM34" s="16"/>
      <c r="GXN34" s="16"/>
      <c r="GXO34" s="16"/>
      <c r="GXP34" s="16"/>
      <c r="GXQ34" s="16"/>
      <c r="GXR34" s="16"/>
      <c r="GXS34" s="16"/>
      <c r="GXT34" s="16"/>
      <c r="GXU34" s="16"/>
      <c r="GXV34" s="16"/>
      <c r="GXW34" s="16"/>
      <c r="GXX34" s="16"/>
      <c r="GXY34" s="16"/>
      <c r="GXZ34" s="16"/>
      <c r="GYA34" s="16"/>
      <c r="GYB34" s="16"/>
      <c r="GYC34" s="16"/>
      <c r="GYD34" s="16"/>
      <c r="GYE34" s="16"/>
      <c r="GYF34" s="16"/>
      <c r="GYG34" s="16"/>
      <c r="GYH34" s="16"/>
      <c r="GYI34" s="16"/>
      <c r="GYJ34" s="16"/>
      <c r="GYK34" s="16"/>
      <c r="GYL34" s="16"/>
      <c r="GYM34" s="16"/>
      <c r="GYN34" s="16"/>
      <c r="GYO34" s="16"/>
      <c r="GYP34" s="16"/>
      <c r="GYQ34" s="16"/>
      <c r="GYR34" s="16"/>
      <c r="GYS34" s="16"/>
      <c r="GYT34" s="16"/>
      <c r="GYU34" s="16"/>
      <c r="GYV34" s="16"/>
      <c r="GYW34" s="16"/>
      <c r="GYX34" s="16"/>
      <c r="GYY34" s="16"/>
      <c r="GYZ34" s="16"/>
      <c r="GZA34" s="16"/>
      <c r="GZB34" s="16"/>
      <c r="GZC34" s="16"/>
      <c r="GZD34" s="16"/>
      <c r="GZE34" s="16"/>
      <c r="GZF34" s="16"/>
      <c r="GZG34" s="16"/>
      <c r="GZH34" s="16"/>
      <c r="GZI34" s="16"/>
      <c r="GZJ34" s="16"/>
      <c r="GZK34" s="16"/>
      <c r="GZL34" s="16"/>
      <c r="GZM34" s="16"/>
      <c r="GZN34" s="16"/>
      <c r="GZO34" s="16"/>
      <c r="GZP34" s="16"/>
      <c r="GZQ34" s="16"/>
      <c r="GZR34" s="16"/>
      <c r="GZS34" s="16"/>
      <c r="GZT34" s="16"/>
      <c r="GZU34" s="16"/>
      <c r="GZV34" s="16"/>
      <c r="GZW34" s="16"/>
      <c r="GZX34" s="16"/>
      <c r="GZY34" s="16"/>
      <c r="GZZ34" s="16"/>
      <c r="HAA34" s="16"/>
      <c r="HAB34" s="16"/>
      <c r="HAC34" s="16"/>
      <c r="HAD34" s="16"/>
      <c r="HAE34" s="16"/>
      <c r="HAF34" s="16"/>
      <c r="HAG34" s="16"/>
      <c r="HAH34" s="16"/>
      <c r="HAI34" s="16"/>
      <c r="HAJ34" s="16"/>
      <c r="HAK34" s="16"/>
      <c r="HAL34" s="16"/>
      <c r="HAM34" s="16"/>
      <c r="HAN34" s="16"/>
      <c r="HAO34" s="16"/>
      <c r="HAP34" s="16"/>
      <c r="HAQ34" s="16"/>
      <c r="HAR34" s="16"/>
      <c r="HAS34" s="16"/>
      <c r="HAT34" s="16"/>
      <c r="HAU34" s="16"/>
      <c r="HAV34" s="16"/>
      <c r="HAW34" s="16"/>
      <c r="HAX34" s="16"/>
      <c r="HAY34" s="16"/>
      <c r="HAZ34" s="16"/>
      <c r="HBA34" s="16"/>
      <c r="HBB34" s="16"/>
      <c r="HBC34" s="16"/>
      <c r="HBD34" s="16"/>
      <c r="HBE34" s="16"/>
      <c r="HBF34" s="16"/>
      <c r="HBG34" s="16"/>
      <c r="HBH34" s="16"/>
      <c r="HBI34" s="16"/>
      <c r="HBJ34" s="16"/>
      <c r="HBK34" s="16"/>
      <c r="HBL34" s="16"/>
      <c r="HBM34" s="16"/>
      <c r="HBN34" s="16"/>
      <c r="HBO34" s="16"/>
      <c r="HBP34" s="16"/>
      <c r="HBQ34" s="16"/>
      <c r="HBR34" s="16"/>
      <c r="HBS34" s="16"/>
      <c r="HBT34" s="16"/>
      <c r="HBU34" s="16"/>
      <c r="HBV34" s="16"/>
      <c r="HBW34" s="16"/>
      <c r="HBX34" s="16"/>
      <c r="HBY34" s="16"/>
      <c r="HBZ34" s="16"/>
      <c r="HCA34" s="16"/>
      <c r="HCB34" s="16"/>
      <c r="HCC34" s="16"/>
      <c r="HCD34" s="16"/>
      <c r="HCE34" s="16"/>
      <c r="HCF34" s="16"/>
      <c r="HCG34" s="16"/>
      <c r="HCH34" s="16"/>
      <c r="HCI34" s="16"/>
      <c r="HCJ34" s="16"/>
      <c r="HCK34" s="16"/>
      <c r="HCL34" s="16"/>
      <c r="HCM34" s="16"/>
      <c r="HCN34" s="16"/>
      <c r="HCO34" s="16"/>
      <c r="HCP34" s="16"/>
      <c r="HCQ34" s="16"/>
      <c r="HCR34" s="16"/>
      <c r="HCS34" s="16"/>
      <c r="HCT34" s="16"/>
      <c r="HCU34" s="16"/>
      <c r="HCV34" s="16"/>
      <c r="HCW34" s="16"/>
      <c r="HCX34" s="16"/>
      <c r="HCY34" s="16"/>
      <c r="HCZ34" s="16"/>
      <c r="HDA34" s="16"/>
      <c r="HDB34" s="16"/>
      <c r="HDC34" s="16"/>
      <c r="HDD34" s="16"/>
      <c r="HDE34" s="16"/>
      <c r="HDF34" s="16"/>
      <c r="HDG34" s="16"/>
      <c r="HDH34" s="16"/>
      <c r="HDI34" s="16"/>
      <c r="HDJ34" s="16"/>
      <c r="HDK34" s="16"/>
      <c r="HDL34" s="16"/>
      <c r="HDM34" s="16"/>
      <c r="HDN34" s="16"/>
      <c r="HDO34" s="16"/>
      <c r="HDP34" s="16"/>
      <c r="HDQ34" s="16"/>
      <c r="HDR34" s="16"/>
      <c r="HDS34" s="16"/>
      <c r="HDT34" s="16"/>
      <c r="HDU34" s="16"/>
      <c r="HDV34" s="16"/>
      <c r="HDW34" s="16"/>
      <c r="HDX34" s="16"/>
      <c r="HDY34" s="16"/>
      <c r="HDZ34" s="16"/>
      <c r="HEA34" s="16"/>
      <c r="HEB34" s="16"/>
      <c r="HEC34" s="16"/>
      <c r="HED34" s="16"/>
      <c r="HEE34" s="16"/>
      <c r="HEF34" s="16"/>
      <c r="HEG34" s="16"/>
      <c r="HEH34" s="16"/>
      <c r="HEI34" s="16"/>
      <c r="HEJ34" s="16"/>
      <c r="HEK34" s="16"/>
      <c r="HEL34" s="16"/>
      <c r="HEM34" s="16"/>
      <c r="HEN34" s="16"/>
      <c r="HEO34" s="16"/>
      <c r="HEP34" s="16"/>
      <c r="HEQ34" s="16"/>
      <c r="HER34" s="16"/>
      <c r="HES34" s="16"/>
      <c r="HET34" s="16"/>
      <c r="HEU34" s="16"/>
      <c r="HEV34" s="16"/>
      <c r="HEW34" s="16"/>
      <c r="HEX34" s="16"/>
      <c r="HEY34" s="16"/>
      <c r="HEZ34" s="16"/>
      <c r="HFA34" s="16"/>
      <c r="HFB34" s="16"/>
      <c r="HFC34" s="16"/>
      <c r="HFD34" s="16"/>
      <c r="HFE34" s="16"/>
      <c r="HFF34" s="16"/>
      <c r="HFG34" s="16"/>
      <c r="HFH34" s="16"/>
      <c r="HFI34" s="16"/>
      <c r="HFJ34" s="16"/>
      <c r="HFK34" s="16"/>
      <c r="HFL34" s="16"/>
      <c r="HFM34" s="16"/>
      <c r="HFN34" s="16"/>
      <c r="HFO34" s="16"/>
      <c r="HFP34" s="16"/>
      <c r="HFQ34" s="16"/>
      <c r="HFR34" s="16"/>
      <c r="HFS34" s="16"/>
      <c r="HFT34" s="16"/>
      <c r="HFU34" s="16"/>
      <c r="HFV34" s="16"/>
      <c r="HFW34" s="16"/>
      <c r="HFX34" s="16"/>
      <c r="HFY34" s="16"/>
      <c r="HFZ34" s="16"/>
      <c r="HGA34" s="16"/>
      <c r="HGB34" s="16"/>
      <c r="HGC34" s="16"/>
      <c r="HGD34" s="16"/>
      <c r="HGE34" s="16"/>
      <c r="HGF34" s="16"/>
      <c r="HGG34" s="16"/>
      <c r="HGH34" s="16"/>
      <c r="HGI34" s="16"/>
      <c r="HGJ34" s="16"/>
      <c r="HGK34" s="16"/>
      <c r="HGL34" s="16"/>
      <c r="HGM34" s="16"/>
      <c r="HGN34" s="16"/>
      <c r="HGO34" s="16"/>
      <c r="HGP34" s="16"/>
      <c r="HGQ34" s="16"/>
      <c r="HGR34" s="16"/>
      <c r="HGS34" s="16"/>
      <c r="HGT34" s="16"/>
      <c r="HGU34" s="16"/>
      <c r="HGV34" s="16"/>
      <c r="HGW34" s="16"/>
      <c r="HGX34" s="16"/>
      <c r="HGY34" s="16"/>
      <c r="HGZ34" s="16"/>
      <c r="HHA34" s="16"/>
      <c r="HHB34" s="16"/>
      <c r="HHC34" s="16"/>
      <c r="HHD34" s="16"/>
      <c r="HHE34" s="16"/>
      <c r="HHF34" s="16"/>
      <c r="HHG34" s="16"/>
      <c r="HHH34" s="16"/>
      <c r="HHI34" s="16"/>
      <c r="HHJ34" s="16"/>
      <c r="HHK34" s="16"/>
      <c r="HHL34" s="16"/>
      <c r="HHM34" s="16"/>
      <c r="HHN34" s="16"/>
      <c r="HHO34" s="16"/>
      <c r="HHP34" s="16"/>
      <c r="HHQ34" s="16"/>
      <c r="HHR34" s="16"/>
      <c r="HHS34" s="16"/>
      <c r="HHT34" s="16"/>
      <c r="HHU34" s="16"/>
      <c r="HHV34" s="16"/>
      <c r="HHW34" s="16"/>
      <c r="HHX34" s="16"/>
      <c r="HHY34" s="16"/>
      <c r="HHZ34" s="16"/>
      <c r="HIA34" s="16"/>
      <c r="HIB34" s="16"/>
      <c r="HIC34" s="16"/>
      <c r="HID34" s="16"/>
      <c r="HIE34" s="16"/>
      <c r="HIF34" s="16"/>
      <c r="HIG34" s="16"/>
      <c r="HIH34" s="16"/>
      <c r="HII34" s="16"/>
      <c r="HIJ34" s="16"/>
      <c r="HIK34" s="16"/>
      <c r="HIL34" s="16"/>
      <c r="HIM34" s="16"/>
      <c r="HIN34" s="16"/>
      <c r="HIO34" s="16"/>
      <c r="HIP34" s="16"/>
      <c r="HIQ34" s="16"/>
      <c r="HIR34" s="16"/>
      <c r="HIS34" s="16"/>
      <c r="HIT34" s="16"/>
      <c r="HIU34" s="16"/>
      <c r="HIV34" s="16"/>
      <c r="HIW34" s="16"/>
      <c r="HIX34" s="16"/>
      <c r="HIY34" s="16"/>
      <c r="HIZ34" s="16"/>
      <c r="HJA34" s="16"/>
      <c r="HJB34" s="16"/>
      <c r="HJC34" s="16"/>
      <c r="HJD34" s="16"/>
      <c r="HJE34" s="16"/>
      <c r="HJF34" s="16"/>
      <c r="HJG34" s="16"/>
      <c r="HJH34" s="16"/>
      <c r="HJI34" s="16"/>
      <c r="HJJ34" s="16"/>
      <c r="HJK34" s="16"/>
      <c r="HJL34" s="16"/>
      <c r="HJM34" s="16"/>
      <c r="HJN34" s="16"/>
      <c r="HJO34" s="16"/>
      <c r="HJP34" s="16"/>
      <c r="HJQ34" s="16"/>
      <c r="HJR34" s="16"/>
      <c r="HJS34" s="16"/>
      <c r="HJT34" s="16"/>
      <c r="HJU34" s="16"/>
      <c r="HJV34" s="16"/>
      <c r="HJW34" s="16"/>
      <c r="HJX34" s="16"/>
      <c r="HJY34" s="16"/>
      <c r="HJZ34" s="16"/>
      <c r="HKA34" s="16"/>
      <c r="HKB34" s="16"/>
      <c r="HKC34" s="16"/>
      <c r="HKD34" s="16"/>
      <c r="HKE34" s="16"/>
      <c r="HKF34" s="16"/>
      <c r="HKG34" s="16"/>
      <c r="HKH34" s="16"/>
      <c r="HKI34" s="16"/>
      <c r="HKJ34" s="16"/>
      <c r="HKK34" s="16"/>
      <c r="HKL34" s="16"/>
      <c r="HKM34" s="16"/>
      <c r="HKN34" s="16"/>
      <c r="HKO34" s="16"/>
      <c r="HKP34" s="16"/>
      <c r="HKQ34" s="16"/>
      <c r="HKR34" s="16"/>
      <c r="HKS34" s="16"/>
      <c r="HKT34" s="16"/>
      <c r="HKU34" s="16"/>
      <c r="HKV34" s="16"/>
      <c r="HKW34" s="16"/>
      <c r="HKX34" s="16"/>
      <c r="HKY34" s="16"/>
      <c r="HKZ34" s="16"/>
      <c r="HLA34" s="16"/>
      <c r="HLB34" s="16"/>
      <c r="HLC34" s="16"/>
      <c r="HLD34" s="16"/>
      <c r="HLE34" s="16"/>
      <c r="HLF34" s="16"/>
      <c r="HLG34" s="16"/>
      <c r="HLH34" s="16"/>
      <c r="HLI34" s="16"/>
      <c r="HLJ34" s="16"/>
      <c r="HLK34" s="16"/>
      <c r="HLL34" s="16"/>
      <c r="HLM34" s="16"/>
      <c r="HLN34" s="16"/>
      <c r="HLO34" s="16"/>
      <c r="HLP34" s="16"/>
      <c r="HLQ34" s="16"/>
      <c r="HLR34" s="16"/>
      <c r="HLS34" s="16"/>
      <c r="HLT34" s="16"/>
      <c r="HLU34" s="16"/>
      <c r="HLV34" s="16"/>
      <c r="HLW34" s="16"/>
      <c r="HLX34" s="16"/>
      <c r="HLY34" s="16"/>
      <c r="HLZ34" s="16"/>
      <c r="HMA34" s="16"/>
      <c r="HMB34" s="16"/>
      <c r="HMC34" s="16"/>
      <c r="HMD34" s="16"/>
      <c r="HME34" s="16"/>
      <c r="HMF34" s="16"/>
      <c r="HMG34" s="16"/>
      <c r="HMH34" s="16"/>
      <c r="HMI34" s="16"/>
      <c r="HMJ34" s="16"/>
      <c r="HMK34" s="16"/>
      <c r="HML34" s="16"/>
      <c r="HMM34" s="16"/>
      <c r="HMN34" s="16"/>
      <c r="HMO34" s="16"/>
      <c r="HMP34" s="16"/>
      <c r="HMQ34" s="16"/>
      <c r="HMR34" s="16"/>
      <c r="HMS34" s="16"/>
      <c r="HMT34" s="16"/>
      <c r="HMU34" s="16"/>
      <c r="HMV34" s="16"/>
      <c r="HMW34" s="16"/>
      <c r="HMX34" s="16"/>
      <c r="HMY34" s="16"/>
      <c r="HMZ34" s="16"/>
      <c r="HNA34" s="16"/>
      <c r="HNB34" s="16"/>
      <c r="HNC34" s="16"/>
      <c r="HND34" s="16"/>
      <c r="HNE34" s="16"/>
      <c r="HNF34" s="16"/>
      <c r="HNG34" s="16"/>
      <c r="HNH34" s="16"/>
      <c r="HNI34" s="16"/>
      <c r="HNJ34" s="16"/>
      <c r="HNK34" s="16"/>
      <c r="HNL34" s="16"/>
      <c r="HNM34" s="16"/>
      <c r="HNN34" s="16"/>
      <c r="HNO34" s="16"/>
      <c r="HNP34" s="16"/>
      <c r="HNQ34" s="16"/>
      <c r="HNR34" s="16"/>
      <c r="HNS34" s="16"/>
      <c r="HNT34" s="16"/>
      <c r="HNU34" s="16"/>
      <c r="HNV34" s="16"/>
      <c r="HNW34" s="16"/>
      <c r="HNX34" s="16"/>
      <c r="HNY34" s="16"/>
      <c r="HNZ34" s="16"/>
      <c r="HOA34" s="16"/>
      <c r="HOB34" s="16"/>
      <c r="HOC34" s="16"/>
      <c r="HOD34" s="16"/>
      <c r="HOE34" s="16"/>
      <c r="HOF34" s="16"/>
      <c r="HOG34" s="16"/>
      <c r="HOH34" s="16"/>
      <c r="HOI34" s="16"/>
      <c r="HOJ34" s="16"/>
      <c r="HOK34" s="16"/>
      <c r="HOL34" s="16"/>
      <c r="HOM34" s="16"/>
      <c r="HON34" s="16"/>
      <c r="HOO34" s="16"/>
      <c r="HOP34" s="16"/>
      <c r="HOQ34" s="16"/>
      <c r="HOR34" s="16"/>
      <c r="HOS34" s="16"/>
      <c r="HOT34" s="16"/>
      <c r="HOU34" s="16"/>
      <c r="HOV34" s="16"/>
      <c r="HOW34" s="16"/>
      <c r="HOX34" s="16"/>
      <c r="HOY34" s="16"/>
      <c r="HOZ34" s="16"/>
      <c r="HPA34" s="16"/>
      <c r="HPB34" s="16"/>
      <c r="HPC34" s="16"/>
      <c r="HPD34" s="16"/>
      <c r="HPE34" s="16"/>
      <c r="HPF34" s="16"/>
      <c r="HPG34" s="16"/>
      <c r="HPH34" s="16"/>
      <c r="HPI34" s="16"/>
      <c r="HPJ34" s="16"/>
      <c r="HPK34" s="16"/>
      <c r="HPL34" s="16"/>
      <c r="HPM34" s="16"/>
      <c r="HPN34" s="16"/>
      <c r="HPO34" s="16"/>
      <c r="HPP34" s="16"/>
      <c r="HPQ34" s="16"/>
      <c r="HPR34" s="16"/>
      <c r="HPS34" s="16"/>
      <c r="HPT34" s="16"/>
      <c r="HPU34" s="16"/>
      <c r="HPV34" s="16"/>
      <c r="HPW34" s="16"/>
      <c r="HPX34" s="16"/>
      <c r="HPY34" s="16"/>
      <c r="HPZ34" s="16"/>
      <c r="HQA34" s="16"/>
      <c r="HQB34" s="16"/>
      <c r="HQC34" s="16"/>
      <c r="HQD34" s="16"/>
      <c r="HQE34" s="16"/>
      <c r="HQF34" s="16"/>
      <c r="HQG34" s="16"/>
      <c r="HQH34" s="16"/>
      <c r="HQI34" s="16"/>
      <c r="HQJ34" s="16"/>
      <c r="HQK34" s="16"/>
      <c r="HQL34" s="16"/>
      <c r="HQM34" s="16"/>
      <c r="HQN34" s="16"/>
      <c r="HQO34" s="16"/>
      <c r="HQP34" s="16"/>
      <c r="HQQ34" s="16"/>
      <c r="HQR34" s="16"/>
      <c r="HQS34" s="16"/>
      <c r="HQT34" s="16"/>
      <c r="HQU34" s="16"/>
      <c r="HQV34" s="16"/>
      <c r="HQW34" s="16"/>
      <c r="HQX34" s="16"/>
      <c r="HQY34" s="16"/>
      <c r="HQZ34" s="16"/>
      <c r="HRA34" s="16"/>
      <c r="HRB34" s="16"/>
      <c r="HRC34" s="16"/>
      <c r="HRD34" s="16"/>
      <c r="HRE34" s="16"/>
      <c r="HRF34" s="16"/>
      <c r="HRG34" s="16"/>
      <c r="HRH34" s="16"/>
      <c r="HRI34" s="16"/>
      <c r="HRJ34" s="16"/>
      <c r="HRK34" s="16"/>
      <c r="HRL34" s="16"/>
      <c r="HRM34" s="16"/>
      <c r="HRN34" s="16"/>
      <c r="HRO34" s="16"/>
      <c r="HRP34" s="16"/>
      <c r="HRQ34" s="16"/>
      <c r="HRR34" s="16"/>
      <c r="HRS34" s="16"/>
      <c r="HRT34" s="16"/>
      <c r="HRU34" s="16"/>
      <c r="HRV34" s="16"/>
      <c r="HRW34" s="16"/>
      <c r="HRX34" s="16"/>
      <c r="HRY34" s="16"/>
      <c r="HRZ34" s="16"/>
      <c r="HSA34" s="16"/>
      <c r="HSB34" s="16"/>
      <c r="HSC34" s="16"/>
      <c r="HSD34" s="16"/>
      <c r="HSE34" s="16"/>
      <c r="HSF34" s="16"/>
      <c r="HSG34" s="16"/>
      <c r="HSH34" s="16"/>
      <c r="HSI34" s="16"/>
      <c r="HSJ34" s="16"/>
      <c r="HSK34" s="16"/>
      <c r="HSL34" s="16"/>
      <c r="HSM34" s="16"/>
      <c r="HSN34" s="16"/>
      <c r="HSO34" s="16"/>
      <c r="HSP34" s="16"/>
      <c r="HSQ34" s="16"/>
      <c r="HSR34" s="16"/>
      <c r="HSS34" s="16"/>
      <c r="HST34" s="16"/>
      <c r="HSU34" s="16"/>
      <c r="HSV34" s="16"/>
      <c r="HSW34" s="16"/>
      <c r="HSX34" s="16"/>
      <c r="HSY34" s="16"/>
      <c r="HSZ34" s="16"/>
      <c r="HTA34" s="16"/>
      <c r="HTB34" s="16"/>
      <c r="HTC34" s="16"/>
      <c r="HTD34" s="16"/>
      <c r="HTE34" s="16"/>
      <c r="HTF34" s="16"/>
      <c r="HTG34" s="16"/>
      <c r="HTH34" s="16"/>
      <c r="HTI34" s="16"/>
      <c r="HTJ34" s="16"/>
      <c r="HTK34" s="16"/>
      <c r="HTL34" s="16"/>
      <c r="HTM34" s="16"/>
      <c r="HTN34" s="16"/>
      <c r="HTO34" s="16"/>
      <c r="HTP34" s="16"/>
      <c r="HTQ34" s="16"/>
      <c r="HTR34" s="16"/>
      <c r="HTS34" s="16"/>
      <c r="HTT34" s="16"/>
      <c r="HTU34" s="16"/>
      <c r="HTV34" s="16"/>
      <c r="HTW34" s="16"/>
      <c r="HTX34" s="16"/>
      <c r="HTY34" s="16"/>
      <c r="HTZ34" s="16"/>
      <c r="HUA34" s="16"/>
      <c r="HUB34" s="16"/>
      <c r="HUC34" s="16"/>
      <c r="HUD34" s="16"/>
      <c r="HUE34" s="16"/>
      <c r="HUF34" s="16"/>
      <c r="HUG34" s="16"/>
      <c r="HUH34" s="16"/>
      <c r="HUI34" s="16"/>
      <c r="HUJ34" s="16"/>
      <c r="HUK34" s="16"/>
      <c r="HUL34" s="16"/>
      <c r="HUM34" s="16"/>
      <c r="HUN34" s="16"/>
      <c r="HUO34" s="16"/>
      <c r="HUP34" s="16"/>
      <c r="HUQ34" s="16"/>
      <c r="HUR34" s="16"/>
      <c r="HUS34" s="16"/>
      <c r="HUT34" s="16"/>
      <c r="HUU34" s="16"/>
      <c r="HUV34" s="16"/>
      <c r="HUW34" s="16"/>
      <c r="HUX34" s="16"/>
      <c r="HUY34" s="16"/>
      <c r="HUZ34" s="16"/>
      <c r="HVA34" s="16"/>
      <c r="HVB34" s="16"/>
      <c r="HVC34" s="16"/>
      <c r="HVD34" s="16"/>
      <c r="HVE34" s="16"/>
      <c r="HVF34" s="16"/>
      <c r="HVG34" s="16"/>
      <c r="HVH34" s="16"/>
      <c r="HVI34" s="16"/>
      <c r="HVJ34" s="16"/>
      <c r="HVK34" s="16"/>
      <c r="HVL34" s="16"/>
      <c r="HVM34" s="16"/>
      <c r="HVN34" s="16"/>
      <c r="HVO34" s="16"/>
      <c r="HVP34" s="16"/>
      <c r="HVQ34" s="16"/>
      <c r="HVR34" s="16"/>
      <c r="HVS34" s="16"/>
      <c r="HVT34" s="16"/>
      <c r="HVU34" s="16"/>
      <c r="HVV34" s="16"/>
      <c r="HVW34" s="16"/>
      <c r="HVX34" s="16"/>
      <c r="HVY34" s="16"/>
      <c r="HVZ34" s="16"/>
      <c r="HWA34" s="16"/>
      <c r="HWB34" s="16"/>
      <c r="HWC34" s="16"/>
      <c r="HWD34" s="16"/>
      <c r="HWE34" s="16"/>
      <c r="HWF34" s="16"/>
      <c r="HWG34" s="16"/>
      <c r="HWH34" s="16"/>
      <c r="HWI34" s="16"/>
      <c r="HWJ34" s="16"/>
      <c r="HWK34" s="16"/>
      <c r="HWL34" s="16"/>
      <c r="HWM34" s="16"/>
      <c r="HWN34" s="16"/>
      <c r="HWO34" s="16"/>
      <c r="HWP34" s="16"/>
      <c r="HWQ34" s="16"/>
      <c r="HWR34" s="16"/>
      <c r="HWS34" s="16"/>
      <c r="HWT34" s="16"/>
      <c r="HWU34" s="16"/>
      <c r="HWV34" s="16"/>
      <c r="HWW34" s="16"/>
      <c r="HWX34" s="16"/>
      <c r="HWY34" s="16"/>
      <c r="HWZ34" s="16"/>
      <c r="HXA34" s="16"/>
      <c r="HXB34" s="16"/>
      <c r="HXC34" s="16"/>
      <c r="HXD34" s="16"/>
      <c r="HXE34" s="16"/>
      <c r="HXF34" s="16"/>
      <c r="HXG34" s="16"/>
      <c r="HXH34" s="16"/>
      <c r="HXI34" s="16"/>
      <c r="HXJ34" s="16"/>
      <c r="HXK34" s="16"/>
      <c r="HXL34" s="16"/>
      <c r="HXM34" s="16"/>
      <c r="HXN34" s="16"/>
      <c r="HXO34" s="16"/>
      <c r="HXP34" s="16"/>
      <c r="HXQ34" s="16"/>
      <c r="HXR34" s="16"/>
      <c r="HXS34" s="16"/>
      <c r="HXT34" s="16"/>
      <c r="HXU34" s="16"/>
      <c r="HXV34" s="16"/>
      <c r="HXW34" s="16"/>
      <c r="HXX34" s="16"/>
      <c r="HXY34" s="16"/>
      <c r="HXZ34" s="16"/>
      <c r="HYA34" s="16"/>
      <c r="HYB34" s="16"/>
      <c r="HYC34" s="16"/>
      <c r="HYD34" s="16"/>
      <c r="HYE34" s="16"/>
      <c r="HYF34" s="16"/>
      <c r="HYG34" s="16"/>
      <c r="HYH34" s="16"/>
      <c r="HYI34" s="16"/>
      <c r="HYJ34" s="16"/>
      <c r="HYK34" s="16"/>
      <c r="HYL34" s="16"/>
      <c r="HYM34" s="16"/>
      <c r="HYN34" s="16"/>
      <c r="HYO34" s="16"/>
      <c r="HYP34" s="16"/>
      <c r="HYQ34" s="16"/>
      <c r="HYR34" s="16"/>
      <c r="HYS34" s="16"/>
      <c r="HYT34" s="16"/>
      <c r="HYU34" s="16"/>
      <c r="HYV34" s="16"/>
      <c r="HYW34" s="16"/>
      <c r="HYX34" s="16"/>
      <c r="HYY34" s="16"/>
      <c r="HYZ34" s="16"/>
      <c r="HZA34" s="16"/>
      <c r="HZB34" s="16"/>
      <c r="HZC34" s="16"/>
      <c r="HZD34" s="16"/>
      <c r="HZE34" s="16"/>
      <c r="HZF34" s="16"/>
      <c r="HZG34" s="16"/>
      <c r="HZH34" s="16"/>
      <c r="HZI34" s="16"/>
      <c r="HZJ34" s="16"/>
      <c r="HZK34" s="16"/>
      <c r="HZL34" s="16"/>
      <c r="HZM34" s="16"/>
      <c r="HZN34" s="16"/>
      <c r="HZO34" s="16"/>
      <c r="HZP34" s="16"/>
      <c r="HZQ34" s="16"/>
      <c r="HZR34" s="16"/>
      <c r="HZS34" s="16"/>
      <c r="HZT34" s="16"/>
      <c r="HZU34" s="16"/>
      <c r="HZV34" s="16"/>
      <c r="HZW34" s="16"/>
      <c r="HZX34" s="16"/>
      <c r="HZY34" s="16"/>
      <c r="HZZ34" s="16"/>
      <c r="IAA34" s="16"/>
      <c r="IAB34" s="16"/>
      <c r="IAC34" s="16"/>
      <c r="IAD34" s="16"/>
      <c r="IAE34" s="16"/>
      <c r="IAF34" s="16"/>
      <c r="IAG34" s="16"/>
      <c r="IAH34" s="16"/>
      <c r="IAI34" s="16"/>
      <c r="IAJ34" s="16"/>
      <c r="IAK34" s="16"/>
      <c r="IAL34" s="16"/>
      <c r="IAM34" s="16"/>
      <c r="IAN34" s="16"/>
      <c r="IAO34" s="16"/>
      <c r="IAP34" s="16"/>
      <c r="IAQ34" s="16"/>
      <c r="IAR34" s="16"/>
      <c r="IAS34" s="16"/>
      <c r="IAT34" s="16"/>
      <c r="IAU34" s="16"/>
      <c r="IAV34" s="16"/>
      <c r="IAW34" s="16"/>
      <c r="IAX34" s="16"/>
      <c r="IAY34" s="16"/>
      <c r="IAZ34" s="16"/>
      <c r="IBA34" s="16"/>
      <c r="IBB34" s="16"/>
      <c r="IBC34" s="16"/>
      <c r="IBD34" s="16"/>
      <c r="IBE34" s="16"/>
      <c r="IBF34" s="16"/>
      <c r="IBG34" s="16"/>
      <c r="IBH34" s="16"/>
      <c r="IBI34" s="16"/>
      <c r="IBJ34" s="16"/>
      <c r="IBK34" s="16"/>
      <c r="IBL34" s="16"/>
      <c r="IBM34" s="16"/>
      <c r="IBN34" s="16"/>
      <c r="IBO34" s="16"/>
      <c r="IBP34" s="16"/>
      <c r="IBQ34" s="16"/>
      <c r="IBR34" s="16"/>
      <c r="IBS34" s="16"/>
      <c r="IBT34" s="16"/>
      <c r="IBU34" s="16"/>
      <c r="IBV34" s="16"/>
      <c r="IBW34" s="16"/>
      <c r="IBX34" s="16"/>
      <c r="IBY34" s="16"/>
      <c r="IBZ34" s="16"/>
      <c r="ICA34" s="16"/>
      <c r="ICB34" s="16"/>
      <c r="ICC34" s="16"/>
      <c r="ICD34" s="16"/>
      <c r="ICE34" s="16"/>
      <c r="ICF34" s="16"/>
      <c r="ICG34" s="16"/>
      <c r="ICH34" s="16"/>
      <c r="ICI34" s="16"/>
      <c r="ICJ34" s="16"/>
      <c r="ICK34" s="16"/>
      <c r="ICL34" s="16"/>
      <c r="ICM34" s="16"/>
      <c r="ICN34" s="16"/>
      <c r="ICO34" s="16"/>
      <c r="ICP34" s="16"/>
      <c r="ICQ34" s="16"/>
      <c r="ICR34" s="16"/>
      <c r="ICS34" s="16"/>
      <c r="ICT34" s="16"/>
      <c r="ICU34" s="16"/>
      <c r="ICV34" s="16"/>
      <c r="ICW34" s="16"/>
      <c r="ICX34" s="16"/>
      <c r="ICY34" s="16"/>
      <c r="ICZ34" s="16"/>
      <c r="IDA34" s="16"/>
      <c r="IDB34" s="16"/>
      <c r="IDC34" s="16"/>
      <c r="IDD34" s="16"/>
      <c r="IDE34" s="16"/>
      <c r="IDF34" s="16"/>
      <c r="IDG34" s="16"/>
      <c r="IDH34" s="16"/>
      <c r="IDI34" s="16"/>
      <c r="IDJ34" s="16"/>
      <c r="IDK34" s="16"/>
      <c r="IDL34" s="16"/>
      <c r="IDM34" s="16"/>
      <c r="IDN34" s="16"/>
      <c r="IDO34" s="16"/>
      <c r="IDP34" s="16"/>
      <c r="IDQ34" s="16"/>
      <c r="IDR34" s="16"/>
      <c r="IDS34" s="16"/>
      <c r="IDT34" s="16"/>
      <c r="IDU34" s="16"/>
      <c r="IDV34" s="16"/>
      <c r="IDW34" s="16"/>
      <c r="IDX34" s="16"/>
      <c r="IDY34" s="16"/>
      <c r="IDZ34" s="16"/>
      <c r="IEA34" s="16"/>
      <c r="IEB34" s="16"/>
      <c r="IEC34" s="16"/>
      <c r="IED34" s="16"/>
      <c r="IEE34" s="16"/>
      <c r="IEF34" s="16"/>
      <c r="IEG34" s="16"/>
      <c r="IEH34" s="16"/>
      <c r="IEI34" s="16"/>
      <c r="IEJ34" s="16"/>
      <c r="IEK34" s="16"/>
      <c r="IEL34" s="16"/>
      <c r="IEM34" s="16"/>
      <c r="IEN34" s="16"/>
      <c r="IEO34" s="16"/>
      <c r="IEP34" s="16"/>
      <c r="IEQ34" s="16"/>
      <c r="IER34" s="16"/>
      <c r="IES34" s="16"/>
      <c r="IET34" s="16"/>
      <c r="IEU34" s="16"/>
      <c r="IEV34" s="16"/>
      <c r="IEW34" s="16"/>
      <c r="IEX34" s="16"/>
      <c r="IEY34" s="16"/>
      <c r="IEZ34" s="16"/>
      <c r="IFA34" s="16"/>
      <c r="IFB34" s="16"/>
      <c r="IFC34" s="16"/>
      <c r="IFD34" s="16"/>
      <c r="IFE34" s="16"/>
      <c r="IFF34" s="16"/>
      <c r="IFG34" s="16"/>
      <c r="IFH34" s="16"/>
      <c r="IFI34" s="16"/>
      <c r="IFJ34" s="16"/>
      <c r="IFK34" s="16"/>
      <c r="IFL34" s="16"/>
      <c r="IFM34" s="16"/>
      <c r="IFN34" s="16"/>
      <c r="IFO34" s="16"/>
      <c r="IFP34" s="16"/>
      <c r="IFQ34" s="16"/>
      <c r="IFR34" s="16"/>
      <c r="IFS34" s="16"/>
      <c r="IFT34" s="16"/>
      <c r="IFU34" s="16"/>
      <c r="IFV34" s="16"/>
      <c r="IFW34" s="16"/>
      <c r="IFX34" s="16"/>
      <c r="IFY34" s="16"/>
      <c r="IFZ34" s="16"/>
      <c r="IGA34" s="16"/>
      <c r="IGB34" s="16"/>
      <c r="IGC34" s="16"/>
      <c r="IGD34" s="16"/>
      <c r="IGE34" s="16"/>
      <c r="IGF34" s="16"/>
      <c r="IGG34" s="16"/>
      <c r="IGH34" s="16"/>
      <c r="IGI34" s="16"/>
      <c r="IGJ34" s="16"/>
      <c r="IGK34" s="16"/>
      <c r="IGL34" s="16"/>
      <c r="IGM34" s="16"/>
      <c r="IGN34" s="16"/>
      <c r="IGO34" s="16"/>
      <c r="IGP34" s="16"/>
      <c r="IGQ34" s="16"/>
      <c r="IGR34" s="16"/>
      <c r="IGS34" s="16"/>
      <c r="IGT34" s="16"/>
      <c r="IGU34" s="16"/>
      <c r="IGV34" s="16"/>
      <c r="IGW34" s="16"/>
      <c r="IGX34" s="16"/>
      <c r="IGY34" s="16"/>
      <c r="IGZ34" s="16"/>
      <c r="IHA34" s="16"/>
      <c r="IHB34" s="16"/>
      <c r="IHC34" s="16"/>
      <c r="IHD34" s="16"/>
      <c r="IHE34" s="16"/>
      <c r="IHF34" s="16"/>
      <c r="IHG34" s="16"/>
      <c r="IHH34" s="16"/>
      <c r="IHI34" s="16"/>
      <c r="IHJ34" s="16"/>
      <c r="IHK34" s="16"/>
      <c r="IHL34" s="16"/>
      <c r="IHM34" s="16"/>
      <c r="IHN34" s="16"/>
      <c r="IHO34" s="16"/>
      <c r="IHP34" s="16"/>
      <c r="IHQ34" s="16"/>
      <c r="IHR34" s="16"/>
      <c r="IHS34" s="16"/>
      <c r="IHT34" s="16"/>
      <c r="IHU34" s="16"/>
      <c r="IHV34" s="16"/>
      <c r="IHW34" s="16"/>
      <c r="IHX34" s="16"/>
      <c r="IHY34" s="16"/>
      <c r="IHZ34" s="16"/>
      <c r="IIA34" s="16"/>
      <c r="IIB34" s="16"/>
      <c r="IIC34" s="16"/>
      <c r="IID34" s="16"/>
      <c r="IIE34" s="16"/>
      <c r="IIF34" s="16"/>
      <c r="IIG34" s="16"/>
      <c r="IIH34" s="16"/>
      <c r="III34" s="16"/>
      <c r="IIJ34" s="16"/>
      <c r="IIK34" s="16"/>
      <c r="IIL34" s="16"/>
      <c r="IIM34" s="16"/>
      <c r="IIN34" s="16"/>
      <c r="IIO34" s="16"/>
      <c r="IIP34" s="16"/>
      <c r="IIQ34" s="16"/>
      <c r="IIR34" s="16"/>
      <c r="IIS34" s="16"/>
      <c r="IIT34" s="16"/>
      <c r="IIU34" s="16"/>
      <c r="IIV34" s="16"/>
      <c r="IIW34" s="16"/>
      <c r="IIX34" s="16"/>
      <c r="IIY34" s="16"/>
      <c r="IIZ34" s="16"/>
      <c r="IJA34" s="16"/>
      <c r="IJB34" s="16"/>
      <c r="IJC34" s="16"/>
      <c r="IJD34" s="16"/>
      <c r="IJE34" s="16"/>
      <c r="IJF34" s="16"/>
      <c r="IJG34" s="16"/>
      <c r="IJH34" s="16"/>
      <c r="IJI34" s="16"/>
      <c r="IJJ34" s="16"/>
      <c r="IJK34" s="16"/>
      <c r="IJL34" s="16"/>
      <c r="IJM34" s="16"/>
      <c r="IJN34" s="16"/>
      <c r="IJO34" s="16"/>
      <c r="IJP34" s="16"/>
      <c r="IJQ34" s="16"/>
      <c r="IJR34" s="16"/>
      <c r="IJS34" s="16"/>
      <c r="IJT34" s="16"/>
      <c r="IJU34" s="16"/>
      <c r="IJV34" s="16"/>
      <c r="IJW34" s="16"/>
      <c r="IJX34" s="16"/>
      <c r="IJY34" s="16"/>
      <c r="IJZ34" s="16"/>
      <c r="IKA34" s="16"/>
      <c r="IKB34" s="16"/>
      <c r="IKC34" s="16"/>
      <c r="IKD34" s="16"/>
      <c r="IKE34" s="16"/>
      <c r="IKF34" s="16"/>
      <c r="IKG34" s="16"/>
      <c r="IKH34" s="16"/>
      <c r="IKI34" s="16"/>
      <c r="IKJ34" s="16"/>
      <c r="IKK34" s="16"/>
      <c r="IKL34" s="16"/>
      <c r="IKM34" s="16"/>
      <c r="IKN34" s="16"/>
      <c r="IKO34" s="16"/>
      <c r="IKP34" s="16"/>
      <c r="IKQ34" s="16"/>
      <c r="IKR34" s="16"/>
      <c r="IKS34" s="16"/>
      <c r="IKT34" s="16"/>
      <c r="IKU34" s="16"/>
      <c r="IKV34" s="16"/>
      <c r="IKW34" s="16"/>
      <c r="IKX34" s="16"/>
      <c r="IKY34" s="16"/>
      <c r="IKZ34" s="16"/>
      <c r="ILA34" s="16"/>
      <c r="ILB34" s="16"/>
      <c r="ILC34" s="16"/>
      <c r="ILD34" s="16"/>
      <c r="ILE34" s="16"/>
      <c r="ILF34" s="16"/>
      <c r="ILG34" s="16"/>
      <c r="ILH34" s="16"/>
      <c r="ILI34" s="16"/>
      <c r="ILJ34" s="16"/>
      <c r="ILK34" s="16"/>
      <c r="ILL34" s="16"/>
      <c r="ILM34" s="16"/>
      <c r="ILN34" s="16"/>
      <c r="ILO34" s="16"/>
      <c r="ILP34" s="16"/>
      <c r="ILQ34" s="16"/>
      <c r="ILR34" s="16"/>
      <c r="ILS34" s="16"/>
      <c r="ILT34" s="16"/>
      <c r="ILU34" s="16"/>
      <c r="ILV34" s="16"/>
      <c r="ILW34" s="16"/>
      <c r="ILX34" s="16"/>
      <c r="ILY34" s="16"/>
      <c r="ILZ34" s="16"/>
      <c r="IMA34" s="16"/>
      <c r="IMB34" s="16"/>
      <c r="IMC34" s="16"/>
      <c r="IMD34" s="16"/>
      <c r="IME34" s="16"/>
      <c r="IMF34" s="16"/>
      <c r="IMG34" s="16"/>
      <c r="IMH34" s="16"/>
      <c r="IMI34" s="16"/>
      <c r="IMJ34" s="16"/>
      <c r="IMK34" s="16"/>
      <c r="IML34" s="16"/>
      <c r="IMM34" s="16"/>
      <c r="IMN34" s="16"/>
      <c r="IMO34" s="16"/>
      <c r="IMP34" s="16"/>
      <c r="IMQ34" s="16"/>
      <c r="IMR34" s="16"/>
      <c r="IMS34" s="16"/>
      <c r="IMT34" s="16"/>
      <c r="IMU34" s="16"/>
      <c r="IMV34" s="16"/>
      <c r="IMW34" s="16"/>
      <c r="IMX34" s="16"/>
      <c r="IMY34" s="16"/>
      <c r="IMZ34" s="16"/>
      <c r="INA34" s="16"/>
      <c r="INB34" s="16"/>
      <c r="INC34" s="16"/>
      <c r="IND34" s="16"/>
      <c r="INE34" s="16"/>
      <c r="INF34" s="16"/>
      <c r="ING34" s="16"/>
      <c r="INH34" s="16"/>
      <c r="INI34" s="16"/>
      <c r="INJ34" s="16"/>
      <c r="INK34" s="16"/>
      <c r="INL34" s="16"/>
      <c r="INM34" s="16"/>
      <c r="INN34" s="16"/>
      <c r="INO34" s="16"/>
      <c r="INP34" s="16"/>
      <c r="INQ34" s="16"/>
      <c r="INR34" s="16"/>
      <c r="INS34" s="16"/>
      <c r="INT34" s="16"/>
      <c r="INU34" s="16"/>
      <c r="INV34" s="16"/>
      <c r="INW34" s="16"/>
      <c r="INX34" s="16"/>
      <c r="INY34" s="16"/>
      <c r="INZ34" s="16"/>
      <c r="IOA34" s="16"/>
      <c r="IOB34" s="16"/>
      <c r="IOC34" s="16"/>
      <c r="IOD34" s="16"/>
      <c r="IOE34" s="16"/>
      <c r="IOF34" s="16"/>
      <c r="IOG34" s="16"/>
      <c r="IOH34" s="16"/>
      <c r="IOI34" s="16"/>
      <c r="IOJ34" s="16"/>
      <c r="IOK34" s="16"/>
      <c r="IOL34" s="16"/>
      <c r="IOM34" s="16"/>
      <c r="ION34" s="16"/>
      <c r="IOO34" s="16"/>
      <c r="IOP34" s="16"/>
      <c r="IOQ34" s="16"/>
      <c r="IOR34" s="16"/>
      <c r="IOS34" s="16"/>
      <c r="IOT34" s="16"/>
      <c r="IOU34" s="16"/>
      <c r="IOV34" s="16"/>
      <c r="IOW34" s="16"/>
      <c r="IOX34" s="16"/>
      <c r="IOY34" s="16"/>
      <c r="IOZ34" s="16"/>
      <c r="IPA34" s="16"/>
      <c r="IPB34" s="16"/>
      <c r="IPC34" s="16"/>
      <c r="IPD34" s="16"/>
      <c r="IPE34" s="16"/>
      <c r="IPF34" s="16"/>
      <c r="IPG34" s="16"/>
      <c r="IPH34" s="16"/>
      <c r="IPI34" s="16"/>
      <c r="IPJ34" s="16"/>
      <c r="IPK34" s="16"/>
      <c r="IPL34" s="16"/>
      <c r="IPM34" s="16"/>
      <c r="IPN34" s="16"/>
      <c r="IPO34" s="16"/>
      <c r="IPP34" s="16"/>
      <c r="IPQ34" s="16"/>
      <c r="IPR34" s="16"/>
      <c r="IPS34" s="16"/>
      <c r="IPT34" s="16"/>
      <c r="IPU34" s="16"/>
      <c r="IPV34" s="16"/>
      <c r="IPW34" s="16"/>
      <c r="IPX34" s="16"/>
      <c r="IPY34" s="16"/>
      <c r="IPZ34" s="16"/>
      <c r="IQA34" s="16"/>
      <c r="IQB34" s="16"/>
      <c r="IQC34" s="16"/>
      <c r="IQD34" s="16"/>
      <c r="IQE34" s="16"/>
      <c r="IQF34" s="16"/>
      <c r="IQG34" s="16"/>
      <c r="IQH34" s="16"/>
      <c r="IQI34" s="16"/>
      <c r="IQJ34" s="16"/>
      <c r="IQK34" s="16"/>
      <c r="IQL34" s="16"/>
      <c r="IQM34" s="16"/>
      <c r="IQN34" s="16"/>
      <c r="IQO34" s="16"/>
      <c r="IQP34" s="16"/>
      <c r="IQQ34" s="16"/>
      <c r="IQR34" s="16"/>
      <c r="IQS34" s="16"/>
      <c r="IQT34" s="16"/>
      <c r="IQU34" s="16"/>
      <c r="IQV34" s="16"/>
      <c r="IQW34" s="16"/>
      <c r="IQX34" s="16"/>
      <c r="IQY34" s="16"/>
      <c r="IQZ34" s="16"/>
      <c r="IRA34" s="16"/>
      <c r="IRB34" s="16"/>
      <c r="IRC34" s="16"/>
      <c r="IRD34" s="16"/>
      <c r="IRE34" s="16"/>
      <c r="IRF34" s="16"/>
      <c r="IRG34" s="16"/>
      <c r="IRH34" s="16"/>
      <c r="IRI34" s="16"/>
      <c r="IRJ34" s="16"/>
      <c r="IRK34" s="16"/>
      <c r="IRL34" s="16"/>
      <c r="IRM34" s="16"/>
      <c r="IRN34" s="16"/>
      <c r="IRO34" s="16"/>
      <c r="IRP34" s="16"/>
      <c r="IRQ34" s="16"/>
      <c r="IRR34" s="16"/>
      <c r="IRS34" s="16"/>
      <c r="IRT34" s="16"/>
      <c r="IRU34" s="16"/>
      <c r="IRV34" s="16"/>
      <c r="IRW34" s="16"/>
      <c r="IRX34" s="16"/>
      <c r="IRY34" s="16"/>
      <c r="IRZ34" s="16"/>
      <c r="ISA34" s="16"/>
      <c r="ISB34" s="16"/>
      <c r="ISC34" s="16"/>
      <c r="ISD34" s="16"/>
      <c r="ISE34" s="16"/>
      <c r="ISF34" s="16"/>
      <c r="ISG34" s="16"/>
      <c r="ISH34" s="16"/>
      <c r="ISI34" s="16"/>
      <c r="ISJ34" s="16"/>
      <c r="ISK34" s="16"/>
      <c r="ISL34" s="16"/>
      <c r="ISM34" s="16"/>
      <c r="ISN34" s="16"/>
      <c r="ISO34" s="16"/>
      <c r="ISP34" s="16"/>
      <c r="ISQ34" s="16"/>
      <c r="ISR34" s="16"/>
      <c r="ISS34" s="16"/>
      <c r="IST34" s="16"/>
      <c r="ISU34" s="16"/>
      <c r="ISV34" s="16"/>
      <c r="ISW34" s="16"/>
      <c r="ISX34" s="16"/>
      <c r="ISY34" s="16"/>
      <c r="ISZ34" s="16"/>
      <c r="ITA34" s="16"/>
      <c r="ITB34" s="16"/>
      <c r="ITC34" s="16"/>
      <c r="ITD34" s="16"/>
      <c r="ITE34" s="16"/>
      <c r="ITF34" s="16"/>
      <c r="ITG34" s="16"/>
      <c r="ITH34" s="16"/>
      <c r="ITI34" s="16"/>
      <c r="ITJ34" s="16"/>
      <c r="ITK34" s="16"/>
      <c r="ITL34" s="16"/>
      <c r="ITM34" s="16"/>
      <c r="ITN34" s="16"/>
      <c r="ITO34" s="16"/>
      <c r="ITP34" s="16"/>
      <c r="ITQ34" s="16"/>
      <c r="ITR34" s="16"/>
      <c r="ITS34" s="16"/>
      <c r="ITT34" s="16"/>
      <c r="ITU34" s="16"/>
      <c r="ITV34" s="16"/>
      <c r="ITW34" s="16"/>
      <c r="ITX34" s="16"/>
      <c r="ITY34" s="16"/>
      <c r="ITZ34" s="16"/>
      <c r="IUA34" s="16"/>
      <c r="IUB34" s="16"/>
      <c r="IUC34" s="16"/>
      <c r="IUD34" s="16"/>
      <c r="IUE34" s="16"/>
      <c r="IUF34" s="16"/>
      <c r="IUG34" s="16"/>
      <c r="IUH34" s="16"/>
      <c r="IUI34" s="16"/>
      <c r="IUJ34" s="16"/>
      <c r="IUK34" s="16"/>
      <c r="IUL34" s="16"/>
      <c r="IUM34" s="16"/>
      <c r="IUN34" s="16"/>
      <c r="IUO34" s="16"/>
      <c r="IUP34" s="16"/>
      <c r="IUQ34" s="16"/>
      <c r="IUR34" s="16"/>
      <c r="IUS34" s="16"/>
      <c r="IUT34" s="16"/>
      <c r="IUU34" s="16"/>
      <c r="IUV34" s="16"/>
      <c r="IUW34" s="16"/>
      <c r="IUX34" s="16"/>
      <c r="IUY34" s="16"/>
      <c r="IUZ34" s="16"/>
      <c r="IVA34" s="16"/>
      <c r="IVB34" s="16"/>
      <c r="IVC34" s="16"/>
      <c r="IVD34" s="16"/>
      <c r="IVE34" s="16"/>
      <c r="IVF34" s="16"/>
      <c r="IVG34" s="16"/>
      <c r="IVH34" s="16"/>
      <c r="IVI34" s="16"/>
      <c r="IVJ34" s="16"/>
      <c r="IVK34" s="16"/>
      <c r="IVL34" s="16"/>
      <c r="IVM34" s="16"/>
      <c r="IVN34" s="16"/>
      <c r="IVO34" s="16"/>
      <c r="IVP34" s="16"/>
      <c r="IVQ34" s="16"/>
      <c r="IVR34" s="16"/>
      <c r="IVS34" s="16"/>
      <c r="IVT34" s="16"/>
      <c r="IVU34" s="16"/>
      <c r="IVV34" s="16"/>
      <c r="IVW34" s="16"/>
      <c r="IVX34" s="16"/>
      <c r="IVY34" s="16"/>
      <c r="IVZ34" s="16"/>
      <c r="IWA34" s="16"/>
      <c r="IWB34" s="16"/>
      <c r="IWC34" s="16"/>
      <c r="IWD34" s="16"/>
      <c r="IWE34" s="16"/>
      <c r="IWF34" s="16"/>
      <c r="IWG34" s="16"/>
      <c r="IWH34" s="16"/>
      <c r="IWI34" s="16"/>
      <c r="IWJ34" s="16"/>
      <c r="IWK34" s="16"/>
      <c r="IWL34" s="16"/>
      <c r="IWM34" s="16"/>
      <c r="IWN34" s="16"/>
      <c r="IWO34" s="16"/>
      <c r="IWP34" s="16"/>
      <c r="IWQ34" s="16"/>
      <c r="IWR34" s="16"/>
      <c r="IWS34" s="16"/>
      <c r="IWT34" s="16"/>
      <c r="IWU34" s="16"/>
      <c r="IWV34" s="16"/>
      <c r="IWW34" s="16"/>
      <c r="IWX34" s="16"/>
      <c r="IWY34" s="16"/>
      <c r="IWZ34" s="16"/>
      <c r="IXA34" s="16"/>
      <c r="IXB34" s="16"/>
      <c r="IXC34" s="16"/>
      <c r="IXD34" s="16"/>
      <c r="IXE34" s="16"/>
      <c r="IXF34" s="16"/>
      <c r="IXG34" s="16"/>
      <c r="IXH34" s="16"/>
      <c r="IXI34" s="16"/>
      <c r="IXJ34" s="16"/>
      <c r="IXK34" s="16"/>
      <c r="IXL34" s="16"/>
      <c r="IXM34" s="16"/>
      <c r="IXN34" s="16"/>
      <c r="IXO34" s="16"/>
      <c r="IXP34" s="16"/>
      <c r="IXQ34" s="16"/>
      <c r="IXR34" s="16"/>
      <c r="IXS34" s="16"/>
      <c r="IXT34" s="16"/>
      <c r="IXU34" s="16"/>
      <c r="IXV34" s="16"/>
      <c r="IXW34" s="16"/>
      <c r="IXX34" s="16"/>
      <c r="IXY34" s="16"/>
      <c r="IXZ34" s="16"/>
      <c r="IYA34" s="16"/>
      <c r="IYB34" s="16"/>
      <c r="IYC34" s="16"/>
      <c r="IYD34" s="16"/>
      <c r="IYE34" s="16"/>
      <c r="IYF34" s="16"/>
      <c r="IYG34" s="16"/>
      <c r="IYH34" s="16"/>
      <c r="IYI34" s="16"/>
      <c r="IYJ34" s="16"/>
      <c r="IYK34" s="16"/>
      <c r="IYL34" s="16"/>
      <c r="IYM34" s="16"/>
      <c r="IYN34" s="16"/>
      <c r="IYO34" s="16"/>
      <c r="IYP34" s="16"/>
      <c r="IYQ34" s="16"/>
      <c r="IYR34" s="16"/>
      <c r="IYS34" s="16"/>
      <c r="IYT34" s="16"/>
      <c r="IYU34" s="16"/>
      <c r="IYV34" s="16"/>
      <c r="IYW34" s="16"/>
      <c r="IYX34" s="16"/>
      <c r="IYY34" s="16"/>
      <c r="IYZ34" s="16"/>
      <c r="IZA34" s="16"/>
      <c r="IZB34" s="16"/>
      <c r="IZC34" s="16"/>
      <c r="IZD34" s="16"/>
      <c r="IZE34" s="16"/>
      <c r="IZF34" s="16"/>
      <c r="IZG34" s="16"/>
      <c r="IZH34" s="16"/>
      <c r="IZI34" s="16"/>
      <c r="IZJ34" s="16"/>
      <c r="IZK34" s="16"/>
      <c r="IZL34" s="16"/>
      <c r="IZM34" s="16"/>
      <c r="IZN34" s="16"/>
      <c r="IZO34" s="16"/>
      <c r="IZP34" s="16"/>
      <c r="IZQ34" s="16"/>
      <c r="IZR34" s="16"/>
      <c r="IZS34" s="16"/>
      <c r="IZT34" s="16"/>
      <c r="IZU34" s="16"/>
      <c r="IZV34" s="16"/>
      <c r="IZW34" s="16"/>
      <c r="IZX34" s="16"/>
      <c r="IZY34" s="16"/>
      <c r="IZZ34" s="16"/>
      <c r="JAA34" s="16"/>
      <c r="JAB34" s="16"/>
      <c r="JAC34" s="16"/>
      <c r="JAD34" s="16"/>
      <c r="JAE34" s="16"/>
      <c r="JAF34" s="16"/>
      <c r="JAG34" s="16"/>
      <c r="JAH34" s="16"/>
      <c r="JAI34" s="16"/>
      <c r="JAJ34" s="16"/>
      <c r="JAK34" s="16"/>
      <c r="JAL34" s="16"/>
      <c r="JAM34" s="16"/>
      <c r="JAN34" s="16"/>
      <c r="JAO34" s="16"/>
      <c r="JAP34" s="16"/>
      <c r="JAQ34" s="16"/>
      <c r="JAR34" s="16"/>
      <c r="JAS34" s="16"/>
      <c r="JAT34" s="16"/>
      <c r="JAU34" s="16"/>
      <c r="JAV34" s="16"/>
      <c r="JAW34" s="16"/>
      <c r="JAX34" s="16"/>
      <c r="JAY34" s="16"/>
      <c r="JAZ34" s="16"/>
      <c r="JBA34" s="16"/>
      <c r="JBB34" s="16"/>
      <c r="JBC34" s="16"/>
      <c r="JBD34" s="16"/>
      <c r="JBE34" s="16"/>
      <c r="JBF34" s="16"/>
      <c r="JBG34" s="16"/>
      <c r="JBH34" s="16"/>
      <c r="JBI34" s="16"/>
      <c r="JBJ34" s="16"/>
      <c r="JBK34" s="16"/>
      <c r="JBL34" s="16"/>
      <c r="JBM34" s="16"/>
      <c r="JBN34" s="16"/>
      <c r="JBO34" s="16"/>
      <c r="JBP34" s="16"/>
      <c r="JBQ34" s="16"/>
      <c r="JBR34" s="16"/>
      <c r="JBS34" s="16"/>
      <c r="JBT34" s="16"/>
      <c r="JBU34" s="16"/>
      <c r="JBV34" s="16"/>
      <c r="JBW34" s="16"/>
      <c r="JBX34" s="16"/>
      <c r="JBY34" s="16"/>
      <c r="JBZ34" s="16"/>
      <c r="JCA34" s="16"/>
      <c r="JCB34" s="16"/>
      <c r="JCC34" s="16"/>
      <c r="JCD34" s="16"/>
      <c r="JCE34" s="16"/>
      <c r="JCF34" s="16"/>
      <c r="JCG34" s="16"/>
      <c r="JCH34" s="16"/>
      <c r="JCI34" s="16"/>
      <c r="JCJ34" s="16"/>
      <c r="JCK34" s="16"/>
      <c r="JCL34" s="16"/>
      <c r="JCM34" s="16"/>
      <c r="JCN34" s="16"/>
      <c r="JCO34" s="16"/>
      <c r="JCP34" s="16"/>
      <c r="JCQ34" s="16"/>
      <c r="JCR34" s="16"/>
      <c r="JCS34" s="16"/>
      <c r="JCT34" s="16"/>
      <c r="JCU34" s="16"/>
      <c r="JCV34" s="16"/>
      <c r="JCW34" s="16"/>
      <c r="JCX34" s="16"/>
      <c r="JCY34" s="16"/>
      <c r="JCZ34" s="16"/>
      <c r="JDA34" s="16"/>
      <c r="JDB34" s="16"/>
      <c r="JDC34" s="16"/>
      <c r="JDD34" s="16"/>
      <c r="JDE34" s="16"/>
      <c r="JDF34" s="16"/>
      <c r="JDG34" s="16"/>
      <c r="JDH34" s="16"/>
      <c r="JDI34" s="16"/>
      <c r="JDJ34" s="16"/>
      <c r="JDK34" s="16"/>
      <c r="JDL34" s="16"/>
      <c r="JDM34" s="16"/>
      <c r="JDN34" s="16"/>
      <c r="JDO34" s="16"/>
      <c r="JDP34" s="16"/>
      <c r="JDQ34" s="16"/>
      <c r="JDR34" s="16"/>
      <c r="JDS34" s="16"/>
      <c r="JDT34" s="16"/>
      <c r="JDU34" s="16"/>
      <c r="JDV34" s="16"/>
      <c r="JDW34" s="16"/>
      <c r="JDX34" s="16"/>
      <c r="JDY34" s="16"/>
      <c r="JDZ34" s="16"/>
      <c r="JEA34" s="16"/>
      <c r="JEB34" s="16"/>
      <c r="JEC34" s="16"/>
      <c r="JED34" s="16"/>
      <c r="JEE34" s="16"/>
      <c r="JEF34" s="16"/>
      <c r="JEG34" s="16"/>
      <c r="JEH34" s="16"/>
      <c r="JEI34" s="16"/>
      <c r="JEJ34" s="16"/>
      <c r="JEK34" s="16"/>
      <c r="JEL34" s="16"/>
      <c r="JEM34" s="16"/>
      <c r="JEN34" s="16"/>
      <c r="JEO34" s="16"/>
      <c r="JEP34" s="16"/>
      <c r="JEQ34" s="16"/>
      <c r="JER34" s="16"/>
      <c r="JES34" s="16"/>
      <c r="JET34" s="16"/>
      <c r="JEU34" s="16"/>
      <c r="JEV34" s="16"/>
      <c r="JEW34" s="16"/>
      <c r="JEX34" s="16"/>
      <c r="JEY34" s="16"/>
      <c r="JEZ34" s="16"/>
      <c r="JFA34" s="16"/>
      <c r="JFB34" s="16"/>
      <c r="JFC34" s="16"/>
      <c r="JFD34" s="16"/>
      <c r="JFE34" s="16"/>
      <c r="JFF34" s="16"/>
      <c r="JFG34" s="16"/>
      <c r="JFH34" s="16"/>
      <c r="JFI34" s="16"/>
      <c r="JFJ34" s="16"/>
      <c r="JFK34" s="16"/>
      <c r="JFL34" s="16"/>
      <c r="JFM34" s="16"/>
      <c r="JFN34" s="16"/>
      <c r="JFO34" s="16"/>
      <c r="JFP34" s="16"/>
      <c r="JFQ34" s="16"/>
      <c r="JFR34" s="16"/>
      <c r="JFS34" s="16"/>
      <c r="JFT34" s="16"/>
      <c r="JFU34" s="16"/>
      <c r="JFV34" s="16"/>
      <c r="JFW34" s="16"/>
      <c r="JFX34" s="16"/>
      <c r="JFY34" s="16"/>
      <c r="JFZ34" s="16"/>
      <c r="JGA34" s="16"/>
      <c r="JGB34" s="16"/>
      <c r="JGC34" s="16"/>
      <c r="JGD34" s="16"/>
      <c r="JGE34" s="16"/>
      <c r="JGF34" s="16"/>
      <c r="JGG34" s="16"/>
      <c r="JGH34" s="16"/>
      <c r="JGI34" s="16"/>
      <c r="JGJ34" s="16"/>
      <c r="JGK34" s="16"/>
      <c r="JGL34" s="16"/>
      <c r="JGM34" s="16"/>
      <c r="JGN34" s="16"/>
      <c r="JGO34" s="16"/>
      <c r="JGP34" s="16"/>
      <c r="JGQ34" s="16"/>
      <c r="JGR34" s="16"/>
      <c r="JGS34" s="16"/>
      <c r="JGT34" s="16"/>
      <c r="JGU34" s="16"/>
      <c r="JGV34" s="16"/>
      <c r="JGW34" s="16"/>
      <c r="JGX34" s="16"/>
      <c r="JGY34" s="16"/>
      <c r="JGZ34" s="16"/>
      <c r="JHA34" s="16"/>
      <c r="JHB34" s="16"/>
      <c r="JHC34" s="16"/>
      <c r="JHD34" s="16"/>
      <c r="JHE34" s="16"/>
      <c r="JHF34" s="16"/>
      <c r="JHG34" s="16"/>
      <c r="JHH34" s="16"/>
      <c r="JHI34" s="16"/>
      <c r="JHJ34" s="16"/>
      <c r="JHK34" s="16"/>
      <c r="JHL34" s="16"/>
      <c r="JHM34" s="16"/>
      <c r="JHN34" s="16"/>
      <c r="JHO34" s="16"/>
      <c r="JHP34" s="16"/>
      <c r="JHQ34" s="16"/>
      <c r="JHR34" s="16"/>
      <c r="JHS34" s="16"/>
      <c r="JHT34" s="16"/>
      <c r="JHU34" s="16"/>
      <c r="JHV34" s="16"/>
      <c r="JHW34" s="16"/>
      <c r="JHX34" s="16"/>
      <c r="JHY34" s="16"/>
      <c r="JHZ34" s="16"/>
      <c r="JIA34" s="16"/>
      <c r="JIB34" s="16"/>
      <c r="JIC34" s="16"/>
      <c r="JID34" s="16"/>
      <c r="JIE34" s="16"/>
      <c r="JIF34" s="16"/>
      <c r="JIG34" s="16"/>
      <c r="JIH34" s="16"/>
      <c r="JII34" s="16"/>
      <c r="JIJ34" s="16"/>
      <c r="JIK34" s="16"/>
      <c r="JIL34" s="16"/>
      <c r="JIM34" s="16"/>
      <c r="JIN34" s="16"/>
      <c r="JIO34" s="16"/>
      <c r="JIP34" s="16"/>
      <c r="JIQ34" s="16"/>
      <c r="JIR34" s="16"/>
      <c r="JIS34" s="16"/>
      <c r="JIT34" s="16"/>
      <c r="JIU34" s="16"/>
      <c r="JIV34" s="16"/>
      <c r="JIW34" s="16"/>
      <c r="JIX34" s="16"/>
      <c r="JIY34" s="16"/>
      <c r="JIZ34" s="16"/>
      <c r="JJA34" s="16"/>
      <c r="JJB34" s="16"/>
      <c r="JJC34" s="16"/>
      <c r="JJD34" s="16"/>
      <c r="JJE34" s="16"/>
      <c r="JJF34" s="16"/>
      <c r="JJG34" s="16"/>
      <c r="JJH34" s="16"/>
      <c r="JJI34" s="16"/>
      <c r="JJJ34" s="16"/>
      <c r="JJK34" s="16"/>
      <c r="JJL34" s="16"/>
      <c r="JJM34" s="16"/>
      <c r="JJN34" s="16"/>
      <c r="JJO34" s="16"/>
      <c r="JJP34" s="16"/>
      <c r="JJQ34" s="16"/>
      <c r="JJR34" s="16"/>
      <c r="JJS34" s="16"/>
      <c r="JJT34" s="16"/>
      <c r="JJU34" s="16"/>
      <c r="JJV34" s="16"/>
      <c r="JJW34" s="16"/>
      <c r="JJX34" s="16"/>
      <c r="JJY34" s="16"/>
      <c r="JJZ34" s="16"/>
      <c r="JKA34" s="16"/>
      <c r="JKB34" s="16"/>
      <c r="JKC34" s="16"/>
      <c r="JKD34" s="16"/>
      <c r="JKE34" s="16"/>
      <c r="JKF34" s="16"/>
      <c r="JKG34" s="16"/>
      <c r="JKH34" s="16"/>
      <c r="JKI34" s="16"/>
      <c r="JKJ34" s="16"/>
      <c r="JKK34" s="16"/>
      <c r="JKL34" s="16"/>
      <c r="JKM34" s="16"/>
      <c r="JKN34" s="16"/>
      <c r="JKO34" s="16"/>
      <c r="JKP34" s="16"/>
      <c r="JKQ34" s="16"/>
      <c r="JKR34" s="16"/>
      <c r="JKS34" s="16"/>
      <c r="JKT34" s="16"/>
      <c r="JKU34" s="16"/>
      <c r="JKV34" s="16"/>
      <c r="JKW34" s="16"/>
      <c r="JKX34" s="16"/>
      <c r="JKY34" s="16"/>
      <c r="JKZ34" s="16"/>
      <c r="JLA34" s="16"/>
      <c r="JLB34" s="16"/>
      <c r="JLC34" s="16"/>
      <c r="JLD34" s="16"/>
      <c r="JLE34" s="16"/>
      <c r="JLF34" s="16"/>
      <c r="JLG34" s="16"/>
      <c r="JLH34" s="16"/>
      <c r="JLI34" s="16"/>
      <c r="JLJ34" s="16"/>
      <c r="JLK34" s="16"/>
      <c r="JLL34" s="16"/>
      <c r="JLM34" s="16"/>
      <c r="JLN34" s="16"/>
      <c r="JLO34" s="16"/>
      <c r="JLP34" s="16"/>
      <c r="JLQ34" s="16"/>
      <c r="JLR34" s="16"/>
      <c r="JLS34" s="16"/>
      <c r="JLT34" s="16"/>
      <c r="JLU34" s="16"/>
      <c r="JLV34" s="16"/>
      <c r="JLW34" s="16"/>
      <c r="JLX34" s="16"/>
      <c r="JLY34" s="16"/>
      <c r="JLZ34" s="16"/>
      <c r="JMA34" s="16"/>
      <c r="JMB34" s="16"/>
      <c r="JMC34" s="16"/>
      <c r="JMD34" s="16"/>
      <c r="JME34" s="16"/>
      <c r="JMF34" s="16"/>
      <c r="JMG34" s="16"/>
      <c r="JMH34" s="16"/>
      <c r="JMI34" s="16"/>
      <c r="JMJ34" s="16"/>
      <c r="JMK34" s="16"/>
      <c r="JML34" s="16"/>
      <c r="JMM34" s="16"/>
      <c r="JMN34" s="16"/>
      <c r="JMO34" s="16"/>
      <c r="JMP34" s="16"/>
      <c r="JMQ34" s="16"/>
      <c r="JMR34" s="16"/>
      <c r="JMS34" s="16"/>
      <c r="JMT34" s="16"/>
      <c r="JMU34" s="16"/>
      <c r="JMV34" s="16"/>
      <c r="JMW34" s="16"/>
      <c r="JMX34" s="16"/>
      <c r="JMY34" s="16"/>
      <c r="JMZ34" s="16"/>
      <c r="JNA34" s="16"/>
      <c r="JNB34" s="16"/>
      <c r="JNC34" s="16"/>
      <c r="JND34" s="16"/>
      <c r="JNE34" s="16"/>
      <c r="JNF34" s="16"/>
      <c r="JNG34" s="16"/>
      <c r="JNH34" s="16"/>
      <c r="JNI34" s="16"/>
      <c r="JNJ34" s="16"/>
      <c r="JNK34" s="16"/>
      <c r="JNL34" s="16"/>
      <c r="JNM34" s="16"/>
      <c r="JNN34" s="16"/>
      <c r="JNO34" s="16"/>
      <c r="JNP34" s="16"/>
      <c r="JNQ34" s="16"/>
      <c r="JNR34" s="16"/>
      <c r="JNS34" s="16"/>
      <c r="JNT34" s="16"/>
      <c r="JNU34" s="16"/>
      <c r="JNV34" s="16"/>
      <c r="JNW34" s="16"/>
      <c r="JNX34" s="16"/>
      <c r="JNY34" s="16"/>
      <c r="JNZ34" s="16"/>
      <c r="JOA34" s="16"/>
      <c r="JOB34" s="16"/>
      <c r="JOC34" s="16"/>
      <c r="JOD34" s="16"/>
      <c r="JOE34" s="16"/>
      <c r="JOF34" s="16"/>
      <c r="JOG34" s="16"/>
      <c r="JOH34" s="16"/>
      <c r="JOI34" s="16"/>
      <c r="JOJ34" s="16"/>
      <c r="JOK34" s="16"/>
      <c r="JOL34" s="16"/>
      <c r="JOM34" s="16"/>
      <c r="JON34" s="16"/>
      <c r="JOO34" s="16"/>
      <c r="JOP34" s="16"/>
      <c r="JOQ34" s="16"/>
      <c r="JOR34" s="16"/>
      <c r="JOS34" s="16"/>
      <c r="JOT34" s="16"/>
      <c r="JOU34" s="16"/>
      <c r="JOV34" s="16"/>
      <c r="JOW34" s="16"/>
      <c r="JOX34" s="16"/>
      <c r="JOY34" s="16"/>
      <c r="JOZ34" s="16"/>
      <c r="JPA34" s="16"/>
      <c r="JPB34" s="16"/>
      <c r="JPC34" s="16"/>
      <c r="JPD34" s="16"/>
      <c r="JPE34" s="16"/>
      <c r="JPF34" s="16"/>
      <c r="JPG34" s="16"/>
      <c r="JPH34" s="16"/>
      <c r="JPI34" s="16"/>
      <c r="JPJ34" s="16"/>
      <c r="JPK34" s="16"/>
      <c r="JPL34" s="16"/>
      <c r="JPM34" s="16"/>
      <c r="JPN34" s="16"/>
      <c r="JPO34" s="16"/>
      <c r="JPP34" s="16"/>
      <c r="JPQ34" s="16"/>
      <c r="JPR34" s="16"/>
      <c r="JPS34" s="16"/>
      <c r="JPT34" s="16"/>
      <c r="JPU34" s="16"/>
      <c r="JPV34" s="16"/>
      <c r="JPW34" s="16"/>
      <c r="JPX34" s="16"/>
      <c r="JPY34" s="16"/>
      <c r="JPZ34" s="16"/>
      <c r="JQA34" s="16"/>
      <c r="JQB34" s="16"/>
      <c r="JQC34" s="16"/>
      <c r="JQD34" s="16"/>
      <c r="JQE34" s="16"/>
      <c r="JQF34" s="16"/>
      <c r="JQG34" s="16"/>
      <c r="JQH34" s="16"/>
      <c r="JQI34" s="16"/>
      <c r="JQJ34" s="16"/>
      <c r="JQK34" s="16"/>
      <c r="JQL34" s="16"/>
      <c r="JQM34" s="16"/>
      <c r="JQN34" s="16"/>
      <c r="JQO34" s="16"/>
      <c r="JQP34" s="16"/>
      <c r="JQQ34" s="16"/>
      <c r="JQR34" s="16"/>
      <c r="JQS34" s="16"/>
      <c r="JQT34" s="16"/>
      <c r="JQU34" s="16"/>
      <c r="JQV34" s="16"/>
      <c r="JQW34" s="16"/>
      <c r="JQX34" s="16"/>
      <c r="JQY34" s="16"/>
      <c r="JQZ34" s="16"/>
      <c r="JRA34" s="16"/>
      <c r="JRB34" s="16"/>
      <c r="JRC34" s="16"/>
      <c r="JRD34" s="16"/>
      <c r="JRE34" s="16"/>
      <c r="JRF34" s="16"/>
      <c r="JRG34" s="16"/>
      <c r="JRH34" s="16"/>
      <c r="JRI34" s="16"/>
      <c r="JRJ34" s="16"/>
      <c r="JRK34" s="16"/>
      <c r="JRL34" s="16"/>
      <c r="JRM34" s="16"/>
      <c r="JRN34" s="16"/>
      <c r="JRO34" s="16"/>
      <c r="JRP34" s="16"/>
      <c r="JRQ34" s="16"/>
      <c r="JRR34" s="16"/>
      <c r="JRS34" s="16"/>
      <c r="JRT34" s="16"/>
      <c r="JRU34" s="16"/>
      <c r="JRV34" s="16"/>
      <c r="JRW34" s="16"/>
      <c r="JRX34" s="16"/>
      <c r="JRY34" s="16"/>
      <c r="JRZ34" s="16"/>
      <c r="JSA34" s="16"/>
      <c r="JSB34" s="16"/>
      <c r="JSC34" s="16"/>
      <c r="JSD34" s="16"/>
      <c r="JSE34" s="16"/>
      <c r="JSF34" s="16"/>
      <c r="JSG34" s="16"/>
      <c r="JSH34" s="16"/>
      <c r="JSI34" s="16"/>
      <c r="JSJ34" s="16"/>
      <c r="JSK34" s="16"/>
      <c r="JSL34" s="16"/>
      <c r="JSM34" s="16"/>
      <c r="JSN34" s="16"/>
      <c r="JSO34" s="16"/>
      <c r="JSP34" s="16"/>
      <c r="JSQ34" s="16"/>
      <c r="JSR34" s="16"/>
      <c r="JSS34" s="16"/>
      <c r="JST34" s="16"/>
      <c r="JSU34" s="16"/>
      <c r="JSV34" s="16"/>
      <c r="JSW34" s="16"/>
      <c r="JSX34" s="16"/>
      <c r="JSY34" s="16"/>
      <c r="JSZ34" s="16"/>
      <c r="JTA34" s="16"/>
      <c r="JTB34" s="16"/>
      <c r="JTC34" s="16"/>
      <c r="JTD34" s="16"/>
      <c r="JTE34" s="16"/>
      <c r="JTF34" s="16"/>
      <c r="JTG34" s="16"/>
      <c r="JTH34" s="16"/>
      <c r="JTI34" s="16"/>
      <c r="JTJ34" s="16"/>
      <c r="JTK34" s="16"/>
      <c r="JTL34" s="16"/>
      <c r="JTM34" s="16"/>
      <c r="JTN34" s="16"/>
      <c r="JTO34" s="16"/>
      <c r="JTP34" s="16"/>
      <c r="JTQ34" s="16"/>
      <c r="JTR34" s="16"/>
      <c r="JTS34" s="16"/>
      <c r="JTT34" s="16"/>
      <c r="JTU34" s="16"/>
      <c r="JTV34" s="16"/>
      <c r="JTW34" s="16"/>
      <c r="JTX34" s="16"/>
      <c r="JTY34" s="16"/>
      <c r="JTZ34" s="16"/>
      <c r="JUA34" s="16"/>
      <c r="JUB34" s="16"/>
      <c r="JUC34" s="16"/>
      <c r="JUD34" s="16"/>
      <c r="JUE34" s="16"/>
      <c r="JUF34" s="16"/>
      <c r="JUG34" s="16"/>
      <c r="JUH34" s="16"/>
      <c r="JUI34" s="16"/>
      <c r="JUJ34" s="16"/>
      <c r="JUK34" s="16"/>
      <c r="JUL34" s="16"/>
      <c r="JUM34" s="16"/>
      <c r="JUN34" s="16"/>
      <c r="JUO34" s="16"/>
      <c r="JUP34" s="16"/>
      <c r="JUQ34" s="16"/>
      <c r="JUR34" s="16"/>
      <c r="JUS34" s="16"/>
      <c r="JUT34" s="16"/>
      <c r="JUU34" s="16"/>
      <c r="JUV34" s="16"/>
      <c r="JUW34" s="16"/>
      <c r="JUX34" s="16"/>
      <c r="JUY34" s="16"/>
      <c r="JUZ34" s="16"/>
      <c r="JVA34" s="16"/>
      <c r="JVB34" s="16"/>
      <c r="JVC34" s="16"/>
      <c r="JVD34" s="16"/>
      <c r="JVE34" s="16"/>
      <c r="JVF34" s="16"/>
      <c r="JVG34" s="16"/>
      <c r="JVH34" s="16"/>
      <c r="JVI34" s="16"/>
      <c r="JVJ34" s="16"/>
      <c r="JVK34" s="16"/>
      <c r="JVL34" s="16"/>
      <c r="JVM34" s="16"/>
      <c r="JVN34" s="16"/>
      <c r="JVO34" s="16"/>
      <c r="JVP34" s="16"/>
      <c r="JVQ34" s="16"/>
      <c r="JVR34" s="16"/>
      <c r="JVS34" s="16"/>
      <c r="JVT34" s="16"/>
      <c r="JVU34" s="16"/>
      <c r="JVV34" s="16"/>
      <c r="JVW34" s="16"/>
      <c r="JVX34" s="16"/>
      <c r="JVY34" s="16"/>
      <c r="JVZ34" s="16"/>
      <c r="JWA34" s="16"/>
      <c r="JWB34" s="16"/>
      <c r="JWC34" s="16"/>
      <c r="JWD34" s="16"/>
      <c r="JWE34" s="16"/>
      <c r="JWF34" s="16"/>
      <c r="JWG34" s="16"/>
      <c r="JWH34" s="16"/>
      <c r="JWI34" s="16"/>
      <c r="JWJ34" s="16"/>
      <c r="JWK34" s="16"/>
      <c r="JWL34" s="16"/>
      <c r="JWM34" s="16"/>
      <c r="JWN34" s="16"/>
      <c r="JWO34" s="16"/>
      <c r="JWP34" s="16"/>
      <c r="JWQ34" s="16"/>
      <c r="JWR34" s="16"/>
      <c r="JWS34" s="16"/>
      <c r="JWT34" s="16"/>
      <c r="JWU34" s="16"/>
      <c r="JWV34" s="16"/>
      <c r="JWW34" s="16"/>
      <c r="JWX34" s="16"/>
      <c r="JWY34" s="16"/>
      <c r="JWZ34" s="16"/>
      <c r="JXA34" s="16"/>
      <c r="JXB34" s="16"/>
      <c r="JXC34" s="16"/>
      <c r="JXD34" s="16"/>
      <c r="JXE34" s="16"/>
      <c r="JXF34" s="16"/>
      <c r="JXG34" s="16"/>
      <c r="JXH34" s="16"/>
      <c r="JXI34" s="16"/>
      <c r="JXJ34" s="16"/>
      <c r="JXK34" s="16"/>
      <c r="JXL34" s="16"/>
      <c r="JXM34" s="16"/>
      <c r="JXN34" s="16"/>
      <c r="JXO34" s="16"/>
      <c r="JXP34" s="16"/>
      <c r="JXQ34" s="16"/>
      <c r="JXR34" s="16"/>
      <c r="JXS34" s="16"/>
      <c r="JXT34" s="16"/>
      <c r="JXU34" s="16"/>
      <c r="JXV34" s="16"/>
      <c r="JXW34" s="16"/>
      <c r="JXX34" s="16"/>
      <c r="JXY34" s="16"/>
      <c r="JXZ34" s="16"/>
      <c r="JYA34" s="16"/>
      <c r="JYB34" s="16"/>
      <c r="JYC34" s="16"/>
      <c r="JYD34" s="16"/>
      <c r="JYE34" s="16"/>
      <c r="JYF34" s="16"/>
      <c r="JYG34" s="16"/>
      <c r="JYH34" s="16"/>
      <c r="JYI34" s="16"/>
      <c r="JYJ34" s="16"/>
      <c r="JYK34" s="16"/>
      <c r="JYL34" s="16"/>
      <c r="JYM34" s="16"/>
      <c r="JYN34" s="16"/>
      <c r="JYO34" s="16"/>
      <c r="JYP34" s="16"/>
      <c r="JYQ34" s="16"/>
      <c r="JYR34" s="16"/>
      <c r="JYS34" s="16"/>
      <c r="JYT34" s="16"/>
      <c r="JYU34" s="16"/>
      <c r="JYV34" s="16"/>
      <c r="JYW34" s="16"/>
      <c r="JYX34" s="16"/>
      <c r="JYY34" s="16"/>
      <c r="JYZ34" s="16"/>
      <c r="JZA34" s="16"/>
      <c r="JZB34" s="16"/>
      <c r="JZC34" s="16"/>
      <c r="JZD34" s="16"/>
      <c r="JZE34" s="16"/>
      <c r="JZF34" s="16"/>
      <c r="JZG34" s="16"/>
      <c r="JZH34" s="16"/>
      <c r="JZI34" s="16"/>
      <c r="JZJ34" s="16"/>
      <c r="JZK34" s="16"/>
      <c r="JZL34" s="16"/>
      <c r="JZM34" s="16"/>
      <c r="JZN34" s="16"/>
      <c r="JZO34" s="16"/>
      <c r="JZP34" s="16"/>
      <c r="JZQ34" s="16"/>
      <c r="JZR34" s="16"/>
      <c r="JZS34" s="16"/>
      <c r="JZT34" s="16"/>
      <c r="JZU34" s="16"/>
      <c r="JZV34" s="16"/>
      <c r="JZW34" s="16"/>
      <c r="JZX34" s="16"/>
      <c r="JZY34" s="16"/>
      <c r="JZZ34" s="16"/>
      <c r="KAA34" s="16"/>
      <c r="KAB34" s="16"/>
      <c r="KAC34" s="16"/>
      <c r="KAD34" s="16"/>
      <c r="KAE34" s="16"/>
      <c r="KAF34" s="16"/>
      <c r="KAG34" s="16"/>
      <c r="KAH34" s="16"/>
      <c r="KAI34" s="16"/>
      <c r="KAJ34" s="16"/>
      <c r="KAK34" s="16"/>
      <c r="KAL34" s="16"/>
      <c r="KAM34" s="16"/>
      <c r="KAN34" s="16"/>
      <c r="KAO34" s="16"/>
      <c r="KAP34" s="16"/>
      <c r="KAQ34" s="16"/>
      <c r="KAR34" s="16"/>
      <c r="KAS34" s="16"/>
      <c r="KAT34" s="16"/>
      <c r="KAU34" s="16"/>
      <c r="KAV34" s="16"/>
      <c r="KAW34" s="16"/>
      <c r="KAX34" s="16"/>
      <c r="KAY34" s="16"/>
      <c r="KAZ34" s="16"/>
      <c r="KBA34" s="16"/>
      <c r="KBB34" s="16"/>
      <c r="KBC34" s="16"/>
      <c r="KBD34" s="16"/>
      <c r="KBE34" s="16"/>
      <c r="KBF34" s="16"/>
      <c r="KBG34" s="16"/>
      <c r="KBH34" s="16"/>
      <c r="KBI34" s="16"/>
      <c r="KBJ34" s="16"/>
      <c r="KBK34" s="16"/>
      <c r="KBL34" s="16"/>
      <c r="KBM34" s="16"/>
      <c r="KBN34" s="16"/>
      <c r="KBO34" s="16"/>
      <c r="KBP34" s="16"/>
      <c r="KBQ34" s="16"/>
      <c r="KBR34" s="16"/>
      <c r="KBS34" s="16"/>
      <c r="KBT34" s="16"/>
      <c r="KBU34" s="16"/>
      <c r="KBV34" s="16"/>
      <c r="KBW34" s="16"/>
      <c r="KBX34" s="16"/>
      <c r="KBY34" s="16"/>
      <c r="KBZ34" s="16"/>
      <c r="KCA34" s="16"/>
      <c r="KCB34" s="16"/>
      <c r="KCC34" s="16"/>
      <c r="KCD34" s="16"/>
      <c r="KCE34" s="16"/>
      <c r="KCF34" s="16"/>
      <c r="KCG34" s="16"/>
      <c r="KCH34" s="16"/>
      <c r="KCI34" s="16"/>
      <c r="KCJ34" s="16"/>
      <c r="KCK34" s="16"/>
      <c r="KCL34" s="16"/>
      <c r="KCM34" s="16"/>
      <c r="KCN34" s="16"/>
      <c r="KCO34" s="16"/>
      <c r="KCP34" s="16"/>
      <c r="KCQ34" s="16"/>
      <c r="KCR34" s="16"/>
      <c r="KCS34" s="16"/>
      <c r="KCT34" s="16"/>
      <c r="KCU34" s="16"/>
      <c r="KCV34" s="16"/>
      <c r="KCW34" s="16"/>
      <c r="KCX34" s="16"/>
      <c r="KCY34" s="16"/>
      <c r="KCZ34" s="16"/>
      <c r="KDA34" s="16"/>
      <c r="KDB34" s="16"/>
      <c r="KDC34" s="16"/>
      <c r="KDD34" s="16"/>
      <c r="KDE34" s="16"/>
      <c r="KDF34" s="16"/>
      <c r="KDG34" s="16"/>
      <c r="KDH34" s="16"/>
      <c r="KDI34" s="16"/>
      <c r="KDJ34" s="16"/>
      <c r="KDK34" s="16"/>
      <c r="KDL34" s="16"/>
      <c r="KDM34" s="16"/>
      <c r="KDN34" s="16"/>
      <c r="KDO34" s="16"/>
      <c r="KDP34" s="16"/>
      <c r="KDQ34" s="16"/>
      <c r="KDR34" s="16"/>
      <c r="KDS34" s="16"/>
      <c r="KDT34" s="16"/>
      <c r="KDU34" s="16"/>
      <c r="KDV34" s="16"/>
      <c r="KDW34" s="16"/>
      <c r="KDX34" s="16"/>
      <c r="KDY34" s="16"/>
      <c r="KDZ34" s="16"/>
      <c r="KEA34" s="16"/>
      <c r="KEB34" s="16"/>
      <c r="KEC34" s="16"/>
      <c r="KED34" s="16"/>
      <c r="KEE34" s="16"/>
      <c r="KEF34" s="16"/>
      <c r="KEG34" s="16"/>
      <c r="KEH34" s="16"/>
      <c r="KEI34" s="16"/>
      <c r="KEJ34" s="16"/>
      <c r="KEK34" s="16"/>
      <c r="KEL34" s="16"/>
      <c r="KEM34" s="16"/>
      <c r="KEN34" s="16"/>
      <c r="KEO34" s="16"/>
      <c r="KEP34" s="16"/>
      <c r="KEQ34" s="16"/>
      <c r="KER34" s="16"/>
      <c r="KES34" s="16"/>
      <c r="KET34" s="16"/>
      <c r="KEU34" s="16"/>
      <c r="KEV34" s="16"/>
      <c r="KEW34" s="16"/>
      <c r="KEX34" s="16"/>
      <c r="KEY34" s="16"/>
      <c r="KEZ34" s="16"/>
      <c r="KFA34" s="16"/>
      <c r="KFB34" s="16"/>
      <c r="KFC34" s="16"/>
      <c r="KFD34" s="16"/>
      <c r="KFE34" s="16"/>
      <c r="KFF34" s="16"/>
      <c r="KFG34" s="16"/>
      <c r="KFH34" s="16"/>
      <c r="KFI34" s="16"/>
      <c r="KFJ34" s="16"/>
      <c r="KFK34" s="16"/>
      <c r="KFL34" s="16"/>
      <c r="KFM34" s="16"/>
      <c r="KFN34" s="16"/>
      <c r="KFO34" s="16"/>
      <c r="KFP34" s="16"/>
      <c r="KFQ34" s="16"/>
      <c r="KFR34" s="16"/>
      <c r="KFS34" s="16"/>
      <c r="KFT34" s="16"/>
      <c r="KFU34" s="16"/>
      <c r="KFV34" s="16"/>
      <c r="KFW34" s="16"/>
      <c r="KFX34" s="16"/>
      <c r="KFY34" s="16"/>
      <c r="KFZ34" s="16"/>
      <c r="KGA34" s="16"/>
      <c r="KGB34" s="16"/>
      <c r="KGC34" s="16"/>
      <c r="KGD34" s="16"/>
      <c r="KGE34" s="16"/>
      <c r="KGF34" s="16"/>
      <c r="KGG34" s="16"/>
      <c r="KGH34" s="16"/>
      <c r="KGI34" s="16"/>
      <c r="KGJ34" s="16"/>
      <c r="KGK34" s="16"/>
      <c r="KGL34" s="16"/>
      <c r="KGM34" s="16"/>
      <c r="KGN34" s="16"/>
      <c r="KGO34" s="16"/>
      <c r="KGP34" s="16"/>
      <c r="KGQ34" s="16"/>
      <c r="KGR34" s="16"/>
      <c r="KGS34" s="16"/>
      <c r="KGT34" s="16"/>
      <c r="KGU34" s="16"/>
      <c r="KGV34" s="16"/>
      <c r="KGW34" s="16"/>
      <c r="KGX34" s="16"/>
      <c r="KGY34" s="16"/>
      <c r="KGZ34" s="16"/>
      <c r="KHA34" s="16"/>
      <c r="KHB34" s="16"/>
      <c r="KHC34" s="16"/>
      <c r="KHD34" s="16"/>
      <c r="KHE34" s="16"/>
      <c r="KHF34" s="16"/>
      <c r="KHG34" s="16"/>
      <c r="KHH34" s="16"/>
      <c r="KHI34" s="16"/>
      <c r="KHJ34" s="16"/>
      <c r="KHK34" s="16"/>
      <c r="KHL34" s="16"/>
      <c r="KHM34" s="16"/>
      <c r="KHN34" s="16"/>
      <c r="KHO34" s="16"/>
      <c r="KHP34" s="16"/>
      <c r="KHQ34" s="16"/>
      <c r="KHR34" s="16"/>
      <c r="KHS34" s="16"/>
      <c r="KHT34" s="16"/>
      <c r="KHU34" s="16"/>
      <c r="KHV34" s="16"/>
      <c r="KHW34" s="16"/>
      <c r="KHX34" s="16"/>
      <c r="KHY34" s="16"/>
      <c r="KHZ34" s="16"/>
      <c r="KIA34" s="16"/>
      <c r="KIB34" s="16"/>
      <c r="KIC34" s="16"/>
      <c r="KID34" s="16"/>
      <c r="KIE34" s="16"/>
      <c r="KIF34" s="16"/>
      <c r="KIG34" s="16"/>
      <c r="KIH34" s="16"/>
      <c r="KII34" s="16"/>
      <c r="KIJ34" s="16"/>
      <c r="KIK34" s="16"/>
      <c r="KIL34" s="16"/>
      <c r="KIM34" s="16"/>
      <c r="KIN34" s="16"/>
      <c r="KIO34" s="16"/>
      <c r="KIP34" s="16"/>
      <c r="KIQ34" s="16"/>
      <c r="KIR34" s="16"/>
      <c r="KIS34" s="16"/>
      <c r="KIT34" s="16"/>
      <c r="KIU34" s="16"/>
      <c r="KIV34" s="16"/>
      <c r="KIW34" s="16"/>
      <c r="KIX34" s="16"/>
      <c r="KIY34" s="16"/>
      <c r="KIZ34" s="16"/>
      <c r="KJA34" s="16"/>
      <c r="KJB34" s="16"/>
      <c r="KJC34" s="16"/>
      <c r="KJD34" s="16"/>
      <c r="KJE34" s="16"/>
      <c r="KJF34" s="16"/>
      <c r="KJG34" s="16"/>
      <c r="KJH34" s="16"/>
      <c r="KJI34" s="16"/>
      <c r="KJJ34" s="16"/>
      <c r="KJK34" s="16"/>
      <c r="KJL34" s="16"/>
      <c r="KJM34" s="16"/>
      <c r="KJN34" s="16"/>
      <c r="KJO34" s="16"/>
      <c r="KJP34" s="16"/>
      <c r="KJQ34" s="16"/>
      <c r="KJR34" s="16"/>
      <c r="KJS34" s="16"/>
      <c r="KJT34" s="16"/>
      <c r="KJU34" s="16"/>
      <c r="KJV34" s="16"/>
      <c r="KJW34" s="16"/>
      <c r="KJX34" s="16"/>
      <c r="KJY34" s="16"/>
      <c r="KJZ34" s="16"/>
      <c r="KKA34" s="16"/>
      <c r="KKB34" s="16"/>
      <c r="KKC34" s="16"/>
      <c r="KKD34" s="16"/>
      <c r="KKE34" s="16"/>
      <c r="KKF34" s="16"/>
      <c r="KKG34" s="16"/>
      <c r="KKH34" s="16"/>
      <c r="KKI34" s="16"/>
      <c r="KKJ34" s="16"/>
      <c r="KKK34" s="16"/>
      <c r="KKL34" s="16"/>
      <c r="KKM34" s="16"/>
      <c r="KKN34" s="16"/>
      <c r="KKO34" s="16"/>
      <c r="KKP34" s="16"/>
      <c r="KKQ34" s="16"/>
      <c r="KKR34" s="16"/>
      <c r="KKS34" s="16"/>
      <c r="KKT34" s="16"/>
      <c r="KKU34" s="16"/>
      <c r="KKV34" s="16"/>
      <c r="KKW34" s="16"/>
      <c r="KKX34" s="16"/>
      <c r="KKY34" s="16"/>
      <c r="KKZ34" s="16"/>
      <c r="KLA34" s="16"/>
      <c r="KLB34" s="16"/>
      <c r="KLC34" s="16"/>
      <c r="KLD34" s="16"/>
      <c r="KLE34" s="16"/>
      <c r="KLF34" s="16"/>
      <c r="KLG34" s="16"/>
      <c r="KLH34" s="16"/>
      <c r="KLI34" s="16"/>
      <c r="KLJ34" s="16"/>
      <c r="KLK34" s="16"/>
      <c r="KLL34" s="16"/>
      <c r="KLM34" s="16"/>
      <c r="KLN34" s="16"/>
      <c r="KLO34" s="16"/>
      <c r="KLP34" s="16"/>
      <c r="KLQ34" s="16"/>
      <c r="KLR34" s="16"/>
      <c r="KLS34" s="16"/>
      <c r="KLT34" s="16"/>
      <c r="KLU34" s="16"/>
      <c r="KLV34" s="16"/>
      <c r="KLW34" s="16"/>
      <c r="KLX34" s="16"/>
      <c r="KLY34" s="16"/>
      <c r="KLZ34" s="16"/>
      <c r="KMA34" s="16"/>
      <c r="KMB34" s="16"/>
      <c r="KMC34" s="16"/>
      <c r="KMD34" s="16"/>
      <c r="KME34" s="16"/>
      <c r="KMF34" s="16"/>
      <c r="KMG34" s="16"/>
      <c r="KMH34" s="16"/>
      <c r="KMI34" s="16"/>
      <c r="KMJ34" s="16"/>
      <c r="KMK34" s="16"/>
      <c r="KML34" s="16"/>
      <c r="KMM34" s="16"/>
      <c r="KMN34" s="16"/>
      <c r="KMO34" s="16"/>
      <c r="KMP34" s="16"/>
      <c r="KMQ34" s="16"/>
      <c r="KMR34" s="16"/>
      <c r="KMS34" s="16"/>
      <c r="KMT34" s="16"/>
      <c r="KMU34" s="16"/>
      <c r="KMV34" s="16"/>
      <c r="KMW34" s="16"/>
      <c r="KMX34" s="16"/>
      <c r="KMY34" s="16"/>
      <c r="KMZ34" s="16"/>
      <c r="KNA34" s="16"/>
      <c r="KNB34" s="16"/>
      <c r="KNC34" s="16"/>
      <c r="KND34" s="16"/>
      <c r="KNE34" s="16"/>
      <c r="KNF34" s="16"/>
      <c r="KNG34" s="16"/>
      <c r="KNH34" s="16"/>
      <c r="KNI34" s="16"/>
      <c r="KNJ34" s="16"/>
      <c r="KNK34" s="16"/>
      <c r="KNL34" s="16"/>
      <c r="KNM34" s="16"/>
      <c r="KNN34" s="16"/>
      <c r="KNO34" s="16"/>
      <c r="KNP34" s="16"/>
      <c r="KNQ34" s="16"/>
      <c r="KNR34" s="16"/>
      <c r="KNS34" s="16"/>
      <c r="KNT34" s="16"/>
      <c r="KNU34" s="16"/>
      <c r="KNV34" s="16"/>
      <c r="KNW34" s="16"/>
      <c r="KNX34" s="16"/>
      <c r="KNY34" s="16"/>
      <c r="KNZ34" s="16"/>
      <c r="KOA34" s="16"/>
      <c r="KOB34" s="16"/>
      <c r="KOC34" s="16"/>
      <c r="KOD34" s="16"/>
      <c r="KOE34" s="16"/>
      <c r="KOF34" s="16"/>
      <c r="KOG34" s="16"/>
      <c r="KOH34" s="16"/>
      <c r="KOI34" s="16"/>
      <c r="KOJ34" s="16"/>
      <c r="KOK34" s="16"/>
      <c r="KOL34" s="16"/>
      <c r="KOM34" s="16"/>
      <c r="KON34" s="16"/>
      <c r="KOO34" s="16"/>
      <c r="KOP34" s="16"/>
      <c r="KOQ34" s="16"/>
      <c r="KOR34" s="16"/>
      <c r="KOS34" s="16"/>
      <c r="KOT34" s="16"/>
      <c r="KOU34" s="16"/>
      <c r="KOV34" s="16"/>
      <c r="KOW34" s="16"/>
      <c r="KOX34" s="16"/>
      <c r="KOY34" s="16"/>
      <c r="KOZ34" s="16"/>
      <c r="KPA34" s="16"/>
      <c r="KPB34" s="16"/>
      <c r="KPC34" s="16"/>
      <c r="KPD34" s="16"/>
      <c r="KPE34" s="16"/>
      <c r="KPF34" s="16"/>
      <c r="KPG34" s="16"/>
      <c r="KPH34" s="16"/>
      <c r="KPI34" s="16"/>
      <c r="KPJ34" s="16"/>
      <c r="KPK34" s="16"/>
      <c r="KPL34" s="16"/>
      <c r="KPM34" s="16"/>
      <c r="KPN34" s="16"/>
      <c r="KPO34" s="16"/>
      <c r="KPP34" s="16"/>
      <c r="KPQ34" s="16"/>
      <c r="KPR34" s="16"/>
      <c r="KPS34" s="16"/>
      <c r="KPT34" s="16"/>
      <c r="KPU34" s="16"/>
      <c r="KPV34" s="16"/>
      <c r="KPW34" s="16"/>
      <c r="KPX34" s="16"/>
      <c r="KPY34" s="16"/>
      <c r="KPZ34" s="16"/>
      <c r="KQA34" s="16"/>
      <c r="KQB34" s="16"/>
      <c r="KQC34" s="16"/>
      <c r="KQD34" s="16"/>
      <c r="KQE34" s="16"/>
      <c r="KQF34" s="16"/>
      <c r="KQG34" s="16"/>
      <c r="KQH34" s="16"/>
      <c r="KQI34" s="16"/>
      <c r="KQJ34" s="16"/>
      <c r="KQK34" s="16"/>
      <c r="KQL34" s="16"/>
      <c r="KQM34" s="16"/>
      <c r="KQN34" s="16"/>
      <c r="KQO34" s="16"/>
      <c r="KQP34" s="16"/>
      <c r="KQQ34" s="16"/>
      <c r="KQR34" s="16"/>
      <c r="KQS34" s="16"/>
      <c r="KQT34" s="16"/>
      <c r="KQU34" s="16"/>
      <c r="KQV34" s="16"/>
      <c r="KQW34" s="16"/>
      <c r="KQX34" s="16"/>
      <c r="KQY34" s="16"/>
      <c r="KQZ34" s="16"/>
      <c r="KRA34" s="16"/>
      <c r="KRB34" s="16"/>
      <c r="KRC34" s="16"/>
      <c r="KRD34" s="16"/>
      <c r="KRE34" s="16"/>
      <c r="KRF34" s="16"/>
      <c r="KRG34" s="16"/>
      <c r="KRH34" s="16"/>
      <c r="KRI34" s="16"/>
      <c r="KRJ34" s="16"/>
      <c r="KRK34" s="16"/>
      <c r="KRL34" s="16"/>
      <c r="KRM34" s="16"/>
      <c r="KRN34" s="16"/>
      <c r="KRO34" s="16"/>
      <c r="KRP34" s="16"/>
      <c r="KRQ34" s="16"/>
      <c r="KRR34" s="16"/>
      <c r="KRS34" s="16"/>
      <c r="KRT34" s="16"/>
      <c r="KRU34" s="16"/>
      <c r="KRV34" s="16"/>
      <c r="KRW34" s="16"/>
      <c r="KRX34" s="16"/>
      <c r="KRY34" s="16"/>
      <c r="KRZ34" s="16"/>
      <c r="KSA34" s="16"/>
      <c r="KSB34" s="16"/>
      <c r="KSC34" s="16"/>
      <c r="KSD34" s="16"/>
      <c r="KSE34" s="16"/>
      <c r="KSF34" s="16"/>
      <c r="KSG34" s="16"/>
      <c r="KSH34" s="16"/>
      <c r="KSI34" s="16"/>
      <c r="KSJ34" s="16"/>
      <c r="KSK34" s="16"/>
      <c r="KSL34" s="16"/>
      <c r="KSM34" s="16"/>
      <c r="KSN34" s="16"/>
      <c r="KSO34" s="16"/>
      <c r="KSP34" s="16"/>
      <c r="KSQ34" s="16"/>
      <c r="KSR34" s="16"/>
      <c r="KSS34" s="16"/>
      <c r="KST34" s="16"/>
      <c r="KSU34" s="16"/>
      <c r="KSV34" s="16"/>
      <c r="KSW34" s="16"/>
      <c r="KSX34" s="16"/>
      <c r="KSY34" s="16"/>
      <c r="KSZ34" s="16"/>
      <c r="KTA34" s="16"/>
      <c r="KTB34" s="16"/>
      <c r="KTC34" s="16"/>
      <c r="KTD34" s="16"/>
      <c r="KTE34" s="16"/>
      <c r="KTF34" s="16"/>
      <c r="KTG34" s="16"/>
      <c r="KTH34" s="16"/>
      <c r="KTI34" s="16"/>
      <c r="KTJ34" s="16"/>
      <c r="KTK34" s="16"/>
      <c r="KTL34" s="16"/>
      <c r="KTM34" s="16"/>
      <c r="KTN34" s="16"/>
      <c r="KTO34" s="16"/>
      <c r="KTP34" s="16"/>
      <c r="KTQ34" s="16"/>
      <c r="KTR34" s="16"/>
      <c r="KTS34" s="16"/>
      <c r="KTT34" s="16"/>
      <c r="KTU34" s="16"/>
      <c r="KTV34" s="16"/>
      <c r="KTW34" s="16"/>
      <c r="KTX34" s="16"/>
      <c r="KTY34" s="16"/>
      <c r="KTZ34" s="16"/>
      <c r="KUA34" s="16"/>
      <c r="KUB34" s="16"/>
      <c r="KUC34" s="16"/>
      <c r="KUD34" s="16"/>
      <c r="KUE34" s="16"/>
      <c r="KUF34" s="16"/>
      <c r="KUG34" s="16"/>
      <c r="KUH34" s="16"/>
      <c r="KUI34" s="16"/>
      <c r="KUJ34" s="16"/>
      <c r="KUK34" s="16"/>
      <c r="KUL34" s="16"/>
      <c r="KUM34" s="16"/>
      <c r="KUN34" s="16"/>
      <c r="KUO34" s="16"/>
      <c r="KUP34" s="16"/>
      <c r="KUQ34" s="16"/>
      <c r="KUR34" s="16"/>
      <c r="KUS34" s="16"/>
      <c r="KUT34" s="16"/>
      <c r="KUU34" s="16"/>
      <c r="KUV34" s="16"/>
      <c r="KUW34" s="16"/>
      <c r="KUX34" s="16"/>
      <c r="KUY34" s="16"/>
      <c r="KUZ34" s="16"/>
      <c r="KVA34" s="16"/>
      <c r="KVB34" s="16"/>
      <c r="KVC34" s="16"/>
      <c r="KVD34" s="16"/>
      <c r="KVE34" s="16"/>
      <c r="KVF34" s="16"/>
      <c r="KVG34" s="16"/>
      <c r="KVH34" s="16"/>
      <c r="KVI34" s="16"/>
      <c r="KVJ34" s="16"/>
      <c r="KVK34" s="16"/>
      <c r="KVL34" s="16"/>
      <c r="KVM34" s="16"/>
      <c r="KVN34" s="16"/>
      <c r="KVO34" s="16"/>
      <c r="KVP34" s="16"/>
      <c r="KVQ34" s="16"/>
      <c r="KVR34" s="16"/>
      <c r="KVS34" s="16"/>
      <c r="KVT34" s="16"/>
      <c r="KVU34" s="16"/>
      <c r="KVV34" s="16"/>
      <c r="KVW34" s="16"/>
      <c r="KVX34" s="16"/>
      <c r="KVY34" s="16"/>
      <c r="KVZ34" s="16"/>
      <c r="KWA34" s="16"/>
      <c r="KWB34" s="16"/>
      <c r="KWC34" s="16"/>
      <c r="KWD34" s="16"/>
      <c r="KWE34" s="16"/>
      <c r="KWF34" s="16"/>
      <c r="KWG34" s="16"/>
      <c r="KWH34" s="16"/>
      <c r="KWI34" s="16"/>
      <c r="KWJ34" s="16"/>
      <c r="KWK34" s="16"/>
      <c r="KWL34" s="16"/>
      <c r="KWM34" s="16"/>
      <c r="KWN34" s="16"/>
      <c r="KWO34" s="16"/>
      <c r="KWP34" s="16"/>
      <c r="KWQ34" s="16"/>
      <c r="KWR34" s="16"/>
      <c r="KWS34" s="16"/>
      <c r="KWT34" s="16"/>
      <c r="KWU34" s="16"/>
      <c r="KWV34" s="16"/>
      <c r="KWW34" s="16"/>
      <c r="KWX34" s="16"/>
      <c r="KWY34" s="16"/>
      <c r="KWZ34" s="16"/>
      <c r="KXA34" s="16"/>
      <c r="KXB34" s="16"/>
      <c r="KXC34" s="16"/>
      <c r="KXD34" s="16"/>
      <c r="KXE34" s="16"/>
      <c r="KXF34" s="16"/>
      <c r="KXG34" s="16"/>
      <c r="KXH34" s="16"/>
      <c r="KXI34" s="16"/>
      <c r="KXJ34" s="16"/>
      <c r="KXK34" s="16"/>
      <c r="KXL34" s="16"/>
      <c r="KXM34" s="16"/>
      <c r="KXN34" s="16"/>
      <c r="KXO34" s="16"/>
      <c r="KXP34" s="16"/>
      <c r="KXQ34" s="16"/>
      <c r="KXR34" s="16"/>
      <c r="KXS34" s="16"/>
      <c r="KXT34" s="16"/>
      <c r="KXU34" s="16"/>
      <c r="KXV34" s="16"/>
      <c r="KXW34" s="16"/>
      <c r="KXX34" s="16"/>
      <c r="KXY34" s="16"/>
      <c r="KXZ34" s="16"/>
      <c r="KYA34" s="16"/>
      <c r="KYB34" s="16"/>
      <c r="KYC34" s="16"/>
      <c r="KYD34" s="16"/>
      <c r="KYE34" s="16"/>
      <c r="KYF34" s="16"/>
      <c r="KYG34" s="16"/>
      <c r="KYH34" s="16"/>
      <c r="KYI34" s="16"/>
      <c r="KYJ34" s="16"/>
      <c r="KYK34" s="16"/>
      <c r="KYL34" s="16"/>
      <c r="KYM34" s="16"/>
      <c r="KYN34" s="16"/>
      <c r="KYO34" s="16"/>
      <c r="KYP34" s="16"/>
      <c r="KYQ34" s="16"/>
      <c r="KYR34" s="16"/>
      <c r="KYS34" s="16"/>
      <c r="KYT34" s="16"/>
      <c r="KYU34" s="16"/>
      <c r="KYV34" s="16"/>
      <c r="KYW34" s="16"/>
      <c r="KYX34" s="16"/>
      <c r="KYY34" s="16"/>
      <c r="KYZ34" s="16"/>
      <c r="KZA34" s="16"/>
      <c r="KZB34" s="16"/>
      <c r="KZC34" s="16"/>
      <c r="KZD34" s="16"/>
      <c r="KZE34" s="16"/>
      <c r="KZF34" s="16"/>
      <c r="KZG34" s="16"/>
      <c r="KZH34" s="16"/>
      <c r="KZI34" s="16"/>
      <c r="KZJ34" s="16"/>
      <c r="KZK34" s="16"/>
      <c r="KZL34" s="16"/>
      <c r="KZM34" s="16"/>
      <c r="KZN34" s="16"/>
      <c r="KZO34" s="16"/>
      <c r="KZP34" s="16"/>
      <c r="KZQ34" s="16"/>
      <c r="KZR34" s="16"/>
      <c r="KZS34" s="16"/>
      <c r="KZT34" s="16"/>
      <c r="KZU34" s="16"/>
      <c r="KZV34" s="16"/>
      <c r="KZW34" s="16"/>
      <c r="KZX34" s="16"/>
      <c r="KZY34" s="16"/>
      <c r="KZZ34" s="16"/>
      <c r="LAA34" s="16"/>
      <c r="LAB34" s="16"/>
      <c r="LAC34" s="16"/>
      <c r="LAD34" s="16"/>
      <c r="LAE34" s="16"/>
      <c r="LAF34" s="16"/>
      <c r="LAG34" s="16"/>
      <c r="LAH34" s="16"/>
      <c r="LAI34" s="16"/>
      <c r="LAJ34" s="16"/>
      <c r="LAK34" s="16"/>
      <c r="LAL34" s="16"/>
      <c r="LAM34" s="16"/>
      <c r="LAN34" s="16"/>
      <c r="LAO34" s="16"/>
      <c r="LAP34" s="16"/>
      <c r="LAQ34" s="16"/>
      <c r="LAR34" s="16"/>
      <c r="LAS34" s="16"/>
      <c r="LAT34" s="16"/>
      <c r="LAU34" s="16"/>
      <c r="LAV34" s="16"/>
      <c r="LAW34" s="16"/>
      <c r="LAX34" s="16"/>
      <c r="LAY34" s="16"/>
      <c r="LAZ34" s="16"/>
      <c r="LBA34" s="16"/>
      <c r="LBB34" s="16"/>
      <c r="LBC34" s="16"/>
      <c r="LBD34" s="16"/>
      <c r="LBE34" s="16"/>
      <c r="LBF34" s="16"/>
      <c r="LBG34" s="16"/>
      <c r="LBH34" s="16"/>
      <c r="LBI34" s="16"/>
      <c r="LBJ34" s="16"/>
      <c r="LBK34" s="16"/>
      <c r="LBL34" s="16"/>
      <c r="LBM34" s="16"/>
      <c r="LBN34" s="16"/>
      <c r="LBO34" s="16"/>
      <c r="LBP34" s="16"/>
      <c r="LBQ34" s="16"/>
      <c r="LBR34" s="16"/>
      <c r="LBS34" s="16"/>
      <c r="LBT34" s="16"/>
      <c r="LBU34" s="16"/>
      <c r="LBV34" s="16"/>
      <c r="LBW34" s="16"/>
      <c r="LBX34" s="16"/>
      <c r="LBY34" s="16"/>
      <c r="LBZ34" s="16"/>
      <c r="LCA34" s="16"/>
      <c r="LCB34" s="16"/>
      <c r="LCC34" s="16"/>
      <c r="LCD34" s="16"/>
      <c r="LCE34" s="16"/>
      <c r="LCF34" s="16"/>
      <c r="LCG34" s="16"/>
      <c r="LCH34" s="16"/>
      <c r="LCI34" s="16"/>
      <c r="LCJ34" s="16"/>
      <c r="LCK34" s="16"/>
      <c r="LCL34" s="16"/>
      <c r="LCM34" s="16"/>
      <c r="LCN34" s="16"/>
      <c r="LCO34" s="16"/>
      <c r="LCP34" s="16"/>
      <c r="LCQ34" s="16"/>
      <c r="LCR34" s="16"/>
      <c r="LCS34" s="16"/>
      <c r="LCT34" s="16"/>
      <c r="LCU34" s="16"/>
      <c r="LCV34" s="16"/>
      <c r="LCW34" s="16"/>
      <c r="LCX34" s="16"/>
      <c r="LCY34" s="16"/>
      <c r="LCZ34" s="16"/>
      <c r="LDA34" s="16"/>
      <c r="LDB34" s="16"/>
      <c r="LDC34" s="16"/>
      <c r="LDD34" s="16"/>
      <c r="LDE34" s="16"/>
      <c r="LDF34" s="16"/>
      <c r="LDG34" s="16"/>
      <c r="LDH34" s="16"/>
      <c r="LDI34" s="16"/>
      <c r="LDJ34" s="16"/>
      <c r="LDK34" s="16"/>
      <c r="LDL34" s="16"/>
      <c r="LDM34" s="16"/>
      <c r="LDN34" s="16"/>
      <c r="LDO34" s="16"/>
      <c r="LDP34" s="16"/>
      <c r="LDQ34" s="16"/>
      <c r="LDR34" s="16"/>
      <c r="LDS34" s="16"/>
      <c r="LDT34" s="16"/>
      <c r="LDU34" s="16"/>
      <c r="LDV34" s="16"/>
      <c r="LDW34" s="16"/>
      <c r="LDX34" s="16"/>
      <c r="LDY34" s="16"/>
      <c r="LDZ34" s="16"/>
      <c r="LEA34" s="16"/>
      <c r="LEB34" s="16"/>
      <c r="LEC34" s="16"/>
      <c r="LED34" s="16"/>
      <c r="LEE34" s="16"/>
      <c r="LEF34" s="16"/>
      <c r="LEG34" s="16"/>
      <c r="LEH34" s="16"/>
      <c r="LEI34" s="16"/>
      <c r="LEJ34" s="16"/>
      <c r="LEK34" s="16"/>
      <c r="LEL34" s="16"/>
      <c r="LEM34" s="16"/>
      <c r="LEN34" s="16"/>
      <c r="LEO34" s="16"/>
      <c r="LEP34" s="16"/>
      <c r="LEQ34" s="16"/>
      <c r="LER34" s="16"/>
      <c r="LES34" s="16"/>
      <c r="LET34" s="16"/>
      <c r="LEU34" s="16"/>
      <c r="LEV34" s="16"/>
      <c r="LEW34" s="16"/>
      <c r="LEX34" s="16"/>
      <c r="LEY34" s="16"/>
      <c r="LEZ34" s="16"/>
      <c r="LFA34" s="16"/>
      <c r="LFB34" s="16"/>
      <c r="LFC34" s="16"/>
      <c r="LFD34" s="16"/>
      <c r="LFE34" s="16"/>
      <c r="LFF34" s="16"/>
      <c r="LFG34" s="16"/>
      <c r="LFH34" s="16"/>
      <c r="LFI34" s="16"/>
      <c r="LFJ34" s="16"/>
      <c r="LFK34" s="16"/>
      <c r="LFL34" s="16"/>
      <c r="LFM34" s="16"/>
      <c r="LFN34" s="16"/>
      <c r="LFO34" s="16"/>
      <c r="LFP34" s="16"/>
      <c r="LFQ34" s="16"/>
      <c r="LFR34" s="16"/>
      <c r="LFS34" s="16"/>
      <c r="LFT34" s="16"/>
      <c r="LFU34" s="16"/>
      <c r="LFV34" s="16"/>
      <c r="LFW34" s="16"/>
      <c r="LFX34" s="16"/>
      <c r="LFY34" s="16"/>
      <c r="LFZ34" s="16"/>
      <c r="LGA34" s="16"/>
      <c r="LGB34" s="16"/>
      <c r="LGC34" s="16"/>
      <c r="LGD34" s="16"/>
      <c r="LGE34" s="16"/>
      <c r="LGF34" s="16"/>
      <c r="LGG34" s="16"/>
      <c r="LGH34" s="16"/>
      <c r="LGI34" s="16"/>
      <c r="LGJ34" s="16"/>
      <c r="LGK34" s="16"/>
      <c r="LGL34" s="16"/>
      <c r="LGM34" s="16"/>
      <c r="LGN34" s="16"/>
      <c r="LGO34" s="16"/>
      <c r="LGP34" s="16"/>
      <c r="LGQ34" s="16"/>
      <c r="LGR34" s="16"/>
      <c r="LGS34" s="16"/>
      <c r="LGT34" s="16"/>
      <c r="LGU34" s="16"/>
      <c r="LGV34" s="16"/>
      <c r="LGW34" s="16"/>
      <c r="LGX34" s="16"/>
      <c r="LGY34" s="16"/>
      <c r="LGZ34" s="16"/>
      <c r="LHA34" s="16"/>
      <c r="LHB34" s="16"/>
      <c r="LHC34" s="16"/>
      <c r="LHD34" s="16"/>
      <c r="LHE34" s="16"/>
      <c r="LHF34" s="16"/>
      <c r="LHG34" s="16"/>
      <c r="LHH34" s="16"/>
      <c r="LHI34" s="16"/>
      <c r="LHJ34" s="16"/>
      <c r="LHK34" s="16"/>
      <c r="LHL34" s="16"/>
      <c r="LHM34" s="16"/>
      <c r="LHN34" s="16"/>
      <c r="LHO34" s="16"/>
      <c r="LHP34" s="16"/>
      <c r="LHQ34" s="16"/>
      <c r="LHR34" s="16"/>
      <c r="LHS34" s="16"/>
      <c r="LHT34" s="16"/>
      <c r="LHU34" s="16"/>
      <c r="LHV34" s="16"/>
      <c r="LHW34" s="16"/>
      <c r="LHX34" s="16"/>
      <c r="LHY34" s="16"/>
      <c r="LHZ34" s="16"/>
      <c r="LIA34" s="16"/>
      <c r="LIB34" s="16"/>
      <c r="LIC34" s="16"/>
      <c r="LID34" s="16"/>
      <c r="LIE34" s="16"/>
      <c r="LIF34" s="16"/>
      <c r="LIG34" s="16"/>
      <c r="LIH34" s="16"/>
      <c r="LII34" s="16"/>
      <c r="LIJ34" s="16"/>
      <c r="LIK34" s="16"/>
      <c r="LIL34" s="16"/>
      <c r="LIM34" s="16"/>
      <c r="LIN34" s="16"/>
      <c r="LIO34" s="16"/>
      <c r="LIP34" s="16"/>
      <c r="LIQ34" s="16"/>
      <c r="LIR34" s="16"/>
      <c r="LIS34" s="16"/>
      <c r="LIT34" s="16"/>
      <c r="LIU34" s="16"/>
      <c r="LIV34" s="16"/>
      <c r="LIW34" s="16"/>
      <c r="LIX34" s="16"/>
      <c r="LIY34" s="16"/>
      <c r="LIZ34" s="16"/>
      <c r="LJA34" s="16"/>
      <c r="LJB34" s="16"/>
      <c r="LJC34" s="16"/>
      <c r="LJD34" s="16"/>
      <c r="LJE34" s="16"/>
      <c r="LJF34" s="16"/>
      <c r="LJG34" s="16"/>
      <c r="LJH34" s="16"/>
      <c r="LJI34" s="16"/>
      <c r="LJJ34" s="16"/>
      <c r="LJK34" s="16"/>
      <c r="LJL34" s="16"/>
      <c r="LJM34" s="16"/>
      <c r="LJN34" s="16"/>
      <c r="LJO34" s="16"/>
      <c r="LJP34" s="16"/>
      <c r="LJQ34" s="16"/>
      <c r="LJR34" s="16"/>
      <c r="LJS34" s="16"/>
      <c r="LJT34" s="16"/>
      <c r="LJU34" s="16"/>
      <c r="LJV34" s="16"/>
      <c r="LJW34" s="16"/>
      <c r="LJX34" s="16"/>
      <c r="LJY34" s="16"/>
      <c r="LJZ34" s="16"/>
      <c r="LKA34" s="16"/>
      <c r="LKB34" s="16"/>
      <c r="LKC34" s="16"/>
      <c r="LKD34" s="16"/>
      <c r="LKE34" s="16"/>
      <c r="LKF34" s="16"/>
      <c r="LKG34" s="16"/>
      <c r="LKH34" s="16"/>
      <c r="LKI34" s="16"/>
      <c r="LKJ34" s="16"/>
      <c r="LKK34" s="16"/>
      <c r="LKL34" s="16"/>
      <c r="LKM34" s="16"/>
      <c r="LKN34" s="16"/>
      <c r="LKO34" s="16"/>
      <c r="LKP34" s="16"/>
      <c r="LKQ34" s="16"/>
      <c r="LKR34" s="16"/>
      <c r="LKS34" s="16"/>
      <c r="LKT34" s="16"/>
      <c r="LKU34" s="16"/>
      <c r="LKV34" s="16"/>
      <c r="LKW34" s="16"/>
      <c r="LKX34" s="16"/>
      <c r="LKY34" s="16"/>
      <c r="LKZ34" s="16"/>
      <c r="LLA34" s="16"/>
      <c r="LLB34" s="16"/>
      <c r="LLC34" s="16"/>
      <c r="LLD34" s="16"/>
      <c r="LLE34" s="16"/>
      <c r="LLF34" s="16"/>
      <c r="LLG34" s="16"/>
      <c r="LLH34" s="16"/>
      <c r="LLI34" s="16"/>
      <c r="LLJ34" s="16"/>
      <c r="LLK34" s="16"/>
      <c r="LLL34" s="16"/>
      <c r="LLM34" s="16"/>
      <c r="LLN34" s="16"/>
      <c r="LLO34" s="16"/>
      <c r="LLP34" s="16"/>
      <c r="LLQ34" s="16"/>
      <c r="LLR34" s="16"/>
      <c r="LLS34" s="16"/>
      <c r="LLT34" s="16"/>
      <c r="LLU34" s="16"/>
      <c r="LLV34" s="16"/>
      <c r="LLW34" s="16"/>
      <c r="LLX34" s="16"/>
      <c r="LLY34" s="16"/>
      <c r="LLZ34" s="16"/>
      <c r="LMA34" s="16"/>
      <c r="LMB34" s="16"/>
      <c r="LMC34" s="16"/>
      <c r="LMD34" s="16"/>
      <c r="LME34" s="16"/>
      <c r="LMF34" s="16"/>
      <c r="LMG34" s="16"/>
      <c r="LMH34" s="16"/>
      <c r="LMI34" s="16"/>
      <c r="LMJ34" s="16"/>
      <c r="LMK34" s="16"/>
      <c r="LML34" s="16"/>
      <c r="LMM34" s="16"/>
      <c r="LMN34" s="16"/>
      <c r="LMO34" s="16"/>
      <c r="LMP34" s="16"/>
      <c r="LMQ34" s="16"/>
      <c r="LMR34" s="16"/>
      <c r="LMS34" s="16"/>
      <c r="LMT34" s="16"/>
      <c r="LMU34" s="16"/>
      <c r="LMV34" s="16"/>
      <c r="LMW34" s="16"/>
      <c r="LMX34" s="16"/>
      <c r="LMY34" s="16"/>
      <c r="LMZ34" s="16"/>
      <c r="LNA34" s="16"/>
      <c r="LNB34" s="16"/>
      <c r="LNC34" s="16"/>
      <c r="LND34" s="16"/>
      <c r="LNE34" s="16"/>
      <c r="LNF34" s="16"/>
      <c r="LNG34" s="16"/>
      <c r="LNH34" s="16"/>
      <c r="LNI34" s="16"/>
      <c r="LNJ34" s="16"/>
      <c r="LNK34" s="16"/>
      <c r="LNL34" s="16"/>
      <c r="LNM34" s="16"/>
      <c r="LNN34" s="16"/>
      <c r="LNO34" s="16"/>
      <c r="LNP34" s="16"/>
      <c r="LNQ34" s="16"/>
      <c r="LNR34" s="16"/>
      <c r="LNS34" s="16"/>
      <c r="LNT34" s="16"/>
      <c r="LNU34" s="16"/>
      <c r="LNV34" s="16"/>
      <c r="LNW34" s="16"/>
      <c r="LNX34" s="16"/>
      <c r="LNY34" s="16"/>
      <c r="LNZ34" s="16"/>
      <c r="LOA34" s="16"/>
      <c r="LOB34" s="16"/>
      <c r="LOC34" s="16"/>
      <c r="LOD34" s="16"/>
      <c r="LOE34" s="16"/>
      <c r="LOF34" s="16"/>
      <c r="LOG34" s="16"/>
      <c r="LOH34" s="16"/>
      <c r="LOI34" s="16"/>
      <c r="LOJ34" s="16"/>
      <c r="LOK34" s="16"/>
      <c r="LOL34" s="16"/>
      <c r="LOM34" s="16"/>
      <c r="LON34" s="16"/>
      <c r="LOO34" s="16"/>
      <c r="LOP34" s="16"/>
      <c r="LOQ34" s="16"/>
      <c r="LOR34" s="16"/>
      <c r="LOS34" s="16"/>
      <c r="LOT34" s="16"/>
      <c r="LOU34" s="16"/>
      <c r="LOV34" s="16"/>
      <c r="LOW34" s="16"/>
      <c r="LOX34" s="16"/>
      <c r="LOY34" s="16"/>
      <c r="LOZ34" s="16"/>
      <c r="LPA34" s="16"/>
      <c r="LPB34" s="16"/>
      <c r="LPC34" s="16"/>
      <c r="LPD34" s="16"/>
      <c r="LPE34" s="16"/>
      <c r="LPF34" s="16"/>
      <c r="LPG34" s="16"/>
      <c r="LPH34" s="16"/>
      <c r="LPI34" s="16"/>
      <c r="LPJ34" s="16"/>
      <c r="LPK34" s="16"/>
      <c r="LPL34" s="16"/>
      <c r="LPM34" s="16"/>
      <c r="LPN34" s="16"/>
      <c r="LPO34" s="16"/>
      <c r="LPP34" s="16"/>
      <c r="LPQ34" s="16"/>
      <c r="LPR34" s="16"/>
      <c r="LPS34" s="16"/>
      <c r="LPT34" s="16"/>
      <c r="LPU34" s="16"/>
      <c r="LPV34" s="16"/>
      <c r="LPW34" s="16"/>
      <c r="LPX34" s="16"/>
      <c r="LPY34" s="16"/>
      <c r="LPZ34" s="16"/>
      <c r="LQA34" s="16"/>
      <c r="LQB34" s="16"/>
      <c r="LQC34" s="16"/>
      <c r="LQD34" s="16"/>
      <c r="LQE34" s="16"/>
      <c r="LQF34" s="16"/>
      <c r="LQG34" s="16"/>
      <c r="LQH34" s="16"/>
      <c r="LQI34" s="16"/>
      <c r="LQJ34" s="16"/>
      <c r="LQK34" s="16"/>
      <c r="LQL34" s="16"/>
      <c r="LQM34" s="16"/>
      <c r="LQN34" s="16"/>
      <c r="LQO34" s="16"/>
      <c r="LQP34" s="16"/>
      <c r="LQQ34" s="16"/>
      <c r="LQR34" s="16"/>
      <c r="LQS34" s="16"/>
      <c r="LQT34" s="16"/>
      <c r="LQU34" s="16"/>
      <c r="LQV34" s="16"/>
      <c r="LQW34" s="16"/>
      <c r="LQX34" s="16"/>
      <c r="LQY34" s="16"/>
      <c r="LQZ34" s="16"/>
      <c r="LRA34" s="16"/>
      <c r="LRB34" s="16"/>
      <c r="LRC34" s="16"/>
      <c r="LRD34" s="16"/>
      <c r="LRE34" s="16"/>
      <c r="LRF34" s="16"/>
      <c r="LRG34" s="16"/>
      <c r="LRH34" s="16"/>
      <c r="LRI34" s="16"/>
      <c r="LRJ34" s="16"/>
      <c r="LRK34" s="16"/>
      <c r="LRL34" s="16"/>
      <c r="LRM34" s="16"/>
      <c r="LRN34" s="16"/>
      <c r="LRO34" s="16"/>
      <c r="LRP34" s="16"/>
      <c r="LRQ34" s="16"/>
      <c r="LRR34" s="16"/>
      <c r="LRS34" s="16"/>
      <c r="LRT34" s="16"/>
      <c r="LRU34" s="16"/>
      <c r="LRV34" s="16"/>
      <c r="LRW34" s="16"/>
      <c r="LRX34" s="16"/>
      <c r="LRY34" s="16"/>
      <c r="LRZ34" s="16"/>
      <c r="LSA34" s="16"/>
      <c r="LSB34" s="16"/>
      <c r="LSC34" s="16"/>
      <c r="LSD34" s="16"/>
      <c r="LSE34" s="16"/>
      <c r="LSF34" s="16"/>
      <c r="LSG34" s="16"/>
      <c r="LSH34" s="16"/>
      <c r="LSI34" s="16"/>
      <c r="LSJ34" s="16"/>
      <c r="LSK34" s="16"/>
      <c r="LSL34" s="16"/>
      <c r="LSM34" s="16"/>
      <c r="LSN34" s="16"/>
      <c r="LSO34" s="16"/>
      <c r="LSP34" s="16"/>
      <c r="LSQ34" s="16"/>
      <c r="LSR34" s="16"/>
      <c r="LSS34" s="16"/>
      <c r="LST34" s="16"/>
      <c r="LSU34" s="16"/>
      <c r="LSV34" s="16"/>
      <c r="LSW34" s="16"/>
      <c r="LSX34" s="16"/>
      <c r="LSY34" s="16"/>
      <c r="LSZ34" s="16"/>
      <c r="LTA34" s="16"/>
      <c r="LTB34" s="16"/>
      <c r="LTC34" s="16"/>
      <c r="LTD34" s="16"/>
      <c r="LTE34" s="16"/>
      <c r="LTF34" s="16"/>
      <c r="LTG34" s="16"/>
      <c r="LTH34" s="16"/>
      <c r="LTI34" s="16"/>
      <c r="LTJ34" s="16"/>
      <c r="LTK34" s="16"/>
      <c r="LTL34" s="16"/>
      <c r="LTM34" s="16"/>
      <c r="LTN34" s="16"/>
      <c r="LTO34" s="16"/>
      <c r="LTP34" s="16"/>
      <c r="LTQ34" s="16"/>
      <c r="LTR34" s="16"/>
      <c r="LTS34" s="16"/>
      <c r="LTT34" s="16"/>
      <c r="LTU34" s="16"/>
      <c r="LTV34" s="16"/>
      <c r="LTW34" s="16"/>
      <c r="LTX34" s="16"/>
      <c r="LTY34" s="16"/>
      <c r="LTZ34" s="16"/>
      <c r="LUA34" s="16"/>
      <c r="LUB34" s="16"/>
      <c r="LUC34" s="16"/>
      <c r="LUD34" s="16"/>
      <c r="LUE34" s="16"/>
      <c r="LUF34" s="16"/>
      <c r="LUG34" s="16"/>
      <c r="LUH34" s="16"/>
      <c r="LUI34" s="16"/>
      <c r="LUJ34" s="16"/>
      <c r="LUK34" s="16"/>
      <c r="LUL34" s="16"/>
      <c r="LUM34" s="16"/>
      <c r="LUN34" s="16"/>
      <c r="LUO34" s="16"/>
      <c r="LUP34" s="16"/>
      <c r="LUQ34" s="16"/>
      <c r="LUR34" s="16"/>
      <c r="LUS34" s="16"/>
      <c r="LUT34" s="16"/>
      <c r="LUU34" s="16"/>
      <c r="LUV34" s="16"/>
      <c r="LUW34" s="16"/>
      <c r="LUX34" s="16"/>
      <c r="LUY34" s="16"/>
      <c r="LUZ34" s="16"/>
      <c r="LVA34" s="16"/>
      <c r="LVB34" s="16"/>
      <c r="LVC34" s="16"/>
      <c r="LVD34" s="16"/>
      <c r="LVE34" s="16"/>
      <c r="LVF34" s="16"/>
      <c r="LVG34" s="16"/>
      <c r="LVH34" s="16"/>
      <c r="LVI34" s="16"/>
      <c r="LVJ34" s="16"/>
      <c r="LVK34" s="16"/>
      <c r="LVL34" s="16"/>
      <c r="LVM34" s="16"/>
      <c r="LVN34" s="16"/>
      <c r="LVO34" s="16"/>
      <c r="LVP34" s="16"/>
      <c r="LVQ34" s="16"/>
      <c r="LVR34" s="16"/>
      <c r="LVS34" s="16"/>
      <c r="LVT34" s="16"/>
      <c r="LVU34" s="16"/>
      <c r="LVV34" s="16"/>
      <c r="LVW34" s="16"/>
      <c r="LVX34" s="16"/>
      <c r="LVY34" s="16"/>
      <c r="LVZ34" s="16"/>
      <c r="LWA34" s="16"/>
      <c r="LWB34" s="16"/>
      <c r="LWC34" s="16"/>
      <c r="LWD34" s="16"/>
      <c r="LWE34" s="16"/>
      <c r="LWF34" s="16"/>
      <c r="LWG34" s="16"/>
      <c r="LWH34" s="16"/>
      <c r="LWI34" s="16"/>
      <c r="LWJ34" s="16"/>
      <c r="LWK34" s="16"/>
      <c r="LWL34" s="16"/>
      <c r="LWM34" s="16"/>
      <c r="LWN34" s="16"/>
      <c r="LWO34" s="16"/>
      <c r="LWP34" s="16"/>
      <c r="LWQ34" s="16"/>
      <c r="LWR34" s="16"/>
      <c r="LWS34" s="16"/>
      <c r="LWT34" s="16"/>
      <c r="LWU34" s="16"/>
      <c r="LWV34" s="16"/>
      <c r="LWW34" s="16"/>
      <c r="LWX34" s="16"/>
      <c r="LWY34" s="16"/>
      <c r="LWZ34" s="16"/>
      <c r="LXA34" s="16"/>
      <c r="LXB34" s="16"/>
      <c r="LXC34" s="16"/>
      <c r="LXD34" s="16"/>
      <c r="LXE34" s="16"/>
      <c r="LXF34" s="16"/>
      <c r="LXG34" s="16"/>
      <c r="LXH34" s="16"/>
      <c r="LXI34" s="16"/>
      <c r="LXJ34" s="16"/>
      <c r="LXK34" s="16"/>
      <c r="LXL34" s="16"/>
      <c r="LXM34" s="16"/>
      <c r="LXN34" s="16"/>
      <c r="LXO34" s="16"/>
      <c r="LXP34" s="16"/>
      <c r="LXQ34" s="16"/>
      <c r="LXR34" s="16"/>
      <c r="LXS34" s="16"/>
      <c r="LXT34" s="16"/>
      <c r="LXU34" s="16"/>
      <c r="LXV34" s="16"/>
      <c r="LXW34" s="16"/>
      <c r="LXX34" s="16"/>
      <c r="LXY34" s="16"/>
      <c r="LXZ34" s="16"/>
      <c r="LYA34" s="16"/>
      <c r="LYB34" s="16"/>
      <c r="LYC34" s="16"/>
      <c r="LYD34" s="16"/>
      <c r="LYE34" s="16"/>
      <c r="LYF34" s="16"/>
      <c r="LYG34" s="16"/>
      <c r="LYH34" s="16"/>
      <c r="LYI34" s="16"/>
      <c r="LYJ34" s="16"/>
      <c r="LYK34" s="16"/>
      <c r="LYL34" s="16"/>
      <c r="LYM34" s="16"/>
      <c r="LYN34" s="16"/>
      <c r="LYO34" s="16"/>
      <c r="LYP34" s="16"/>
      <c r="LYQ34" s="16"/>
      <c r="LYR34" s="16"/>
      <c r="LYS34" s="16"/>
      <c r="LYT34" s="16"/>
      <c r="LYU34" s="16"/>
      <c r="LYV34" s="16"/>
      <c r="LYW34" s="16"/>
      <c r="LYX34" s="16"/>
      <c r="LYY34" s="16"/>
      <c r="LYZ34" s="16"/>
      <c r="LZA34" s="16"/>
      <c r="LZB34" s="16"/>
      <c r="LZC34" s="16"/>
      <c r="LZD34" s="16"/>
      <c r="LZE34" s="16"/>
      <c r="LZF34" s="16"/>
      <c r="LZG34" s="16"/>
      <c r="LZH34" s="16"/>
      <c r="LZI34" s="16"/>
      <c r="LZJ34" s="16"/>
      <c r="LZK34" s="16"/>
      <c r="LZL34" s="16"/>
      <c r="LZM34" s="16"/>
      <c r="LZN34" s="16"/>
      <c r="LZO34" s="16"/>
      <c r="LZP34" s="16"/>
      <c r="LZQ34" s="16"/>
      <c r="LZR34" s="16"/>
      <c r="LZS34" s="16"/>
      <c r="LZT34" s="16"/>
      <c r="LZU34" s="16"/>
      <c r="LZV34" s="16"/>
      <c r="LZW34" s="16"/>
      <c r="LZX34" s="16"/>
      <c r="LZY34" s="16"/>
      <c r="LZZ34" s="16"/>
      <c r="MAA34" s="16"/>
      <c r="MAB34" s="16"/>
      <c r="MAC34" s="16"/>
      <c r="MAD34" s="16"/>
      <c r="MAE34" s="16"/>
      <c r="MAF34" s="16"/>
      <c r="MAG34" s="16"/>
      <c r="MAH34" s="16"/>
      <c r="MAI34" s="16"/>
      <c r="MAJ34" s="16"/>
      <c r="MAK34" s="16"/>
      <c r="MAL34" s="16"/>
      <c r="MAM34" s="16"/>
      <c r="MAN34" s="16"/>
      <c r="MAO34" s="16"/>
      <c r="MAP34" s="16"/>
      <c r="MAQ34" s="16"/>
      <c r="MAR34" s="16"/>
      <c r="MAS34" s="16"/>
      <c r="MAT34" s="16"/>
      <c r="MAU34" s="16"/>
      <c r="MAV34" s="16"/>
      <c r="MAW34" s="16"/>
      <c r="MAX34" s="16"/>
      <c r="MAY34" s="16"/>
      <c r="MAZ34" s="16"/>
      <c r="MBA34" s="16"/>
      <c r="MBB34" s="16"/>
      <c r="MBC34" s="16"/>
      <c r="MBD34" s="16"/>
      <c r="MBE34" s="16"/>
      <c r="MBF34" s="16"/>
      <c r="MBG34" s="16"/>
      <c r="MBH34" s="16"/>
      <c r="MBI34" s="16"/>
      <c r="MBJ34" s="16"/>
      <c r="MBK34" s="16"/>
      <c r="MBL34" s="16"/>
      <c r="MBM34" s="16"/>
      <c r="MBN34" s="16"/>
      <c r="MBO34" s="16"/>
      <c r="MBP34" s="16"/>
      <c r="MBQ34" s="16"/>
      <c r="MBR34" s="16"/>
      <c r="MBS34" s="16"/>
      <c r="MBT34" s="16"/>
      <c r="MBU34" s="16"/>
      <c r="MBV34" s="16"/>
      <c r="MBW34" s="16"/>
      <c r="MBX34" s="16"/>
      <c r="MBY34" s="16"/>
      <c r="MBZ34" s="16"/>
      <c r="MCA34" s="16"/>
      <c r="MCB34" s="16"/>
      <c r="MCC34" s="16"/>
      <c r="MCD34" s="16"/>
      <c r="MCE34" s="16"/>
      <c r="MCF34" s="16"/>
      <c r="MCG34" s="16"/>
      <c r="MCH34" s="16"/>
      <c r="MCI34" s="16"/>
      <c r="MCJ34" s="16"/>
      <c r="MCK34" s="16"/>
      <c r="MCL34" s="16"/>
      <c r="MCM34" s="16"/>
      <c r="MCN34" s="16"/>
      <c r="MCO34" s="16"/>
      <c r="MCP34" s="16"/>
      <c r="MCQ34" s="16"/>
      <c r="MCR34" s="16"/>
      <c r="MCS34" s="16"/>
      <c r="MCT34" s="16"/>
      <c r="MCU34" s="16"/>
      <c r="MCV34" s="16"/>
      <c r="MCW34" s="16"/>
      <c r="MCX34" s="16"/>
      <c r="MCY34" s="16"/>
      <c r="MCZ34" s="16"/>
      <c r="MDA34" s="16"/>
      <c r="MDB34" s="16"/>
      <c r="MDC34" s="16"/>
      <c r="MDD34" s="16"/>
      <c r="MDE34" s="16"/>
      <c r="MDF34" s="16"/>
      <c r="MDG34" s="16"/>
      <c r="MDH34" s="16"/>
      <c r="MDI34" s="16"/>
      <c r="MDJ34" s="16"/>
      <c r="MDK34" s="16"/>
      <c r="MDL34" s="16"/>
      <c r="MDM34" s="16"/>
      <c r="MDN34" s="16"/>
      <c r="MDO34" s="16"/>
      <c r="MDP34" s="16"/>
      <c r="MDQ34" s="16"/>
      <c r="MDR34" s="16"/>
      <c r="MDS34" s="16"/>
      <c r="MDT34" s="16"/>
      <c r="MDU34" s="16"/>
      <c r="MDV34" s="16"/>
      <c r="MDW34" s="16"/>
      <c r="MDX34" s="16"/>
      <c r="MDY34" s="16"/>
      <c r="MDZ34" s="16"/>
      <c r="MEA34" s="16"/>
      <c r="MEB34" s="16"/>
      <c r="MEC34" s="16"/>
      <c r="MED34" s="16"/>
      <c r="MEE34" s="16"/>
      <c r="MEF34" s="16"/>
      <c r="MEG34" s="16"/>
      <c r="MEH34" s="16"/>
      <c r="MEI34" s="16"/>
      <c r="MEJ34" s="16"/>
      <c r="MEK34" s="16"/>
      <c r="MEL34" s="16"/>
      <c r="MEM34" s="16"/>
      <c r="MEN34" s="16"/>
      <c r="MEO34" s="16"/>
      <c r="MEP34" s="16"/>
      <c r="MEQ34" s="16"/>
      <c r="MER34" s="16"/>
      <c r="MES34" s="16"/>
      <c r="MET34" s="16"/>
      <c r="MEU34" s="16"/>
      <c r="MEV34" s="16"/>
      <c r="MEW34" s="16"/>
      <c r="MEX34" s="16"/>
      <c r="MEY34" s="16"/>
      <c r="MEZ34" s="16"/>
      <c r="MFA34" s="16"/>
      <c r="MFB34" s="16"/>
      <c r="MFC34" s="16"/>
      <c r="MFD34" s="16"/>
      <c r="MFE34" s="16"/>
      <c r="MFF34" s="16"/>
      <c r="MFG34" s="16"/>
      <c r="MFH34" s="16"/>
      <c r="MFI34" s="16"/>
      <c r="MFJ34" s="16"/>
      <c r="MFK34" s="16"/>
      <c r="MFL34" s="16"/>
      <c r="MFM34" s="16"/>
      <c r="MFN34" s="16"/>
      <c r="MFO34" s="16"/>
      <c r="MFP34" s="16"/>
      <c r="MFQ34" s="16"/>
      <c r="MFR34" s="16"/>
      <c r="MFS34" s="16"/>
      <c r="MFT34" s="16"/>
      <c r="MFU34" s="16"/>
      <c r="MFV34" s="16"/>
      <c r="MFW34" s="16"/>
      <c r="MFX34" s="16"/>
      <c r="MFY34" s="16"/>
      <c r="MFZ34" s="16"/>
      <c r="MGA34" s="16"/>
      <c r="MGB34" s="16"/>
      <c r="MGC34" s="16"/>
      <c r="MGD34" s="16"/>
      <c r="MGE34" s="16"/>
      <c r="MGF34" s="16"/>
      <c r="MGG34" s="16"/>
      <c r="MGH34" s="16"/>
      <c r="MGI34" s="16"/>
      <c r="MGJ34" s="16"/>
      <c r="MGK34" s="16"/>
      <c r="MGL34" s="16"/>
      <c r="MGM34" s="16"/>
      <c r="MGN34" s="16"/>
      <c r="MGO34" s="16"/>
      <c r="MGP34" s="16"/>
      <c r="MGQ34" s="16"/>
      <c r="MGR34" s="16"/>
      <c r="MGS34" s="16"/>
      <c r="MGT34" s="16"/>
      <c r="MGU34" s="16"/>
      <c r="MGV34" s="16"/>
      <c r="MGW34" s="16"/>
      <c r="MGX34" s="16"/>
      <c r="MGY34" s="16"/>
      <c r="MGZ34" s="16"/>
      <c r="MHA34" s="16"/>
      <c r="MHB34" s="16"/>
      <c r="MHC34" s="16"/>
      <c r="MHD34" s="16"/>
      <c r="MHE34" s="16"/>
      <c r="MHF34" s="16"/>
      <c r="MHG34" s="16"/>
      <c r="MHH34" s="16"/>
      <c r="MHI34" s="16"/>
      <c r="MHJ34" s="16"/>
      <c r="MHK34" s="16"/>
      <c r="MHL34" s="16"/>
      <c r="MHM34" s="16"/>
      <c r="MHN34" s="16"/>
      <c r="MHO34" s="16"/>
      <c r="MHP34" s="16"/>
      <c r="MHQ34" s="16"/>
      <c r="MHR34" s="16"/>
      <c r="MHS34" s="16"/>
      <c r="MHT34" s="16"/>
      <c r="MHU34" s="16"/>
      <c r="MHV34" s="16"/>
      <c r="MHW34" s="16"/>
      <c r="MHX34" s="16"/>
      <c r="MHY34" s="16"/>
      <c r="MHZ34" s="16"/>
      <c r="MIA34" s="16"/>
      <c r="MIB34" s="16"/>
      <c r="MIC34" s="16"/>
      <c r="MID34" s="16"/>
      <c r="MIE34" s="16"/>
      <c r="MIF34" s="16"/>
      <c r="MIG34" s="16"/>
      <c r="MIH34" s="16"/>
      <c r="MII34" s="16"/>
      <c r="MIJ34" s="16"/>
      <c r="MIK34" s="16"/>
      <c r="MIL34" s="16"/>
      <c r="MIM34" s="16"/>
      <c r="MIN34" s="16"/>
      <c r="MIO34" s="16"/>
      <c r="MIP34" s="16"/>
      <c r="MIQ34" s="16"/>
      <c r="MIR34" s="16"/>
      <c r="MIS34" s="16"/>
      <c r="MIT34" s="16"/>
      <c r="MIU34" s="16"/>
      <c r="MIV34" s="16"/>
      <c r="MIW34" s="16"/>
      <c r="MIX34" s="16"/>
      <c r="MIY34" s="16"/>
      <c r="MIZ34" s="16"/>
      <c r="MJA34" s="16"/>
      <c r="MJB34" s="16"/>
      <c r="MJC34" s="16"/>
      <c r="MJD34" s="16"/>
      <c r="MJE34" s="16"/>
      <c r="MJF34" s="16"/>
      <c r="MJG34" s="16"/>
      <c r="MJH34" s="16"/>
      <c r="MJI34" s="16"/>
      <c r="MJJ34" s="16"/>
      <c r="MJK34" s="16"/>
      <c r="MJL34" s="16"/>
      <c r="MJM34" s="16"/>
      <c r="MJN34" s="16"/>
      <c r="MJO34" s="16"/>
      <c r="MJP34" s="16"/>
      <c r="MJQ34" s="16"/>
      <c r="MJR34" s="16"/>
      <c r="MJS34" s="16"/>
      <c r="MJT34" s="16"/>
      <c r="MJU34" s="16"/>
      <c r="MJV34" s="16"/>
      <c r="MJW34" s="16"/>
      <c r="MJX34" s="16"/>
      <c r="MJY34" s="16"/>
      <c r="MJZ34" s="16"/>
      <c r="MKA34" s="16"/>
      <c r="MKB34" s="16"/>
      <c r="MKC34" s="16"/>
      <c r="MKD34" s="16"/>
      <c r="MKE34" s="16"/>
      <c r="MKF34" s="16"/>
      <c r="MKG34" s="16"/>
      <c r="MKH34" s="16"/>
      <c r="MKI34" s="16"/>
      <c r="MKJ34" s="16"/>
      <c r="MKK34" s="16"/>
      <c r="MKL34" s="16"/>
      <c r="MKM34" s="16"/>
      <c r="MKN34" s="16"/>
      <c r="MKO34" s="16"/>
      <c r="MKP34" s="16"/>
      <c r="MKQ34" s="16"/>
      <c r="MKR34" s="16"/>
      <c r="MKS34" s="16"/>
      <c r="MKT34" s="16"/>
      <c r="MKU34" s="16"/>
      <c r="MKV34" s="16"/>
      <c r="MKW34" s="16"/>
      <c r="MKX34" s="16"/>
      <c r="MKY34" s="16"/>
      <c r="MKZ34" s="16"/>
      <c r="MLA34" s="16"/>
      <c r="MLB34" s="16"/>
      <c r="MLC34" s="16"/>
      <c r="MLD34" s="16"/>
      <c r="MLE34" s="16"/>
      <c r="MLF34" s="16"/>
      <c r="MLG34" s="16"/>
      <c r="MLH34" s="16"/>
      <c r="MLI34" s="16"/>
      <c r="MLJ34" s="16"/>
      <c r="MLK34" s="16"/>
      <c r="MLL34" s="16"/>
      <c r="MLM34" s="16"/>
      <c r="MLN34" s="16"/>
      <c r="MLO34" s="16"/>
      <c r="MLP34" s="16"/>
      <c r="MLQ34" s="16"/>
      <c r="MLR34" s="16"/>
      <c r="MLS34" s="16"/>
      <c r="MLT34" s="16"/>
      <c r="MLU34" s="16"/>
      <c r="MLV34" s="16"/>
      <c r="MLW34" s="16"/>
      <c r="MLX34" s="16"/>
      <c r="MLY34" s="16"/>
      <c r="MLZ34" s="16"/>
      <c r="MMA34" s="16"/>
      <c r="MMB34" s="16"/>
      <c r="MMC34" s="16"/>
      <c r="MMD34" s="16"/>
      <c r="MME34" s="16"/>
      <c r="MMF34" s="16"/>
      <c r="MMG34" s="16"/>
      <c r="MMH34" s="16"/>
      <c r="MMI34" s="16"/>
      <c r="MMJ34" s="16"/>
      <c r="MMK34" s="16"/>
      <c r="MML34" s="16"/>
      <c r="MMM34" s="16"/>
      <c r="MMN34" s="16"/>
      <c r="MMO34" s="16"/>
      <c r="MMP34" s="16"/>
      <c r="MMQ34" s="16"/>
      <c r="MMR34" s="16"/>
      <c r="MMS34" s="16"/>
      <c r="MMT34" s="16"/>
      <c r="MMU34" s="16"/>
      <c r="MMV34" s="16"/>
      <c r="MMW34" s="16"/>
      <c r="MMX34" s="16"/>
      <c r="MMY34" s="16"/>
      <c r="MMZ34" s="16"/>
      <c r="MNA34" s="16"/>
      <c r="MNB34" s="16"/>
      <c r="MNC34" s="16"/>
      <c r="MND34" s="16"/>
      <c r="MNE34" s="16"/>
      <c r="MNF34" s="16"/>
      <c r="MNG34" s="16"/>
      <c r="MNH34" s="16"/>
      <c r="MNI34" s="16"/>
      <c r="MNJ34" s="16"/>
      <c r="MNK34" s="16"/>
      <c r="MNL34" s="16"/>
      <c r="MNM34" s="16"/>
      <c r="MNN34" s="16"/>
      <c r="MNO34" s="16"/>
      <c r="MNP34" s="16"/>
      <c r="MNQ34" s="16"/>
      <c r="MNR34" s="16"/>
      <c r="MNS34" s="16"/>
      <c r="MNT34" s="16"/>
      <c r="MNU34" s="16"/>
      <c r="MNV34" s="16"/>
      <c r="MNW34" s="16"/>
      <c r="MNX34" s="16"/>
      <c r="MNY34" s="16"/>
      <c r="MNZ34" s="16"/>
      <c r="MOA34" s="16"/>
      <c r="MOB34" s="16"/>
      <c r="MOC34" s="16"/>
      <c r="MOD34" s="16"/>
      <c r="MOE34" s="16"/>
      <c r="MOF34" s="16"/>
      <c r="MOG34" s="16"/>
      <c r="MOH34" s="16"/>
      <c r="MOI34" s="16"/>
      <c r="MOJ34" s="16"/>
      <c r="MOK34" s="16"/>
      <c r="MOL34" s="16"/>
      <c r="MOM34" s="16"/>
      <c r="MON34" s="16"/>
      <c r="MOO34" s="16"/>
      <c r="MOP34" s="16"/>
      <c r="MOQ34" s="16"/>
      <c r="MOR34" s="16"/>
      <c r="MOS34" s="16"/>
      <c r="MOT34" s="16"/>
      <c r="MOU34" s="16"/>
      <c r="MOV34" s="16"/>
      <c r="MOW34" s="16"/>
      <c r="MOX34" s="16"/>
      <c r="MOY34" s="16"/>
      <c r="MOZ34" s="16"/>
      <c r="MPA34" s="16"/>
      <c r="MPB34" s="16"/>
      <c r="MPC34" s="16"/>
      <c r="MPD34" s="16"/>
      <c r="MPE34" s="16"/>
      <c r="MPF34" s="16"/>
      <c r="MPG34" s="16"/>
      <c r="MPH34" s="16"/>
      <c r="MPI34" s="16"/>
      <c r="MPJ34" s="16"/>
      <c r="MPK34" s="16"/>
      <c r="MPL34" s="16"/>
      <c r="MPM34" s="16"/>
      <c r="MPN34" s="16"/>
      <c r="MPO34" s="16"/>
      <c r="MPP34" s="16"/>
      <c r="MPQ34" s="16"/>
      <c r="MPR34" s="16"/>
      <c r="MPS34" s="16"/>
      <c r="MPT34" s="16"/>
      <c r="MPU34" s="16"/>
      <c r="MPV34" s="16"/>
      <c r="MPW34" s="16"/>
      <c r="MPX34" s="16"/>
      <c r="MPY34" s="16"/>
      <c r="MPZ34" s="16"/>
      <c r="MQA34" s="16"/>
      <c r="MQB34" s="16"/>
      <c r="MQC34" s="16"/>
      <c r="MQD34" s="16"/>
      <c r="MQE34" s="16"/>
      <c r="MQF34" s="16"/>
      <c r="MQG34" s="16"/>
      <c r="MQH34" s="16"/>
      <c r="MQI34" s="16"/>
      <c r="MQJ34" s="16"/>
      <c r="MQK34" s="16"/>
      <c r="MQL34" s="16"/>
      <c r="MQM34" s="16"/>
      <c r="MQN34" s="16"/>
      <c r="MQO34" s="16"/>
      <c r="MQP34" s="16"/>
      <c r="MQQ34" s="16"/>
      <c r="MQR34" s="16"/>
      <c r="MQS34" s="16"/>
      <c r="MQT34" s="16"/>
      <c r="MQU34" s="16"/>
      <c r="MQV34" s="16"/>
      <c r="MQW34" s="16"/>
      <c r="MQX34" s="16"/>
      <c r="MQY34" s="16"/>
      <c r="MQZ34" s="16"/>
      <c r="MRA34" s="16"/>
      <c r="MRB34" s="16"/>
      <c r="MRC34" s="16"/>
      <c r="MRD34" s="16"/>
      <c r="MRE34" s="16"/>
      <c r="MRF34" s="16"/>
      <c r="MRG34" s="16"/>
      <c r="MRH34" s="16"/>
      <c r="MRI34" s="16"/>
      <c r="MRJ34" s="16"/>
      <c r="MRK34" s="16"/>
      <c r="MRL34" s="16"/>
      <c r="MRM34" s="16"/>
      <c r="MRN34" s="16"/>
      <c r="MRO34" s="16"/>
      <c r="MRP34" s="16"/>
      <c r="MRQ34" s="16"/>
      <c r="MRR34" s="16"/>
      <c r="MRS34" s="16"/>
      <c r="MRT34" s="16"/>
      <c r="MRU34" s="16"/>
      <c r="MRV34" s="16"/>
      <c r="MRW34" s="16"/>
      <c r="MRX34" s="16"/>
      <c r="MRY34" s="16"/>
      <c r="MRZ34" s="16"/>
      <c r="MSA34" s="16"/>
      <c r="MSB34" s="16"/>
      <c r="MSC34" s="16"/>
      <c r="MSD34" s="16"/>
      <c r="MSE34" s="16"/>
      <c r="MSF34" s="16"/>
      <c r="MSG34" s="16"/>
      <c r="MSH34" s="16"/>
      <c r="MSI34" s="16"/>
      <c r="MSJ34" s="16"/>
      <c r="MSK34" s="16"/>
      <c r="MSL34" s="16"/>
      <c r="MSM34" s="16"/>
      <c r="MSN34" s="16"/>
      <c r="MSO34" s="16"/>
      <c r="MSP34" s="16"/>
      <c r="MSQ34" s="16"/>
      <c r="MSR34" s="16"/>
      <c r="MSS34" s="16"/>
      <c r="MST34" s="16"/>
      <c r="MSU34" s="16"/>
      <c r="MSV34" s="16"/>
      <c r="MSW34" s="16"/>
      <c r="MSX34" s="16"/>
      <c r="MSY34" s="16"/>
      <c r="MSZ34" s="16"/>
      <c r="MTA34" s="16"/>
      <c r="MTB34" s="16"/>
      <c r="MTC34" s="16"/>
      <c r="MTD34" s="16"/>
      <c r="MTE34" s="16"/>
      <c r="MTF34" s="16"/>
      <c r="MTG34" s="16"/>
      <c r="MTH34" s="16"/>
      <c r="MTI34" s="16"/>
      <c r="MTJ34" s="16"/>
      <c r="MTK34" s="16"/>
      <c r="MTL34" s="16"/>
      <c r="MTM34" s="16"/>
      <c r="MTN34" s="16"/>
      <c r="MTO34" s="16"/>
      <c r="MTP34" s="16"/>
      <c r="MTQ34" s="16"/>
      <c r="MTR34" s="16"/>
      <c r="MTS34" s="16"/>
      <c r="MTT34" s="16"/>
      <c r="MTU34" s="16"/>
      <c r="MTV34" s="16"/>
      <c r="MTW34" s="16"/>
      <c r="MTX34" s="16"/>
      <c r="MTY34" s="16"/>
      <c r="MTZ34" s="16"/>
      <c r="MUA34" s="16"/>
      <c r="MUB34" s="16"/>
      <c r="MUC34" s="16"/>
      <c r="MUD34" s="16"/>
      <c r="MUE34" s="16"/>
      <c r="MUF34" s="16"/>
      <c r="MUG34" s="16"/>
      <c r="MUH34" s="16"/>
      <c r="MUI34" s="16"/>
      <c r="MUJ34" s="16"/>
      <c r="MUK34" s="16"/>
      <c r="MUL34" s="16"/>
      <c r="MUM34" s="16"/>
      <c r="MUN34" s="16"/>
      <c r="MUO34" s="16"/>
      <c r="MUP34" s="16"/>
      <c r="MUQ34" s="16"/>
      <c r="MUR34" s="16"/>
      <c r="MUS34" s="16"/>
      <c r="MUT34" s="16"/>
      <c r="MUU34" s="16"/>
      <c r="MUV34" s="16"/>
      <c r="MUW34" s="16"/>
      <c r="MUX34" s="16"/>
      <c r="MUY34" s="16"/>
      <c r="MUZ34" s="16"/>
      <c r="MVA34" s="16"/>
      <c r="MVB34" s="16"/>
      <c r="MVC34" s="16"/>
      <c r="MVD34" s="16"/>
      <c r="MVE34" s="16"/>
      <c r="MVF34" s="16"/>
      <c r="MVG34" s="16"/>
      <c r="MVH34" s="16"/>
      <c r="MVI34" s="16"/>
      <c r="MVJ34" s="16"/>
      <c r="MVK34" s="16"/>
      <c r="MVL34" s="16"/>
      <c r="MVM34" s="16"/>
      <c r="MVN34" s="16"/>
      <c r="MVO34" s="16"/>
      <c r="MVP34" s="16"/>
      <c r="MVQ34" s="16"/>
      <c r="MVR34" s="16"/>
      <c r="MVS34" s="16"/>
      <c r="MVT34" s="16"/>
      <c r="MVU34" s="16"/>
      <c r="MVV34" s="16"/>
      <c r="MVW34" s="16"/>
      <c r="MVX34" s="16"/>
      <c r="MVY34" s="16"/>
      <c r="MVZ34" s="16"/>
      <c r="MWA34" s="16"/>
      <c r="MWB34" s="16"/>
      <c r="MWC34" s="16"/>
      <c r="MWD34" s="16"/>
      <c r="MWE34" s="16"/>
      <c r="MWF34" s="16"/>
      <c r="MWG34" s="16"/>
      <c r="MWH34" s="16"/>
      <c r="MWI34" s="16"/>
      <c r="MWJ34" s="16"/>
      <c r="MWK34" s="16"/>
      <c r="MWL34" s="16"/>
      <c r="MWM34" s="16"/>
      <c r="MWN34" s="16"/>
      <c r="MWO34" s="16"/>
      <c r="MWP34" s="16"/>
      <c r="MWQ34" s="16"/>
      <c r="MWR34" s="16"/>
      <c r="MWS34" s="16"/>
      <c r="MWT34" s="16"/>
      <c r="MWU34" s="16"/>
      <c r="MWV34" s="16"/>
      <c r="MWW34" s="16"/>
      <c r="MWX34" s="16"/>
      <c r="MWY34" s="16"/>
      <c r="MWZ34" s="16"/>
      <c r="MXA34" s="16"/>
      <c r="MXB34" s="16"/>
      <c r="MXC34" s="16"/>
      <c r="MXD34" s="16"/>
      <c r="MXE34" s="16"/>
      <c r="MXF34" s="16"/>
      <c r="MXG34" s="16"/>
      <c r="MXH34" s="16"/>
      <c r="MXI34" s="16"/>
      <c r="MXJ34" s="16"/>
      <c r="MXK34" s="16"/>
      <c r="MXL34" s="16"/>
      <c r="MXM34" s="16"/>
      <c r="MXN34" s="16"/>
      <c r="MXO34" s="16"/>
      <c r="MXP34" s="16"/>
      <c r="MXQ34" s="16"/>
      <c r="MXR34" s="16"/>
      <c r="MXS34" s="16"/>
      <c r="MXT34" s="16"/>
      <c r="MXU34" s="16"/>
      <c r="MXV34" s="16"/>
      <c r="MXW34" s="16"/>
      <c r="MXX34" s="16"/>
      <c r="MXY34" s="16"/>
      <c r="MXZ34" s="16"/>
      <c r="MYA34" s="16"/>
      <c r="MYB34" s="16"/>
      <c r="MYC34" s="16"/>
      <c r="MYD34" s="16"/>
      <c r="MYE34" s="16"/>
      <c r="MYF34" s="16"/>
      <c r="MYG34" s="16"/>
      <c r="MYH34" s="16"/>
      <c r="MYI34" s="16"/>
      <c r="MYJ34" s="16"/>
      <c r="MYK34" s="16"/>
      <c r="MYL34" s="16"/>
      <c r="MYM34" s="16"/>
      <c r="MYN34" s="16"/>
      <c r="MYO34" s="16"/>
      <c r="MYP34" s="16"/>
      <c r="MYQ34" s="16"/>
      <c r="MYR34" s="16"/>
      <c r="MYS34" s="16"/>
      <c r="MYT34" s="16"/>
      <c r="MYU34" s="16"/>
      <c r="MYV34" s="16"/>
      <c r="MYW34" s="16"/>
      <c r="MYX34" s="16"/>
      <c r="MYY34" s="16"/>
      <c r="MYZ34" s="16"/>
      <c r="MZA34" s="16"/>
      <c r="MZB34" s="16"/>
      <c r="MZC34" s="16"/>
      <c r="MZD34" s="16"/>
      <c r="MZE34" s="16"/>
      <c r="MZF34" s="16"/>
      <c r="MZG34" s="16"/>
      <c r="MZH34" s="16"/>
      <c r="MZI34" s="16"/>
      <c r="MZJ34" s="16"/>
      <c r="MZK34" s="16"/>
      <c r="MZL34" s="16"/>
      <c r="MZM34" s="16"/>
      <c r="MZN34" s="16"/>
      <c r="MZO34" s="16"/>
      <c r="MZP34" s="16"/>
      <c r="MZQ34" s="16"/>
      <c r="MZR34" s="16"/>
      <c r="MZS34" s="16"/>
      <c r="MZT34" s="16"/>
      <c r="MZU34" s="16"/>
      <c r="MZV34" s="16"/>
      <c r="MZW34" s="16"/>
      <c r="MZX34" s="16"/>
      <c r="MZY34" s="16"/>
      <c r="MZZ34" s="16"/>
      <c r="NAA34" s="16"/>
      <c r="NAB34" s="16"/>
      <c r="NAC34" s="16"/>
      <c r="NAD34" s="16"/>
      <c r="NAE34" s="16"/>
      <c r="NAF34" s="16"/>
      <c r="NAG34" s="16"/>
      <c r="NAH34" s="16"/>
      <c r="NAI34" s="16"/>
      <c r="NAJ34" s="16"/>
      <c r="NAK34" s="16"/>
      <c r="NAL34" s="16"/>
      <c r="NAM34" s="16"/>
      <c r="NAN34" s="16"/>
      <c r="NAO34" s="16"/>
      <c r="NAP34" s="16"/>
      <c r="NAQ34" s="16"/>
      <c r="NAR34" s="16"/>
      <c r="NAS34" s="16"/>
      <c r="NAT34" s="16"/>
      <c r="NAU34" s="16"/>
      <c r="NAV34" s="16"/>
      <c r="NAW34" s="16"/>
      <c r="NAX34" s="16"/>
      <c r="NAY34" s="16"/>
      <c r="NAZ34" s="16"/>
      <c r="NBA34" s="16"/>
      <c r="NBB34" s="16"/>
      <c r="NBC34" s="16"/>
      <c r="NBD34" s="16"/>
      <c r="NBE34" s="16"/>
      <c r="NBF34" s="16"/>
      <c r="NBG34" s="16"/>
      <c r="NBH34" s="16"/>
      <c r="NBI34" s="16"/>
      <c r="NBJ34" s="16"/>
      <c r="NBK34" s="16"/>
      <c r="NBL34" s="16"/>
      <c r="NBM34" s="16"/>
      <c r="NBN34" s="16"/>
      <c r="NBO34" s="16"/>
      <c r="NBP34" s="16"/>
      <c r="NBQ34" s="16"/>
      <c r="NBR34" s="16"/>
      <c r="NBS34" s="16"/>
      <c r="NBT34" s="16"/>
      <c r="NBU34" s="16"/>
      <c r="NBV34" s="16"/>
      <c r="NBW34" s="16"/>
      <c r="NBX34" s="16"/>
      <c r="NBY34" s="16"/>
      <c r="NBZ34" s="16"/>
      <c r="NCA34" s="16"/>
      <c r="NCB34" s="16"/>
      <c r="NCC34" s="16"/>
      <c r="NCD34" s="16"/>
      <c r="NCE34" s="16"/>
      <c r="NCF34" s="16"/>
      <c r="NCG34" s="16"/>
      <c r="NCH34" s="16"/>
      <c r="NCI34" s="16"/>
      <c r="NCJ34" s="16"/>
      <c r="NCK34" s="16"/>
      <c r="NCL34" s="16"/>
      <c r="NCM34" s="16"/>
      <c r="NCN34" s="16"/>
      <c r="NCO34" s="16"/>
      <c r="NCP34" s="16"/>
      <c r="NCQ34" s="16"/>
      <c r="NCR34" s="16"/>
      <c r="NCS34" s="16"/>
      <c r="NCT34" s="16"/>
      <c r="NCU34" s="16"/>
      <c r="NCV34" s="16"/>
      <c r="NCW34" s="16"/>
      <c r="NCX34" s="16"/>
      <c r="NCY34" s="16"/>
      <c r="NCZ34" s="16"/>
      <c r="NDA34" s="16"/>
      <c r="NDB34" s="16"/>
      <c r="NDC34" s="16"/>
      <c r="NDD34" s="16"/>
      <c r="NDE34" s="16"/>
      <c r="NDF34" s="16"/>
      <c r="NDG34" s="16"/>
      <c r="NDH34" s="16"/>
      <c r="NDI34" s="16"/>
      <c r="NDJ34" s="16"/>
      <c r="NDK34" s="16"/>
      <c r="NDL34" s="16"/>
      <c r="NDM34" s="16"/>
      <c r="NDN34" s="16"/>
      <c r="NDO34" s="16"/>
      <c r="NDP34" s="16"/>
      <c r="NDQ34" s="16"/>
      <c r="NDR34" s="16"/>
      <c r="NDS34" s="16"/>
      <c r="NDT34" s="16"/>
      <c r="NDU34" s="16"/>
      <c r="NDV34" s="16"/>
      <c r="NDW34" s="16"/>
      <c r="NDX34" s="16"/>
      <c r="NDY34" s="16"/>
      <c r="NDZ34" s="16"/>
      <c r="NEA34" s="16"/>
      <c r="NEB34" s="16"/>
      <c r="NEC34" s="16"/>
      <c r="NED34" s="16"/>
      <c r="NEE34" s="16"/>
      <c r="NEF34" s="16"/>
      <c r="NEG34" s="16"/>
      <c r="NEH34" s="16"/>
      <c r="NEI34" s="16"/>
      <c r="NEJ34" s="16"/>
      <c r="NEK34" s="16"/>
      <c r="NEL34" s="16"/>
      <c r="NEM34" s="16"/>
      <c r="NEN34" s="16"/>
      <c r="NEO34" s="16"/>
      <c r="NEP34" s="16"/>
      <c r="NEQ34" s="16"/>
      <c r="NER34" s="16"/>
      <c r="NES34" s="16"/>
      <c r="NET34" s="16"/>
      <c r="NEU34" s="16"/>
      <c r="NEV34" s="16"/>
      <c r="NEW34" s="16"/>
      <c r="NEX34" s="16"/>
      <c r="NEY34" s="16"/>
      <c r="NEZ34" s="16"/>
      <c r="NFA34" s="16"/>
      <c r="NFB34" s="16"/>
      <c r="NFC34" s="16"/>
      <c r="NFD34" s="16"/>
      <c r="NFE34" s="16"/>
      <c r="NFF34" s="16"/>
      <c r="NFG34" s="16"/>
      <c r="NFH34" s="16"/>
      <c r="NFI34" s="16"/>
      <c r="NFJ34" s="16"/>
      <c r="NFK34" s="16"/>
      <c r="NFL34" s="16"/>
      <c r="NFM34" s="16"/>
      <c r="NFN34" s="16"/>
      <c r="NFO34" s="16"/>
      <c r="NFP34" s="16"/>
      <c r="NFQ34" s="16"/>
      <c r="NFR34" s="16"/>
      <c r="NFS34" s="16"/>
      <c r="NFT34" s="16"/>
      <c r="NFU34" s="16"/>
      <c r="NFV34" s="16"/>
      <c r="NFW34" s="16"/>
      <c r="NFX34" s="16"/>
      <c r="NFY34" s="16"/>
      <c r="NFZ34" s="16"/>
      <c r="NGA34" s="16"/>
      <c r="NGB34" s="16"/>
      <c r="NGC34" s="16"/>
      <c r="NGD34" s="16"/>
      <c r="NGE34" s="16"/>
      <c r="NGF34" s="16"/>
      <c r="NGG34" s="16"/>
      <c r="NGH34" s="16"/>
      <c r="NGI34" s="16"/>
      <c r="NGJ34" s="16"/>
      <c r="NGK34" s="16"/>
      <c r="NGL34" s="16"/>
      <c r="NGM34" s="16"/>
      <c r="NGN34" s="16"/>
      <c r="NGO34" s="16"/>
      <c r="NGP34" s="16"/>
      <c r="NGQ34" s="16"/>
      <c r="NGR34" s="16"/>
      <c r="NGS34" s="16"/>
      <c r="NGT34" s="16"/>
      <c r="NGU34" s="16"/>
      <c r="NGV34" s="16"/>
      <c r="NGW34" s="16"/>
      <c r="NGX34" s="16"/>
      <c r="NGY34" s="16"/>
      <c r="NGZ34" s="16"/>
      <c r="NHA34" s="16"/>
      <c r="NHB34" s="16"/>
      <c r="NHC34" s="16"/>
      <c r="NHD34" s="16"/>
      <c r="NHE34" s="16"/>
      <c r="NHF34" s="16"/>
      <c r="NHG34" s="16"/>
      <c r="NHH34" s="16"/>
      <c r="NHI34" s="16"/>
      <c r="NHJ34" s="16"/>
      <c r="NHK34" s="16"/>
      <c r="NHL34" s="16"/>
      <c r="NHM34" s="16"/>
      <c r="NHN34" s="16"/>
      <c r="NHO34" s="16"/>
      <c r="NHP34" s="16"/>
      <c r="NHQ34" s="16"/>
      <c r="NHR34" s="16"/>
      <c r="NHS34" s="16"/>
      <c r="NHT34" s="16"/>
      <c r="NHU34" s="16"/>
      <c r="NHV34" s="16"/>
      <c r="NHW34" s="16"/>
      <c r="NHX34" s="16"/>
      <c r="NHY34" s="16"/>
      <c r="NHZ34" s="16"/>
      <c r="NIA34" s="16"/>
      <c r="NIB34" s="16"/>
      <c r="NIC34" s="16"/>
      <c r="NID34" s="16"/>
      <c r="NIE34" s="16"/>
      <c r="NIF34" s="16"/>
      <c r="NIG34" s="16"/>
      <c r="NIH34" s="16"/>
      <c r="NII34" s="16"/>
      <c r="NIJ34" s="16"/>
      <c r="NIK34" s="16"/>
      <c r="NIL34" s="16"/>
      <c r="NIM34" s="16"/>
      <c r="NIN34" s="16"/>
      <c r="NIO34" s="16"/>
      <c r="NIP34" s="16"/>
      <c r="NIQ34" s="16"/>
      <c r="NIR34" s="16"/>
      <c r="NIS34" s="16"/>
      <c r="NIT34" s="16"/>
      <c r="NIU34" s="16"/>
      <c r="NIV34" s="16"/>
      <c r="NIW34" s="16"/>
      <c r="NIX34" s="16"/>
      <c r="NIY34" s="16"/>
      <c r="NIZ34" s="16"/>
      <c r="NJA34" s="16"/>
      <c r="NJB34" s="16"/>
      <c r="NJC34" s="16"/>
      <c r="NJD34" s="16"/>
      <c r="NJE34" s="16"/>
      <c r="NJF34" s="16"/>
      <c r="NJG34" s="16"/>
      <c r="NJH34" s="16"/>
      <c r="NJI34" s="16"/>
      <c r="NJJ34" s="16"/>
      <c r="NJK34" s="16"/>
      <c r="NJL34" s="16"/>
      <c r="NJM34" s="16"/>
      <c r="NJN34" s="16"/>
      <c r="NJO34" s="16"/>
      <c r="NJP34" s="16"/>
      <c r="NJQ34" s="16"/>
      <c r="NJR34" s="16"/>
      <c r="NJS34" s="16"/>
      <c r="NJT34" s="16"/>
      <c r="NJU34" s="16"/>
      <c r="NJV34" s="16"/>
      <c r="NJW34" s="16"/>
      <c r="NJX34" s="16"/>
      <c r="NJY34" s="16"/>
      <c r="NJZ34" s="16"/>
      <c r="NKA34" s="16"/>
      <c r="NKB34" s="16"/>
      <c r="NKC34" s="16"/>
      <c r="NKD34" s="16"/>
      <c r="NKE34" s="16"/>
      <c r="NKF34" s="16"/>
      <c r="NKG34" s="16"/>
      <c r="NKH34" s="16"/>
      <c r="NKI34" s="16"/>
      <c r="NKJ34" s="16"/>
      <c r="NKK34" s="16"/>
      <c r="NKL34" s="16"/>
      <c r="NKM34" s="16"/>
      <c r="NKN34" s="16"/>
      <c r="NKO34" s="16"/>
      <c r="NKP34" s="16"/>
      <c r="NKQ34" s="16"/>
      <c r="NKR34" s="16"/>
      <c r="NKS34" s="16"/>
      <c r="NKT34" s="16"/>
      <c r="NKU34" s="16"/>
      <c r="NKV34" s="16"/>
      <c r="NKW34" s="16"/>
      <c r="NKX34" s="16"/>
      <c r="NKY34" s="16"/>
      <c r="NKZ34" s="16"/>
      <c r="NLA34" s="16"/>
      <c r="NLB34" s="16"/>
      <c r="NLC34" s="16"/>
      <c r="NLD34" s="16"/>
      <c r="NLE34" s="16"/>
      <c r="NLF34" s="16"/>
      <c r="NLG34" s="16"/>
      <c r="NLH34" s="16"/>
      <c r="NLI34" s="16"/>
      <c r="NLJ34" s="16"/>
      <c r="NLK34" s="16"/>
      <c r="NLL34" s="16"/>
      <c r="NLM34" s="16"/>
      <c r="NLN34" s="16"/>
      <c r="NLO34" s="16"/>
      <c r="NLP34" s="16"/>
      <c r="NLQ34" s="16"/>
      <c r="NLR34" s="16"/>
      <c r="NLS34" s="16"/>
      <c r="NLT34" s="16"/>
      <c r="NLU34" s="16"/>
      <c r="NLV34" s="16"/>
      <c r="NLW34" s="16"/>
      <c r="NLX34" s="16"/>
      <c r="NLY34" s="16"/>
      <c r="NLZ34" s="16"/>
      <c r="NMA34" s="16"/>
      <c r="NMB34" s="16"/>
      <c r="NMC34" s="16"/>
      <c r="NMD34" s="16"/>
      <c r="NME34" s="16"/>
      <c r="NMF34" s="16"/>
      <c r="NMG34" s="16"/>
      <c r="NMH34" s="16"/>
      <c r="NMI34" s="16"/>
      <c r="NMJ34" s="16"/>
      <c r="NMK34" s="16"/>
      <c r="NML34" s="16"/>
      <c r="NMM34" s="16"/>
      <c r="NMN34" s="16"/>
      <c r="NMO34" s="16"/>
      <c r="NMP34" s="16"/>
      <c r="NMQ34" s="16"/>
      <c r="NMR34" s="16"/>
      <c r="NMS34" s="16"/>
      <c r="NMT34" s="16"/>
      <c r="NMU34" s="16"/>
      <c r="NMV34" s="16"/>
      <c r="NMW34" s="16"/>
      <c r="NMX34" s="16"/>
      <c r="NMY34" s="16"/>
      <c r="NMZ34" s="16"/>
      <c r="NNA34" s="16"/>
      <c r="NNB34" s="16"/>
      <c r="NNC34" s="16"/>
      <c r="NND34" s="16"/>
      <c r="NNE34" s="16"/>
      <c r="NNF34" s="16"/>
      <c r="NNG34" s="16"/>
      <c r="NNH34" s="16"/>
      <c r="NNI34" s="16"/>
      <c r="NNJ34" s="16"/>
      <c r="NNK34" s="16"/>
      <c r="NNL34" s="16"/>
      <c r="NNM34" s="16"/>
      <c r="NNN34" s="16"/>
      <c r="NNO34" s="16"/>
      <c r="NNP34" s="16"/>
      <c r="NNQ34" s="16"/>
      <c r="NNR34" s="16"/>
      <c r="NNS34" s="16"/>
      <c r="NNT34" s="16"/>
      <c r="NNU34" s="16"/>
      <c r="NNV34" s="16"/>
      <c r="NNW34" s="16"/>
      <c r="NNX34" s="16"/>
      <c r="NNY34" s="16"/>
      <c r="NNZ34" s="16"/>
      <c r="NOA34" s="16"/>
      <c r="NOB34" s="16"/>
      <c r="NOC34" s="16"/>
      <c r="NOD34" s="16"/>
      <c r="NOE34" s="16"/>
      <c r="NOF34" s="16"/>
      <c r="NOG34" s="16"/>
      <c r="NOH34" s="16"/>
      <c r="NOI34" s="16"/>
      <c r="NOJ34" s="16"/>
      <c r="NOK34" s="16"/>
      <c r="NOL34" s="16"/>
      <c r="NOM34" s="16"/>
      <c r="NON34" s="16"/>
      <c r="NOO34" s="16"/>
      <c r="NOP34" s="16"/>
      <c r="NOQ34" s="16"/>
      <c r="NOR34" s="16"/>
      <c r="NOS34" s="16"/>
      <c r="NOT34" s="16"/>
      <c r="NOU34" s="16"/>
      <c r="NOV34" s="16"/>
      <c r="NOW34" s="16"/>
      <c r="NOX34" s="16"/>
      <c r="NOY34" s="16"/>
      <c r="NOZ34" s="16"/>
      <c r="NPA34" s="16"/>
      <c r="NPB34" s="16"/>
      <c r="NPC34" s="16"/>
      <c r="NPD34" s="16"/>
      <c r="NPE34" s="16"/>
      <c r="NPF34" s="16"/>
      <c r="NPG34" s="16"/>
      <c r="NPH34" s="16"/>
      <c r="NPI34" s="16"/>
      <c r="NPJ34" s="16"/>
      <c r="NPK34" s="16"/>
      <c r="NPL34" s="16"/>
      <c r="NPM34" s="16"/>
      <c r="NPN34" s="16"/>
      <c r="NPO34" s="16"/>
      <c r="NPP34" s="16"/>
      <c r="NPQ34" s="16"/>
      <c r="NPR34" s="16"/>
      <c r="NPS34" s="16"/>
      <c r="NPT34" s="16"/>
      <c r="NPU34" s="16"/>
      <c r="NPV34" s="16"/>
      <c r="NPW34" s="16"/>
      <c r="NPX34" s="16"/>
      <c r="NPY34" s="16"/>
      <c r="NPZ34" s="16"/>
      <c r="NQA34" s="16"/>
      <c r="NQB34" s="16"/>
      <c r="NQC34" s="16"/>
      <c r="NQD34" s="16"/>
      <c r="NQE34" s="16"/>
      <c r="NQF34" s="16"/>
      <c r="NQG34" s="16"/>
      <c r="NQH34" s="16"/>
      <c r="NQI34" s="16"/>
      <c r="NQJ34" s="16"/>
      <c r="NQK34" s="16"/>
      <c r="NQL34" s="16"/>
      <c r="NQM34" s="16"/>
      <c r="NQN34" s="16"/>
      <c r="NQO34" s="16"/>
      <c r="NQP34" s="16"/>
      <c r="NQQ34" s="16"/>
      <c r="NQR34" s="16"/>
      <c r="NQS34" s="16"/>
      <c r="NQT34" s="16"/>
      <c r="NQU34" s="16"/>
      <c r="NQV34" s="16"/>
      <c r="NQW34" s="16"/>
      <c r="NQX34" s="16"/>
      <c r="NQY34" s="16"/>
      <c r="NQZ34" s="16"/>
      <c r="NRA34" s="16"/>
      <c r="NRB34" s="16"/>
      <c r="NRC34" s="16"/>
      <c r="NRD34" s="16"/>
      <c r="NRE34" s="16"/>
      <c r="NRF34" s="16"/>
      <c r="NRG34" s="16"/>
      <c r="NRH34" s="16"/>
      <c r="NRI34" s="16"/>
      <c r="NRJ34" s="16"/>
      <c r="NRK34" s="16"/>
      <c r="NRL34" s="16"/>
      <c r="NRM34" s="16"/>
      <c r="NRN34" s="16"/>
      <c r="NRO34" s="16"/>
      <c r="NRP34" s="16"/>
      <c r="NRQ34" s="16"/>
      <c r="NRR34" s="16"/>
      <c r="NRS34" s="16"/>
      <c r="NRT34" s="16"/>
      <c r="NRU34" s="16"/>
      <c r="NRV34" s="16"/>
      <c r="NRW34" s="16"/>
      <c r="NRX34" s="16"/>
      <c r="NRY34" s="16"/>
      <c r="NRZ34" s="16"/>
      <c r="NSA34" s="16"/>
      <c r="NSB34" s="16"/>
      <c r="NSC34" s="16"/>
      <c r="NSD34" s="16"/>
      <c r="NSE34" s="16"/>
      <c r="NSF34" s="16"/>
      <c r="NSG34" s="16"/>
      <c r="NSH34" s="16"/>
      <c r="NSI34" s="16"/>
      <c r="NSJ34" s="16"/>
      <c r="NSK34" s="16"/>
      <c r="NSL34" s="16"/>
      <c r="NSM34" s="16"/>
      <c r="NSN34" s="16"/>
      <c r="NSO34" s="16"/>
      <c r="NSP34" s="16"/>
      <c r="NSQ34" s="16"/>
      <c r="NSR34" s="16"/>
      <c r="NSS34" s="16"/>
      <c r="NST34" s="16"/>
      <c r="NSU34" s="16"/>
      <c r="NSV34" s="16"/>
      <c r="NSW34" s="16"/>
      <c r="NSX34" s="16"/>
      <c r="NSY34" s="16"/>
      <c r="NSZ34" s="16"/>
      <c r="NTA34" s="16"/>
      <c r="NTB34" s="16"/>
      <c r="NTC34" s="16"/>
      <c r="NTD34" s="16"/>
      <c r="NTE34" s="16"/>
      <c r="NTF34" s="16"/>
      <c r="NTG34" s="16"/>
      <c r="NTH34" s="16"/>
      <c r="NTI34" s="16"/>
      <c r="NTJ34" s="16"/>
      <c r="NTK34" s="16"/>
      <c r="NTL34" s="16"/>
      <c r="NTM34" s="16"/>
      <c r="NTN34" s="16"/>
      <c r="NTO34" s="16"/>
      <c r="NTP34" s="16"/>
      <c r="NTQ34" s="16"/>
      <c r="NTR34" s="16"/>
      <c r="NTS34" s="16"/>
      <c r="NTT34" s="16"/>
      <c r="NTU34" s="16"/>
      <c r="NTV34" s="16"/>
      <c r="NTW34" s="16"/>
      <c r="NTX34" s="16"/>
      <c r="NTY34" s="16"/>
      <c r="NTZ34" s="16"/>
      <c r="NUA34" s="16"/>
      <c r="NUB34" s="16"/>
      <c r="NUC34" s="16"/>
      <c r="NUD34" s="16"/>
      <c r="NUE34" s="16"/>
      <c r="NUF34" s="16"/>
      <c r="NUG34" s="16"/>
      <c r="NUH34" s="16"/>
      <c r="NUI34" s="16"/>
      <c r="NUJ34" s="16"/>
      <c r="NUK34" s="16"/>
      <c r="NUL34" s="16"/>
      <c r="NUM34" s="16"/>
      <c r="NUN34" s="16"/>
      <c r="NUO34" s="16"/>
      <c r="NUP34" s="16"/>
      <c r="NUQ34" s="16"/>
      <c r="NUR34" s="16"/>
      <c r="NUS34" s="16"/>
      <c r="NUT34" s="16"/>
      <c r="NUU34" s="16"/>
      <c r="NUV34" s="16"/>
      <c r="NUW34" s="16"/>
      <c r="NUX34" s="16"/>
      <c r="NUY34" s="16"/>
      <c r="NUZ34" s="16"/>
      <c r="NVA34" s="16"/>
      <c r="NVB34" s="16"/>
      <c r="NVC34" s="16"/>
      <c r="NVD34" s="16"/>
      <c r="NVE34" s="16"/>
      <c r="NVF34" s="16"/>
      <c r="NVG34" s="16"/>
      <c r="NVH34" s="16"/>
      <c r="NVI34" s="16"/>
      <c r="NVJ34" s="16"/>
      <c r="NVK34" s="16"/>
      <c r="NVL34" s="16"/>
      <c r="NVM34" s="16"/>
      <c r="NVN34" s="16"/>
      <c r="NVO34" s="16"/>
      <c r="NVP34" s="16"/>
      <c r="NVQ34" s="16"/>
      <c r="NVR34" s="16"/>
      <c r="NVS34" s="16"/>
      <c r="NVT34" s="16"/>
      <c r="NVU34" s="16"/>
      <c r="NVV34" s="16"/>
      <c r="NVW34" s="16"/>
      <c r="NVX34" s="16"/>
      <c r="NVY34" s="16"/>
      <c r="NVZ34" s="16"/>
      <c r="NWA34" s="16"/>
      <c r="NWB34" s="16"/>
      <c r="NWC34" s="16"/>
      <c r="NWD34" s="16"/>
      <c r="NWE34" s="16"/>
      <c r="NWF34" s="16"/>
      <c r="NWG34" s="16"/>
      <c r="NWH34" s="16"/>
      <c r="NWI34" s="16"/>
      <c r="NWJ34" s="16"/>
      <c r="NWK34" s="16"/>
      <c r="NWL34" s="16"/>
      <c r="NWM34" s="16"/>
      <c r="NWN34" s="16"/>
      <c r="NWO34" s="16"/>
      <c r="NWP34" s="16"/>
      <c r="NWQ34" s="16"/>
      <c r="NWR34" s="16"/>
      <c r="NWS34" s="16"/>
      <c r="NWT34" s="16"/>
      <c r="NWU34" s="16"/>
      <c r="NWV34" s="16"/>
      <c r="NWW34" s="16"/>
      <c r="NWX34" s="16"/>
      <c r="NWY34" s="16"/>
      <c r="NWZ34" s="16"/>
      <c r="NXA34" s="16"/>
      <c r="NXB34" s="16"/>
      <c r="NXC34" s="16"/>
      <c r="NXD34" s="16"/>
      <c r="NXE34" s="16"/>
      <c r="NXF34" s="16"/>
      <c r="NXG34" s="16"/>
      <c r="NXH34" s="16"/>
      <c r="NXI34" s="16"/>
      <c r="NXJ34" s="16"/>
      <c r="NXK34" s="16"/>
      <c r="NXL34" s="16"/>
      <c r="NXM34" s="16"/>
      <c r="NXN34" s="16"/>
      <c r="NXO34" s="16"/>
      <c r="NXP34" s="16"/>
      <c r="NXQ34" s="16"/>
      <c r="NXR34" s="16"/>
      <c r="NXS34" s="16"/>
      <c r="NXT34" s="16"/>
      <c r="NXU34" s="16"/>
      <c r="NXV34" s="16"/>
      <c r="NXW34" s="16"/>
      <c r="NXX34" s="16"/>
      <c r="NXY34" s="16"/>
      <c r="NXZ34" s="16"/>
      <c r="NYA34" s="16"/>
      <c r="NYB34" s="16"/>
      <c r="NYC34" s="16"/>
      <c r="NYD34" s="16"/>
      <c r="NYE34" s="16"/>
      <c r="NYF34" s="16"/>
      <c r="NYG34" s="16"/>
      <c r="NYH34" s="16"/>
      <c r="NYI34" s="16"/>
      <c r="NYJ34" s="16"/>
      <c r="NYK34" s="16"/>
      <c r="NYL34" s="16"/>
      <c r="NYM34" s="16"/>
      <c r="NYN34" s="16"/>
      <c r="NYO34" s="16"/>
      <c r="NYP34" s="16"/>
      <c r="NYQ34" s="16"/>
      <c r="NYR34" s="16"/>
      <c r="NYS34" s="16"/>
      <c r="NYT34" s="16"/>
      <c r="NYU34" s="16"/>
      <c r="NYV34" s="16"/>
      <c r="NYW34" s="16"/>
      <c r="NYX34" s="16"/>
      <c r="NYY34" s="16"/>
      <c r="NYZ34" s="16"/>
      <c r="NZA34" s="16"/>
      <c r="NZB34" s="16"/>
      <c r="NZC34" s="16"/>
      <c r="NZD34" s="16"/>
      <c r="NZE34" s="16"/>
      <c r="NZF34" s="16"/>
      <c r="NZG34" s="16"/>
      <c r="NZH34" s="16"/>
      <c r="NZI34" s="16"/>
      <c r="NZJ34" s="16"/>
      <c r="NZK34" s="16"/>
      <c r="NZL34" s="16"/>
      <c r="NZM34" s="16"/>
      <c r="NZN34" s="16"/>
      <c r="NZO34" s="16"/>
      <c r="NZP34" s="16"/>
      <c r="NZQ34" s="16"/>
      <c r="NZR34" s="16"/>
      <c r="NZS34" s="16"/>
      <c r="NZT34" s="16"/>
      <c r="NZU34" s="16"/>
      <c r="NZV34" s="16"/>
      <c r="NZW34" s="16"/>
      <c r="NZX34" s="16"/>
      <c r="NZY34" s="16"/>
      <c r="NZZ34" s="16"/>
      <c r="OAA34" s="16"/>
      <c r="OAB34" s="16"/>
      <c r="OAC34" s="16"/>
      <c r="OAD34" s="16"/>
      <c r="OAE34" s="16"/>
      <c r="OAF34" s="16"/>
      <c r="OAG34" s="16"/>
      <c r="OAH34" s="16"/>
      <c r="OAI34" s="16"/>
      <c r="OAJ34" s="16"/>
      <c r="OAK34" s="16"/>
      <c r="OAL34" s="16"/>
      <c r="OAM34" s="16"/>
      <c r="OAN34" s="16"/>
      <c r="OAO34" s="16"/>
      <c r="OAP34" s="16"/>
      <c r="OAQ34" s="16"/>
      <c r="OAR34" s="16"/>
      <c r="OAS34" s="16"/>
      <c r="OAT34" s="16"/>
      <c r="OAU34" s="16"/>
      <c r="OAV34" s="16"/>
      <c r="OAW34" s="16"/>
      <c r="OAX34" s="16"/>
      <c r="OAY34" s="16"/>
      <c r="OAZ34" s="16"/>
      <c r="OBA34" s="16"/>
      <c r="OBB34" s="16"/>
      <c r="OBC34" s="16"/>
      <c r="OBD34" s="16"/>
      <c r="OBE34" s="16"/>
      <c r="OBF34" s="16"/>
      <c r="OBG34" s="16"/>
      <c r="OBH34" s="16"/>
      <c r="OBI34" s="16"/>
      <c r="OBJ34" s="16"/>
      <c r="OBK34" s="16"/>
      <c r="OBL34" s="16"/>
      <c r="OBM34" s="16"/>
      <c r="OBN34" s="16"/>
      <c r="OBO34" s="16"/>
      <c r="OBP34" s="16"/>
      <c r="OBQ34" s="16"/>
      <c r="OBR34" s="16"/>
      <c r="OBS34" s="16"/>
      <c r="OBT34" s="16"/>
      <c r="OBU34" s="16"/>
      <c r="OBV34" s="16"/>
      <c r="OBW34" s="16"/>
      <c r="OBX34" s="16"/>
      <c r="OBY34" s="16"/>
      <c r="OBZ34" s="16"/>
      <c r="OCA34" s="16"/>
      <c r="OCB34" s="16"/>
      <c r="OCC34" s="16"/>
      <c r="OCD34" s="16"/>
      <c r="OCE34" s="16"/>
      <c r="OCF34" s="16"/>
      <c r="OCG34" s="16"/>
      <c r="OCH34" s="16"/>
      <c r="OCI34" s="16"/>
      <c r="OCJ34" s="16"/>
      <c r="OCK34" s="16"/>
      <c r="OCL34" s="16"/>
      <c r="OCM34" s="16"/>
      <c r="OCN34" s="16"/>
      <c r="OCO34" s="16"/>
      <c r="OCP34" s="16"/>
      <c r="OCQ34" s="16"/>
      <c r="OCR34" s="16"/>
      <c r="OCS34" s="16"/>
      <c r="OCT34" s="16"/>
      <c r="OCU34" s="16"/>
      <c r="OCV34" s="16"/>
      <c r="OCW34" s="16"/>
      <c r="OCX34" s="16"/>
      <c r="OCY34" s="16"/>
      <c r="OCZ34" s="16"/>
      <c r="ODA34" s="16"/>
      <c r="ODB34" s="16"/>
      <c r="ODC34" s="16"/>
      <c r="ODD34" s="16"/>
      <c r="ODE34" s="16"/>
      <c r="ODF34" s="16"/>
      <c r="ODG34" s="16"/>
      <c r="ODH34" s="16"/>
      <c r="ODI34" s="16"/>
      <c r="ODJ34" s="16"/>
      <c r="ODK34" s="16"/>
      <c r="ODL34" s="16"/>
      <c r="ODM34" s="16"/>
      <c r="ODN34" s="16"/>
      <c r="ODO34" s="16"/>
      <c r="ODP34" s="16"/>
      <c r="ODQ34" s="16"/>
      <c r="ODR34" s="16"/>
      <c r="ODS34" s="16"/>
      <c r="ODT34" s="16"/>
      <c r="ODU34" s="16"/>
      <c r="ODV34" s="16"/>
      <c r="ODW34" s="16"/>
      <c r="ODX34" s="16"/>
      <c r="ODY34" s="16"/>
      <c r="ODZ34" s="16"/>
      <c r="OEA34" s="16"/>
      <c r="OEB34" s="16"/>
      <c r="OEC34" s="16"/>
      <c r="OED34" s="16"/>
      <c r="OEE34" s="16"/>
      <c r="OEF34" s="16"/>
      <c r="OEG34" s="16"/>
      <c r="OEH34" s="16"/>
      <c r="OEI34" s="16"/>
      <c r="OEJ34" s="16"/>
      <c r="OEK34" s="16"/>
      <c r="OEL34" s="16"/>
      <c r="OEM34" s="16"/>
      <c r="OEN34" s="16"/>
      <c r="OEO34" s="16"/>
      <c r="OEP34" s="16"/>
      <c r="OEQ34" s="16"/>
      <c r="OER34" s="16"/>
      <c r="OES34" s="16"/>
      <c r="OET34" s="16"/>
      <c r="OEU34" s="16"/>
      <c r="OEV34" s="16"/>
      <c r="OEW34" s="16"/>
      <c r="OEX34" s="16"/>
      <c r="OEY34" s="16"/>
      <c r="OEZ34" s="16"/>
      <c r="OFA34" s="16"/>
      <c r="OFB34" s="16"/>
      <c r="OFC34" s="16"/>
      <c r="OFD34" s="16"/>
      <c r="OFE34" s="16"/>
      <c r="OFF34" s="16"/>
      <c r="OFG34" s="16"/>
      <c r="OFH34" s="16"/>
      <c r="OFI34" s="16"/>
      <c r="OFJ34" s="16"/>
      <c r="OFK34" s="16"/>
      <c r="OFL34" s="16"/>
      <c r="OFM34" s="16"/>
      <c r="OFN34" s="16"/>
      <c r="OFO34" s="16"/>
      <c r="OFP34" s="16"/>
      <c r="OFQ34" s="16"/>
      <c r="OFR34" s="16"/>
      <c r="OFS34" s="16"/>
      <c r="OFT34" s="16"/>
      <c r="OFU34" s="16"/>
      <c r="OFV34" s="16"/>
      <c r="OFW34" s="16"/>
      <c r="OFX34" s="16"/>
      <c r="OFY34" s="16"/>
      <c r="OFZ34" s="16"/>
      <c r="OGA34" s="16"/>
      <c r="OGB34" s="16"/>
      <c r="OGC34" s="16"/>
      <c r="OGD34" s="16"/>
      <c r="OGE34" s="16"/>
      <c r="OGF34" s="16"/>
      <c r="OGG34" s="16"/>
      <c r="OGH34" s="16"/>
      <c r="OGI34" s="16"/>
      <c r="OGJ34" s="16"/>
      <c r="OGK34" s="16"/>
      <c r="OGL34" s="16"/>
      <c r="OGM34" s="16"/>
      <c r="OGN34" s="16"/>
      <c r="OGO34" s="16"/>
      <c r="OGP34" s="16"/>
      <c r="OGQ34" s="16"/>
      <c r="OGR34" s="16"/>
      <c r="OGS34" s="16"/>
      <c r="OGT34" s="16"/>
      <c r="OGU34" s="16"/>
      <c r="OGV34" s="16"/>
      <c r="OGW34" s="16"/>
      <c r="OGX34" s="16"/>
      <c r="OGY34" s="16"/>
      <c r="OGZ34" s="16"/>
      <c r="OHA34" s="16"/>
      <c r="OHB34" s="16"/>
      <c r="OHC34" s="16"/>
      <c r="OHD34" s="16"/>
      <c r="OHE34" s="16"/>
      <c r="OHF34" s="16"/>
      <c r="OHG34" s="16"/>
      <c r="OHH34" s="16"/>
      <c r="OHI34" s="16"/>
      <c r="OHJ34" s="16"/>
      <c r="OHK34" s="16"/>
      <c r="OHL34" s="16"/>
      <c r="OHM34" s="16"/>
      <c r="OHN34" s="16"/>
      <c r="OHO34" s="16"/>
      <c r="OHP34" s="16"/>
      <c r="OHQ34" s="16"/>
      <c r="OHR34" s="16"/>
      <c r="OHS34" s="16"/>
      <c r="OHT34" s="16"/>
      <c r="OHU34" s="16"/>
      <c r="OHV34" s="16"/>
      <c r="OHW34" s="16"/>
      <c r="OHX34" s="16"/>
      <c r="OHY34" s="16"/>
      <c r="OHZ34" s="16"/>
      <c r="OIA34" s="16"/>
      <c r="OIB34" s="16"/>
      <c r="OIC34" s="16"/>
      <c r="OID34" s="16"/>
      <c r="OIE34" s="16"/>
      <c r="OIF34" s="16"/>
      <c r="OIG34" s="16"/>
      <c r="OIH34" s="16"/>
      <c r="OII34" s="16"/>
      <c r="OIJ34" s="16"/>
      <c r="OIK34" s="16"/>
      <c r="OIL34" s="16"/>
      <c r="OIM34" s="16"/>
      <c r="OIN34" s="16"/>
      <c r="OIO34" s="16"/>
      <c r="OIP34" s="16"/>
      <c r="OIQ34" s="16"/>
      <c r="OIR34" s="16"/>
      <c r="OIS34" s="16"/>
      <c r="OIT34" s="16"/>
      <c r="OIU34" s="16"/>
      <c r="OIV34" s="16"/>
      <c r="OIW34" s="16"/>
      <c r="OIX34" s="16"/>
      <c r="OIY34" s="16"/>
      <c r="OIZ34" s="16"/>
      <c r="OJA34" s="16"/>
      <c r="OJB34" s="16"/>
      <c r="OJC34" s="16"/>
      <c r="OJD34" s="16"/>
      <c r="OJE34" s="16"/>
      <c r="OJF34" s="16"/>
      <c r="OJG34" s="16"/>
      <c r="OJH34" s="16"/>
      <c r="OJI34" s="16"/>
      <c r="OJJ34" s="16"/>
      <c r="OJK34" s="16"/>
      <c r="OJL34" s="16"/>
      <c r="OJM34" s="16"/>
      <c r="OJN34" s="16"/>
      <c r="OJO34" s="16"/>
      <c r="OJP34" s="16"/>
      <c r="OJQ34" s="16"/>
      <c r="OJR34" s="16"/>
      <c r="OJS34" s="16"/>
      <c r="OJT34" s="16"/>
      <c r="OJU34" s="16"/>
      <c r="OJV34" s="16"/>
      <c r="OJW34" s="16"/>
      <c r="OJX34" s="16"/>
      <c r="OJY34" s="16"/>
      <c r="OJZ34" s="16"/>
      <c r="OKA34" s="16"/>
      <c r="OKB34" s="16"/>
      <c r="OKC34" s="16"/>
      <c r="OKD34" s="16"/>
      <c r="OKE34" s="16"/>
      <c r="OKF34" s="16"/>
      <c r="OKG34" s="16"/>
      <c r="OKH34" s="16"/>
      <c r="OKI34" s="16"/>
      <c r="OKJ34" s="16"/>
      <c r="OKK34" s="16"/>
      <c r="OKL34" s="16"/>
      <c r="OKM34" s="16"/>
      <c r="OKN34" s="16"/>
      <c r="OKO34" s="16"/>
      <c r="OKP34" s="16"/>
      <c r="OKQ34" s="16"/>
      <c r="OKR34" s="16"/>
      <c r="OKS34" s="16"/>
      <c r="OKT34" s="16"/>
      <c r="OKU34" s="16"/>
      <c r="OKV34" s="16"/>
      <c r="OKW34" s="16"/>
      <c r="OKX34" s="16"/>
      <c r="OKY34" s="16"/>
      <c r="OKZ34" s="16"/>
      <c r="OLA34" s="16"/>
      <c r="OLB34" s="16"/>
      <c r="OLC34" s="16"/>
      <c r="OLD34" s="16"/>
      <c r="OLE34" s="16"/>
      <c r="OLF34" s="16"/>
      <c r="OLG34" s="16"/>
      <c r="OLH34" s="16"/>
      <c r="OLI34" s="16"/>
      <c r="OLJ34" s="16"/>
      <c r="OLK34" s="16"/>
      <c r="OLL34" s="16"/>
      <c r="OLM34" s="16"/>
      <c r="OLN34" s="16"/>
      <c r="OLO34" s="16"/>
      <c r="OLP34" s="16"/>
      <c r="OLQ34" s="16"/>
      <c r="OLR34" s="16"/>
      <c r="OLS34" s="16"/>
      <c r="OLT34" s="16"/>
      <c r="OLU34" s="16"/>
      <c r="OLV34" s="16"/>
      <c r="OLW34" s="16"/>
      <c r="OLX34" s="16"/>
      <c r="OLY34" s="16"/>
      <c r="OLZ34" s="16"/>
      <c r="OMA34" s="16"/>
      <c r="OMB34" s="16"/>
      <c r="OMC34" s="16"/>
      <c r="OMD34" s="16"/>
      <c r="OME34" s="16"/>
      <c r="OMF34" s="16"/>
      <c r="OMG34" s="16"/>
      <c r="OMH34" s="16"/>
      <c r="OMI34" s="16"/>
      <c r="OMJ34" s="16"/>
      <c r="OMK34" s="16"/>
      <c r="OML34" s="16"/>
      <c r="OMM34" s="16"/>
      <c r="OMN34" s="16"/>
      <c r="OMO34" s="16"/>
      <c r="OMP34" s="16"/>
      <c r="OMQ34" s="16"/>
      <c r="OMR34" s="16"/>
      <c r="OMS34" s="16"/>
      <c r="OMT34" s="16"/>
      <c r="OMU34" s="16"/>
      <c r="OMV34" s="16"/>
      <c r="OMW34" s="16"/>
      <c r="OMX34" s="16"/>
      <c r="OMY34" s="16"/>
      <c r="OMZ34" s="16"/>
      <c r="ONA34" s="16"/>
      <c r="ONB34" s="16"/>
      <c r="ONC34" s="16"/>
      <c r="OND34" s="16"/>
      <c r="ONE34" s="16"/>
      <c r="ONF34" s="16"/>
      <c r="ONG34" s="16"/>
      <c r="ONH34" s="16"/>
      <c r="ONI34" s="16"/>
      <c r="ONJ34" s="16"/>
      <c r="ONK34" s="16"/>
      <c r="ONL34" s="16"/>
      <c r="ONM34" s="16"/>
      <c r="ONN34" s="16"/>
      <c r="ONO34" s="16"/>
      <c r="ONP34" s="16"/>
      <c r="ONQ34" s="16"/>
      <c r="ONR34" s="16"/>
      <c r="ONS34" s="16"/>
      <c r="ONT34" s="16"/>
      <c r="ONU34" s="16"/>
      <c r="ONV34" s="16"/>
      <c r="ONW34" s="16"/>
      <c r="ONX34" s="16"/>
      <c r="ONY34" s="16"/>
      <c r="ONZ34" s="16"/>
      <c r="OOA34" s="16"/>
      <c r="OOB34" s="16"/>
      <c r="OOC34" s="16"/>
      <c r="OOD34" s="16"/>
      <c r="OOE34" s="16"/>
      <c r="OOF34" s="16"/>
      <c r="OOG34" s="16"/>
      <c r="OOH34" s="16"/>
      <c r="OOI34" s="16"/>
      <c r="OOJ34" s="16"/>
      <c r="OOK34" s="16"/>
      <c r="OOL34" s="16"/>
      <c r="OOM34" s="16"/>
      <c r="OON34" s="16"/>
      <c r="OOO34" s="16"/>
      <c r="OOP34" s="16"/>
      <c r="OOQ34" s="16"/>
      <c r="OOR34" s="16"/>
      <c r="OOS34" s="16"/>
      <c r="OOT34" s="16"/>
      <c r="OOU34" s="16"/>
      <c r="OOV34" s="16"/>
      <c r="OOW34" s="16"/>
      <c r="OOX34" s="16"/>
      <c r="OOY34" s="16"/>
      <c r="OOZ34" s="16"/>
      <c r="OPA34" s="16"/>
      <c r="OPB34" s="16"/>
      <c r="OPC34" s="16"/>
      <c r="OPD34" s="16"/>
      <c r="OPE34" s="16"/>
      <c r="OPF34" s="16"/>
      <c r="OPG34" s="16"/>
      <c r="OPH34" s="16"/>
      <c r="OPI34" s="16"/>
      <c r="OPJ34" s="16"/>
      <c r="OPK34" s="16"/>
      <c r="OPL34" s="16"/>
      <c r="OPM34" s="16"/>
      <c r="OPN34" s="16"/>
      <c r="OPO34" s="16"/>
      <c r="OPP34" s="16"/>
      <c r="OPQ34" s="16"/>
      <c r="OPR34" s="16"/>
      <c r="OPS34" s="16"/>
      <c r="OPT34" s="16"/>
      <c r="OPU34" s="16"/>
      <c r="OPV34" s="16"/>
      <c r="OPW34" s="16"/>
      <c r="OPX34" s="16"/>
      <c r="OPY34" s="16"/>
      <c r="OPZ34" s="16"/>
      <c r="OQA34" s="16"/>
      <c r="OQB34" s="16"/>
      <c r="OQC34" s="16"/>
      <c r="OQD34" s="16"/>
      <c r="OQE34" s="16"/>
      <c r="OQF34" s="16"/>
      <c r="OQG34" s="16"/>
      <c r="OQH34" s="16"/>
      <c r="OQI34" s="16"/>
      <c r="OQJ34" s="16"/>
      <c r="OQK34" s="16"/>
      <c r="OQL34" s="16"/>
      <c r="OQM34" s="16"/>
      <c r="OQN34" s="16"/>
      <c r="OQO34" s="16"/>
      <c r="OQP34" s="16"/>
      <c r="OQQ34" s="16"/>
      <c r="OQR34" s="16"/>
      <c r="OQS34" s="16"/>
      <c r="OQT34" s="16"/>
      <c r="OQU34" s="16"/>
      <c r="OQV34" s="16"/>
      <c r="OQW34" s="16"/>
      <c r="OQX34" s="16"/>
      <c r="OQY34" s="16"/>
      <c r="OQZ34" s="16"/>
      <c r="ORA34" s="16"/>
      <c r="ORB34" s="16"/>
      <c r="ORC34" s="16"/>
      <c r="ORD34" s="16"/>
      <c r="ORE34" s="16"/>
      <c r="ORF34" s="16"/>
      <c r="ORG34" s="16"/>
      <c r="ORH34" s="16"/>
      <c r="ORI34" s="16"/>
      <c r="ORJ34" s="16"/>
      <c r="ORK34" s="16"/>
      <c r="ORL34" s="16"/>
      <c r="ORM34" s="16"/>
      <c r="ORN34" s="16"/>
      <c r="ORO34" s="16"/>
      <c r="ORP34" s="16"/>
      <c r="ORQ34" s="16"/>
      <c r="ORR34" s="16"/>
      <c r="ORS34" s="16"/>
      <c r="ORT34" s="16"/>
      <c r="ORU34" s="16"/>
      <c r="ORV34" s="16"/>
      <c r="ORW34" s="16"/>
      <c r="ORX34" s="16"/>
      <c r="ORY34" s="16"/>
      <c r="ORZ34" s="16"/>
      <c r="OSA34" s="16"/>
      <c r="OSB34" s="16"/>
      <c r="OSC34" s="16"/>
      <c r="OSD34" s="16"/>
      <c r="OSE34" s="16"/>
      <c r="OSF34" s="16"/>
      <c r="OSG34" s="16"/>
      <c r="OSH34" s="16"/>
      <c r="OSI34" s="16"/>
      <c r="OSJ34" s="16"/>
      <c r="OSK34" s="16"/>
      <c r="OSL34" s="16"/>
      <c r="OSM34" s="16"/>
      <c r="OSN34" s="16"/>
      <c r="OSO34" s="16"/>
      <c r="OSP34" s="16"/>
      <c r="OSQ34" s="16"/>
      <c r="OSR34" s="16"/>
      <c r="OSS34" s="16"/>
      <c r="OST34" s="16"/>
      <c r="OSU34" s="16"/>
      <c r="OSV34" s="16"/>
      <c r="OSW34" s="16"/>
      <c r="OSX34" s="16"/>
      <c r="OSY34" s="16"/>
      <c r="OSZ34" s="16"/>
      <c r="OTA34" s="16"/>
      <c r="OTB34" s="16"/>
      <c r="OTC34" s="16"/>
      <c r="OTD34" s="16"/>
      <c r="OTE34" s="16"/>
      <c r="OTF34" s="16"/>
      <c r="OTG34" s="16"/>
      <c r="OTH34" s="16"/>
      <c r="OTI34" s="16"/>
      <c r="OTJ34" s="16"/>
      <c r="OTK34" s="16"/>
      <c r="OTL34" s="16"/>
      <c r="OTM34" s="16"/>
      <c r="OTN34" s="16"/>
      <c r="OTO34" s="16"/>
      <c r="OTP34" s="16"/>
      <c r="OTQ34" s="16"/>
      <c r="OTR34" s="16"/>
      <c r="OTS34" s="16"/>
      <c r="OTT34" s="16"/>
      <c r="OTU34" s="16"/>
      <c r="OTV34" s="16"/>
      <c r="OTW34" s="16"/>
      <c r="OTX34" s="16"/>
      <c r="OTY34" s="16"/>
      <c r="OTZ34" s="16"/>
      <c r="OUA34" s="16"/>
      <c r="OUB34" s="16"/>
      <c r="OUC34" s="16"/>
      <c r="OUD34" s="16"/>
      <c r="OUE34" s="16"/>
      <c r="OUF34" s="16"/>
      <c r="OUG34" s="16"/>
      <c r="OUH34" s="16"/>
      <c r="OUI34" s="16"/>
      <c r="OUJ34" s="16"/>
      <c r="OUK34" s="16"/>
      <c r="OUL34" s="16"/>
      <c r="OUM34" s="16"/>
      <c r="OUN34" s="16"/>
      <c r="OUO34" s="16"/>
      <c r="OUP34" s="16"/>
      <c r="OUQ34" s="16"/>
      <c r="OUR34" s="16"/>
      <c r="OUS34" s="16"/>
      <c r="OUT34" s="16"/>
      <c r="OUU34" s="16"/>
      <c r="OUV34" s="16"/>
      <c r="OUW34" s="16"/>
      <c r="OUX34" s="16"/>
      <c r="OUY34" s="16"/>
      <c r="OUZ34" s="16"/>
      <c r="OVA34" s="16"/>
      <c r="OVB34" s="16"/>
      <c r="OVC34" s="16"/>
      <c r="OVD34" s="16"/>
      <c r="OVE34" s="16"/>
      <c r="OVF34" s="16"/>
      <c r="OVG34" s="16"/>
      <c r="OVH34" s="16"/>
      <c r="OVI34" s="16"/>
      <c r="OVJ34" s="16"/>
      <c r="OVK34" s="16"/>
      <c r="OVL34" s="16"/>
      <c r="OVM34" s="16"/>
      <c r="OVN34" s="16"/>
      <c r="OVO34" s="16"/>
      <c r="OVP34" s="16"/>
      <c r="OVQ34" s="16"/>
      <c r="OVR34" s="16"/>
      <c r="OVS34" s="16"/>
      <c r="OVT34" s="16"/>
      <c r="OVU34" s="16"/>
      <c r="OVV34" s="16"/>
      <c r="OVW34" s="16"/>
      <c r="OVX34" s="16"/>
      <c r="OVY34" s="16"/>
      <c r="OVZ34" s="16"/>
      <c r="OWA34" s="16"/>
      <c r="OWB34" s="16"/>
      <c r="OWC34" s="16"/>
      <c r="OWD34" s="16"/>
      <c r="OWE34" s="16"/>
      <c r="OWF34" s="16"/>
      <c r="OWG34" s="16"/>
      <c r="OWH34" s="16"/>
      <c r="OWI34" s="16"/>
      <c r="OWJ34" s="16"/>
      <c r="OWK34" s="16"/>
      <c r="OWL34" s="16"/>
      <c r="OWM34" s="16"/>
      <c r="OWN34" s="16"/>
      <c r="OWO34" s="16"/>
      <c r="OWP34" s="16"/>
      <c r="OWQ34" s="16"/>
      <c r="OWR34" s="16"/>
      <c r="OWS34" s="16"/>
      <c r="OWT34" s="16"/>
      <c r="OWU34" s="16"/>
      <c r="OWV34" s="16"/>
      <c r="OWW34" s="16"/>
      <c r="OWX34" s="16"/>
      <c r="OWY34" s="16"/>
      <c r="OWZ34" s="16"/>
      <c r="OXA34" s="16"/>
      <c r="OXB34" s="16"/>
      <c r="OXC34" s="16"/>
      <c r="OXD34" s="16"/>
      <c r="OXE34" s="16"/>
      <c r="OXF34" s="16"/>
      <c r="OXG34" s="16"/>
      <c r="OXH34" s="16"/>
      <c r="OXI34" s="16"/>
      <c r="OXJ34" s="16"/>
      <c r="OXK34" s="16"/>
      <c r="OXL34" s="16"/>
      <c r="OXM34" s="16"/>
      <c r="OXN34" s="16"/>
      <c r="OXO34" s="16"/>
      <c r="OXP34" s="16"/>
      <c r="OXQ34" s="16"/>
      <c r="OXR34" s="16"/>
      <c r="OXS34" s="16"/>
      <c r="OXT34" s="16"/>
      <c r="OXU34" s="16"/>
      <c r="OXV34" s="16"/>
      <c r="OXW34" s="16"/>
      <c r="OXX34" s="16"/>
      <c r="OXY34" s="16"/>
      <c r="OXZ34" s="16"/>
      <c r="OYA34" s="16"/>
      <c r="OYB34" s="16"/>
      <c r="OYC34" s="16"/>
      <c r="OYD34" s="16"/>
      <c r="OYE34" s="16"/>
      <c r="OYF34" s="16"/>
      <c r="OYG34" s="16"/>
      <c r="OYH34" s="16"/>
      <c r="OYI34" s="16"/>
      <c r="OYJ34" s="16"/>
      <c r="OYK34" s="16"/>
      <c r="OYL34" s="16"/>
      <c r="OYM34" s="16"/>
      <c r="OYN34" s="16"/>
      <c r="OYO34" s="16"/>
      <c r="OYP34" s="16"/>
      <c r="OYQ34" s="16"/>
      <c r="OYR34" s="16"/>
      <c r="OYS34" s="16"/>
      <c r="OYT34" s="16"/>
      <c r="OYU34" s="16"/>
      <c r="OYV34" s="16"/>
      <c r="OYW34" s="16"/>
      <c r="OYX34" s="16"/>
      <c r="OYY34" s="16"/>
      <c r="OYZ34" s="16"/>
      <c r="OZA34" s="16"/>
      <c r="OZB34" s="16"/>
      <c r="OZC34" s="16"/>
      <c r="OZD34" s="16"/>
      <c r="OZE34" s="16"/>
      <c r="OZF34" s="16"/>
      <c r="OZG34" s="16"/>
      <c r="OZH34" s="16"/>
      <c r="OZI34" s="16"/>
      <c r="OZJ34" s="16"/>
      <c r="OZK34" s="16"/>
      <c r="OZL34" s="16"/>
      <c r="OZM34" s="16"/>
      <c r="OZN34" s="16"/>
      <c r="OZO34" s="16"/>
      <c r="OZP34" s="16"/>
      <c r="OZQ34" s="16"/>
      <c r="OZR34" s="16"/>
      <c r="OZS34" s="16"/>
      <c r="OZT34" s="16"/>
      <c r="OZU34" s="16"/>
      <c r="OZV34" s="16"/>
      <c r="OZW34" s="16"/>
      <c r="OZX34" s="16"/>
      <c r="OZY34" s="16"/>
      <c r="OZZ34" s="16"/>
      <c r="PAA34" s="16"/>
      <c r="PAB34" s="16"/>
      <c r="PAC34" s="16"/>
      <c r="PAD34" s="16"/>
      <c r="PAE34" s="16"/>
      <c r="PAF34" s="16"/>
      <c r="PAG34" s="16"/>
      <c r="PAH34" s="16"/>
      <c r="PAI34" s="16"/>
      <c r="PAJ34" s="16"/>
      <c r="PAK34" s="16"/>
      <c r="PAL34" s="16"/>
      <c r="PAM34" s="16"/>
      <c r="PAN34" s="16"/>
      <c r="PAO34" s="16"/>
      <c r="PAP34" s="16"/>
      <c r="PAQ34" s="16"/>
      <c r="PAR34" s="16"/>
      <c r="PAS34" s="16"/>
      <c r="PAT34" s="16"/>
      <c r="PAU34" s="16"/>
      <c r="PAV34" s="16"/>
      <c r="PAW34" s="16"/>
      <c r="PAX34" s="16"/>
      <c r="PAY34" s="16"/>
      <c r="PAZ34" s="16"/>
      <c r="PBA34" s="16"/>
      <c r="PBB34" s="16"/>
      <c r="PBC34" s="16"/>
      <c r="PBD34" s="16"/>
      <c r="PBE34" s="16"/>
      <c r="PBF34" s="16"/>
      <c r="PBG34" s="16"/>
      <c r="PBH34" s="16"/>
      <c r="PBI34" s="16"/>
      <c r="PBJ34" s="16"/>
      <c r="PBK34" s="16"/>
      <c r="PBL34" s="16"/>
      <c r="PBM34" s="16"/>
      <c r="PBN34" s="16"/>
      <c r="PBO34" s="16"/>
      <c r="PBP34" s="16"/>
      <c r="PBQ34" s="16"/>
      <c r="PBR34" s="16"/>
      <c r="PBS34" s="16"/>
      <c r="PBT34" s="16"/>
      <c r="PBU34" s="16"/>
      <c r="PBV34" s="16"/>
      <c r="PBW34" s="16"/>
      <c r="PBX34" s="16"/>
      <c r="PBY34" s="16"/>
      <c r="PBZ34" s="16"/>
      <c r="PCA34" s="16"/>
      <c r="PCB34" s="16"/>
      <c r="PCC34" s="16"/>
      <c r="PCD34" s="16"/>
      <c r="PCE34" s="16"/>
      <c r="PCF34" s="16"/>
      <c r="PCG34" s="16"/>
      <c r="PCH34" s="16"/>
      <c r="PCI34" s="16"/>
      <c r="PCJ34" s="16"/>
      <c r="PCK34" s="16"/>
      <c r="PCL34" s="16"/>
      <c r="PCM34" s="16"/>
      <c r="PCN34" s="16"/>
      <c r="PCO34" s="16"/>
      <c r="PCP34" s="16"/>
      <c r="PCQ34" s="16"/>
      <c r="PCR34" s="16"/>
      <c r="PCS34" s="16"/>
      <c r="PCT34" s="16"/>
      <c r="PCU34" s="16"/>
      <c r="PCV34" s="16"/>
      <c r="PCW34" s="16"/>
      <c r="PCX34" s="16"/>
      <c r="PCY34" s="16"/>
      <c r="PCZ34" s="16"/>
      <c r="PDA34" s="16"/>
      <c r="PDB34" s="16"/>
      <c r="PDC34" s="16"/>
      <c r="PDD34" s="16"/>
      <c r="PDE34" s="16"/>
      <c r="PDF34" s="16"/>
      <c r="PDG34" s="16"/>
      <c r="PDH34" s="16"/>
      <c r="PDI34" s="16"/>
      <c r="PDJ34" s="16"/>
      <c r="PDK34" s="16"/>
      <c r="PDL34" s="16"/>
      <c r="PDM34" s="16"/>
      <c r="PDN34" s="16"/>
      <c r="PDO34" s="16"/>
      <c r="PDP34" s="16"/>
      <c r="PDQ34" s="16"/>
      <c r="PDR34" s="16"/>
      <c r="PDS34" s="16"/>
      <c r="PDT34" s="16"/>
      <c r="PDU34" s="16"/>
      <c r="PDV34" s="16"/>
      <c r="PDW34" s="16"/>
      <c r="PDX34" s="16"/>
      <c r="PDY34" s="16"/>
      <c r="PDZ34" s="16"/>
      <c r="PEA34" s="16"/>
      <c r="PEB34" s="16"/>
      <c r="PEC34" s="16"/>
      <c r="PED34" s="16"/>
      <c r="PEE34" s="16"/>
      <c r="PEF34" s="16"/>
      <c r="PEG34" s="16"/>
      <c r="PEH34" s="16"/>
      <c r="PEI34" s="16"/>
      <c r="PEJ34" s="16"/>
      <c r="PEK34" s="16"/>
      <c r="PEL34" s="16"/>
      <c r="PEM34" s="16"/>
      <c r="PEN34" s="16"/>
      <c r="PEO34" s="16"/>
      <c r="PEP34" s="16"/>
      <c r="PEQ34" s="16"/>
      <c r="PER34" s="16"/>
      <c r="PES34" s="16"/>
      <c r="PET34" s="16"/>
      <c r="PEU34" s="16"/>
      <c r="PEV34" s="16"/>
      <c r="PEW34" s="16"/>
      <c r="PEX34" s="16"/>
      <c r="PEY34" s="16"/>
      <c r="PEZ34" s="16"/>
      <c r="PFA34" s="16"/>
      <c r="PFB34" s="16"/>
      <c r="PFC34" s="16"/>
      <c r="PFD34" s="16"/>
      <c r="PFE34" s="16"/>
      <c r="PFF34" s="16"/>
      <c r="PFG34" s="16"/>
      <c r="PFH34" s="16"/>
      <c r="PFI34" s="16"/>
      <c r="PFJ34" s="16"/>
      <c r="PFK34" s="16"/>
      <c r="PFL34" s="16"/>
      <c r="PFM34" s="16"/>
      <c r="PFN34" s="16"/>
      <c r="PFO34" s="16"/>
      <c r="PFP34" s="16"/>
      <c r="PFQ34" s="16"/>
      <c r="PFR34" s="16"/>
      <c r="PFS34" s="16"/>
      <c r="PFT34" s="16"/>
      <c r="PFU34" s="16"/>
      <c r="PFV34" s="16"/>
      <c r="PFW34" s="16"/>
      <c r="PFX34" s="16"/>
      <c r="PFY34" s="16"/>
      <c r="PFZ34" s="16"/>
      <c r="PGA34" s="16"/>
      <c r="PGB34" s="16"/>
      <c r="PGC34" s="16"/>
      <c r="PGD34" s="16"/>
      <c r="PGE34" s="16"/>
      <c r="PGF34" s="16"/>
      <c r="PGG34" s="16"/>
      <c r="PGH34" s="16"/>
      <c r="PGI34" s="16"/>
      <c r="PGJ34" s="16"/>
      <c r="PGK34" s="16"/>
      <c r="PGL34" s="16"/>
      <c r="PGM34" s="16"/>
      <c r="PGN34" s="16"/>
      <c r="PGO34" s="16"/>
      <c r="PGP34" s="16"/>
      <c r="PGQ34" s="16"/>
      <c r="PGR34" s="16"/>
      <c r="PGS34" s="16"/>
      <c r="PGT34" s="16"/>
      <c r="PGU34" s="16"/>
      <c r="PGV34" s="16"/>
      <c r="PGW34" s="16"/>
      <c r="PGX34" s="16"/>
      <c r="PGY34" s="16"/>
      <c r="PGZ34" s="16"/>
      <c r="PHA34" s="16"/>
      <c r="PHB34" s="16"/>
      <c r="PHC34" s="16"/>
      <c r="PHD34" s="16"/>
      <c r="PHE34" s="16"/>
      <c r="PHF34" s="16"/>
      <c r="PHG34" s="16"/>
      <c r="PHH34" s="16"/>
      <c r="PHI34" s="16"/>
      <c r="PHJ34" s="16"/>
      <c r="PHK34" s="16"/>
      <c r="PHL34" s="16"/>
      <c r="PHM34" s="16"/>
      <c r="PHN34" s="16"/>
      <c r="PHO34" s="16"/>
      <c r="PHP34" s="16"/>
      <c r="PHQ34" s="16"/>
      <c r="PHR34" s="16"/>
      <c r="PHS34" s="16"/>
      <c r="PHT34" s="16"/>
      <c r="PHU34" s="16"/>
      <c r="PHV34" s="16"/>
      <c r="PHW34" s="16"/>
      <c r="PHX34" s="16"/>
      <c r="PHY34" s="16"/>
      <c r="PHZ34" s="16"/>
      <c r="PIA34" s="16"/>
      <c r="PIB34" s="16"/>
      <c r="PIC34" s="16"/>
      <c r="PID34" s="16"/>
      <c r="PIE34" s="16"/>
      <c r="PIF34" s="16"/>
      <c r="PIG34" s="16"/>
      <c r="PIH34" s="16"/>
      <c r="PII34" s="16"/>
      <c r="PIJ34" s="16"/>
      <c r="PIK34" s="16"/>
      <c r="PIL34" s="16"/>
      <c r="PIM34" s="16"/>
      <c r="PIN34" s="16"/>
      <c r="PIO34" s="16"/>
      <c r="PIP34" s="16"/>
      <c r="PIQ34" s="16"/>
      <c r="PIR34" s="16"/>
      <c r="PIS34" s="16"/>
      <c r="PIT34" s="16"/>
      <c r="PIU34" s="16"/>
      <c r="PIV34" s="16"/>
      <c r="PIW34" s="16"/>
      <c r="PIX34" s="16"/>
      <c r="PIY34" s="16"/>
      <c r="PIZ34" s="16"/>
      <c r="PJA34" s="16"/>
      <c r="PJB34" s="16"/>
      <c r="PJC34" s="16"/>
      <c r="PJD34" s="16"/>
      <c r="PJE34" s="16"/>
      <c r="PJF34" s="16"/>
      <c r="PJG34" s="16"/>
      <c r="PJH34" s="16"/>
      <c r="PJI34" s="16"/>
      <c r="PJJ34" s="16"/>
      <c r="PJK34" s="16"/>
      <c r="PJL34" s="16"/>
      <c r="PJM34" s="16"/>
      <c r="PJN34" s="16"/>
      <c r="PJO34" s="16"/>
      <c r="PJP34" s="16"/>
      <c r="PJQ34" s="16"/>
      <c r="PJR34" s="16"/>
      <c r="PJS34" s="16"/>
      <c r="PJT34" s="16"/>
      <c r="PJU34" s="16"/>
      <c r="PJV34" s="16"/>
      <c r="PJW34" s="16"/>
      <c r="PJX34" s="16"/>
      <c r="PJY34" s="16"/>
      <c r="PJZ34" s="16"/>
      <c r="PKA34" s="16"/>
      <c r="PKB34" s="16"/>
      <c r="PKC34" s="16"/>
      <c r="PKD34" s="16"/>
      <c r="PKE34" s="16"/>
      <c r="PKF34" s="16"/>
      <c r="PKG34" s="16"/>
      <c r="PKH34" s="16"/>
      <c r="PKI34" s="16"/>
      <c r="PKJ34" s="16"/>
      <c r="PKK34" s="16"/>
      <c r="PKL34" s="16"/>
      <c r="PKM34" s="16"/>
      <c r="PKN34" s="16"/>
      <c r="PKO34" s="16"/>
      <c r="PKP34" s="16"/>
      <c r="PKQ34" s="16"/>
      <c r="PKR34" s="16"/>
      <c r="PKS34" s="16"/>
      <c r="PKT34" s="16"/>
      <c r="PKU34" s="16"/>
      <c r="PKV34" s="16"/>
      <c r="PKW34" s="16"/>
      <c r="PKX34" s="16"/>
      <c r="PKY34" s="16"/>
      <c r="PKZ34" s="16"/>
      <c r="PLA34" s="16"/>
      <c r="PLB34" s="16"/>
      <c r="PLC34" s="16"/>
      <c r="PLD34" s="16"/>
      <c r="PLE34" s="16"/>
      <c r="PLF34" s="16"/>
      <c r="PLG34" s="16"/>
      <c r="PLH34" s="16"/>
      <c r="PLI34" s="16"/>
      <c r="PLJ34" s="16"/>
      <c r="PLK34" s="16"/>
      <c r="PLL34" s="16"/>
      <c r="PLM34" s="16"/>
      <c r="PLN34" s="16"/>
      <c r="PLO34" s="16"/>
      <c r="PLP34" s="16"/>
      <c r="PLQ34" s="16"/>
      <c r="PLR34" s="16"/>
      <c r="PLS34" s="16"/>
      <c r="PLT34" s="16"/>
      <c r="PLU34" s="16"/>
      <c r="PLV34" s="16"/>
      <c r="PLW34" s="16"/>
      <c r="PLX34" s="16"/>
      <c r="PLY34" s="16"/>
      <c r="PLZ34" s="16"/>
      <c r="PMA34" s="16"/>
      <c r="PMB34" s="16"/>
      <c r="PMC34" s="16"/>
      <c r="PMD34" s="16"/>
      <c r="PME34" s="16"/>
      <c r="PMF34" s="16"/>
      <c r="PMG34" s="16"/>
      <c r="PMH34" s="16"/>
      <c r="PMI34" s="16"/>
      <c r="PMJ34" s="16"/>
      <c r="PMK34" s="16"/>
      <c r="PML34" s="16"/>
      <c r="PMM34" s="16"/>
      <c r="PMN34" s="16"/>
      <c r="PMO34" s="16"/>
      <c r="PMP34" s="16"/>
      <c r="PMQ34" s="16"/>
      <c r="PMR34" s="16"/>
      <c r="PMS34" s="16"/>
      <c r="PMT34" s="16"/>
      <c r="PMU34" s="16"/>
      <c r="PMV34" s="16"/>
      <c r="PMW34" s="16"/>
      <c r="PMX34" s="16"/>
      <c r="PMY34" s="16"/>
      <c r="PMZ34" s="16"/>
      <c r="PNA34" s="16"/>
      <c r="PNB34" s="16"/>
      <c r="PNC34" s="16"/>
      <c r="PND34" s="16"/>
      <c r="PNE34" s="16"/>
      <c r="PNF34" s="16"/>
      <c r="PNG34" s="16"/>
      <c r="PNH34" s="16"/>
      <c r="PNI34" s="16"/>
      <c r="PNJ34" s="16"/>
      <c r="PNK34" s="16"/>
      <c r="PNL34" s="16"/>
      <c r="PNM34" s="16"/>
      <c r="PNN34" s="16"/>
      <c r="PNO34" s="16"/>
      <c r="PNP34" s="16"/>
      <c r="PNQ34" s="16"/>
      <c r="PNR34" s="16"/>
      <c r="PNS34" s="16"/>
      <c r="PNT34" s="16"/>
      <c r="PNU34" s="16"/>
      <c r="PNV34" s="16"/>
      <c r="PNW34" s="16"/>
      <c r="PNX34" s="16"/>
      <c r="PNY34" s="16"/>
      <c r="PNZ34" s="16"/>
      <c r="POA34" s="16"/>
      <c r="POB34" s="16"/>
      <c r="POC34" s="16"/>
      <c r="POD34" s="16"/>
      <c r="POE34" s="16"/>
      <c r="POF34" s="16"/>
      <c r="POG34" s="16"/>
      <c r="POH34" s="16"/>
      <c r="POI34" s="16"/>
      <c r="POJ34" s="16"/>
      <c r="POK34" s="16"/>
      <c r="POL34" s="16"/>
      <c r="POM34" s="16"/>
      <c r="PON34" s="16"/>
      <c r="POO34" s="16"/>
      <c r="POP34" s="16"/>
      <c r="POQ34" s="16"/>
      <c r="POR34" s="16"/>
      <c r="POS34" s="16"/>
      <c r="POT34" s="16"/>
      <c r="POU34" s="16"/>
      <c r="POV34" s="16"/>
      <c r="POW34" s="16"/>
      <c r="POX34" s="16"/>
      <c r="POY34" s="16"/>
      <c r="POZ34" s="16"/>
      <c r="PPA34" s="16"/>
      <c r="PPB34" s="16"/>
      <c r="PPC34" s="16"/>
      <c r="PPD34" s="16"/>
      <c r="PPE34" s="16"/>
      <c r="PPF34" s="16"/>
      <c r="PPG34" s="16"/>
      <c r="PPH34" s="16"/>
      <c r="PPI34" s="16"/>
      <c r="PPJ34" s="16"/>
      <c r="PPK34" s="16"/>
      <c r="PPL34" s="16"/>
      <c r="PPM34" s="16"/>
      <c r="PPN34" s="16"/>
      <c r="PPO34" s="16"/>
      <c r="PPP34" s="16"/>
      <c r="PPQ34" s="16"/>
      <c r="PPR34" s="16"/>
      <c r="PPS34" s="16"/>
      <c r="PPT34" s="16"/>
      <c r="PPU34" s="16"/>
      <c r="PPV34" s="16"/>
      <c r="PPW34" s="16"/>
      <c r="PPX34" s="16"/>
      <c r="PPY34" s="16"/>
      <c r="PPZ34" s="16"/>
      <c r="PQA34" s="16"/>
      <c r="PQB34" s="16"/>
      <c r="PQC34" s="16"/>
      <c r="PQD34" s="16"/>
      <c r="PQE34" s="16"/>
      <c r="PQF34" s="16"/>
      <c r="PQG34" s="16"/>
      <c r="PQH34" s="16"/>
      <c r="PQI34" s="16"/>
      <c r="PQJ34" s="16"/>
      <c r="PQK34" s="16"/>
      <c r="PQL34" s="16"/>
      <c r="PQM34" s="16"/>
      <c r="PQN34" s="16"/>
      <c r="PQO34" s="16"/>
      <c r="PQP34" s="16"/>
      <c r="PQQ34" s="16"/>
      <c r="PQR34" s="16"/>
      <c r="PQS34" s="16"/>
      <c r="PQT34" s="16"/>
      <c r="PQU34" s="16"/>
      <c r="PQV34" s="16"/>
      <c r="PQW34" s="16"/>
      <c r="PQX34" s="16"/>
      <c r="PQY34" s="16"/>
      <c r="PQZ34" s="16"/>
      <c r="PRA34" s="16"/>
      <c r="PRB34" s="16"/>
      <c r="PRC34" s="16"/>
      <c r="PRD34" s="16"/>
      <c r="PRE34" s="16"/>
      <c r="PRF34" s="16"/>
      <c r="PRG34" s="16"/>
      <c r="PRH34" s="16"/>
      <c r="PRI34" s="16"/>
      <c r="PRJ34" s="16"/>
      <c r="PRK34" s="16"/>
      <c r="PRL34" s="16"/>
      <c r="PRM34" s="16"/>
      <c r="PRN34" s="16"/>
      <c r="PRO34" s="16"/>
      <c r="PRP34" s="16"/>
      <c r="PRQ34" s="16"/>
      <c r="PRR34" s="16"/>
      <c r="PRS34" s="16"/>
      <c r="PRT34" s="16"/>
      <c r="PRU34" s="16"/>
      <c r="PRV34" s="16"/>
      <c r="PRW34" s="16"/>
      <c r="PRX34" s="16"/>
      <c r="PRY34" s="16"/>
      <c r="PRZ34" s="16"/>
      <c r="PSA34" s="16"/>
      <c r="PSB34" s="16"/>
      <c r="PSC34" s="16"/>
      <c r="PSD34" s="16"/>
      <c r="PSE34" s="16"/>
      <c r="PSF34" s="16"/>
      <c r="PSG34" s="16"/>
      <c r="PSH34" s="16"/>
      <c r="PSI34" s="16"/>
      <c r="PSJ34" s="16"/>
      <c r="PSK34" s="16"/>
      <c r="PSL34" s="16"/>
      <c r="PSM34" s="16"/>
      <c r="PSN34" s="16"/>
      <c r="PSO34" s="16"/>
      <c r="PSP34" s="16"/>
      <c r="PSQ34" s="16"/>
      <c r="PSR34" s="16"/>
      <c r="PSS34" s="16"/>
      <c r="PST34" s="16"/>
      <c r="PSU34" s="16"/>
      <c r="PSV34" s="16"/>
      <c r="PSW34" s="16"/>
      <c r="PSX34" s="16"/>
      <c r="PSY34" s="16"/>
      <c r="PSZ34" s="16"/>
      <c r="PTA34" s="16"/>
      <c r="PTB34" s="16"/>
      <c r="PTC34" s="16"/>
      <c r="PTD34" s="16"/>
      <c r="PTE34" s="16"/>
      <c r="PTF34" s="16"/>
      <c r="PTG34" s="16"/>
      <c r="PTH34" s="16"/>
      <c r="PTI34" s="16"/>
      <c r="PTJ34" s="16"/>
      <c r="PTK34" s="16"/>
      <c r="PTL34" s="16"/>
      <c r="PTM34" s="16"/>
      <c r="PTN34" s="16"/>
      <c r="PTO34" s="16"/>
      <c r="PTP34" s="16"/>
      <c r="PTQ34" s="16"/>
      <c r="PTR34" s="16"/>
      <c r="PTS34" s="16"/>
      <c r="PTT34" s="16"/>
      <c r="PTU34" s="16"/>
      <c r="PTV34" s="16"/>
      <c r="PTW34" s="16"/>
      <c r="PTX34" s="16"/>
      <c r="PTY34" s="16"/>
      <c r="PTZ34" s="16"/>
      <c r="PUA34" s="16"/>
      <c r="PUB34" s="16"/>
      <c r="PUC34" s="16"/>
      <c r="PUD34" s="16"/>
      <c r="PUE34" s="16"/>
      <c r="PUF34" s="16"/>
      <c r="PUG34" s="16"/>
      <c r="PUH34" s="16"/>
      <c r="PUI34" s="16"/>
      <c r="PUJ34" s="16"/>
      <c r="PUK34" s="16"/>
      <c r="PUL34" s="16"/>
      <c r="PUM34" s="16"/>
      <c r="PUN34" s="16"/>
      <c r="PUO34" s="16"/>
      <c r="PUP34" s="16"/>
      <c r="PUQ34" s="16"/>
      <c r="PUR34" s="16"/>
      <c r="PUS34" s="16"/>
      <c r="PUT34" s="16"/>
      <c r="PUU34" s="16"/>
      <c r="PUV34" s="16"/>
      <c r="PUW34" s="16"/>
      <c r="PUX34" s="16"/>
      <c r="PUY34" s="16"/>
      <c r="PUZ34" s="16"/>
      <c r="PVA34" s="16"/>
      <c r="PVB34" s="16"/>
      <c r="PVC34" s="16"/>
      <c r="PVD34" s="16"/>
      <c r="PVE34" s="16"/>
      <c r="PVF34" s="16"/>
      <c r="PVG34" s="16"/>
      <c r="PVH34" s="16"/>
      <c r="PVI34" s="16"/>
      <c r="PVJ34" s="16"/>
      <c r="PVK34" s="16"/>
      <c r="PVL34" s="16"/>
      <c r="PVM34" s="16"/>
      <c r="PVN34" s="16"/>
      <c r="PVO34" s="16"/>
      <c r="PVP34" s="16"/>
      <c r="PVQ34" s="16"/>
      <c r="PVR34" s="16"/>
      <c r="PVS34" s="16"/>
      <c r="PVT34" s="16"/>
      <c r="PVU34" s="16"/>
      <c r="PVV34" s="16"/>
      <c r="PVW34" s="16"/>
      <c r="PVX34" s="16"/>
      <c r="PVY34" s="16"/>
      <c r="PVZ34" s="16"/>
      <c r="PWA34" s="16"/>
      <c r="PWB34" s="16"/>
      <c r="PWC34" s="16"/>
      <c r="PWD34" s="16"/>
      <c r="PWE34" s="16"/>
      <c r="PWF34" s="16"/>
      <c r="PWG34" s="16"/>
      <c r="PWH34" s="16"/>
      <c r="PWI34" s="16"/>
      <c r="PWJ34" s="16"/>
      <c r="PWK34" s="16"/>
      <c r="PWL34" s="16"/>
      <c r="PWM34" s="16"/>
      <c r="PWN34" s="16"/>
      <c r="PWO34" s="16"/>
      <c r="PWP34" s="16"/>
      <c r="PWQ34" s="16"/>
      <c r="PWR34" s="16"/>
      <c r="PWS34" s="16"/>
      <c r="PWT34" s="16"/>
      <c r="PWU34" s="16"/>
      <c r="PWV34" s="16"/>
      <c r="PWW34" s="16"/>
      <c r="PWX34" s="16"/>
      <c r="PWY34" s="16"/>
      <c r="PWZ34" s="16"/>
      <c r="PXA34" s="16"/>
      <c r="PXB34" s="16"/>
      <c r="PXC34" s="16"/>
      <c r="PXD34" s="16"/>
      <c r="PXE34" s="16"/>
      <c r="PXF34" s="16"/>
      <c r="PXG34" s="16"/>
      <c r="PXH34" s="16"/>
      <c r="PXI34" s="16"/>
      <c r="PXJ34" s="16"/>
      <c r="PXK34" s="16"/>
      <c r="PXL34" s="16"/>
      <c r="PXM34" s="16"/>
      <c r="PXN34" s="16"/>
      <c r="PXO34" s="16"/>
      <c r="PXP34" s="16"/>
      <c r="PXQ34" s="16"/>
      <c r="PXR34" s="16"/>
      <c r="PXS34" s="16"/>
      <c r="PXT34" s="16"/>
      <c r="PXU34" s="16"/>
      <c r="PXV34" s="16"/>
      <c r="PXW34" s="16"/>
      <c r="PXX34" s="16"/>
      <c r="PXY34" s="16"/>
      <c r="PXZ34" s="16"/>
      <c r="PYA34" s="16"/>
      <c r="PYB34" s="16"/>
      <c r="PYC34" s="16"/>
      <c r="PYD34" s="16"/>
      <c r="PYE34" s="16"/>
      <c r="PYF34" s="16"/>
      <c r="PYG34" s="16"/>
      <c r="PYH34" s="16"/>
      <c r="PYI34" s="16"/>
      <c r="PYJ34" s="16"/>
      <c r="PYK34" s="16"/>
      <c r="PYL34" s="16"/>
      <c r="PYM34" s="16"/>
      <c r="PYN34" s="16"/>
      <c r="PYO34" s="16"/>
      <c r="PYP34" s="16"/>
      <c r="PYQ34" s="16"/>
      <c r="PYR34" s="16"/>
      <c r="PYS34" s="16"/>
      <c r="PYT34" s="16"/>
      <c r="PYU34" s="16"/>
      <c r="PYV34" s="16"/>
      <c r="PYW34" s="16"/>
      <c r="PYX34" s="16"/>
      <c r="PYY34" s="16"/>
      <c r="PYZ34" s="16"/>
      <c r="PZA34" s="16"/>
      <c r="PZB34" s="16"/>
      <c r="PZC34" s="16"/>
      <c r="PZD34" s="16"/>
      <c r="PZE34" s="16"/>
      <c r="PZF34" s="16"/>
      <c r="PZG34" s="16"/>
      <c r="PZH34" s="16"/>
      <c r="PZI34" s="16"/>
      <c r="PZJ34" s="16"/>
      <c r="PZK34" s="16"/>
      <c r="PZL34" s="16"/>
      <c r="PZM34" s="16"/>
      <c r="PZN34" s="16"/>
      <c r="PZO34" s="16"/>
      <c r="PZP34" s="16"/>
      <c r="PZQ34" s="16"/>
      <c r="PZR34" s="16"/>
      <c r="PZS34" s="16"/>
      <c r="PZT34" s="16"/>
      <c r="PZU34" s="16"/>
      <c r="PZV34" s="16"/>
      <c r="PZW34" s="16"/>
      <c r="PZX34" s="16"/>
      <c r="PZY34" s="16"/>
      <c r="PZZ34" s="16"/>
      <c r="QAA34" s="16"/>
      <c r="QAB34" s="16"/>
      <c r="QAC34" s="16"/>
      <c r="QAD34" s="16"/>
      <c r="QAE34" s="16"/>
      <c r="QAF34" s="16"/>
      <c r="QAG34" s="16"/>
      <c r="QAH34" s="16"/>
      <c r="QAI34" s="16"/>
      <c r="QAJ34" s="16"/>
      <c r="QAK34" s="16"/>
      <c r="QAL34" s="16"/>
      <c r="QAM34" s="16"/>
      <c r="QAN34" s="16"/>
      <c r="QAO34" s="16"/>
      <c r="QAP34" s="16"/>
      <c r="QAQ34" s="16"/>
      <c r="QAR34" s="16"/>
      <c r="QAS34" s="16"/>
      <c r="QAT34" s="16"/>
      <c r="QAU34" s="16"/>
      <c r="QAV34" s="16"/>
      <c r="QAW34" s="16"/>
      <c r="QAX34" s="16"/>
      <c r="QAY34" s="16"/>
      <c r="QAZ34" s="16"/>
      <c r="QBA34" s="16"/>
      <c r="QBB34" s="16"/>
      <c r="QBC34" s="16"/>
      <c r="QBD34" s="16"/>
      <c r="QBE34" s="16"/>
      <c r="QBF34" s="16"/>
      <c r="QBG34" s="16"/>
      <c r="QBH34" s="16"/>
      <c r="QBI34" s="16"/>
      <c r="QBJ34" s="16"/>
      <c r="QBK34" s="16"/>
      <c r="QBL34" s="16"/>
      <c r="QBM34" s="16"/>
      <c r="QBN34" s="16"/>
      <c r="QBO34" s="16"/>
      <c r="QBP34" s="16"/>
      <c r="QBQ34" s="16"/>
      <c r="QBR34" s="16"/>
      <c r="QBS34" s="16"/>
      <c r="QBT34" s="16"/>
      <c r="QBU34" s="16"/>
      <c r="QBV34" s="16"/>
      <c r="QBW34" s="16"/>
      <c r="QBX34" s="16"/>
      <c r="QBY34" s="16"/>
      <c r="QBZ34" s="16"/>
      <c r="QCA34" s="16"/>
      <c r="QCB34" s="16"/>
      <c r="QCC34" s="16"/>
      <c r="QCD34" s="16"/>
      <c r="QCE34" s="16"/>
      <c r="QCF34" s="16"/>
      <c r="QCG34" s="16"/>
      <c r="QCH34" s="16"/>
      <c r="QCI34" s="16"/>
      <c r="QCJ34" s="16"/>
      <c r="QCK34" s="16"/>
      <c r="QCL34" s="16"/>
      <c r="QCM34" s="16"/>
      <c r="QCN34" s="16"/>
      <c r="QCO34" s="16"/>
      <c r="QCP34" s="16"/>
      <c r="QCQ34" s="16"/>
      <c r="QCR34" s="16"/>
      <c r="QCS34" s="16"/>
      <c r="QCT34" s="16"/>
      <c r="QCU34" s="16"/>
      <c r="QCV34" s="16"/>
      <c r="QCW34" s="16"/>
      <c r="QCX34" s="16"/>
      <c r="QCY34" s="16"/>
      <c r="QCZ34" s="16"/>
      <c r="QDA34" s="16"/>
      <c r="QDB34" s="16"/>
      <c r="QDC34" s="16"/>
      <c r="QDD34" s="16"/>
      <c r="QDE34" s="16"/>
      <c r="QDF34" s="16"/>
      <c r="QDG34" s="16"/>
      <c r="QDH34" s="16"/>
      <c r="QDI34" s="16"/>
      <c r="QDJ34" s="16"/>
      <c r="QDK34" s="16"/>
      <c r="QDL34" s="16"/>
      <c r="QDM34" s="16"/>
      <c r="QDN34" s="16"/>
      <c r="QDO34" s="16"/>
      <c r="QDP34" s="16"/>
      <c r="QDQ34" s="16"/>
      <c r="QDR34" s="16"/>
      <c r="QDS34" s="16"/>
      <c r="QDT34" s="16"/>
      <c r="QDU34" s="16"/>
      <c r="QDV34" s="16"/>
      <c r="QDW34" s="16"/>
      <c r="QDX34" s="16"/>
      <c r="QDY34" s="16"/>
      <c r="QDZ34" s="16"/>
      <c r="QEA34" s="16"/>
      <c r="QEB34" s="16"/>
      <c r="QEC34" s="16"/>
      <c r="QED34" s="16"/>
      <c r="QEE34" s="16"/>
      <c r="QEF34" s="16"/>
      <c r="QEG34" s="16"/>
      <c r="QEH34" s="16"/>
      <c r="QEI34" s="16"/>
      <c r="QEJ34" s="16"/>
      <c r="QEK34" s="16"/>
      <c r="QEL34" s="16"/>
      <c r="QEM34" s="16"/>
      <c r="QEN34" s="16"/>
      <c r="QEO34" s="16"/>
      <c r="QEP34" s="16"/>
      <c r="QEQ34" s="16"/>
      <c r="QER34" s="16"/>
      <c r="QES34" s="16"/>
      <c r="QET34" s="16"/>
      <c r="QEU34" s="16"/>
      <c r="QEV34" s="16"/>
      <c r="QEW34" s="16"/>
      <c r="QEX34" s="16"/>
      <c r="QEY34" s="16"/>
      <c r="QEZ34" s="16"/>
      <c r="QFA34" s="16"/>
      <c r="QFB34" s="16"/>
      <c r="QFC34" s="16"/>
      <c r="QFD34" s="16"/>
      <c r="QFE34" s="16"/>
      <c r="QFF34" s="16"/>
      <c r="QFG34" s="16"/>
      <c r="QFH34" s="16"/>
      <c r="QFI34" s="16"/>
      <c r="QFJ34" s="16"/>
      <c r="QFK34" s="16"/>
      <c r="QFL34" s="16"/>
      <c r="QFM34" s="16"/>
      <c r="QFN34" s="16"/>
      <c r="QFO34" s="16"/>
      <c r="QFP34" s="16"/>
      <c r="QFQ34" s="16"/>
      <c r="QFR34" s="16"/>
      <c r="QFS34" s="16"/>
      <c r="QFT34" s="16"/>
      <c r="QFU34" s="16"/>
      <c r="QFV34" s="16"/>
      <c r="QFW34" s="16"/>
      <c r="QFX34" s="16"/>
      <c r="QFY34" s="16"/>
      <c r="QFZ34" s="16"/>
      <c r="QGA34" s="16"/>
      <c r="QGB34" s="16"/>
      <c r="QGC34" s="16"/>
      <c r="QGD34" s="16"/>
      <c r="QGE34" s="16"/>
      <c r="QGF34" s="16"/>
      <c r="QGG34" s="16"/>
      <c r="QGH34" s="16"/>
      <c r="QGI34" s="16"/>
      <c r="QGJ34" s="16"/>
      <c r="QGK34" s="16"/>
      <c r="QGL34" s="16"/>
      <c r="QGM34" s="16"/>
      <c r="QGN34" s="16"/>
      <c r="QGO34" s="16"/>
      <c r="QGP34" s="16"/>
      <c r="QGQ34" s="16"/>
      <c r="QGR34" s="16"/>
      <c r="QGS34" s="16"/>
      <c r="QGT34" s="16"/>
      <c r="QGU34" s="16"/>
      <c r="QGV34" s="16"/>
      <c r="QGW34" s="16"/>
      <c r="QGX34" s="16"/>
      <c r="QGY34" s="16"/>
      <c r="QGZ34" s="16"/>
      <c r="QHA34" s="16"/>
      <c r="QHB34" s="16"/>
      <c r="QHC34" s="16"/>
      <c r="QHD34" s="16"/>
      <c r="QHE34" s="16"/>
      <c r="QHF34" s="16"/>
      <c r="QHG34" s="16"/>
      <c r="QHH34" s="16"/>
      <c r="QHI34" s="16"/>
      <c r="QHJ34" s="16"/>
      <c r="QHK34" s="16"/>
      <c r="QHL34" s="16"/>
      <c r="QHM34" s="16"/>
      <c r="QHN34" s="16"/>
      <c r="QHO34" s="16"/>
      <c r="QHP34" s="16"/>
      <c r="QHQ34" s="16"/>
      <c r="QHR34" s="16"/>
      <c r="QHS34" s="16"/>
      <c r="QHT34" s="16"/>
      <c r="QHU34" s="16"/>
      <c r="QHV34" s="16"/>
      <c r="QHW34" s="16"/>
      <c r="QHX34" s="16"/>
      <c r="QHY34" s="16"/>
      <c r="QHZ34" s="16"/>
      <c r="QIA34" s="16"/>
      <c r="QIB34" s="16"/>
      <c r="QIC34" s="16"/>
      <c r="QID34" s="16"/>
      <c r="QIE34" s="16"/>
      <c r="QIF34" s="16"/>
      <c r="QIG34" s="16"/>
      <c r="QIH34" s="16"/>
      <c r="QII34" s="16"/>
      <c r="QIJ34" s="16"/>
      <c r="QIK34" s="16"/>
      <c r="QIL34" s="16"/>
      <c r="QIM34" s="16"/>
      <c r="QIN34" s="16"/>
      <c r="QIO34" s="16"/>
      <c r="QIP34" s="16"/>
      <c r="QIQ34" s="16"/>
      <c r="QIR34" s="16"/>
      <c r="QIS34" s="16"/>
      <c r="QIT34" s="16"/>
      <c r="QIU34" s="16"/>
      <c r="QIV34" s="16"/>
      <c r="QIW34" s="16"/>
      <c r="QIX34" s="16"/>
      <c r="QIY34" s="16"/>
      <c r="QIZ34" s="16"/>
      <c r="QJA34" s="16"/>
      <c r="QJB34" s="16"/>
      <c r="QJC34" s="16"/>
      <c r="QJD34" s="16"/>
      <c r="QJE34" s="16"/>
      <c r="QJF34" s="16"/>
      <c r="QJG34" s="16"/>
      <c r="QJH34" s="16"/>
      <c r="QJI34" s="16"/>
      <c r="QJJ34" s="16"/>
      <c r="QJK34" s="16"/>
      <c r="QJL34" s="16"/>
      <c r="QJM34" s="16"/>
      <c r="QJN34" s="16"/>
      <c r="QJO34" s="16"/>
      <c r="QJP34" s="16"/>
      <c r="QJQ34" s="16"/>
      <c r="QJR34" s="16"/>
      <c r="QJS34" s="16"/>
      <c r="QJT34" s="16"/>
      <c r="QJU34" s="16"/>
      <c r="QJV34" s="16"/>
      <c r="QJW34" s="16"/>
      <c r="QJX34" s="16"/>
      <c r="QJY34" s="16"/>
      <c r="QJZ34" s="16"/>
      <c r="QKA34" s="16"/>
      <c r="QKB34" s="16"/>
      <c r="QKC34" s="16"/>
      <c r="QKD34" s="16"/>
      <c r="QKE34" s="16"/>
      <c r="QKF34" s="16"/>
      <c r="QKG34" s="16"/>
      <c r="QKH34" s="16"/>
      <c r="QKI34" s="16"/>
      <c r="QKJ34" s="16"/>
      <c r="QKK34" s="16"/>
      <c r="QKL34" s="16"/>
      <c r="QKM34" s="16"/>
      <c r="QKN34" s="16"/>
      <c r="QKO34" s="16"/>
      <c r="QKP34" s="16"/>
      <c r="QKQ34" s="16"/>
      <c r="QKR34" s="16"/>
      <c r="QKS34" s="16"/>
      <c r="QKT34" s="16"/>
      <c r="QKU34" s="16"/>
      <c r="QKV34" s="16"/>
      <c r="QKW34" s="16"/>
      <c r="QKX34" s="16"/>
      <c r="QKY34" s="16"/>
      <c r="QKZ34" s="16"/>
      <c r="QLA34" s="16"/>
      <c r="QLB34" s="16"/>
      <c r="QLC34" s="16"/>
      <c r="QLD34" s="16"/>
      <c r="QLE34" s="16"/>
      <c r="QLF34" s="16"/>
      <c r="QLG34" s="16"/>
      <c r="QLH34" s="16"/>
      <c r="QLI34" s="16"/>
      <c r="QLJ34" s="16"/>
      <c r="QLK34" s="16"/>
      <c r="QLL34" s="16"/>
      <c r="QLM34" s="16"/>
      <c r="QLN34" s="16"/>
      <c r="QLO34" s="16"/>
      <c r="QLP34" s="16"/>
      <c r="QLQ34" s="16"/>
      <c r="QLR34" s="16"/>
      <c r="QLS34" s="16"/>
      <c r="QLT34" s="16"/>
      <c r="QLU34" s="16"/>
      <c r="QLV34" s="16"/>
      <c r="QLW34" s="16"/>
      <c r="QLX34" s="16"/>
      <c r="QLY34" s="16"/>
      <c r="QLZ34" s="16"/>
      <c r="QMA34" s="16"/>
      <c r="QMB34" s="16"/>
      <c r="QMC34" s="16"/>
      <c r="QMD34" s="16"/>
      <c r="QME34" s="16"/>
      <c r="QMF34" s="16"/>
      <c r="QMG34" s="16"/>
      <c r="QMH34" s="16"/>
      <c r="QMI34" s="16"/>
      <c r="QMJ34" s="16"/>
      <c r="QMK34" s="16"/>
      <c r="QML34" s="16"/>
      <c r="QMM34" s="16"/>
      <c r="QMN34" s="16"/>
      <c r="QMO34" s="16"/>
      <c r="QMP34" s="16"/>
      <c r="QMQ34" s="16"/>
      <c r="QMR34" s="16"/>
      <c r="QMS34" s="16"/>
      <c r="QMT34" s="16"/>
      <c r="QMU34" s="16"/>
      <c r="QMV34" s="16"/>
      <c r="QMW34" s="16"/>
      <c r="QMX34" s="16"/>
      <c r="QMY34" s="16"/>
      <c r="QMZ34" s="16"/>
      <c r="QNA34" s="16"/>
      <c r="QNB34" s="16"/>
      <c r="QNC34" s="16"/>
      <c r="QND34" s="16"/>
      <c r="QNE34" s="16"/>
      <c r="QNF34" s="16"/>
      <c r="QNG34" s="16"/>
      <c r="QNH34" s="16"/>
      <c r="QNI34" s="16"/>
      <c r="QNJ34" s="16"/>
      <c r="QNK34" s="16"/>
      <c r="QNL34" s="16"/>
      <c r="QNM34" s="16"/>
      <c r="QNN34" s="16"/>
      <c r="QNO34" s="16"/>
      <c r="QNP34" s="16"/>
      <c r="QNQ34" s="16"/>
      <c r="QNR34" s="16"/>
      <c r="QNS34" s="16"/>
      <c r="QNT34" s="16"/>
      <c r="QNU34" s="16"/>
      <c r="QNV34" s="16"/>
      <c r="QNW34" s="16"/>
      <c r="QNX34" s="16"/>
      <c r="QNY34" s="16"/>
      <c r="QNZ34" s="16"/>
      <c r="QOA34" s="16"/>
      <c r="QOB34" s="16"/>
      <c r="QOC34" s="16"/>
      <c r="QOD34" s="16"/>
      <c r="QOE34" s="16"/>
      <c r="QOF34" s="16"/>
      <c r="QOG34" s="16"/>
      <c r="QOH34" s="16"/>
      <c r="QOI34" s="16"/>
      <c r="QOJ34" s="16"/>
      <c r="QOK34" s="16"/>
      <c r="QOL34" s="16"/>
      <c r="QOM34" s="16"/>
      <c r="QON34" s="16"/>
      <c r="QOO34" s="16"/>
      <c r="QOP34" s="16"/>
      <c r="QOQ34" s="16"/>
      <c r="QOR34" s="16"/>
      <c r="QOS34" s="16"/>
      <c r="QOT34" s="16"/>
      <c r="QOU34" s="16"/>
      <c r="QOV34" s="16"/>
      <c r="QOW34" s="16"/>
      <c r="QOX34" s="16"/>
      <c r="QOY34" s="16"/>
      <c r="QOZ34" s="16"/>
      <c r="QPA34" s="16"/>
      <c r="QPB34" s="16"/>
      <c r="QPC34" s="16"/>
      <c r="QPD34" s="16"/>
      <c r="QPE34" s="16"/>
      <c r="QPF34" s="16"/>
      <c r="QPG34" s="16"/>
      <c r="QPH34" s="16"/>
      <c r="QPI34" s="16"/>
      <c r="QPJ34" s="16"/>
      <c r="QPK34" s="16"/>
      <c r="QPL34" s="16"/>
      <c r="QPM34" s="16"/>
      <c r="QPN34" s="16"/>
      <c r="QPO34" s="16"/>
      <c r="QPP34" s="16"/>
      <c r="QPQ34" s="16"/>
      <c r="QPR34" s="16"/>
      <c r="QPS34" s="16"/>
      <c r="QPT34" s="16"/>
      <c r="QPU34" s="16"/>
      <c r="QPV34" s="16"/>
      <c r="QPW34" s="16"/>
      <c r="QPX34" s="16"/>
      <c r="QPY34" s="16"/>
      <c r="QPZ34" s="16"/>
      <c r="QQA34" s="16"/>
      <c r="QQB34" s="16"/>
      <c r="QQC34" s="16"/>
      <c r="QQD34" s="16"/>
      <c r="QQE34" s="16"/>
      <c r="QQF34" s="16"/>
      <c r="QQG34" s="16"/>
      <c r="QQH34" s="16"/>
      <c r="QQI34" s="16"/>
      <c r="QQJ34" s="16"/>
      <c r="QQK34" s="16"/>
      <c r="QQL34" s="16"/>
      <c r="QQM34" s="16"/>
      <c r="QQN34" s="16"/>
      <c r="QQO34" s="16"/>
      <c r="QQP34" s="16"/>
      <c r="QQQ34" s="16"/>
      <c r="QQR34" s="16"/>
      <c r="QQS34" s="16"/>
      <c r="QQT34" s="16"/>
      <c r="QQU34" s="16"/>
      <c r="QQV34" s="16"/>
      <c r="QQW34" s="16"/>
      <c r="QQX34" s="16"/>
      <c r="QQY34" s="16"/>
      <c r="QQZ34" s="16"/>
      <c r="QRA34" s="16"/>
      <c r="QRB34" s="16"/>
      <c r="QRC34" s="16"/>
      <c r="QRD34" s="16"/>
      <c r="QRE34" s="16"/>
      <c r="QRF34" s="16"/>
      <c r="QRG34" s="16"/>
      <c r="QRH34" s="16"/>
      <c r="QRI34" s="16"/>
      <c r="QRJ34" s="16"/>
      <c r="QRK34" s="16"/>
      <c r="QRL34" s="16"/>
      <c r="QRM34" s="16"/>
      <c r="QRN34" s="16"/>
      <c r="QRO34" s="16"/>
      <c r="QRP34" s="16"/>
      <c r="QRQ34" s="16"/>
      <c r="QRR34" s="16"/>
      <c r="QRS34" s="16"/>
      <c r="QRT34" s="16"/>
      <c r="QRU34" s="16"/>
      <c r="QRV34" s="16"/>
      <c r="QRW34" s="16"/>
      <c r="QRX34" s="16"/>
      <c r="QRY34" s="16"/>
      <c r="QRZ34" s="16"/>
      <c r="QSA34" s="16"/>
      <c r="QSB34" s="16"/>
      <c r="QSC34" s="16"/>
      <c r="QSD34" s="16"/>
      <c r="QSE34" s="16"/>
      <c r="QSF34" s="16"/>
      <c r="QSG34" s="16"/>
      <c r="QSH34" s="16"/>
      <c r="QSI34" s="16"/>
      <c r="QSJ34" s="16"/>
      <c r="QSK34" s="16"/>
      <c r="QSL34" s="16"/>
      <c r="QSM34" s="16"/>
      <c r="QSN34" s="16"/>
      <c r="QSO34" s="16"/>
      <c r="QSP34" s="16"/>
      <c r="QSQ34" s="16"/>
      <c r="QSR34" s="16"/>
      <c r="QSS34" s="16"/>
      <c r="QST34" s="16"/>
      <c r="QSU34" s="16"/>
      <c r="QSV34" s="16"/>
      <c r="QSW34" s="16"/>
      <c r="QSX34" s="16"/>
      <c r="QSY34" s="16"/>
      <c r="QSZ34" s="16"/>
      <c r="QTA34" s="16"/>
      <c r="QTB34" s="16"/>
      <c r="QTC34" s="16"/>
      <c r="QTD34" s="16"/>
      <c r="QTE34" s="16"/>
      <c r="QTF34" s="16"/>
      <c r="QTG34" s="16"/>
      <c r="QTH34" s="16"/>
      <c r="QTI34" s="16"/>
      <c r="QTJ34" s="16"/>
      <c r="QTK34" s="16"/>
      <c r="QTL34" s="16"/>
      <c r="QTM34" s="16"/>
      <c r="QTN34" s="16"/>
      <c r="QTO34" s="16"/>
      <c r="QTP34" s="16"/>
      <c r="QTQ34" s="16"/>
      <c r="QTR34" s="16"/>
      <c r="QTS34" s="16"/>
      <c r="QTT34" s="16"/>
      <c r="QTU34" s="16"/>
      <c r="QTV34" s="16"/>
      <c r="QTW34" s="16"/>
      <c r="QTX34" s="16"/>
      <c r="QTY34" s="16"/>
      <c r="QTZ34" s="16"/>
      <c r="QUA34" s="16"/>
      <c r="QUB34" s="16"/>
      <c r="QUC34" s="16"/>
      <c r="QUD34" s="16"/>
      <c r="QUE34" s="16"/>
      <c r="QUF34" s="16"/>
      <c r="QUG34" s="16"/>
      <c r="QUH34" s="16"/>
      <c r="QUI34" s="16"/>
      <c r="QUJ34" s="16"/>
      <c r="QUK34" s="16"/>
      <c r="QUL34" s="16"/>
      <c r="QUM34" s="16"/>
      <c r="QUN34" s="16"/>
      <c r="QUO34" s="16"/>
      <c r="QUP34" s="16"/>
      <c r="QUQ34" s="16"/>
      <c r="QUR34" s="16"/>
      <c r="QUS34" s="16"/>
      <c r="QUT34" s="16"/>
      <c r="QUU34" s="16"/>
      <c r="QUV34" s="16"/>
      <c r="QUW34" s="16"/>
      <c r="QUX34" s="16"/>
      <c r="QUY34" s="16"/>
      <c r="QUZ34" s="16"/>
      <c r="QVA34" s="16"/>
      <c r="QVB34" s="16"/>
      <c r="QVC34" s="16"/>
      <c r="QVD34" s="16"/>
      <c r="QVE34" s="16"/>
      <c r="QVF34" s="16"/>
      <c r="QVG34" s="16"/>
      <c r="QVH34" s="16"/>
      <c r="QVI34" s="16"/>
      <c r="QVJ34" s="16"/>
      <c r="QVK34" s="16"/>
      <c r="QVL34" s="16"/>
      <c r="QVM34" s="16"/>
      <c r="QVN34" s="16"/>
      <c r="QVO34" s="16"/>
      <c r="QVP34" s="16"/>
      <c r="QVQ34" s="16"/>
      <c r="QVR34" s="16"/>
      <c r="QVS34" s="16"/>
      <c r="QVT34" s="16"/>
      <c r="QVU34" s="16"/>
      <c r="QVV34" s="16"/>
      <c r="QVW34" s="16"/>
      <c r="QVX34" s="16"/>
      <c r="QVY34" s="16"/>
      <c r="QVZ34" s="16"/>
      <c r="QWA34" s="16"/>
      <c r="QWB34" s="16"/>
      <c r="QWC34" s="16"/>
      <c r="QWD34" s="16"/>
      <c r="QWE34" s="16"/>
      <c r="QWF34" s="16"/>
      <c r="QWG34" s="16"/>
      <c r="QWH34" s="16"/>
      <c r="QWI34" s="16"/>
      <c r="QWJ34" s="16"/>
      <c r="QWK34" s="16"/>
      <c r="QWL34" s="16"/>
      <c r="QWM34" s="16"/>
      <c r="QWN34" s="16"/>
      <c r="QWO34" s="16"/>
      <c r="QWP34" s="16"/>
      <c r="QWQ34" s="16"/>
      <c r="QWR34" s="16"/>
      <c r="QWS34" s="16"/>
      <c r="QWT34" s="16"/>
      <c r="QWU34" s="16"/>
      <c r="QWV34" s="16"/>
      <c r="QWW34" s="16"/>
      <c r="QWX34" s="16"/>
      <c r="QWY34" s="16"/>
      <c r="QWZ34" s="16"/>
      <c r="QXA34" s="16"/>
      <c r="QXB34" s="16"/>
      <c r="QXC34" s="16"/>
      <c r="QXD34" s="16"/>
      <c r="QXE34" s="16"/>
      <c r="QXF34" s="16"/>
      <c r="QXG34" s="16"/>
      <c r="QXH34" s="16"/>
      <c r="QXI34" s="16"/>
      <c r="QXJ34" s="16"/>
      <c r="QXK34" s="16"/>
      <c r="QXL34" s="16"/>
      <c r="QXM34" s="16"/>
      <c r="QXN34" s="16"/>
      <c r="QXO34" s="16"/>
      <c r="QXP34" s="16"/>
      <c r="QXQ34" s="16"/>
      <c r="QXR34" s="16"/>
      <c r="QXS34" s="16"/>
      <c r="QXT34" s="16"/>
      <c r="QXU34" s="16"/>
      <c r="QXV34" s="16"/>
      <c r="QXW34" s="16"/>
      <c r="QXX34" s="16"/>
      <c r="QXY34" s="16"/>
      <c r="QXZ34" s="16"/>
      <c r="QYA34" s="16"/>
      <c r="QYB34" s="16"/>
      <c r="QYC34" s="16"/>
      <c r="QYD34" s="16"/>
      <c r="QYE34" s="16"/>
      <c r="QYF34" s="16"/>
      <c r="QYG34" s="16"/>
      <c r="QYH34" s="16"/>
      <c r="QYI34" s="16"/>
      <c r="QYJ34" s="16"/>
      <c r="QYK34" s="16"/>
      <c r="QYL34" s="16"/>
      <c r="QYM34" s="16"/>
      <c r="QYN34" s="16"/>
      <c r="QYO34" s="16"/>
      <c r="QYP34" s="16"/>
      <c r="QYQ34" s="16"/>
      <c r="QYR34" s="16"/>
      <c r="QYS34" s="16"/>
      <c r="QYT34" s="16"/>
      <c r="QYU34" s="16"/>
      <c r="QYV34" s="16"/>
      <c r="QYW34" s="16"/>
      <c r="QYX34" s="16"/>
      <c r="QYY34" s="16"/>
      <c r="QYZ34" s="16"/>
      <c r="QZA34" s="16"/>
      <c r="QZB34" s="16"/>
      <c r="QZC34" s="16"/>
      <c r="QZD34" s="16"/>
      <c r="QZE34" s="16"/>
      <c r="QZF34" s="16"/>
      <c r="QZG34" s="16"/>
      <c r="QZH34" s="16"/>
      <c r="QZI34" s="16"/>
      <c r="QZJ34" s="16"/>
      <c r="QZK34" s="16"/>
      <c r="QZL34" s="16"/>
      <c r="QZM34" s="16"/>
      <c r="QZN34" s="16"/>
      <c r="QZO34" s="16"/>
      <c r="QZP34" s="16"/>
      <c r="QZQ34" s="16"/>
      <c r="QZR34" s="16"/>
      <c r="QZS34" s="16"/>
      <c r="QZT34" s="16"/>
      <c r="QZU34" s="16"/>
      <c r="QZV34" s="16"/>
      <c r="QZW34" s="16"/>
      <c r="QZX34" s="16"/>
      <c r="QZY34" s="16"/>
      <c r="QZZ34" s="16"/>
      <c r="RAA34" s="16"/>
      <c r="RAB34" s="16"/>
      <c r="RAC34" s="16"/>
      <c r="RAD34" s="16"/>
      <c r="RAE34" s="16"/>
      <c r="RAF34" s="16"/>
      <c r="RAG34" s="16"/>
      <c r="RAH34" s="16"/>
      <c r="RAI34" s="16"/>
      <c r="RAJ34" s="16"/>
      <c r="RAK34" s="16"/>
      <c r="RAL34" s="16"/>
      <c r="RAM34" s="16"/>
      <c r="RAN34" s="16"/>
      <c r="RAO34" s="16"/>
      <c r="RAP34" s="16"/>
      <c r="RAQ34" s="16"/>
      <c r="RAR34" s="16"/>
      <c r="RAS34" s="16"/>
      <c r="RAT34" s="16"/>
      <c r="RAU34" s="16"/>
      <c r="RAV34" s="16"/>
      <c r="RAW34" s="16"/>
      <c r="RAX34" s="16"/>
      <c r="RAY34" s="16"/>
      <c r="RAZ34" s="16"/>
      <c r="RBA34" s="16"/>
      <c r="RBB34" s="16"/>
      <c r="RBC34" s="16"/>
      <c r="RBD34" s="16"/>
      <c r="RBE34" s="16"/>
      <c r="RBF34" s="16"/>
      <c r="RBG34" s="16"/>
      <c r="RBH34" s="16"/>
      <c r="RBI34" s="16"/>
      <c r="RBJ34" s="16"/>
      <c r="RBK34" s="16"/>
      <c r="RBL34" s="16"/>
      <c r="RBM34" s="16"/>
      <c r="RBN34" s="16"/>
      <c r="RBO34" s="16"/>
      <c r="RBP34" s="16"/>
      <c r="RBQ34" s="16"/>
      <c r="RBR34" s="16"/>
      <c r="RBS34" s="16"/>
      <c r="RBT34" s="16"/>
      <c r="RBU34" s="16"/>
      <c r="RBV34" s="16"/>
      <c r="RBW34" s="16"/>
      <c r="RBX34" s="16"/>
      <c r="RBY34" s="16"/>
      <c r="RBZ34" s="16"/>
      <c r="RCA34" s="16"/>
      <c r="RCB34" s="16"/>
      <c r="RCC34" s="16"/>
      <c r="RCD34" s="16"/>
      <c r="RCE34" s="16"/>
      <c r="RCF34" s="16"/>
      <c r="RCG34" s="16"/>
      <c r="RCH34" s="16"/>
      <c r="RCI34" s="16"/>
      <c r="RCJ34" s="16"/>
      <c r="RCK34" s="16"/>
      <c r="RCL34" s="16"/>
      <c r="RCM34" s="16"/>
      <c r="RCN34" s="16"/>
      <c r="RCO34" s="16"/>
      <c r="RCP34" s="16"/>
      <c r="RCQ34" s="16"/>
      <c r="RCR34" s="16"/>
      <c r="RCS34" s="16"/>
      <c r="RCT34" s="16"/>
      <c r="RCU34" s="16"/>
      <c r="RCV34" s="16"/>
      <c r="RCW34" s="16"/>
      <c r="RCX34" s="16"/>
      <c r="RCY34" s="16"/>
      <c r="RCZ34" s="16"/>
      <c r="RDA34" s="16"/>
      <c r="RDB34" s="16"/>
      <c r="RDC34" s="16"/>
      <c r="RDD34" s="16"/>
      <c r="RDE34" s="16"/>
      <c r="RDF34" s="16"/>
      <c r="RDG34" s="16"/>
      <c r="RDH34" s="16"/>
      <c r="RDI34" s="16"/>
      <c r="RDJ34" s="16"/>
      <c r="RDK34" s="16"/>
      <c r="RDL34" s="16"/>
      <c r="RDM34" s="16"/>
      <c r="RDN34" s="16"/>
      <c r="RDO34" s="16"/>
      <c r="RDP34" s="16"/>
      <c r="RDQ34" s="16"/>
      <c r="RDR34" s="16"/>
      <c r="RDS34" s="16"/>
      <c r="RDT34" s="16"/>
      <c r="RDU34" s="16"/>
      <c r="RDV34" s="16"/>
      <c r="RDW34" s="16"/>
      <c r="RDX34" s="16"/>
      <c r="RDY34" s="16"/>
      <c r="RDZ34" s="16"/>
      <c r="REA34" s="16"/>
      <c r="REB34" s="16"/>
      <c r="REC34" s="16"/>
      <c r="RED34" s="16"/>
      <c r="REE34" s="16"/>
      <c r="REF34" s="16"/>
      <c r="REG34" s="16"/>
      <c r="REH34" s="16"/>
      <c r="REI34" s="16"/>
      <c r="REJ34" s="16"/>
      <c r="REK34" s="16"/>
      <c r="REL34" s="16"/>
      <c r="REM34" s="16"/>
      <c r="REN34" s="16"/>
      <c r="REO34" s="16"/>
      <c r="REP34" s="16"/>
      <c r="REQ34" s="16"/>
      <c r="RER34" s="16"/>
      <c r="RES34" s="16"/>
      <c r="RET34" s="16"/>
      <c r="REU34" s="16"/>
      <c r="REV34" s="16"/>
      <c r="REW34" s="16"/>
      <c r="REX34" s="16"/>
      <c r="REY34" s="16"/>
      <c r="REZ34" s="16"/>
      <c r="RFA34" s="16"/>
      <c r="RFB34" s="16"/>
      <c r="RFC34" s="16"/>
      <c r="RFD34" s="16"/>
      <c r="RFE34" s="16"/>
      <c r="RFF34" s="16"/>
      <c r="RFG34" s="16"/>
      <c r="RFH34" s="16"/>
      <c r="RFI34" s="16"/>
      <c r="RFJ34" s="16"/>
      <c r="RFK34" s="16"/>
      <c r="RFL34" s="16"/>
      <c r="RFM34" s="16"/>
      <c r="RFN34" s="16"/>
      <c r="RFO34" s="16"/>
      <c r="RFP34" s="16"/>
      <c r="RFQ34" s="16"/>
      <c r="RFR34" s="16"/>
      <c r="RFS34" s="16"/>
      <c r="RFT34" s="16"/>
      <c r="RFU34" s="16"/>
      <c r="RFV34" s="16"/>
      <c r="RFW34" s="16"/>
      <c r="RFX34" s="16"/>
      <c r="RFY34" s="16"/>
      <c r="RFZ34" s="16"/>
      <c r="RGA34" s="16"/>
      <c r="RGB34" s="16"/>
      <c r="RGC34" s="16"/>
      <c r="RGD34" s="16"/>
      <c r="RGE34" s="16"/>
      <c r="RGF34" s="16"/>
      <c r="RGG34" s="16"/>
      <c r="RGH34" s="16"/>
      <c r="RGI34" s="16"/>
      <c r="RGJ34" s="16"/>
      <c r="RGK34" s="16"/>
      <c r="RGL34" s="16"/>
      <c r="RGM34" s="16"/>
      <c r="RGN34" s="16"/>
      <c r="RGO34" s="16"/>
      <c r="RGP34" s="16"/>
      <c r="RGQ34" s="16"/>
      <c r="RGR34" s="16"/>
      <c r="RGS34" s="16"/>
      <c r="RGT34" s="16"/>
      <c r="RGU34" s="16"/>
      <c r="RGV34" s="16"/>
      <c r="RGW34" s="16"/>
      <c r="RGX34" s="16"/>
      <c r="RGY34" s="16"/>
      <c r="RGZ34" s="16"/>
      <c r="RHA34" s="16"/>
      <c r="RHB34" s="16"/>
      <c r="RHC34" s="16"/>
      <c r="RHD34" s="16"/>
      <c r="RHE34" s="16"/>
      <c r="RHF34" s="16"/>
      <c r="RHG34" s="16"/>
      <c r="RHH34" s="16"/>
      <c r="RHI34" s="16"/>
      <c r="RHJ34" s="16"/>
      <c r="RHK34" s="16"/>
      <c r="RHL34" s="16"/>
      <c r="RHM34" s="16"/>
      <c r="RHN34" s="16"/>
      <c r="RHO34" s="16"/>
      <c r="RHP34" s="16"/>
      <c r="RHQ34" s="16"/>
      <c r="RHR34" s="16"/>
      <c r="RHS34" s="16"/>
      <c r="RHT34" s="16"/>
      <c r="RHU34" s="16"/>
      <c r="RHV34" s="16"/>
      <c r="RHW34" s="16"/>
      <c r="RHX34" s="16"/>
      <c r="RHY34" s="16"/>
      <c r="RHZ34" s="16"/>
      <c r="RIA34" s="16"/>
      <c r="RIB34" s="16"/>
      <c r="RIC34" s="16"/>
      <c r="RID34" s="16"/>
      <c r="RIE34" s="16"/>
      <c r="RIF34" s="16"/>
      <c r="RIG34" s="16"/>
      <c r="RIH34" s="16"/>
      <c r="RII34" s="16"/>
      <c r="RIJ34" s="16"/>
      <c r="RIK34" s="16"/>
      <c r="RIL34" s="16"/>
      <c r="RIM34" s="16"/>
      <c r="RIN34" s="16"/>
      <c r="RIO34" s="16"/>
      <c r="RIP34" s="16"/>
      <c r="RIQ34" s="16"/>
      <c r="RIR34" s="16"/>
      <c r="RIS34" s="16"/>
      <c r="RIT34" s="16"/>
      <c r="RIU34" s="16"/>
      <c r="RIV34" s="16"/>
      <c r="RIW34" s="16"/>
      <c r="RIX34" s="16"/>
      <c r="RIY34" s="16"/>
      <c r="RIZ34" s="16"/>
      <c r="RJA34" s="16"/>
      <c r="RJB34" s="16"/>
      <c r="RJC34" s="16"/>
      <c r="RJD34" s="16"/>
      <c r="RJE34" s="16"/>
      <c r="RJF34" s="16"/>
      <c r="RJG34" s="16"/>
      <c r="RJH34" s="16"/>
      <c r="RJI34" s="16"/>
      <c r="RJJ34" s="16"/>
      <c r="RJK34" s="16"/>
      <c r="RJL34" s="16"/>
      <c r="RJM34" s="16"/>
      <c r="RJN34" s="16"/>
      <c r="RJO34" s="16"/>
      <c r="RJP34" s="16"/>
      <c r="RJQ34" s="16"/>
      <c r="RJR34" s="16"/>
      <c r="RJS34" s="16"/>
      <c r="RJT34" s="16"/>
      <c r="RJU34" s="16"/>
      <c r="RJV34" s="16"/>
      <c r="RJW34" s="16"/>
      <c r="RJX34" s="16"/>
      <c r="RJY34" s="16"/>
      <c r="RJZ34" s="16"/>
      <c r="RKA34" s="16"/>
      <c r="RKB34" s="16"/>
      <c r="RKC34" s="16"/>
      <c r="RKD34" s="16"/>
      <c r="RKE34" s="16"/>
      <c r="RKF34" s="16"/>
      <c r="RKG34" s="16"/>
      <c r="RKH34" s="16"/>
      <c r="RKI34" s="16"/>
      <c r="RKJ34" s="16"/>
      <c r="RKK34" s="16"/>
      <c r="RKL34" s="16"/>
      <c r="RKM34" s="16"/>
      <c r="RKN34" s="16"/>
      <c r="RKO34" s="16"/>
      <c r="RKP34" s="16"/>
      <c r="RKQ34" s="16"/>
      <c r="RKR34" s="16"/>
      <c r="RKS34" s="16"/>
      <c r="RKT34" s="16"/>
      <c r="RKU34" s="16"/>
      <c r="RKV34" s="16"/>
      <c r="RKW34" s="16"/>
      <c r="RKX34" s="16"/>
      <c r="RKY34" s="16"/>
      <c r="RKZ34" s="16"/>
      <c r="RLA34" s="16"/>
      <c r="RLB34" s="16"/>
      <c r="RLC34" s="16"/>
      <c r="RLD34" s="16"/>
      <c r="RLE34" s="16"/>
      <c r="RLF34" s="16"/>
      <c r="RLG34" s="16"/>
      <c r="RLH34" s="16"/>
      <c r="RLI34" s="16"/>
      <c r="RLJ34" s="16"/>
      <c r="RLK34" s="16"/>
      <c r="RLL34" s="16"/>
      <c r="RLM34" s="16"/>
      <c r="RLN34" s="16"/>
      <c r="RLO34" s="16"/>
      <c r="RLP34" s="16"/>
      <c r="RLQ34" s="16"/>
      <c r="RLR34" s="16"/>
      <c r="RLS34" s="16"/>
      <c r="RLT34" s="16"/>
      <c r="RLU34" s="16"/>
      <c r="RLV34" s="16"/>
      <c r="RLW34" s="16"/>
      <c r="RLX34" s="16"/>
      <c r="RLY34" s="16"/>
      <c r="RLZ34" s="16"/>
      <c r="RMA34" s="16"/>
      <c r="RMB34" s="16"/>
      <c r="RMC34" s="16"/>
      <c r="RMD34" s="16"/>
      <c r="RME34" s="16"/>
      <c r="RMF34" s="16"/>
      <c r="RMG34" s="16"/>
      <c r="RMH34" s="16"/>
      <c r="RMI34" s="16"/>
      <c r="RMJ34" s="16"/>
      <c r="RMK34" s="16"/>
      <c r="RML34" s="16"/>
      <c r="RMM34" s="16"/>
      <c r="RMN34" s="16"/>
      <c r="RMO34" s="16"/>
      <c r="RMP34" s="16"/>
      <c r="RMQ34" s="16"/>
      <c r="RMR34" s="16"/>
      <c r="RMS34" s="16"/>
      <c r="RMT34" s="16"/>
      <c r="RMU34" s="16"/>
      <c r="RMV34" s="16"/>
      <c r="RMW34" s="16"/>
      <c r="RMX34" s="16"/>
      <c r="RMY34" s="16"/>
      <c r="RMZ34" s="16"/>
      <c r="RNA34" s="16"/>
      <c r="RNB34" s="16"/>
      <c r="RNC34" s="16"/>
      <c r="RND34" s="16"/>
      <c r="RNE34" s="16"/>
      <c r="RNF34" s="16"/>
      <c r="RNG34" s="16"/>
      <c r="RNH34" s="16"/>
      <c r="RNI34" s="16"/>
      <c r="RNJ34" s="16"/>
      <c r="RNK34" s="16"/>
      <c r="RNL34" s="16"/>
      <c r="RNM34" s="16"/>
      <c r="RNN34" s="16"/>
      <c r="RNO34" s="16"/>
      <c r="RNP34" s="16"/>
      <c r="RNQ34" s="16"/>
      <c r="RNR34" s="16"/>
      <c r="RNS34" s="16"/>
      <c r="RNT34" s="16"/>
      <c r="RNU34" s="16"/>
      <c r="RNV34" s="16"/>
      <c r="RNW34" s="16"/>
      <c r="RNX34" s="16"/>
      <c r="RNY34" s="16"/>
      <c r="RNZ34" s="16"/>
      <c r="ROA34" s="16"/>
      <c r="ROB34" s="16"/>
      <c r="ROC34" s="16"/>
      <c r="ROD34" s="16"/>
      <c r="ROE34" s="16"/>
      <c r="ROF34" s="16"/>
      <c r="ROG34" s="16"/>
      <c r="ROH34" s="16"/>
      <c r="ROI34" s="16"/>
      <c r="ROJ34" s="16"/>
      <c r="ROK34" s="16"/>
      <c r="ROL34" s="16"/>
      <c r="ROM34" s="16"/>
      <c r="RON34" s="16"/>
      <c r="ROO34" s="16"/>
      <c r="ROP34" s="16"/>
      <c r="ROQ34" s="16"/>
      <c r="ROR34" s="16"/>
      <c r="ROS34" s="16"/>
      <c r="ROT34" s="16"/>
      <c r="ROU34" s="16"/>
      <c r="ROV34" s="16"/>
      <c r="ROW34" s="16"/>
      <c r="ROX34" s="16"/>
      <c r="ROY34" s="16"/>
      <c r="ROZ34" s="16"/>
      <c r="RPA34" s="16"/>
      <c r="RPB34" s="16"/>
      <c r="RPC34" s="16"/>
      <c r="RPD34" s="16"/>
      <c r="RPE34" s="16"/>
      <c r="RPF34" s="16"/>
      <c r="RPG34" s="16"/>
      <c r="RPH34" s="16"/>
      <c r="RPI34" s="16"/>
      <c r="RPJ34" s="16"/>
      <c r="RPK34" s="16"/>
      <c r="RPL34" s="16"/>
      <c r="RPM34" s="16"/>
      <c r="RPN34" s="16"/>
      <c r="RPO34" s="16"/>
      <c r="RPP34" s="16"/>
      <c r="RPQ34" s="16"/>
      <c r="RPR34" s="16"/>
      <c r="RPS34" s="16"/>
      <c r="RPT34" s="16"/>
      <c r="RPU34" s="16"/>
      <c r="RPV34" s="16"/>
      <c r="RPW34" s="16"/>
      <c r="RPX34" s="16"/>
      <c r="RPY34" s="16"/>
      <c r="RPZ34" s="16"/>
      <c r="RQA34" s="16"/>
      <c r="RQB34" s="16"/>
      <c r="RQC34" s="16"/>
      <c r="RQD34" s="16"/>
      <c r="RQE34" s="16"/>
      <c r="RQF34" s="16"/>
      <c r="RQG34" s="16"/>
      <c r="RQH34" s="16"/>
      <c r="RQI34" s="16"/>
      <c r="RQJ34" s="16"/>
      <c r="RQK34" s="16"/>
      <c r="RQL34" s="16"/>
      <c r="RQM34" s="16"/>
      <c r="RQN34" s="16"/>
      <c r="RQO34" s="16"/>
      <c r="RQP34" s="16"/>
      <c r="RQQ34" s="16"/>
      <c r="RQR34" s="16"/>
      <c r="RQS34" s="16"/>
      <c r="RQT34" s="16"/>
      <c r="RQU34" s="16"/>
      <c r="RQV34" s="16"/>
      <c r="RQW34" s="16"/>
      <c r="RQX34" s="16"/>
      <c r="RQY34" s="16"/>
      <c r="RQZ34" s="16"/>
      <c r="RRA34" s="16"/>
      <c r="RRB34" s="16"/>
      <c r="RRC34" s="16"/>
      <c r="RRD34" s="16"/>
      <c r="RRE34" s="16"/>
      <c r="RRF34" s="16"/>
      <c r="RRG34" s="16"/>
      <c r="RRH34" s="16"/>
      <c r="RRI34" s="16"/>
      <c r="RRJ34" s="16"/>
      <c r="RRK34" s="16"/>
      <c r="RRL34" s="16"/>
      <c r="RRM34" s="16"/>
      <c r="RRN34" s="16"/>
      <c r="RRO34" s="16"/>
      <c r="RRP34" s="16"/>
      <c r="RRQ34" s="16"/>
      <c r="RRR34" s="16"/>
      <c r="RRS34" s="16"/>
      <c r="RRT34" s="16"/>
      <c r="RRU34" s="16"/>
      <c r="RRV34" s="16"/>
      <c r="RRW34" s="16"/>
      <c r="RRX34" s="16"/>
      <c r="RRY34" s="16"/>
      <c r="RRZ34" s="16"/>
      <c r="RSA34" s="16"/>
      <c r="RSB34" s="16"/>
      <c r="RSC34" s="16"/>
      <c r="RSD34" s="16"/>
      <c r="RSE34" s="16"/>
      <c r="RSF34" s="16"/>
      <c r="RSG34" s="16"/>
      <c r="RSH34" s="16"/>
      <c r="RSI34" s="16"/>
      <c r="RSJ34" s="16"/>
      <c r="RSK34" s="16"/>
      <c r="RSL34" s="16"/>
      <c r="RSM34" s="16"/>
      <c r="RSN34" s="16"/>
      <c r="RSO34" s="16"/>
      <c r="RSP34" s="16"/>
      <c r="RSQ34" s="16"/>
      <c r="RSR34" s="16"/>
      <c r="RSS34" s="16"/>
      <c r="RST34" s="16"/>
      <c r="RSU34" s="16"/>
      <c r="RSV34" s="16"/>
      <c r="RSW34" s="16"/>
      <c r="RSX34" s="16"/>
      <c r="RSY34" s="16"/>
      <c r="RSZ34" s="16"/>
      <c r="RTA34" s="16"/>
      <c r="RTB34" s="16"/>
      <c r="RTC34" s="16"/>
      <c r="RTD34" s="16"/>
      <c r="RTE34" s="16"/>
      <c r="RTF34" s="16"/>
      <c r="RTG34" s="16"/>
      <c r="RTH34" s="16"/>
      <c r="RTI34" s="16"/>
      <c r="RTJ34" s="16"/>
      <c r="RTK34" s="16"/>
      <c r="RTL34" s="16"/>
      <c r="RTM34" s="16"/>
      <c r="RTN34" s="16"/>
      <c r="RTO34" s="16"/>
      <c r="RTP34" s="16"/>
      <c r="RTQ34" s="16"/>
      <c r="RTR34" s="16"/>
      <c r="RTS34" s="16"/>
      <c r="RTT34" s="16"/>
      <c r="RTU34" s="16"/>
      <c r="RTV34" s="16"/>
      <c r="RTW34" s="16"/>
      <c r="RTX34" s="16"/>
      <c r="RTY34" s="16"/>
      <c r="RTZ34" s="16"/>
      <c r="RUA34" s="16"/>
      <c r="RUB34" s="16"/>
      <c r="RUC34" s="16"/>
      <c r="RUD34" s="16"/>
      <c r="RUE34" s="16"/>
      <c r="RUF34" s="16"/>
      <c r="RUG34" s="16"/>
      <c r="RUH34" s="16"/>
      <c r="RUI34" s="16"/>
      <c r="RUJ34" s="16"/>
      <c r="RUK34" s="16"/>
      <c r="RUL34" s="16"/>
      <c r="RUM34" s="16"/>
      <c r="RUN34" s="16"/>
      <c r="RUO34" s="16"/>
      <c r="RUP34" s="16"/>
      <c r="RUQ34" s="16"/>
      <c r="RUR34" s="16"/>
      <c r="RUS34" s="16"/>
      <c r="RUT34" s="16"/>
      <c r="RUU34" s="16"/>
      <c r="RUV34" s="16"/>
      <c r="RUW34" s="16"/>
      <c r="RUX34" s="16"/>
      <c r="RUY34" s="16"/>
      <c r="RUZ34" s="16"/>
      <c r="RVA34" s="16"/>
      <c r="RVB34" s="16"/>
      <c r="RVC34" s="16"/>
      <c r="RVD34" s="16"/>
      <c r="RVE34" s="16"/>
      <c r="RVF34" s="16"/>
      <c r="RVG34" s="16"/>
      <c r="RVH34" s="16"/>
      <c r="RVI34" s="16"/>
      <c r="RVJ34" s="16"/>
      <c r="RVK34" s="16"/>
      <c r="RVL34" s="16"/>
      <c r="RVM34" s="16"/>
      <c r="RVN34" s="16"/>
      <c r="RVO34" s="16"/>
      <c r="RVP34" s="16"/>
      <c r="RVQ34" s="16"/>
      <c r="RVR34" s="16"/>
      <c r="RVS34" s="16"/>
      <c r="RVT34" s="16"/>
      <c r="RVU34" s="16"/>
      <c r="RVV34" s="16"/>
      <c r="RVW34" s="16"/>
      <c r="RVX34" s="16"/>
      <c r="RVY34" s="16"/>
      <c r="RVZ34" s="16"/>
      <c r="RWA34" s="16"/>
      <c r="RWB34" s="16"/>
      <c r="RWC34" s="16"/>
      <c r="RWD34" s="16"/>
      <c r="RWE34" s="16"/>
      <c r="RWF34" s="16"/>
      <c r="RWG34" s="16"/>
      <c r="RWH34" s="16"/>
      <c r="RWI34" s="16"/>
      <c r="RWJ34" s="16"/>
      <c r="RWK34" s="16"/>
      <c r="RWL34" s="16"/>
      <c r="RWM34" s="16"/>
      <c r="RWN34" s="16"/>
      <c r="RWO34" s="16"/>
      <c r="RWP34" s="16"/>
      <c r="RWQ34" s="16"/>
      <c r="RWR34" s="16"/>
      <c r="RWS34" s="16"/>
      <c r="RWT34" s="16"/>
      <c r="RWU34" s="16"/>
      <c r="RWV34" s="16"/>
      <c r="RWW34" s="16"/>
      <c r="RWX34" s="16"/>
      <c r="RWY34" s="16"/>
      <c r="RWZ34" s="16"/>
      <c r="RXA34" s="16"/>
      <c r="RXB34" s="16"/>
      <c r="RXC34" s="16"/>
      <c r="RXD34" s="16"/>
      <c r="RXE34" s="16"/>
      <c r="RXF34" s="16"/>
      <c r="RXG34" s="16"/>
      <c r="RXH34" s="16"/>
      <c r="RXI34" s="16"/>
      <c r="RXJ34" s="16"/>
      <c r="RXK34" s="16"/>
      <c r="RXL34" s="16"/>
      <c r="RXM34" s="16"/>
      <c r="RXN34" s="16"/>
      <c r="RXO34" s="16"/>
      <c r="RXP34" s="16"/>
      <c r="RXQ34" s="16"/>
      <c r="RXR34" s="16"/>
      <c r="RXS34" s="16"/>
      <c r="RXT34" s="16"/>
      <c r="RXU34" s="16"/>
      <c r="RXV34" s="16"/>
      <c r="RXW34" s="16"/>
      <c r="RXX34" s="16"/>
      <c r="RXY34" s="16"/>
      <c r="RXZ34" s="16"/>
      <c r="RYA34" s="16"/>
      <c r="RYB34" s="16"/>
      <c r="RYC34" s="16"/>
      <c r="RYD34" s="16"/>
      <c r="RYE34" s="16"/>
      <c r="RYF34" s="16"/>
      <c r="RYG34" s="16"/>
      <c r="RYH34" s="16"/>
      <c r="RYI34" s="16"/>
      <c r="RYJ34" s="16"/>
      <c r="RYK34" s="16"/>
      <c r="RYL34" s="16"/>
      <c r="RYM34" s="16"/>
      <c r="RYN34" s="16"/>
      <c r="RYO34" s="16"/>
      <c r="RYP34" s="16"/>
      <c r="RYQ34" s="16"/>
      <c r="RYR34" s="16"/>
      <c r="RYS34" s="16"/>
      <c r="RYT34" s="16"/>
      <c r="RYU34" s="16"/>
      <c r="RYV34" s="16"/>
      <c r="RYW34" s="16"/>
      <c r="RYX34" s="16"/>
      <c r="RYY34" s="16"/>
      <c r="RYZ34" s="16"/>
      <c r="RZA34" s="16"/>
      <c r="RZB34" s="16"/>
      <c r="RZC34" s="16"/>
      <c r="RZD34" s="16"/>
      <c r="RZE34" s="16"/>
      <c r="RZF34" s="16"/>
      <c r="RZG34" s="16"/>
      <c r="RZH34" s="16"/>
      <c r="RZI34" s="16"/>
      <c r="RZJ34" s="16"/>
      <c r="RZK34" s="16"/>
      <c r="RZL34" s="16"/>
      <c r="RZM34" s="16"/>
      <c r="RZN34" s="16"/>
      <c r="RZO34" s="16"/>
      <c r="RZP34" s="16"/>
      <c r="RZQ34" s="16"/>
      <c r="RZR34" s="16"/>
      <c r="RZS34" s="16"/>
      <c r="RZT34" s="16"/>
      <c r="RZU34" s="16"/>
      <c r="RZV34" s="16"/>
      <c r="RZW34" s="16"/>
      <c r="RZX34" s="16"/>
      <c r="RZY34" s="16"/>
      <c r="RZZ34" s="16"/>
      <c r="SAA34" s="16"/>
      <c r="SAB34" s="16"/>
      <c r="SAC34" s="16"/>
      <c r="SAD34" s="16"/>
      <c r="SAE34" s="16"/>
      <c r="SAF34" s="16"/>
      <c r="SAG34" s="16"/>
      <c r="SAH34" s="16"/>
      <c r="SAI34" s="16"/>
      <c r="SAJ34" s="16"/>
      <c r="SAK34" s="16"/>
      <c r="SAL34" s="16"/>
      <c r="SAM34" s="16"/>
      <c r="SAN34" s="16"/>
      <c r="SAO34" s="16"/>
      <c r="SAP34" s="16"/>
      <c r="SAQ34" s="16"/>
      <c r="SAR34" s="16"/>
      <c r="SAS34" s="16"/>
      <c r="SAT34" s="16"/>
      <c r="SAU34" s="16"/>
      <c r="SAV34" s="16"/>
      <c r="SAW34" s="16"/>
      <c r="SAX34" s="16"/>
      <c r="SAY34" s="16"/>
      <c r="SAZ34" s="16"/>
      <c r="SBA34" s="16"/>
      <c r="SBB34" s="16"/>
      <c r="SBC34" s="16"/>
      <c r="SBD34" s="16"/>
      <c r="SBE34" s="16"/>
      <c r="SBF34" s="16"/>
      <c r="SBG34" s="16"/>
      <c r="SBH34" s="16"/>
      <c r="SBI34" s="16"/>
      <c r="SBJ34" s="16"/>
      <c r="SBK34" s="16"/>
      <c r="SBL34" s="16"/>
      <c r="SBM34" s="16"/>
      <c r="SBN34" s="16"/>
      <c r="SBO34" s="16"/>
      <c r="SBP34" s="16"/>
      <c r="SBQ34" s="16"/>
      <c r="SBR34" s="16"/>
      <c r="SBS34" s="16"/>
      <c r="SBT34" s="16"/>
      <c r="SBU34" s="16"/>
      <c r="SBV34" s="16"/>
      <c r="SBW34" s="16"/>
      <c r="SBX34" s="16"/>
      <c r="SBY34" s="16"/>
      <c r="SBZ34" s="16"/>
      <c r="SCA34" s="16"/>
      <c r="SCB34" s="16"/>
      <c r="SCC34" s="16"/>
      <c r="SCD34" s="16"/>
      <c r="SCE34" s="16"/>
      <c r="SCF34" s="16"/>
      <c r="SCG34" s="16"/>
      <c r="SCH34" s="16"/>
      <c r="SCI34" s="16"/>
      <c r="SCJ34" s="16"/>
      <c r="SCK34" s="16"/>
      <c r="SCL34" s="16"/>
      <c r="SCM34" s="16"/>
      <c r="SCN34" s="16"/>
      <c r="SCO34" s="16"/>
      <c r="SCP34" s="16"/>
      <c r="SCQ34" s="16"/>
      <c r="SCR34" s="16"/>
      <c r="SCS34" s="16"/>
      <c r="SCT34" s="16"/>
      <c r="SCU34" s="16"/>
      <c r="SCV34" s="16"/>
      <c r="SCW34" s="16"/>
      <c r="SCX34" s="16"/>
      <c r="SCY34" s="16"/>
      <c r="SCZ34" s="16"/>
      <c r="SDA34" s="16"/>
      <c r="SDB34" s="16"/>
      <c r="SDC34" s="16"/>
      <c r="SDD34" s="16"/>
      <c r="SDE34" s="16"/>
      <c r="SDF34" s="16"/>
      <c r="SDG34" s="16"/>
      <c r="SDH34" s="16"/>
      <c r="SDI34" s="16"/>
      <c r="SDJ34" s="16"/>
      <c r="SDK34" s="16"/>
      <c r="SDL34" s="16"/>
      <c r="SDM34" s="16"/>
      <c r="SDN34" s="16"/>
      <c r="SDO34" s="16"/>
      <c r="SDP34" s="16"/>
      <c r="SDQ34" s="16"/>
      <c r="SDR34" s="16"/>
      <c r="SDS34" s="16"/>
      <c r="SDT34" s="16"/>
      <c r="SDU34" s="16"/>
      <c r="SDV34" s="16"/>
      <c r="SDW34" s="16"/>
      <c r="SDX34" s="16"/>
      <c r="SDY34" s="16"/>
      <c r="SDZ34" s="16"/>
      <c r="SEA34" s="16"/>
      <c r="SEB34" s="16"/>
      <c r="SEC34" s="16"/>
      <c r="SED34" s="16"/>
      <c r="SEE34" s="16"/>
      <c r="SEF34" s="16"/>
      <c r="SEG34" s="16"/>
      <c r="SEH34" s="16"/>
      <c r="SEI34" s="16"/>
      <c r="SEJ34" s="16"/>
      <c r="SEK34" s="16"/>
      <c r="SEL34" s="16"/>
      <c r="SEM34" s="16"/>
      <c r="SEN34" s="16"/>
      <c r="SEO34" s="16"/>
      <c r="SEP34" s="16"/>
      <c r="SEQ34" s="16"/>
      <c r="SER34" s="16"/>
      <c r="SES34" s="16"/>
      <c r="SET34" s="16"/>
      <c r="SEU34" s="16"/>
      <c r="SEV34" s="16"/>
      <c r="SEW34" s="16"/>
      <c r="SEX34" s="16"/>
      <c r="SEY34" s="16"/>
      <c r="SEZ34" s="16"/>
      <c r="SFA34" s="16"/>
      <c r="SFB34" s="16"/>
      <c r="SFC34" s="16"/>
      <c r="SFD34" s="16"/>
      <c r="SFE34" s="16"/>
      <c r="SFF34" s="16"/>
      <c r="SFG34" s="16"/>
      <c r="SFH34" s="16"/>
      <c r="SFI34" s="16"/>
      <c r="SFJ34" s="16"/>
      <c r="SFK34" s="16"/>
      <c r="SFL34" s="16"/>
      <c r="SFM34" s="16"/>
      <c r="SFN34" s="16"/>
      <c r="SFO34" s="16"/>
      <c r="SFP34" s="16"/>
      <c r="SFQ34" s="16"/>
      <c r="SFR34" s="16"/>
      <c r="SFS34" s="16"/>
      <c r="SFT34" s="16"/>
      <c r="SFU34" s="16"/>
      <c r="SFV34" s="16"/>
      <c r="SFW34" s="16"/>
      <c r="SFX34" s="16"/>
      <c r="SFY34" s="16"/>
      <c r="SFZ34" s="16"/>
      <c r="SGA34" s="16"/>
      <c r="SGB34" s="16"/>
      <c r="SGC34" s="16"/>
      <c r="SGD34" s="16"/>
      <c r="SGE34" s="16"/>
      <c r="SGF34" s="16"/>
      <c r="SGG34" s="16"/>
      <c r="SGH34" s="16"/>
      <c r="SGI34" s="16"/>
      <c r="SGJ34" s="16"/>
      <c r="SGK34" s="16"/>
      <c r="SGL34" s="16"/>
      <c r="SGM34" s="16"/>
      <c r="SGN34" s="16"/>
      <c r="SGO34" s="16"/>
      <c r="SGP34" s="16"/>
      <c r="SGQ34" s="16"/>
      <c r="SGR34" s="16"/>
      <c r="SGS34" s="16"/>
      <c r="SGT34" s="16"/>
      <c r="SGU34" s="16"/>
      <c r="SGV34" s="16"/>
      <c r="SGW34" s="16"/>
      <c r="SGX34" s="16"/>
      <c r="SGY34" s="16"/>
      <c r="SGZ34" s="16"/>
      <c r="SHA34" s="16"/>
      <c r="SHB34" s="16"/>
      <c r="SHC34" s="16"/>
      <c r="SHD34" s="16"/>
      <c r="SHE34" s="16"/>
      <c r="SHF34" s="16"/>
      <c r="SHG34" s="16"/>
      <c r="SHH34" s="16"/>
      <c r="SHI34" s="16"/>
      <c r="SHJ34" s="16"/>
      <c r="SHK34" s="16"/>
      <c r="SHL34" s="16"/>
      <c r="SHM34" s="16"/>
      <c r="SHN34" s="16"/>
      <c r="SHO34" s="16"/>
      <c r="SHP34" s="16"/>
      <c r="SHQ34" s="16"/>
      <c r="SHR34" s="16"/>
      <c r="SHS34" s="16"/>
      <c r="SHT34" s="16"/>
      <c r="SHU34" s="16"/>
      <c r="SHV34" s="16"/>
      <c r="SHW34" s="16"/>
      <c r="SHX34" s="16"/>
      <c r="SHY34" s="16"/>
      <c r="SHZ34" s="16"/>
      <c r="SIA34" s="16"/>
      <c r="SIB34" s="16"/>
      <c r="SIC34" s="16"/>
      <c r="SID34" s="16"/>
      <c r="SIE34" s="16"/>
      <c r="SIF34" s="16"/>
      <c r="SIG34" s="16"/>
      <c r="SIH34" s="16"/>
      <c r="SII34" s="16"/>
      <c r="SIJ34" s="16"/>
      <c r="SIK34" s="16"/>
      <c r="SIL34" s="16"/>
      <c r="SIM34" s="16"/>
      <c r="SIN34" s="16"/>
      <c r="SIO34" s="16"/>
      <c r="SIP34" s="16"/>
      <c r="SIQ34" s="16"/>
      <c r="SIR34" s="16"/>
      <c r="SIS34" s="16"/>
      <c r="SIT34" s="16"/>
      <c r="SIU34" s="16"/>
      <c r="SIV34" s="16"/>
      <c r="SIW34" s="16"/>
      <c r="SIX34" s="16"/>
      <c r="SIY34" s="16"/>
      <c r="SIZ34" s="16"/>
      <c r="SJA34" s="16"/>
      <c r="SJB34" s="16"/>
      <c r="SJC34" s="16"/>
      <c r="SJD34" s="16"/>
      <c r="SJE34" s="16"/>
      <c r="SJF34" s="16"/>
      <c r="SJG34" s="16"/>
      <c r="SJH34" s="16"/>
      <c r="SJI34" s="16"/>
      <c r="SJJ34" s="16"/>
      <c r="SJK34" s="16"/>
      <c r="SJL34" s="16"/>
      <c r="SJM34" s="16"/>
      <c r="SJN34" s="16"/>
      <c r="SJO34" s="16"/>
      <c r="SJP34" s="16"/>
      <c r="SJQ34" s="16"/>
      <c r="SJR34" s="16"/>
      <c r="SJS34" s="16"/>
      <c r="SJT34" s="16"/>
      <c r="SJU34" s="16"/>
      <c r="SJV34" s="16"/>
      <c r="SJW34" s="16"/>
      <c r="SJX34" s="16"/>
      <c r="SJY34" s="16"/>
      <c r="SJZ34" s="16"/>
      <c r="SKA34" s="16"/>
      <c r="SKB34" s="16"/>
      <c r="SKC34" s="16"/>
      <c r="SKD34" s="16"/>
      <c r="SKE34" s="16"/>
      <c r="SKF34" s="16"/>
      <c r="SKG34" s="16"/>
      <c r="SKH34" s="16"/>
      <c r="SKI34" s="16"/>
      <c r="SKJ34" s="16"/>
      <c r="SKK34" s="16"/>
      <c r="SKL34" s="16"/>
      <c r="SKM34" s="16"/>
      <c r="SKN34" s="16"/>
      <c r="SKO34" s="16"/>
      <c r="SKP34" s="16"/>
      <c r="SKQ34" s="16"/>
      <c r="SKR34" s="16"/>
      <c r="SKS34" s="16"/>
      <c r="SKT34" s="16"/>
      <c r="SKU34" s="16"/>
      <c r="SKV34" s="16"/>
      <c r="SKW34" s="16"/>
      <c r="SKX34" s="16"/>
      <c r="SKY34" s="16"/>
      <c r="SKZ34" s="16"/>
      <c r="SLA34" s="16"/>
      <c r="SLB34" s="16"/>
      <c r="SLC34" s="16"/>
      <c r="SLD34" s="16"/>
      <c r="SLE34" s="16"/>
      <c r="SLF34" s="16"/>
      <c r="SLG34" s="16"/>
      <c r="SLH34" s="16"/>
      <c r="SLI34" s="16"/>
      <c r="SLJ34" s="16"/>
      <c r="SLK34" s="16"/>
      <c r="SLL34" s="16"/>
      <c r="SLM34" s="16"/>
      <c r="SLN34" s="16"/>
      <c r="SLO34" s="16"/>
      <c r="SLP34" s="16"/>
      <c r="SLQ34" s="16"/>
      <c r="SLR34" s="16"/>
      <c r="SLS34" s="16"/>
      <c r="SLT34" s="16"/>
      <c r="SLU34" s="16"/>
      <c r="SLV34" s="16"/>
      <c r="SLW34" s="16"/>
      <c r="SLX34" s="16"/>
      <c r="SLY34" s="16"/>
      <c r="SLZ34" s="16"/>
      <c r="SMA34" s="16"/>
      <c r="SMB34" s="16"/>
      <c r="SMC34" s="16"/>
      <c r="SMD34" s="16"/>
      <c r="SME34" s="16"/>
      <c r="SMF34" s="16"/>
      <c r="SMG34" s="16"/>
      <c r="SMH34" s="16"/>
      <c r="SMI34" s="16"/>
      <c r="SMJ34" s="16"/>
      <c r="SMK34" s="16"/>
      <c r="SML34" s="16"/>
      <c r="SMM34" s="16"/>
      <c r="SMN34" s="16"/>
      <c r="SMO34" s="16"/>
      <c r="SMP34" s="16"/>
      <c r="SMQ34" s="16"/>
      <c r="SMR34" s="16"/>
      <c r="SMS34" s="16"/>
      <c r="SMT34" s="16"/>
      <c r="SMU34" s="16"/>
      <c r="SMV34" s="16"/>
      <c r="SMW34" s="16"/>
      <c r="SMX34" s="16"/>
      <c r="SMY34" s="16"/>
      <c r="SMZ34" s="16"/>
      <c r="SNA34" s="16"/>
      <c r="SNB34" s="16"/>
      <c r="SNC34" s="16"/>
      <c r="SND34" s="16"/>
      <c r="SNE34" s="16"/>
      <c r="SNF34" s="16"/>
      <c r="SNG34" s="16"/>
      <c r="SNH34" s="16"/>
      <c r="SNI34" s="16"/>
      <c r="SNJ34" s="16"/>
      <c r="SNK34" s="16"/>
      <c r="SNL34" s="16"/>
      <c r="SNM34" s="16"/>
      <c r="SNN34" s="16"/>
      <c r="SNO34" s="16"/>
      <c r="SNP34" s="16"/>
      <c r="SNQ34" s="16"/>
      <c r="SNR34" s="16"/>
      <c r="SNS34" s="16"/>
      <c r="SNT34" s="16"/>
      <c r="SNU34" s="16"/>
      <c r="SNV34" s="16"/>
      <c r="SNW34" s="16"/>
      <c r="SNX34" s="16"/>
      <c r="SNY34" s="16"/>
      <c r="SNZ34" s="16"/>
      <c r="SOA34" s="16"/>
      <c r="SOB34" s="16"/>
      <c r="SOC34" s="16"/>
      <c r="SOD34" s="16"/>
      <c r="SOE34" s="16"/>
      <c r="SOF34" s="16"/>
      <c r="SOG34" s="16"/>
      <c r="SOH34" s="16"/>
      <c r="SOI34" s="16"/>
      <c r="SOJ34" s="16"/>
      <c r="SOK34" s="16"/>
      <c r="SOL34" s="16"/>
      <c r="SOM34" s="16"/>
      <c r="SON34" s="16"/>
      <c r="SOO34" s="16"/>
      <c r="SOP34" s="16"/>
      <c r="SOQ34" s="16"/>
      <c r="SOR34" s="16"/>
      <c r="SOS34" s="16"/>
      <c r="SOT34" s="16"/>
      <c r="SOU34" s="16"/>
      <c r="SOV34" s="16"/>
      <c r="SOW34" s="16"/>
      <c r="SOX34" s="16"/>
      <c r="SOY34" s="16"/>
      <c r="SOZ34" s="16"/>
      <c r="SPA34" s="16"/>
      <c r="SPB34" s="16"/>
      <c r="SPC34" s="16"/>
      <c r="SPD34" s="16"/>
      <c r="SPE34" s="16"/>
      <c r="SPF34" s="16"/>
      <c r="SPG34" s="16"/>
      <c r="SPH34" s="16"/>
      <c r="SPI34" s="16"/>
      <c r="SPJ34" s="16"/>
      <c r="SPK34" s="16"/>
      <c r="SPL34" s="16"/>
      <c r="SPM34" s="16"/>
      <c r="SPN34" s="16"/>
      <c r="SPO34" s="16"/>
      <c r="SPP34" s="16"/>
      <c r="SPQ34" s="16"/>
      <c r="SPR34" s="16"/>
      <c r="SPS34" s="16"/>
      <c r="SPT34" s="16"/>
      <c r="SPU34" s="16"/>
      <c r="SPV34" s="16"/>
      <c r="SPW34" s="16"/>
      <c r="SPX34" s="16"/>
      <c r="SPY34" s="16"/>
      <c r="SPZ34" s="16"/>
      <c r="SQA34" s="16"/>
      <c r="SQB34" s="16"/>
      <c r="SQC34" s="16"/>
      <c r="SQD34" s="16"/>
      <c r="SQE34" s="16"/>
      <c r="SQF34" s="16"/>
      <c r="SQG34" s="16"/>
      <c r="SQH34" s="16"/>
      <c r="SQI34" s="16"/>
      <c r="SQJ34" s="16"/>
      <c r="SQK34" s="16"/>
      <c r="SQL34" s="16"/>
      <c r="SQM34" s="16"/>
      <c r="SQN34" s="16"/>
      <c r="SQO34" s="16"/>
      <c r="SQP34" s="16"/>
      <c r="SQQ34" s="16"/>
      <c r="SQR34" s="16"/>
      <c r="SQS34" s="16"/>
      <c r="SQT34" s="16"/>
      <c r="SQU34" s="16"/>
      <c r="SQV34" s="16"/>
      <c r="SQW34" s="16"/>
      <c r="SQX34" s="16"/>
      <c r="SQY34" s="16"/>
      <c r="SQZ34" s="16"/>
      <c r="SRA34" s="16"/>
      <c r="SRB34" s="16"/>
      <c r="SRC34" s="16"/>
      <c r="SRD34" s="16"/>
      <c r="SRE34" s="16"/>
      <c r="SRF34" s="16"/>
      <c r="SRG34" s="16"/>
      <c r="SRH34" s="16"/>
      <c r="SRI34" s="16"/>
      <c r="SRJ34" s="16"/>
      <c r="SRK34" s="16"/>
      <c r="SRL34" s="16"/>
      <c r="SRM34" s="16"/>
      <c r="SRN34" s="16"/>
      <c r="SRO34" s="16"/>
      <c r="SRP34" s="16"/>
      <c r="SRQ34" s="16"/>
      <c r="SRR34" s="16"/>
      <c r="SRS34" s="16"/>
      <c r="SRT34" s="16"/>
      <c r="SRU34" s="16"/>
      <c r="SRV34" s="16"/>
      <c r="SRW34" s="16"/>
      <c r="SRX34" s="16"/>
      <c r="SRY34" s="16"/>
      <c r="SRZ34" s="16"/>
      <c r="SSA34" s="16"/>
      <c r="SSB34" s="16"/>
      <c r="SSC34" s="16"/>
      <c r="SSD34" s="16"/>
      <c r="SSE34" s="16"/>
      <c r="SSF34" s="16"/>
      <c r="SSG34" s="16"/>
      <c r="SSH34" s="16"/>
      <c r="SSI34" s="16"/>
      <c r="SSJ34" s="16"/>
      <c r="SSK34" s="16"/>
      <c r="SSL34" s="16"/>
      <c r="SSM34" s="16"/>
      <c r="SSN34" s="16"/>
      <c r="SSO34" s="16"/>
      <c r="SSP34" s="16"/>
      <c r="SSQ34" s="16"/>
      <c r="SSR34" s="16"/>
      <c r="SSS34" s="16"/>
      <c r="SST34" s="16"/>
      <c r="SSU34" s="16"/>
      <c r="SSV34" s="16"/>
      <c r="SSW34" s="16"/>
      <c r="SSX34" s="16"/>
      <c r="SSY34" s="16"/>
      <c r="SSZ34" s="16"/>
      <c r="STA34" s="16"/>
      <c r="STB34" s="16"/>
      <c r="STC34" s="16"/>
      <c r="STD34" s="16"/>
      <c r="STE34" s="16"/>
      <c r="STF34" s="16"/>
      <c r="STG34" s="16"/>
      <c r="STH34" s="16"/>
      <c r="STI34" s="16"/>
      <c r="STJ34" s="16"/>
      <c r="STK34" s="16"/>
      <c r="STL34" s="16"/>
      <c r="STM34" s="16"/>
      <c r="STN34" s="16"/>
      <c r="STO34" s="16"/>
      <c r="STP34" s="16"/>
      <c r="STQ34" s="16"/>
      <c r="STR34" s="16"/>
      <c r="STS34" s="16"/>
      <c r="STT34" s="16"/>
      <c r="STU34" s="16"/>
      <c r="STV34" s="16"/>
      <c r="STW34" s="16"/>
      <c r="STX34" s="16"/>
      <c r="STY34" s="16"/>
      <c r="STZ34" s="16"/>
      <c r="SUA34" s="16"/>
      <c r="SUB34" s="16"/>
      <c r="SUC34" s="16"/>
      <c r="SUD34" s="16"/>
      <c r="SUE34" s="16"/>
      <c r="SUF34" s="16"/>
      <c r="SUG34" s="16"/>
      <c r="SUH34" s="16"/>
      <c r="SUI34" s="16"/>
      <c r="SUJ34" s="16"/>
      <c r="SUK34" s="16"/>
      <c r="SUL34" s="16"/>
      <c r="SUM34" s="16"/>
      <c r="SUN34" s="16"/>
      <c r="SUO34" s="16"/>
      <c r="SUP34" s="16"/>
      <c r="SUQ34" s="16"/>
      <c r="SUR34" s="16"/>
      <c r="SUS34" s="16"/>
      <c r="SUT34" s="16"/>
      <c r="SUU34" s="16"/>
      <c r="SUV34" s="16"/>
      <c r="SUW34" s="16"/>
      <c r="SUX34" s="16"/>
      <c r="SUY34" s="16"/>
      <c r="SUZ34" s="16"/>
      <c r="SVA34" s="16"/>
      <c r="SVB34" s="16"/>
      <c r="SVC34" s="16"/>
      <c r="SVD34" s="16"/>
      <c r="SVE34" s="16"/>
      <c r="SVF34" s="16"/>
      <c r="SVG34" s="16"/>
      <c r="SVH34" s="16"/>
      <c r="SVI34" s="16"/>
      <c r="SVJ34" s="16"/>
      <c r="SVK34" s="16"/>
      <c r="SVL34" s="16"/>
      <c r="SVM34" s="16"/>
      <c r="SVN34" s="16"/>
      <c r="SVO34" s="16"/>
      <c r="SVP34" s="16"/>
      <c r="SVQ34" s="16"/>
      <c r="SVR34" s="16"/>
      <c r="SVS34" s="16"/>
      <c r="SVT34" s="16"/>
      <c r="SVU34" s="16"/>
      <c r="SVV34" s="16"/>
      <c r="SVW34" s="16"/>
      <c r="SVX34" s="16"/>
      <c r="SVY34" s="16"/>
      <c r="SVZ34" s="16"/>
      <c r="SWA34" s="16"/>
      <c r="SWB34" s="16"/>
      <c r="SWC34" s="16"/>
      <c r="SWD34" s="16"/>
      <c r="SWE34" s="16"/>
      <c r="SWF34" s="16"/>
      <c r="SWG34" s="16"/>
      <c r="SWH34" s="16"/>
      <c r="SWI34" s="16"/>
      <c r="SWJ34" s="16"/>
      <c r="SWK34" s="16"/>
      <c r="SWL34" s="16"/>
      <c r="SWM34" s="16"/>
      <c r="SWN34" s="16"/>
      <c r="SWO34" s="16"/>
      <c r="SWP34" s="16"/>
      <c r="SWQ34" s="16"/>
      <c r="SWR34" s="16"/>
      <c r="SWS34" s="16"/>
      <c r="SWT34" s="16"/>
      <c r="SWU34" s="16"/>
      <c r="SWV34" s="16"/>
      <c r="SWW34" s="16"/>
      <c r="SWX34" s="16"/>
      <c r="SWY34" s="16"/>
      <c r="SWZ34" s="16"/>
      <c r="SXA34" s="16"/>
      <c r="SXB34" s="16"/>
      <c r="SXC34" s="16"/>
      <c r="SXD34" s="16"/>
      <c r="SXE34" s="16"/>
      <c r="SXF34" s="16"/>
      <c r="SXG34" s="16"/>
      <c r="SXH34" s="16"/>
      <c r="SXI34" s="16"/>
      <c r="SXJ34" s="16"/>
      <c r="SXK34" s="16"/>
      <c r="SXL34" s="16"/>
      <c r="SXM34" s="16"/>
      <c r="SXN34" s="16"/>
      <c r="SXO34" s="16"/>
      <c r="SXP34" s="16"/>
      <c r="SXQ34" s="16"/>
      <c r="SXR34" s="16"/>
      <c r="SXS34" s="16"/>
      <c r="SXT34" s="16"/>
      <c r="SXU34" s="16"/>
      <c r="SXV34" s="16"/>
      <c r="SXW34" s="16"/>
      <c r="SXX34" s="16"/>
      <c r="SXY34" s="16"/>
      <c r="SXZ34" s="16"/>
      <c r="SYA34" s="16"/>
      <c r="SYB34" s="16"/>
      <c r="SYC34" s="16"/>
      <c r="SYD34" s="16"/>
      <c r="SYE34" s="16"/>
      <c r="SYF34" s="16"/>
      <c r="SYG34" s="16"/>
      <c r="SYH34" s="16"/>
      <c r="SYI34" s="16"/>
      <c r="SYJ34" s="16"/>
      <c r="SYK34" s="16"/>
      <c r="SYL34" s="16"/>
      <c r="SYM34" s="16"/>
      <c r="SYN34" s="16"/>
      <c r="SYO34" s="16"/>
      <c r="SYP34" s="16"/>
      <c r="SYQ34" s="16"/>
      <c r="SYR34" s="16"/>
      <c r="SYS34" s="16"/>
      <c r="SYT34" s="16"/>
      <c r="SYU34" s="16"/>
      <c r="SYV34" s="16"/>
      <c r="SYW34" s="16"/>
      <c r="SYX34" s="16"/>
      <c r="SYY34" s="16"/>
      <c r="SYZ34" s="16"/>
      <c r="SZA34" s="16"/>
      <c r="SZB34" s="16"/>
      <c r="SZC34" s="16"/>
      <c r="SZD34" s="16"/>
      <c r="SZE34" s="16"/>
      <c r="SZF34" s="16"/>
      <c r="SZG34" s="16"/>
      <c r="SZH34" s="16"/>
      <c r="SZI34" s="16"/>
      <c r="SZJ34" s="16"/>
      <c r="SZK34" s="16"/>
      <c r="SZL34" s="16"/>
      <c r="SZM34" s="16"/>
      <c r="SZN34" s="16"/>
      <c r="SZO34" s="16"/>
      <c r="SZP34" s="16"/>
      <c r="SZQ34" s="16"/>
      <c r="SZR34" s="16"/>
      <c r="SZS34" s="16"/>
      <c r="SZT34" s="16"/>
      <c r="SZU34" s="16"/>
      <c r="SZV34" s="16"/>
      <c r="SZW34" s="16"/>
      <c r="SZX34" s="16"/>
      <c r="SZY34" s="16"/>
      <c r="SZZ34" s="16"/>
      <c r="TAA34" s="16"/>
      <c r="TAB34" s="16"/>
      <c r="TAC34" s="16"/>
      <c r="TAD34" s="16"/>
      <c r="TAE34" s="16"/>
      <c r="TAF34" s="16"/>
      <c r="TAG34" s="16"/>
      <c r="TAH34" s="16"/>
      <c r="TAI34" s="16"/>
      <c r="TAJ34" s="16"/>
      <c r="TAK34" s="16"/>
      <c r="TAL34" s="16"/>
      <c r="TAM34" s="16"/>
      <c r="TAN34" s="16"/>
      <c r="TAO34" s="16"/>
      <c r="TAP34" s="16"/>
      <c r="TAQ34" s="16"/>
      <c r="TAR34" s="16"/>
      <c r="TAS34" s="16"/>
      <c r="TAT34" s="16"/>
      <c r="TAU34" s="16"/>
      <c r="TAV34" s="16"/>
      <c r="TAW34" s="16"/>
      <c r="TAX34" s="16"/>
      <c r="TAY34" s="16"/>
      <c r="TAZ34" s="16"/>
      <c r="TBA34" s="16"/>
      <c r="TBB34" s="16"/>
      <c r="TBC34" s="16"/>
      <c r="TBD34" s="16"/>
      <c r="TBE34" s="16"/>
      <c r="TBF34" s="16"/>
      <c r="TBG34" s="16"/>
      <c r="TBH34" s="16"/>
      <c r="TBI34" s="16"/>
      <c r="TBJ34" s="16"/>
      <c r="TBK34" s="16"/>
      <c r="TBL34" s="16"/>
      <c r="TBM34" s="16"/>
      <c r="TBN34" s="16"/>
      <c r="TBO34" s="16"/>
      <c r="TBP34" s="16"/>
      <c r="TBQ34" s="16"/>
      <c r="TBR34" s="16"/>
      <c r="TBS34" s="16"/>
      <c r="TBT34" s="16"/>
      <c r="TBU34" s="16"/>
      <c r="TBV34" s="16"/>
      <c r="TBW34" s="16"/>
      <c r="TBX34" s="16"/>
      <c r="TBY34" s="16"/>
      <c r="TBZ34" s="16"/>
      <c r="TCA34" s="16"/>
      <c r="TCB34" s="16"/>
      <c r="TCC34" s="16"/>
      <c r="TCD34" s="16"/>
      <c r="TCE34" s="16"/>
      <c r="TCF34" s="16"/>
      <c r="TCG34" s="16"/>
      <c r="TCH34" s="16"/>
      <c r="TCI34" s="16"/>
      <c r="TCJ34" s="16"/>
      <c r="TCK34" s="16"/>
      <c r="TCL34" s="16"/>
      <c r="TCM34" s="16"/>
      <c r="TCN34" s="16"/>
      <c r="TCO34" s="16"/>
      <c r="TCP34" s="16"/>
      <c r="TCQ34" s="16"/>
      <c r="TCR34" s="16"/>
      <c r="TCS34" s="16"/>
      <c r="TCT34" s="16"/>
      <c r="TCU34" s="16"/>
      <c r="TCV34" s="16"/>
      <c r="TCW34" s="16"/>
      <c r="TCX34" s="16"/>
      <c r="TCY34" s="16"/>
      <c r="TCZ34" s="16"/>
      <c r="TDA34" s="16"/>
      <c r="TDB34" s="16"/>
      <c r="TDC34" s="16"/>
      <c r="TDD34" s="16"/>
      <c r="TDE34" s="16"/>
      <c r="TDF34" s="16"/>
      <c r="TDG34" s="16"/>
      <c r="TDH34" s="16"/>
      <c r="TDI34" s="16"/>
      <c r="TDJ34" s="16"/>
      <c r="TDK34" s="16"/>
      <c r="TDL34" s="16"/>
      <c r="TDM34" s="16"/>
      <c r="TDN34" s="16"/>
      <c r="TDO34" s="16"/>
      <c r="TDP34" s="16"/>
      <c r="TDQ34" s="16"/>
      <c r="TDR34" s="16"/>
      <c r="TDS34" s="16"/>
      <c r="TDT34" s="16"/>
      <c r="TDU34" s="16"/>
      <c r="TDV34" s="16"/>
      <c r="TDW34" s="16"/>
      <c r="TDX34" s="16"/>
      <c r="TDY34" s="16"/>
      <c r="TDZ34" s="16"/>
      <c r="TEA34" s="16"/>
      <c r="TEB34" s="16"/>
      <c r="TEC34" s="16"/>
      <c r="TED34" s="16"/>
      <c r="TEE34" s="16"/>
      <c r="TEF34" s="16"/>
      <c r="TEG34" s="16"/>
      <c r="TEH34" s="16"/>
      <c r="TEI34" s="16"/>
      <c r="TEJ34" s="16"/>
      <c r="TEK34" s="16"/>
      <c r="TEL34" s="16"/>
      <c r="TEM34" s="16"/>
      <c r="TEN34" s="16"/>
      <c r="TEO34" s="16"/>
      <c r="TEP34" s="16"/>
      <c r="TEQ34" s="16"/>
      <c r="TER34" s="16"/>
      <c r="TES34" s="16"/>
      <c r="TET34" s="16"/>
      <c r="TEU34" s="16"/>
      <c r="TEV34" s="16"/>
      <c r="TEW34" s="16"/>
      <c r="TEX34" s="16"/>
      <c r="TEY34" s="16"/>
      <c r="TEZ34" s="16"/>
      <c r="TFA34" s="16"/>
      <c r="TFB34" s="16"/>
      <c r="TFC34" s="16"/>
      <c r="TFD34" s="16"/>
      <c r="TFE34" s="16"/>
      <c r="TFF34" s="16"/>
      <c r="TFG34" s="16"/>
      <c r="TFH34" s="16"/>
      <c r="TFI34" s="16"/>
      <c r="TFJ34" s="16"/>
      <c r="TFK34" s="16"/>
      <c r="TFL34" s="16"/>
      <c r="TFM34" s="16"/>
      <c r="TFN34" s="16"/>
      <c r="TFO34" s="16"/>
      <c r="TFP34" s="16"/>
      <c r="TFQ34" s="16"/>
      <c r="TFR34" s="16"/>
      <c r="TFS34" s="16"/>
      <c r="TFT34" s="16"/>
      <c r="TFU34" s="16"/>
      <c r="TFV34" s="16"/>
      <c r="TFW34" s="16"/>
      <c r="TFX34" s="16"/>
      <c r="TFY34" s="16"/>
      <c r="TFZ34" s="16"/>
      <c r="TGA34" s="16"/>
      <c r="TGB34" s="16"/>
      <c r="TGC34" s="16"/>
      <c r="TGD34" s="16"/>
      <c r="TGE34" s="16"/>
      <c r="TGF34" s="16"/>
      <c r="TGG34" s="16"/>
      <c r="TGH34" s="16"/>
      <c r="TGI34" s="16"/>
      <c r="TGJ34" s="16"/>
      <c r="TGK34" s="16"/>
      <c r="TGL34" s="16"/>
      <c r="TGM34" s="16"/>
      <c r="TGN34" s="16"/>
      <c r="TGO34" s="16"/>
      <c r="TGP34" s="16"/>
      <c r="TGQ34" s="16"/>
      <c r="TGR34" s="16"/>
      <c r="TGS34" s="16"/>
      <c r="TGT34" s="16"/>
      <c r="TGU34" s="16"/>
      <c r="TGV34" s="16"/>
      <c r="TGW34" s="16"/>
      <c r="TGX34" s="16"/>
      <c r="TGY34" s="16"/>
      <c r="TGZ34" s="16"/>
      <c r="THA34" s="16"/>
      <c r="THB34" s="16"/>
      <c r="THC34" s="16"/>
      <c r="THD34" s="16"/>
      <c r="THE34" s="16"/>
      <c r="THF34" s="16"/>
      <c r="THG34" s="16"/>
      <c r="THH34" s="16"/>
      <c r="THI34" s="16"/>
      <c r="THJ34" s="16"/>
      <c r="THK34" s="16"/>
      <c r="THL34" s="16"/>
      <c r="THM34" s="16"/>
      <c r="THN34" s="16"/>
      <c r="THO34" s="16"/>
      <c r="THP34" s="16"/>
      <c r="THQ34" s="16"/>
      <c r="THR34" s="16"/>
      <c r="THS34" s="16"/>
      <c r="THT34" s="16"/>
      <c r="THU34" s="16"/>
      <c r="THV34" s="16"/>
      <c r="THW34" s="16"/>
      <c r="THX34" s="16"/>
      <c r="THY34" s="16"/>
      <c r="THZ34" s="16"/>
      <c r="TIA34" s="16"/>
      <c r="TIB34" s="16"/>
      <c r="TIC34" s="16"/>
      <c r="TID34" s="16"/>
      <c r="TIE34" s="16"/>
      <c r="TIF34" s="16"/>
      <c r="TIG34" s="16"/>
      <c r="TIH34" s="16"/>
      <c r="TII34" s="16"/>
      <c r="TIJ34" s="16"/>
      <c r="TIK34" s="16"/>
      <c r="TIL34" s="16"/>
      <c r="TIM34" s="16"/>
      <c r="TIN34" s="16"/>
      <c r="TIO34" s="16"/>
      <c r="TIP34" s="16"/>
      <c r="TIQ34" s="16"/>
      <c r="TIR34" s="16"/>
      <c r="TIS34" s="16"/>
      <c r="TIT34" s="16"/>
      <c r="TIU34" s="16"/>
      <c r="TIV34" s="16"/>
      <c r="TIW34" s="16"/>
      <c r="TIX34" s="16"/>
      <c r="TIY34" s="16"/>
      <c r="TIZ34" s="16"/>
      <c r="TJA34" s="16"/>
      <c r="TJB34" s="16"/>
      <c r="TJC34" s="16"/>
      <c r="TJD34" s="16"/>
      <c r="TJE34" s="16"/>
      <c r="TJF34" s="16"/>
      <c r="TJG34" s="16"/>
      <c r="TJH34" s="16"/>
      <c r="TJI34" s="16"/>
      <c r="TJJ34" s="16"/>
      <c r="TJK34" s="16"/>
      <c r="TJL34" s="16"/>
      <c r="TJM34" s="16"/>
      <c r="TJN34" s="16"/>
      <c r="TJO34" s="16"/>
      <c r="TJP34" s="16"/>
      <c r="TJQ34" s="16"/>
      <c r="TJR34" s="16"/>
      <c r="TJS34" s="16"/>
      <c r="TJT34" s="16"/>
      <c r="TJU34" s="16"/>
      <c r="TJV34" s="16"/>
      <c r="TJW34" s="16"/>
      <c r="TJX34" s="16"/>
      <c r="TJY34" s="16"/>
      <c r="TJZ34" s="16"/>
      <c r="TKA34" s="16"/>
      <c r="TKB34" s="16"/>
      <c r="TKC34" s="16"/>
      <c r="TKD34" s="16"/>
      <c r="TKE34" s="16"/>
      <c r="TKF34" s="16"/>
      <c r="TKG34" s="16"/>
      <c r="TKH34" s="16"/>
      <c r="TKI34" s="16"/>
      <c r="TKJ34" s="16"/>
      <c r="TKK34" s="16"/>
      <c r="TKL34" s="16"/>
      <c r="TKM34" s="16"/>
      <c r="TKN34" s="16"/>
      <c r="TKO34" s="16"/>
      <c r="TKP34" s="16"/>
      <c r="TKQ34" s="16"/>
      <c r="TKR34" s="16"/>
      <c r="TKS34" s="16"/>
      <c r="TKT34" s="16"/>
      <c r="TKU34" s="16"/>
      <c r="TKV34" s="16"/>
      <c r="TKW34" s="16"/>
      <c r="TKX34" s="16"/>
      <c r="TKY34" s="16"/>
      <c r="TKZ34" s="16"/>
      <c r="TLA34" s="16"/>
      <c r="TLB34" s="16"/>
      <c r="TLC34" s="16"/>
      <c r="TLD34" s="16"/>
      <c r="TLE34" s="16"/>
      <c r="TLF34" s="16"/>
      <c r="TLG34" s="16"/>
      <c r="TLH34" s="16"/>
      <c r="TLI34" s="16"/>
      <c r="TLJ34" s="16"/>
      <c r="TLK34" s="16"/>
      <c r="TLL34" s="16"/>
      <c r="TLM34" s="16"/>
      <c r="TLN34" s="16"/>
      <c r="TLO34" s="16"/>
      <c r="TLP34" s="16"/>
      <c r="TLQ34" s="16"/>
      <c r="TLR34" s="16"/>
      <c r="TLS34" s="16"/>
      <c r="TLT34" s="16"/>
      <c r="TLU34" s="16"/>
      <c r="TLV34" s="16"/>
      <c r="TLW34" s="16"/>
      <c r="TLX34" s="16"/>
      <c r="TLY34" s="16"/>
      <c r="TLZ34" s="16"/>
      <c r="TMA34" s="16"/>
      <c r="TMB34" s="16"/>
      <c r="TMC34" s="16"/>
      <c r="TMD34" s="16"/>
      <c r="TME34" s="16"/>
      <c r="TMF34" s="16"/>
      <c r="TMG34" s="16"/>
      <c r="TMH34" s="16"/>
      <c r="TMI34" s="16"/>
      <c r="TMJ34" s="16"/>
      <c r="TMK34" s="16"/>
      <c r="TML34" s="16"/>
      <c r="TMM34" s="16"/>
      <c r="TMN34" s="16"/>
      <c r="TMO34" s="16"/>
      <c r="TMP34" s="16"/>
      <c r="TMQ34" s="16"/>
      <c r="TMR34" s="16"/>
      <c r="TMS34" s="16"/>
      <c r="TMT34" s="16"/>
      <c r="TMU34" s="16"/>
      <c r="TMV34" s="16"/>
      <c r="TMW34" s="16"/>
      <c r="TMX34" s="16"/>
      <c r="TMY34" s="16"/>
      <c r="TMZ34" s="16"/>
      <c r="TNA34" s="16"/>
      <c r="TNB34" s="16"/>
      <c r="TNC34" s="16"/>
      <c r="TND34" s="16"/>
      <c r="TNE34" s="16"/>
      <c r="TNF34" s="16"/>
      <c r="TNG34" s="16"/>
      <c r="TNH34" s="16"/>
      <c r="TNI34" s="16"/>
      <c r="TNJ34" s="16"/>
      <c r="TNK34" s="16"/>
      <c r="TNL34" s="16"/>
      <c r="TNM34" s="16"/>
      <c r="TNN34" s="16"/>
      <c r="TNO34" s="16"/>
      <c r="TNP34" s="16"/>
      <c r="TNQ34" s="16"/>
      <c r="TNR34" s="16"/>
      <c r="TNS34" s="16"/>
      <c r="TNT34" s="16"/>
      <c r="TNU34" s="16"/>
      <c r="TNV34" s="16"/>
      <c r="TNW34" s="16"/>
      <c r="TNX34" s="16"/>
      <c r="TNY34" s="16"/>
      <c r="TNZ34" s="16"/>
      <c r="TOA34" s="16"/>
      <c r="TOB34" s="16"/>
      <c r="TOC34" s="16"/>
      <c r="TOD34" s="16"/>
      <c r="TOE34" s="16"/>
      <c r="TOF34" s="16"/>
      <c r="TOG34" s="16"/>
      <c r="TOH34" s="16"/>
      <c r="TOI34" s="16"/>
      <c r="TOJ34" s="16"/>
      <c r="TOK34" s="16"/>
      <c r="TOL34" s="16"/>
      <c r="TOM34" s="16"/>
      <c r="TON34" s="16"/>
      <c r="TOO34" s="16"/>
      <c r="TOP34" s="16"/>
      <c r="TOQ34" s="16"/>
      <c r="TOR34" s="16"/>
      <c r="TOS34" s="16"/>
      <c r="TOT34" s="16"/>
      <c r="TOU34" s="16"/>
      <c r="TOV34" s="16"/>
      <c r="TOW34" s="16"/>
      <c r="TOX34" s="16"/>
      <c r="TOY34" s="16"/>
      <c r="TOZ34" s="16"/>
      <c r="TPA34" s="16"/>
      <c r="TPB34" s="16"/>
      <c r="TPC34" s="16"/>
      <c r="TPD34" s="16"/>
      <c r="TPE34" s="16"/>
      <c r="TPF34" s="16"/>
      <c r="TPG34" s="16"/>
      <c r="TPH34" s="16"/>
      <c r="TPI34" s="16"/>
      <c r="TPJ34" s="16"/>
      <c r="TPK34" s="16"/>
      <c r="TPL34" s="16"/>
      <c r="TPM34" s="16"/>
      <c r="TPN34" s="16"/>
      <c r="TPO34" s="16"/>
      <c r="TPP34" s="16"/>
      <c r="TPQ34" s="16"/>
      <c r="TPR34" s="16"/>
      <c r="TPS34" s="16"/>
      <c r="TPT34" s="16"/>
      <c r="TPU34" s="16"/>
      <c r="TPV34" s="16"/>
      <c r="TPW34" s="16"/>
      <c r="TPX34" s="16"/>
      <c r="TPY34" s="16"/>
      <c r="TPZ34" s="16"/>
      <c r="TQA34" s="16"/>
      <c r="TQB34" s="16"/>
      <c r="TQC34" s="16"/>
      <c r="TQD34" s="16"/>
      <c r="TQE34" s="16"/>
      <c r="TQF34" s="16"/>
      <c r="TQG34" s="16"/>
      <c r="TQH34" s="16"/>
      <c r="TQI34" s="16"/>
      <c r="TQJ34" s="16"/>
      <c r="TQK34" s="16"/>
      <c r="TQL34" s="16"/>
      <c r="TQM34" s="16"/>
      <c r="TQN34" s="16"/>
      <c r="TQO34" s="16"/>
      <c r="TQP34" s="16"/>
      <c r="TQQ34" s="16"/>
      <c r="TQR34" s="16"/>
      <c r="TQS34" s="16"/>
      <c r="TQT34" s="16"/>
      <c r="TQU34" s="16"/>
      <c r="TQV34" s="16"/>
      <c r="TQW34" s="16"/>
      <c r="TQX34" s="16"/>
      <c r="TQY34" s="16"/>
      <c r="TQZ34" s="16"/>
      <c r="TRA34" s="16"/>
      <c r="TRB34" s="16"/>
      <c r="TRC34" s="16"/>
      <c r="TRD34" s="16"/>
      <c r="TRE34" s="16"/>
      <c r="TRF34" s="16"/>
      <c r="TRG34" s="16"/>
      <c r="TRH34" s="16"/>
      <c r="TRI34" s="16"/>
      <c r="TRJ34" s="16"/>
      <c r="TRK34" s="16"/>
      <c r="TRL34" s="16"/>
      <c r="TRM34" s="16"/>
      <c r="TRN34" s="16"/>
      <c r="TRO34" s="16"/>
      <c r="TRP34" s="16"/>
      <c r="TRQ34" s="16"/>
      <c r="TRR34" s="16"/>
      <c r="TRS34" s="16"/>
      <c r="TRT34" s="16"/>
      <c r="TRU34" s="16"/>
      <c r="TRV34" s="16"/>
      <c r="TRW34" s="16"/>
      <c r="TRX34" s="16"/>
      <c r="TRY34" s="16"/>
      <c r="TRZ34" s="16"/>
      <c r="TSA34" s="16"/>
      <c r="TSB34" s="16"/>
      <c r="TSC34" s="16"/>
      <c r="TSD34" s="16"/>
      <c r="TSE34" s="16"/>
      <c r="TSF34" s="16"/>
      <c r="TSG34" s="16"/>
      <c r="TSH34" s="16"/>
      <c r="TSI34" s="16"/>
      <c r="TSJ34" s="16"/>
      <c r="TSK34" s="16"/>
      <c r="TSL34" s="16"/>
      <c r="TSM34" s="16"/>
      <c r="TSN34" s="16"/>
      <c r="TSO34" s="16"/>
      <c r="TSP34" s="16"/>
      <c r="TSQ34" s="16"/>
      <c r="TSR34" s="16"/>
      <c r="TSS34" s="16"/>
      <c r="TST34" s="16"/>
      <c r="TSU34" s="16"/>
      <c r="TSV34" s="16"/>
      <c r="TSW34" s="16"/>
      <c r="TSX34" s="16"/>
      <c r="TSY34" s="16"/>
      <c r="TSZ34" s="16"/>
      <c r="TTA34" s="16"/>
      <c r="TTB34" s="16"/>
      <c r="TTC34" s="16"/>
      <c r="TTD34" s="16"/>
      <c r="TTE34" s="16"/>
      <c r="TTF34" s="16"/>
      <c r="TTG34" s="16"/>
      <c r="TTH34" s="16"/>
      <c r="TTI34" s="16"/>
      <c r="TTJ34" s="16"/>
      <c r="TTK34" s="16"/>
      <c r="TTL34" s="16"/>
      <c r="TTM34" s="16"/>
      <c r="TTN34" s="16"/>
      <c r="TTO34" s="16"/>
      <c r="TTP34" s="16"/>
      <c r="TTQ34" s="16"/>
      <c r="TTR34" s="16"/>
      <c r="TTS34" s="16"/>
      <c r="TTT34" s="16"/>
      <c r="TTU34" s="16"/>
      <c r="TTV34" s="16"/>
      <c r="TTW34" s="16"/>
      <c r="TTX34" s="16"/>
      <c r="TTY34" s="16"/>
      <c r="TTZ34" s="16"/>
      <c r="TUA34" s="16"/>
      <c r="TUB34" s="16"/>
      <c r="TUC34" s="16"/>
      <c r="TUD34" s="16"/>
      <c r="TUE34" s="16"/>
      <c r="TUF34" s="16"/>
      <c r="TUG34" s="16"/>
      <c r="TUH34" s="16"/>
      <c r="TUI34" s="16"/>
      <c r="TUJ34" s="16"/>
      <c r="TUK34" s="16"/>
      <c r="TUL34" s="16"/>
      <c r="TUM34" s="16"/>
      <c r="TUN34" s="16"/>
      <c r="TUO34" s="16"/>
      <c r="TUP34" s="16"/>
      <c r="TUQ34" s="16"/>
      <c r="TUR34" s="16"/>
      <c r="TUS34" s="16"/>
      <c r="TUT34" s="16"/>
      <c r="TUU34" s="16"/>
      <c r="TUV34" s="16"/>
      <c r="TUW34" s="16"/>
      <c r="TUX34" s="16"/>
      <c r="TUY34" s="16"/>
      <c r="TUZ34" s="16"/>
      <c r="TVA34" s="16"/>
      <c r="TVB34" s="16"/>
      <c r="TVC34" s="16"/>
      <c r="TVD34" s="16"/>
      <c r="TVE34" s="16"/>
      <c r="TVF34" s="16"/>
      <c r="TVG34" s="16"/>
      <c r="TVH34" s="16"/>
      <c r="TVI34" s="16"/>
      <c r="TVJ34" s="16"/>
      <c r="TVK34" s="16"/>
      <c r="TVL34" s="16"/>
      <c r="TVM34" s="16"/>
      <c r="TVN34" s="16"/>
      <c r="TVO34" s="16"/>
      <c r="TVP34" s="16"/>
      <c r="TVQ34" s="16"/>
      <c r="TVR34" s="16"/>
      <c r="TVS34" s="16"/>
      <c r="TVT34" s="16"/>
      <c r="TVU34" s="16"/>
      <c r="TVV34" s="16"/>
      <c r="TVW34" s="16"/>
      <c r="TVX34" s="16"/>
      <c r="TVY34" s="16"/>
      <c r="TVZ34" s="16"/>
      <c r="TWA34" s="16"/>
      <c r="TWB34" s="16"/>
      <c r="TWC34" s="16"/>
      <c r="TWD34" s="16"/>
      <c r="TWE34" s="16"/>
      <c r="TWF34" s="16"/>
      <c r="TWG34" s="16"/>
      <c r="TWH34" s="16"/>
      <c r="TWI34" s="16"/>
      <c r="TWJ34" s="16"/>
      <c r="TWK34" s="16"/>
      <c r="TWL34" s="16"/>
      <c r="TWM34" s="16"/>
      <c r="TWN34" s="16"/>
      <c r="TWO34" s="16"/>
      <c r="TWP34" s="16"/>
      <c r="TWQ34" s="16"/>
      <c r="TWR34" s="16"/>
      <c r="TWS34" s="16"/>
      <c r="TWT34" s="16"/>
      <c r="TWU34" s="16"/>
      <c r="TWV34" s="16"/>
      <c r="TWW34" s="16"/>
      <c r="TWX34" s="16"/>
      <c r="TWY34" s="16"/>
      <c r="TWZ34" s="16"/>
      <c r="TXA34" s="16"/>
      <c r="TXB34" s="16"/>
      <c r="TXC34" s="16"/>
      <c r="TXD34" s="16"/>
      <c r="TXE34" s="16"/>
      <c r="TXF34" s="16"/>
      <c r="TXG34" s="16"/>
      <c r="TXH34" s="16"/>
      <c r="TXI34" s="16"/>
      <c r="TXJ34" s="16"/>
      <c r="TXK34" s="16"/>
      <c r="TXL34" s="16"/>
      <c r="TXM34" s="16"/>
      <c r="TXN34" s="16"/>
      <c r="TXO34" s="16"/>
      <c r="TXP34" s="16"/>
      <c r="TXQ34" s="16"/>
      <c r="TXR34" s="16"/>
      <c r="TXS34" s="16"/>
      <c r="TXT34" s="16"/>
      <c r="TXU34" s="16"/>
      <c r="TXV34" s="16"/>
      <c r="TXW34" s="16"/>
      <c r="TXX34" s="16"/>
      <c r="TXY34" s="16"/>
      <c r="TXZ34" s="16"/>
      <c r="TYA34" s="16"/>
      <c r="TYB34" s="16"/>
      <c r="TYC34" s="16"/>
      <c r="TYD34" s="16"/>
      <c r="TYE34" s="16"/>
      <c r="TYF34" s="16"/>
      <c r="TYG34" s="16"/>
      <c r="TYH34" s="16"/>
      <c r="TYI34" s="16"/>
      <c r="TYJ34" s="16"/>
      <c r="TYK34" s="16"/>
      <c r="TYL34" s="16"/>
      <c r="TYM34" s="16"/>
      <c r="TYN34" s="16"/>
      <c r="TYO34" s="16"/>
      <c r="TYP34" s="16"/>
      <c r="TYQ34" s="16"/>
      <c r="TYR34" s="16"/>
      <c r="TYS34" s="16"/>
      <c r="TYT34" s="16"/>
      <c r="TYU34" s="16"/>
      <c r="TYV34" s="16"/>
      <c r="TYW34" s="16"/>
      <c r="TYX34" s="16"/>
      <c r="TYY34" s="16"/>
      <c r="TYZ34" s="16"/>
      <c r="TZA34" s="16"/>
      <c r="TZB34" s="16"/>
      <c r="TZC34" s="16"/>
      <c r="TZD34" s="16"/>
      <c r="TZE34" s="16"/>
      <c r="TZF34" s="16"/>
      <c r="TZG34" s="16"/>
      <c r="TZH34" s="16"/>
      <c r="TZI34" s="16"/>
      <c r="TZJ34" s="16"/>
      <c r="TZK34" s="16"/>
      <c r="TZL34" s="16"/>
      <c r="TZM34" s="16"/>
      <c r="TZN34" s="16"/>
      <c r="TZO34" s="16"/>
      <c r="TZP34" s="16"/>
      <c r="TZQ34" s="16"/>
      <c r="TZR34" s="16"/>
      <c r="TZS34" s="16"/>
      <c r="TZT34" s="16"/>
      <c r="TZU34" s="16"/>
      <c r="TZV34" s="16"/>
      <c r="TZW34" s="16"/>
      <c r="TZX34" s="16"/>
      <c r="TZY34" s="16"/>
      <c r="TZZ34" s="16"/>
      <c r="UAA34" s="16"/>
      <c r="UAB34" s="16"/>
      <c r="UAC34" s="16"/>
      <c r="UAD34" s="16"/>
      <c r="UAE34" s="16"/>
      <c r="UAF34" s="16"/>
      <c r="UAG34" s="16"/>
      <c r="UAH34" s="16"/>
      <c r="UAI34" s="16"/>
      <c r="UAJ34" s="16"/>
      <c r="UAK34" s="16"/>
      <c r="UAL34" s="16"/>
      <c r="UAM34" s="16"/>
      <c r="UAN34" s="16"/>
      <c r="UAO34" s="16"/>
      <c r="UAP34" s="16"/>
      <c r="UAQ34" s="16"/>
      <c r="UAR34" s="16"/>
      <c r="UAS34" s="16"/>
      <c r="UAT34" s="16"/>
      <c r="UAU34" s="16"/>
      <c r="UAV34" s="16"/>
      <c r="UAW34" s="16"/>
      <c r="UAX34" s="16"/>
      <c r="UAY34" s="16"/>
      <c r="UAZ34" s="16"/>
      <c r="UBA34" s="16"/>
      <c r="UBB34" s="16"/>
      <c r="UBC34" s="16"/>
      <c r="UBD34" s="16"/>
      <c r="UBE34" s="16"/>
      <c r="UBF34" s="16"/>
      <c r="UBG34" s="16"/>
      <c r="UBH34" s="16"/>
      <c r="UBI34" s="16"/>
      <c r="UBJ34" s="16"/>
      <c r="UBK34" s="16"/>
      <c r="UBL34" s="16"/>
      <c r="UBM34" s="16"/>
      <c r="UBN34" s="16"/>
      <c r="UBO34" s="16"/>
      <c r="UBP34" s="16"/>
      <c r="UBQ34" s="16"/>
      <c r="UBR34" s="16"/>
      <c r="UBS34" s="16"/>
      <c r="UBT34" s="16"/>
      <c r="UBU34" s="16"/>
      <c r="UBV34" s="16"/>
      <c r="UBW34" s="16"/>
      <c r="UBX34" s="16"/>
      <c r="UBY34" s="16"/>
      <c r="UBZ34" s="16"/>
      <c r="UCA34" s="16"/>
      <c r="UCB34" s="16"/>
      <c r="UCC34" s="16"/>
      <c r="UCD34" s="16"/>
      <c r="UCE34" s="16"/>
      <c r="UCF34" s="16"/>
      <c r="UCG34" s="16"/>
      <c r="UCH34" s="16"/>
      <c r="UCI34" s="16"/>
      <c r="UCJ34" s="16"/>
      <c r="UCK34" s="16"/>
      <c r="UCL34" s="16"/>
      <c r="UCM34" s="16"/>
      <c r="UCN34" s="16"/>
      <c r="UCO34" s="16"/>
      <c r="UCP34" s="16"/>
      <c r="UCQ34" s="16"/>
      <c r="UCR34" s="16"/>
      <c r="UCS34" s="16"/>
      <c r="UCT34" s="16"/>
      <c r="UCU34" s="16"/>
      <c r="UCV34" s="16"/>
      <c r="UCW34" s="16"/>
      <c r="UCX34" s="16"/>
      <c r="UCY34" s="16"/>
      <c r="UCZ34" s="16"/>
      <c r="UDA34" s="16"/>
      <c r="UDB34" s="16"/>
      <c r="UDC34" s="16"/>
      <c r="UDD34" s="16"/>
      <c r="UDE34" s="16"/>
      <c r="UDF34" s="16"/>
      <c r="UDG34" s="16"/>
      <c r="UDH34" s="16"/>
      <c r="UDI34" s="16"/>
      <c r="UDJ34" s="16"/>
      <c r="UDK34" s="16"/>
      <c r="UDL34" s="16"/>
      <c r="UDM34" s="16"/>
      <c r="UDN34" s="16"/>
      <c r="UDO34" s="16"/>
      <c r="UDP34" s="16"/>
      <c r="UDQ34" s="16"/>
      <c r="UDR34" s="16"/>
      <c r="UDS34" s="16"/>
      <c r="UDT34" s="16"/>
      <c r="UDU34" s="16"/>
      <c r="UDV34" s="16"/>
      <c r="UDW34" s="16"/>
      <c r="UDX34" s="16"/>
      <c r="UDY34" s="16"/>
      <c r="UDZ34" s="16"/>
      <c r="UEA34" s="16"/>
      <c r="UEB34" s="16"/>
      <c r="UEC34" s="16"/>
      <c r="UED34" s="16"/>
      <c r="UEE34" s="16"/>
      <c r="UEF34" s="16"/>
      <c r="UEG34" s="16"/>
      <c r="UEH34" s="16"/>
      <c r="UEI34" s="16"/>
      <c r="UEJ34" s="16"/>
      <c r="UEK34" s="16"/>
      <c r="UEL34" s="16"/>
      <c r="UEM34" s="16"/>
      <c r="UEN34" s="16"/>
      <c r="UEO34" s="16"/>
      <c r="UEP34" s="16"/>
      <c r="UEQ34" s="16"/>
      <c r="UER34" s="16"/>
      <c r="UES34" s="16"/>
      <c r="UET34" s="16"/>
      <c r="UEU34" s="16"/>
      <c r="UEV34" s="16"/>
      <c r="UEW34" s="16"/>
      <c r="UEX34" s="16"/>
      <c r="UEY34" s="16"/>
      <c r="UEZ34" s="16"/>
      <c r="UFA34" s="16"/>
      <c r="UFB34" s="16"/>
      <c r="UFC34" s="16"/>
      <c r="UFD34" s="16"/>
      <c r="UFE34" s="16"/>
      <c r="UFF34" s="16"/>
      <c r="UFG34" s="16"/>
      <c r="UFH34" s="16"/>
      <c r="UFI34" s="16"/>
      <c r="UFJ34" s="16"/>
      <c r="UFK34" s="16"/>
      <c r="UFL34" s="16"/>
      <c r="UFM34" s="16"/>
      <c r="UFN34" s="16"/>
      <c r="UFO34" s="16"/>
      <c r="UFP34" s="16"/>
      <c r="UFQ34" s="16"/>
      <c r="UFR34" s="16"/>
      <c r="UFS34" s="16"/>
      <c r="UFT34" s="16"/>
      <c r="UFU34" s="16"/>
      <c r="UFV34" s="16"/>
      <c r="UFW34" s="16"/>
      <c r="UFX34" s="16"/>
      <c r="UFY34" s="16"/>
      <c r="UFZ34" s="16"/>
      <c r="UGA34" s="16"/>
      <c r="UGB34" s="16"/>
      <c r="UGC34" s="16"/>
      <c r="UGD34" s="16"/>
      <c r="UGE34" s="16"/>
      <c r="UGF34" s="16"/>
      <c r="UGG34" s="16"/>
      <c r="UGH34" s="16"/>
      <c r="UGI34" s="16"/>
      <c r="UGJ34" s="16"/>
      <c r="UGK34" s="16"/>
      <c r="UGL34" s="16"/>
      <c r="UGM34" s="16"/>
      <c r="UGN34" s="16"/>
      <c r="UGO34" s="16"/>
      <c r="UGP34" s="16"/>
      <c r="UGQ34" s="16"/>
      <c r="UGR34" s="16"/>
      <c r="UGS34" s="16"/>
      <c r="UGT34" s="16"/>
      <c r="UGU34" s="16"/>
      <c r="UGV34" s="16"/>
      <c r="UGW34" s="16"/>
      <c r="UGX34" s="16"/>
      <c r="UGY34" s="16"/>
      <c r="UGZ34" s="16"/>
      <c r="UHA34" s="16"/>
      <c r="UHB34" s="16"/>
      <c r="UHC34" s="16"/>
      <c r="UHD34" s="16"/>
      <c r="UHE34" s="16"/>
      <c r="UHF34" s="16"/>
      <c r="UHG34" s="16"/>
      <c r="UHH34" s="16"/>
      <c r="UHI34" s="16"/>
      <c r="UHJ34" s="16"/>
      <c r="UHK34" s="16"/>
      <c r="UHL34" s="16"/>
      <c r="UHM34" s="16"/>
      <c r="UHN34" s="16"/>
      <c r="UHO34" s="16"/>
      <c r="UHP34" s="16"/>
      <c r="UHQ34" s="16"/>
      <c r="UHR34" s="16"/>
      <c r="UHS34" s="16"/>
      <c r="UHT34" s="16"/>
      <c r="UHU34" s="16"/>
      <c r="UHV34" s="16"/>
      <c r="UHW34" s="16"/>
      <c r="UHX34" s="16"/>
      <c r="UHY34" s="16"/>
      <c r="UHZ34" s="16"/>
      <c r="UIA34" s="16"/>
      <c r="UIB34" s="16"/>
      <c r="UIC34" s="16"/>
      <c r="UID34" s="16"/>
      <c r="UIE34" s="16"/>
      <c r="UIF34" s="16"/>
      <c r="UIG34" s="16"/>
      <c r="UIH34" s="16"/>
      <c r="UII34" s="16"/>
      <c r="UIJ34" s="16"/>
      <c r="UIK34" s="16"/>
      <c r="UIL34" s="16"/>
      <c r="UIM34" s="16"/>
      <c r="UIN34" s="16"/>
      <c r="UIO34" s="16"/>
      <c r="UIP34" s="16"/>
      <c r="UIQ34" s="16"/>
      <c r="UIR34" s="16"/>
      <c r="UIS34" s="16"/>
      <c r="UIT34" s="16"/>
      <c r="UIU34" s="16"/>
      <c r="UIV34" s="16"/>
      <c r="UIW34" s="16"/>
      <c r="UIX34" s="16"/>
      <c r="UIY34" s="16"/>
      <c r="UIZ34" s="16"/>
      <c r="UJA34" s="16"/>
      <c r="UJB34" s="16"/>
      <c r="UJC34" s="16"/>
      <c r="UJD34" s="16"/>
      <c r="UJE34" s="16"/>
      <c r="UJF34" s="16"/>
      <c r="UJG34" s="16"/>
      <c r="UJH34" s="16"/>
      <c r="UJI34" s="16"/>
      <c r="UJJ34" s="16"/>
      <c r="UJK34" s="16"/>
      <c r="UJL34" s="16"/>
      <c r="UJM34" s="16"/>
      <c r="UJN34" s="16"/>
      <c r="UJO34" s="16"/>
      <c r="UJP34" s="16"/>
      <c r="UJQ34" s="16"/>
      <c r="UJR34" s="16"/>
      <c r="UJS34" s="16"/>
      <c r="UJT34" s="16"/>
      <c r="UJU34" s="16"/>
      <c r="UJV34" s="16"/>
      <c r="UJW34" s="16"/>
      <c r="UJX34" s="16"/>
      <c r="UJY34" s="16"/>
      <c r="UJZ34" s="16"/>
      <c r="UKA34" s="16"/>
      <c r="UKB34" s="16"/>
      <c r="UKC34" s="16"/>
      <c r="UKD34" s="16"/>
      <c r="UKE34" s="16"/>
      <c r="UKF34" s="16"/>
      <c r="UKG34" s="16"/>
      <c r="UKH34" s="16"/>
      <c r="UKI34" s="16"/>
      <c r="UKJ34" s="16"/>
      <c r="UKK34" s="16"/>
      <c r="UKL34" s="16"/>
      <c r="UKM34" s="16"/>
      <c r="UKN34" s="16"/>
      <c r="UKO34" s="16"/>
      <c r="UKP34" s="16"/>
      <c r="UKQ34" s="16"/>
      <c r="UKR34" s="16"/>
      <c r="UKS34" s="16"/>
      <c r="UKT34" s="16"/>
      <c r="UKU34" s="16"/>
      <c r="UKV34" s="16"/>
      <c r="UKW34" s="16"/>
      <c r="UKX34" s="16"/>
      <c r="UKY34" s="16"/>
      <c r="UKZ34" s="16"/>
      <c r="ULA34" s="16"/>
      <c r="ULB34" s="16"/>
      <c r="ULC34" s="16"/>
      <c r="ULD34" s="16"/>
      <c r="ULE34" s="16"/>
      <c r="ULF34" s="16"/>
      <c r="ULG34" s="16"/>
      <c r="ULH34" s="16"/>
      <c r="ULI34" s="16"/>
      <c r="ULJ34" s="16"/>
      <c r="ULK34" s="16"/>
      <c r="ULL34" s="16"/>
      <c r="ULM34" s="16"/>
      <c r="ULN34" s="16"/>
      <c r="ULO34" s="16"/>
      <c r="ULP34" s="16"/>
      <c r="ULQ34" s="16"/>
      <c r="ULR34" s="16"/>
      <c r="ULS34" s="16"/>
      <c r="ULT34" s="16"/>
      <c r="ULU34" s="16"/>
      <c r="ULV34" s="16"/>
      <c r="ULW34" s="16"/>
      <c r="ULX34" s="16"/>
      <c r="ULY34" s="16"/>
      <c r="ULZ34" s="16"/>
      <c r="UMA34" s="16"/>
      <c r="UMB34" s="16"/>
      <c r="UMC34" s="16"/>
      <c r="UMD34" s="16"/>
      <c r="UME34" s="16"/>
      <c r="UMF34" s="16"/>
      <c r="UMG34" s="16"/>
      <c r="UMH34" s="16"/>
      <c r="UMI34" s="16"/>
      <c r="UMJ34" s="16"/>
      <c r="UMK34" s="16"/>
      <c r="UML34" s="16"/>
      <c r="UMM34" s="16"/>
      <c r="UMN34" s="16"/>
      <c r="UMO34" s="16"/>
      <c r="UMP34" s="16"/>
      <c r="UMQ34" s="16"/>
      <c r="UMR34" s="16"/>
      <c r="UMS34" s="16"/>
      <c r="UMT34" s="16"/>
      <c r="UMU34" s="16"/>
      <c r="UMV34" s="16"/>
      <c r="UMW34" s="16"/>
      <c r="UMX34" s="16"/>
      <c r="UMY34" s="16"/>
      <c r="UMZ34" s="16"/>
      <c r="UNA34" s="16"/>
      <c r="UNB34" s="16"/>
      <c r="UNC34" s="16"/>
      <c r="UND34" s="16"/>
      <c r="UNE34" s="16"/>
      <c r="UNF34" s="16"/>
      <c r="UNG34" s="16"/>
      <c r="UNH34" s="16"/>
      <c r="UNI34" s="16"/>
      <c r="UNJ34" s="16"/>
      <c r="UNK34" s="16"/>
      <c r="UNL34" s="16"/>
      <c r="UNM34" s="16"/>
      <c r="UNN34" s="16"/>
      <c r="UNO34" s="16"/>
      <c r="UNP34" s="16"/>
      <c r="UNQ34" s="16"/>
      <c r="UNR34" s="16"/>
      <c r="UNS34" s="16"/>
      <c r="UNT34" s="16"/>
      <c r="UNU34" s="16"/>
      <c r="UNV34" s="16"/>
      <c r="UNW34" s="16"/>
      <c r="UNX34" s="16"/>
      <c r="UNY34" s="16"/>
      <c r="UNZ34" s="16"/>
      <c r="UOA34" s="16"/>
      <c r="UOB34" s="16"/>
      <c r="UOC34" s="16"/>
      <c r="UOD34" s="16"/>
      <c r="UOE34" s="16"/>
      <c r="UOF34" s="16"/>
      <c r="UOG34" s="16"/>
      <c r="UOH34" s="16"/>
      <c r="UOI34" s="16"/>
      <c r="UOJ34" s="16"/>
      <c r="UOK34" s="16"/>
      <c r="UOL34" s="16"/>
      <c r="UOM34" s="16"/>
      <c r="UON34" s="16"/>
      <c r="UOO34" s="16"/>
      <c r="UOP34" s="16"/>
      <c r="UOQ34" s="16"/>
      <c r="UOR34" s="16"/>
      <c r="UOS34" s="16"/>
      <c r="UOT34" s="16"/>
      <c r="UOU34" s="16"/>
      <c r="UOV34" s="16"/>
      <c r="UOW34" s="16"/>
      <c r="UOX34" s="16"/>
      <c r="UOY34" s="16"/>
      <c r="UOZ34" s="16"/>
      <c r="UPA34" s="16"/>
      <c r="UPB34" s="16"/>
      <c r="UPC34" s="16"/>
      <c r="UPD34" s="16"/>
      <c r="UPE34" s="16"/>
      <c r="UPF34" s="16"/>
      <c r="UPG34" s="16"/>
      <c r="UPH34" s="16"/>
      <c r="UPI34" s="16"/>
      <c r="UPJ34" s="16"/>
      <c r="UPK34" s="16"/>
      <c r="UPL34" s="16"/>
      <c r="UPM34" s="16"/>
      <c r="UPN34" s="16"/>
      <c r="UPO34" s="16"/>
      <c r="UPP34" s="16"/>
      <c r="UPQ34" s="16"/>
      <c r="UPR34" s="16"/>
      <c r="UPS34" s="16"/>
      <c r="UPT34" s="16"/>
      <c r="UPU34" s="16"/>
      <c r="UPV34" s="16"/>
      <c r="UPW34" s="16"/>
      <c r="UPX34" s="16"/>
      <c r="UPY34" s="16"/>
      <c r="UPZ34" s="16"/>
      <c r="UQA34" s="16"/>
      <c r="UQB34" s="16"/>
      <c r="UQC34" s="16"/>
      <c r="UQD34" s="16"/>
      <c r="UQE34" s="16"/>
      <c r="UQF34" s="16"/>
      <c r="UQG34" s="16"/>
      <c r="UQH34" s="16"/>
      <c r="UQI34" s="16"/>
      <c r="UQJ34" s="16"/>
      <c r="UQK34" s="16"/>
      <c r="UQL34" s="16"/>
      <c r="UQM34" s="16"/>
      <c r="UQN34" s="16"/>
      <c r="UQO34" s="16"/>
      <c r="UQP34" s="16"/>
      <c r="UQQ34" s="16"/>
      <c r="UQR34" s="16"/>
      <c r="UQS34" s="16"/>
      <c r="UQT34" s="16"/>
      <c r="UQU34" s="16"/>
      <c r="UQV34" s="16"/>
      <c r="UQW34" s="16"/>
      <c r="UQX34" s="16"/>
      <c r="UQY34" s="16"/>
      <c r="UQZ34" s="16"/>
      <c r="URA34" s="16"/>
      <c r="URB34" s="16"/>
      <c r="URC34" s="16"/>
      <c r="URD34" s="16"/>
      <c r="URE34" s="16"/>
      <c r="URF34" s="16"/>
      <c r="URG34" s="16"/>
      <c r="URH34" s="16"/>
      <c r="URI34" s="16"/>
      <c r="URJ34" s="16"/>
      <c r="URK34" s="16"/>
      <c r="URL34" s="16"/>
      <c r="URM34" s="16"/>
      <c r="URN34" s="16"/>
      <c r="URO34" s="16"/>
      <c r="URP34" s="16"/>
      <c r="URQ34" s="16"/>
      <c r="URR34" s="16"/>
      <c r="URS34" s="16"/>
      <c r="URT34" s="16"/>
      <c r="URU34" s="16"/>
      <c r="URV34" s="16"/>
      <c r="URW34" s="16"/>
      <c r="URX34" s="16"/>
      <c r="URY34" s="16"/>
      <c r="URZ34" s="16"/>
      <c r="USA34" s="16"/>
      <c r="USB34" s="16"/>
      <c r="USC34" s="16"/>
      <c r="USD34" s="16"/>
      <c r="USE34" s="16"/>
      <c r="USF34" s="16"/>
      <c r="USG34" s="16"/>
      <c r="USH34" s="16"/>
      <c r="USI34" s="16"/>
      <c r="USJ34" s="16"/>
      <c r="USK34" s="16"/>
      <c r="USL34" s="16"/>
      <c r="USM34" s="16"/>
      <c r="USN34" s="16"/>
      <c r="USO34" s="16"/>
      <c r="USP34" s="16"/>
      <c r="USQ34" s="16"/>
      <c r="USR34" s="16"/>
      <c r="USS34" s="16"/>
      <c r="UST34" s="16"/>
      <c r="USU34" s="16"/>
      <c r="USV34" s="16"/>
      <c r="USW34" s="16"/>
      <c r="USX34" s="16"/>
      <c r="USY34" s="16"/>
      <c r="USZ34" s="16"/>
      <c r="UTA34" s="16"/>
      <c r="UTB34" s="16"/>
      <c r="UTC34" s="16"/>
      <c r="UTD34" s="16"/>
      <c r="UTE34" s="16"/>
      <c r="UTF34" s="16"/>
      <c r="UTG34" s="16"/>
      <c r="UTH34" s="16"/>
      <c r="UTI34" s="16"/>
      <c r="UTJ34" s="16"/>
      <c r="UTK34" s="16"/>
      <c r="UTL34" s="16"/>
      <c r="UTM34" s="16"/>
      <c r="UTN34" s="16"/>
      <c r="UTO34" s="16"/>
      <c r="UTP34" s="16"/>
      <c r="UTQ34" s="16"/>
      <c r="UTR34" s="16"/>
      <c r="UTS34" s="16"/>
      <c r="UTT34" s="16"/>
      <c r="UTU34" s="16"/>
      <c r="UTV34" s="16"/>
      <c r="UTW34" s="16"/>
      <c r="UTX34" s="16"/>
      <c r="UTY34" s="16"/>
      <c r="UTZ34" s="16"/>
      <c r="UUA34" s="16"/>
      <c r="UUB34" s="16"/>
      <c r="UUC34" s="16"/>
      <c r="UUD34" s="16"/>
      <c r="UUE34" s="16"/>
      <c r="UUF34" s="16"/>
      <c r="UUG34" s="16"/>
      <c r="UUH34" s="16"/>
      <c r="UUI34" s="16"/>
      <c r="UUJ34" s="16"/>
      <c r="UUK34" s="16"/>
      <c r="UUL34" s="16"/>
      <c r="UUM34" s="16"/>
      <c r="UUN34" s="16"/>
      <c r="UUO34" s="16"/>
      <c r="UUP34" s="16"/>
      <c r="UUQ34" s="16"/>
      <c r="UUR34" s="16"/>
      <c r="UUS34" s="16"/>
      <c r="UUT34" s="16"/>
      <c r="UUU34" s="16"/>
      <c r="UUV34" s="16"/>
      <c r="UUW34" s="16"/>
      <c r="UUX34" s="16"/>
      <c r="UUY34" s="16"/>
      <c r="UUZ34" s="16"/>
      <c r="UVA34" s="16"/>
      <c r="UVB34" s="16"/>
      <c r="UVC34" s="16"/>
      <c r="UVD34" s="16"/>
      <c r="UVE34" s="16"/>
      <c r="UVF34" s="16"/>
      <c r="UVG34" s="16"/>
      <c r="UVH34" s="16"/>
      <c r="UVI34" s="16"/>
      <c r="UVJ34" s="16"/>
      <c r="UVK34" s="16"/>
      <c r="UVL34" s="16"/>
      <c r="UVM34" s="16"/>
      <c r="UVN34" s="16"/>
      <c r="UVO34" s="16"/>
      <c r="UVP34" s="16"/>
      <c r="UVQ34" s="16"/>
      <c r="UVR34" s="16"/>
      <c r="UVS34" s="16"/>
      <c r="UVT34" s="16"/>
      <c r="UVU34" s="16"/>
      <c r="UVV34" s="16"/>
      <c r="UVW34" s="16"/>
      <c r="UVX34" s="16"/>
      <c r="UVY34" s="16"/>
      <c r="UVZ34" s="16"/>
      <c r="UWA34" s="16"/>
      <c r="UWB34" s="16"/>
      <c r="UWC34" s="16"/>
      <c r="UWD34" s="16"/>
      <c r="UWE34" s="16"/>
      <c r="UWF34" s="16"/>
      <c r="UWG34" s="16"/>
      <c r="UWH34" s="16"/>
      <c r="UWI34" s="16"/>
      <c r="UWJ34" s="16"/>
      <c r="UWK34" s="16"/>
      <c r="UWL34" s="16"/>
      <c r="UWM34" s="16"/>
      <c r="UWN34" s="16"/>
      <c r="UWO34" s="16"/>
      <c r="UWP34" s="16"/>
      <c r="UWQ34" s="16"/>
      <c r="UWR34" s="16"/>
      <c r="UWS34" s="16"/>
      <c r="UWT34" s="16"/>
      <c r="UWU34" s="16"/>
      <c r="UWV34" s="16"/>
      <c r="UWW34" s="16"/>
      <c r="UWX34" s="16"/>
      <c r="UWY34" s="16"/>
      <c r="UWZ34" s="16"/>
      <c r="UXA34" s="16"/>
      <c r="UXB34" s="16"/>
      <c r="UXC34" s="16"/>
      <c r="UXD34" s="16"/>
      <c r="UXE34" s="16"/>
      <c r="UXF34" s="16"/>
      <c r="UXG34" s="16"/>
      <c r="UXH34" s="16"/>
      <c r="UXI34" s="16"/>
      <c r="UXJ34" s="16"/>
      <c r="UXK34" s="16"/>
      <c r="UXL34" s="16"/>
      <c r="UXM34" s="16"/>
      <c r="UXN34" s="16"/>
      <c r="UXO34" s="16"/>
      <c r="UXP34" s="16"/>
      <c r="UXQ34" s="16"/>
      <c r="UXR34" s="16"/>
      <c r="UXS34" s="16"/>
      <c r="UXT34" s="16"/>
      <c r="UXU34" s="16"/>
      <c r="UXV34" s="16"/>
      <c r="UXW34" s="16"/>
      <c r="UXX34" s="16"/>
      <c r="UXY34" s="16"/>
      <c r="UXZ34" s="16"/>
      <c r="UYA34" s="16"/>
      <c r="UYB34" s="16"/>
      <c r="UYC34" s="16"/>
      <c r="UYD34" s="16"/>
      <c r="UYE34" s="16"/>
      <c r="UYF34" s="16"/>
      <c r="UYG34" s="16"/>
      <c r="UYH34" s="16"/>
      <c r="UYI34" s="16"/>
      <c r="UYJ34" s="16"/>
      <c r="UYK34" s="16"/>
      <c r="UYL34" s="16"/>
      <c r="UYM34" s="16"/>
      <c r="UYN34" s="16"/>
      <c r="UYO34" s="16"/>
      <c r="UYP34" s="16"/>
      <c r="UYQ34" s="16"/>
      <c r="UYR34" s="16"/>
      <c r="UYS34" s="16"/>
      <c r="UYT34" s="16"/>
      <c r="UYU34" s="16"/>
      <c r="UYV34" s="16"/>
      <c r="UYW34" s="16"/>
      <c r="UYX34" s="16"/>
      <c r="UYY34" s="16"/>
      <c r="UYZ34" s="16"/>
      <c r="UZA34" s="16"/>
      <c r="UZB34" s="16"/>
      <c r="UZC34" s="16"/>
      <c r="UZD34" s="16"/>
      <c r="UZE34" s="16"/>
      <c r="UZF34" s="16"/>
      <c r="UZG34" s="16"/>
      <c r="UZH34" s="16"/>
      <c r="UZI34" s="16"/>
      <c r="UZJ34" s="16"/>
      <c r="UZK34" s="16"/>
      <c r="UZL34" s="16"/>
      <c r="UZM34" s="16"/>
      <c r="UZN34" s="16"/>
      <c r="UZO34" s="16"/>
      <c r="UZP34" s="16"/>
      <c r="UZQ34" s="16"/>
      <c r="UZR34" s="16"/>
      <c r="UZS34" s="16"/>
      <c r="UZT34" s="16"/>
      <c r="UZU34" s="16"/>
      <c r="UZV34" s="16"/>
      <c r="UZW34" s="16"/>
      <c r="UZX34" s="16"/>
      <c r="UZY34" s="16"/>
      <c r="UZZ34" s="16"/>
      <c r="VAA34" s="16"/>
      <c r="VAB34" s="16"/>
      <c r="VAC34" s="16"/>
      <c r="VAD34" s="16"/>
      <c r="VAE34" s="16"/>
      <c r="VAF34" s="16"/>
      <c r="VAG34" s="16"/>
      <c r="VAH34" s="16"/>
      <c r="VAI34" s="16"/>
      <c r="VAJ34" s="16"/>
      <c r="VAK34" s="16"/>
      <c r="VAL34" s="16"/>
      <c r="VAM34" s="16"/>
      <c r="VAN34" s="16"/>
      <c r="VAO34" s="16"/>
      <c r="VAP34" s="16"/>
      <c r="VAQ34" s="16"/>
      <c r="VAR34" s="16"/>
      <c r="VAS34" s="16"/>
      <c r="VAT34" s="16"/>
      <c r="VAU34" s="16"/>
      <c r="VAV34" s="16"/>
      <c r="VAW34" s="16"/>
      <c r="VAX34" s="16"/>
      <c r="VAY34" s="16"/>
      <c r="VAZ34" s="16"/>
      <c r="VBA34" s="16"/>
      <c r="VBB34" s="16"/>
      <c r="VBC34" s="16"/>
      <c r="VBD34" s="16"/>
      <c r="VBE34" s="16"/>
      <c r="VBF34" s="16"/>
      <c r="VBG34" s="16"/>
      <c r="VBH34" s="16"/>
      <c r="VBI34" s="16"/>
      <c r="VBJ34" s="16"/>
      <c r="VBK34" s="16"/>
      <c r="VBL34" s="16"/>
      <c r="VBM34" s="16"/>
      <c r="VBN34" s="16"/>
      <c r="VBO34" s="16"/>
      <c r="VBP34" s="16"/>
      <c r="VBQ34" s="16"/>
      <c r="VBR34" s="16"/>
      <c r="VBS34" s="16"/>
      <c r="VBT34" s="16"/>
      <c r="VBU34" s="16"/>
      <c r="VBV34" s="16"/>
      <c r="VBW34" s="16"/>
      <c r="VBX34" s="16"/>
      <c r="VBY34" s="16"/>
      <c r="VBZ34" s="16"/>
      <c r="VCA34" s="16"/>
      <c r="VCB34" s="16"/>
      <c r="VCC34" s="16"/>
      <c r="VCD34" s="16"/>
      <c r="VCE34" s="16"/>
      <c r="VCF34" s="16"/>
      <c r="VCG34" s="16"/>
      <c r="VCH34" s="16"/>
      <c r="VCI34" s="16"/>
      <c r="VCJ34" s="16"/>
      <c r="VCK34" s="16"/>
      <c r="VCL34" s="16"/>
      <c r="VCM34" s="16"/>
      <c r="VCN34" s="16"/>
      <c r="VCO34" s="16"/>
      <c r="VCP34" s="16"/>
      <c r="VCQ34" s="16"/>
      <c r="VCR34" s="16"/>
      <c r="VCS34" s="16"/>
      <c r="VCT34" s="16"/>
      <c r="VCU34" s="16"/>
      <c r="VCV34" s="16"/>
      <c r="VCW34" s="16"/>
      <c r="VCX34" s="16"/>
      <c r="VCY34" s="16"/>
      <c r="VCZ34" s="16"/>
      <c r="VDA34" s="16"/>
      <c r="VDB34" s="16"/>
      <c r="VDC34" s="16"/>
      <c r="VDD34" s="16"/>
      <c r="VDE34" s="16"/>
      <c r="VDF34" s="16"/>
      <c r="VDG34" s="16"/>
      <c r="VDH34" s="16"/>
      <c r="VDI34" s="16"/>
      <c r="VDJ34" s="16"/>
      <c r="VDK34" s="16"/>
      <c r="VDL34" s="16"/>
      <c r="VDM34" s="16"/>
      <c r="VDN34" s="16"/>
      <c r="VDO34" s="16"/>
      <c r="VDP34" s="16"/>
      <c r="VDQ34" s="16"/>
      <c r="VDR34" s="16"/>
      <c r="VDS34" s="16"/>
      <c r="VDT34" s="16"/>
      <c r="VDU34" s="16"/>
      <c r="VDV34" s="16"/>
      <c r="VDW34" s="16"/>
      <c r="VDX34" s="16"/>
      <c r="VDY34" s="16"/>
      <c r="VDZ34" s="16"/>
      <c r="VEA34" s="16"/>
      <c r="VEB34" s="16"/>
      <c r="VEC34" s="16"/>
      <c r="VED34" s="16"/>
      <c r="VEE34" s="16"/>
      <c r="VEF34" s="16"/>
      <c r="VEG34" s="16"/>
      <c r="VEH34" s="16"/>
      <c r="VEI34" s="16"/>
      <c r="VEJ34" s="16"/>
      <c r="VEK34" s="16"/>
      <c r="VEL34" s="16"/>
      <c r="VEM34" s="16"/>
      <c r="VEN34" s="16"/>
      <c r="VEO34" s="16"/>
      <c r="VEP34" s="16"/>
      <c r="VEQ34" s="16"/>
      <c r="VER34" s="16"/>
      <c r="VES34" s="16"/>
      <c r="VET34" s="16"/>
      <c r="VEU34" s="16"/>
      <c r="VEV34" s="16"/>
      <c r="VEW34" s="16"/>
      <c r="VEX34" s="16"/>
      <c r="VEY34" s="16"/>
      <c r="VEZ34" s="16"/>
      <c r="VFA34" s="16"/>
      <c r="VFB34" s="16"/>
      <c r="VFC34" s="16"/>
      <c r="VFD34" s="16"/>
      <c r="VFE34" s="16"/>
      <c r="VFF34" s="16"/>
      <c r="VFG34" s="16"/>
      <c r="VFH34" s="16"/>
      <c r="VFI34" s="16"/>
      <c r="VFJ34" s="16"/>
      <c r="VFK34" s="16"/>
      <c r="VFL34" s="16"/>
      <c r="VFM34" s="16"/>
      <c r="VFN34" s="16"/>
      <c r="VFO34" s="16"/>
      <c r="VFP34" s="16"/>
      <c r="VFQ34" s="16"/>
      <c r="VFR34" s="16"/>
      <c r="VFS34" s="16"/>
      <c r="VFT34" s="16"/>
      <c r="VFU34" s="16"/>
      <c r="VFV34" s="16"/>
      <c r="VFW34" s="16"/>
      <c r="VFX34" s="16"/>
      <c r="VFY34" s="16"/>
      <c r="VFZ34" s="16"/>
      <c r="VGA34" s="16"/>
      <c r="VGB34" s="16"/>
      <c r="VGC34" s="16"/>
      <c r="VGD34" s="16"/>
      <c r="VGE34" s="16"/>
      <c r="VGF34" s="16"/>
      <c r="VGG34" s="16"/>
      <c r="VGH34" s="16"/>
      <c r="VGI34" s="16"/>
      <c r="VGJ34" s="16"/>
      <c r="VGK34" s="16"/>
      <c r="VGL34" s="16"/>
      <c r="VGM34" s="16"/>
      <c r="VGN34" s="16"/>
      <c r="VGO34" s="16"/>
      <c r="VGP34" s="16"/>
      <c r="VGQ34" s="16"/>
      <c r="VGR34" s="16"/>
      <c r="VGS34" s="16"/>
      <c r="VGT34" s="16"/>
      <c r="VGU34" s="16"/>
      <c r="VGV34" s="16"/>
      <c r="VGW34" s="16"/>
      <c r="VGX34" s="16"/>
      <c r="VGY34" s="16"/>
      <c r="VGZ34" s="16"/>
      <c r="VHA34" s="16"/>
      <c r="VHB34" s="16"/>
      <c r="VHC34" s="16"/>
      <c r="VHD34" s="16"/>
      <c r="VHE34" s="16"/>
      <c r="VHF34" s="16"/>
      <c r="VHG34" s="16"/>
      <c r="VHH34" s="16"/>
      <c r="VHI34" s="16"/>
      <c r="VHJ34" s="16"/>
      <c r="VHK34" s="16"/>
      <c r="VHL34" s="16"/>
      <c r="VHM34" s="16"/>
      <c r="VHN34" s="16"/>
      <c r="VHO34" s="16"/>
      <c r="VHP34" s="16"/>
      <c r="VHQ34" s="16"/>
      <c r="VHR34" s="16"/>
      <c r="VHS34" s="16"/>
      <c r="VHT34" s="16"/>
      <c r="VHU34" s="16"/>
      <c r="VHV34" s="16"/>
      <c r="VHW34" s="16"/>
      <c r="VHX34" s="16"/>
      <c r="VHY34" s="16"/>
      <c r="VHZ34" s="16"/>
      <c r="VIA34" s="16"/>
      <c r="VIB34" s="16"/>
      <c r="VIC34" s="16"/>
      <c r="VID34" s="16"/>
      <c r="VIE34" s="16"/>
      <c r="VIF34" s="16"/>
      <c r="VIG34" s="16"/>
      <c r="VIH34" s="16"/>
      <c r="VII34" s="16"/>
      <c r="VIJ34" s="16"/>
      <c r="VIK34" s="16"/>
      <c r="VIL34" s="16"/>
      <c r="VIM34" s="16"/>
      <c r="VIN34" s="16"/>
      <c r="VIO34" s="16"/>
      <c r="VIP34" s="16"/>
      <c r="VIQ34" s="16"/>
      <c r="VIR34" s="16"/>
      <c r="VIS34" s="16"/>
      <c r="VIT34" s="16"/>
      <c r="VIU34" s="16"/>
      <c r="VIV34" s="16"/>
      <c r="VIW34" s="16"/>
      <c r="VIX34" s="16"/>
      <c r="VIY34" s="16"/>
      <c r="VIZ34" s="16"/>
      <c r="VJA34" s="16"/>
      <c r="VJB34" s="16"/>
      <c r="VJC34" s="16"/>
      <c r="VJD34" s="16"/>
      <c r="VJE34" s="16"/>
      <c r="VJF34" s="16"/>
      <c r="VJG34" s="16"/>
      <c r="VJH34" s="16"/>
      <c r="VJI34" s="16"/>
      <c r="VJJ34" s="16"/>
      <c r="VJK34" s="16"/>
      <c r="VJL34" s="16"/>
      <c r="VJM34" s="16"/>
      <c r="VJN34" s="16"/>
      <c r="VJO34" s="16"/>
      <c r="VJP34" s="16"/>
      <c r="VJQ34" s="16"/>
      <c r="VJR34" s="16"/>
      <c r="VJS34" s="16"/>
      <c r="VJT34" s="16"/>
      <c r="VJU34" s="16"/>
      <c r="VJV34" s="16"/>
      <c r="VJW34" s="16"/>
      <c r="VJX34" s="16"/>
      <c r="VJY34" s="16"/>
      <c r="VJZ34" s="16"/>
      <c r="VKA34" s="16"/>
      <c r="VKB34" s="16"/>
      <c r="VKC34" s="16"/>
      <c r="VKD34" s="16"/>
      <c r="VKE34" s="16"/>
      <c r="VKF34" s="16"/>
      <c r="VKG34" s="16"/>
      <c r="VKH34" s="16"/>
      <c r="VKI34" s="16"/>
      <c r="VKJ34" s="16"/>
      <c r="VKK34" s="16"/>
      <c r="VKL34" s="16"/>
      <c r="VKM34" s="16"/>
      <c r="VKN34" s="16"/>
      <c r="VKO34" s="16"/>
      <c r="VKP34" s="16"/>
      <c r="VKQ34" s="16"/>
      <c r="VKR34" s="16"/>
      <c r="VKS34" s="16"/>
      <c r="VKT34" s="16"/>
      <c r="VKU34" s="16"/>
      <c r="VKV34" s="16"/>
      <c r="VKW34" s="16"/>
      <c r="VKX34" s="16"/>
      <c r="VKY34" s="16"/>
      <c r="VKZ34" s="16"/>
      <c r="VLA34" s="16"/>
      <c r="VLB34" s="16"/>
      <c r="VLC34" s="16"/>
      <c r="VLD34" s="16"/>
      <c r="VLE34" s="16"/>
      <c r="VLF34" s="16"/>
      <c r="VLG34" s="16"/>
      <c r="VLH34" s="16"/>
      <c r="VLI34" s="16"/>
      <c r="VLJ34" s="16"/>
      <c r="VLK34" s="16"/>
      <c r="VLL34" s="16"/>
      <c r="VLM34" s="16"/>
      <c r="VLN34" s="16"/>
      <c r="VLO34" s="16"/>
      <c r="VLP34" s="16"/>
      <c r="VLQ34" s="16"/>
      <c r="VLR34" s="16"/>
      <c r="VLS34" s="16"/>
      <c r="VLT34" s="16"/>
      <c r="VLU34" s="16"/>
      <c r="VLV34" s="16"/>
      <c r="VLW34" s="16"/>
      <c r="VLX34" s="16"/>
      <c r="VLY34" s="16"/>
      <c r="VLZ34" s="16"/>
      <c r="VMA34" s="16"/>
      <c r="VMB34" s="16"/>
      <c r="VMC34" s="16"/>
      <c r="VMD34" s="16"/>
      <c r="VME34" s="16"/>
      <c r="VMF34" s="16"/>
      <c r="VMG34" s="16"/>
      <c r="VMH34" s="16"/>
      <c r="VMI34" s="16"/>
      <c r="VMJ34" s="16"/>
      <c r="VMK34" s="16"/>
      <c r="VML34" s="16"/>
      <c r="VMM34" s="16"/>
      <c r="VMN34" s="16"/>
      <c r="VMO34" s="16"/>
      <c r="VMP34" s="16"/>
      <c r="VMQ34" s="16"/>
      <c r="VMR34" s="16"/>
      <c r="VMS34" s="16"/>
      <c r="VMT34" s="16"/>
      <c r="VMU34" s="16"/>
      <c r="VMV34" s="16"/>
      <c r="VMW34" s="16"/>
      <c r="VMX34" s="16"/>
      <c r="VMY34" s="16"/>
      <c r="VMZ34" s="16"/>
      <c r="VNA34" s="16"/>
      <c r="VNB34" s="16"/>
      <c r="VNC34" s="16"/>
      <c r="VND34" s="16"/>
      <c r="VNE34" s="16"/>
      <c r="VNF34" s="16"/>
      <c r="VNG34" s="16"/>
      <c r="VNH34" s="16"/>
      <c r="VNI34" s="16"/>
      <c r="VNJ34" s="16"/>
      <c r="VNK34" s="16"/>
      <c r="VNL34" s="16"/>
      <c r="VNM34" s="16"/>
      <c r="VNN34" s="16"/>
      <c r="VNO34" s="16"/>
      <c r="VNP34" s="16"/>
      <c r="VNQ34" s="16"/>
      <c r="VNR34" s="16"/>
      <c r="VNS34" s="16"/>
      <c r="VNT34" s="16"/>
      <c r="VNU34" s="16"/>
      <c r="VNV34" s="16"/>
      <c r="VNW34" s="16"/>
      <c r="VNX34" s="16"/>
      <c r="VNY34" s="16"/>
      <c r="VNZ34" s="16"/>
      <c r="VOA34" s="16"/>
      <c r="VOB34" s="16"/>
      <c r="VOC34" s="16"/>
      <c r="VOD34" s="16"/>
      <c r="VOE34" s="16"/>
      <c r="VOF34" s="16"/>
      <c r="VOG34" s="16"/>
      <c r="VOH34" s="16"/>
      <c r="VOI34" s="16"/>
      <c r="VOJ34" s="16"/>
      <c r="VOK34" s="16"/>
      <c r="VOL34" s="16"/>
      <c r="VOM34" s="16"/>
      <c r="VON34" s="16"/>
      <c r="VOO34" s="16"/>
      <c r="VOP34" s="16"/>
      <c r="VOQ34" s="16"/>
      <c r="VOR34" s="16"/>
      <c r="VOS34" s="16"/>
      <c r="VOT34" s="16"/>
      <c r="VOU34" s="16"/>
      <c r="VOV34" s="16"/>
      <c r="VOW34" s="16"/>
      <c r="VOX34" s="16"/>
      <c r="VOY34" s="16"/>
      <c r="VOZ34" s="16"/>
      <c r="VPA34" s="16"/>
      <c r="VPB34" s="16"/>
      <c r="VPC34" s="16"/>
      <c r="VPD34" s="16"/>
      <c r="VPE34" s="16"/>
      <c r="VPF34" s="16"/>
      <c r="VPG34" s="16"/>
      <c r="VPH34" s="16"/>
      <c r="VPI34" s="16"/>
      <c r="VPJ34" s="16"/>
      <c r="VPK34" s="16"/>
      <c r="VPL34" s="16"/>
      <c r="VPM34" s="16"/>
      <c r="VPN34" s="16"/>
      <c r="VPO34" s="16"/>
      <c r="VPP34" s="16"/>
      <c r="VPQ34" s="16"/>
      <c r="VPR34" s="16"/>
      <c r="VPS34" s="16"/>
      <c r="VPT34" s="16"/>
      <c r="VPU34" s="16"/>
      <c r="VPV34" s="16"/>
      <c r="VPW34" s="16"/>
      <c r="VPX34" s="16"/>
      <c r="VPY34" s="16"/>
      <c r="VPZ34" s="16"/>
      <c r="VQA34" s="16"/>
      <c r="VQB34" s="16"/>
      <c r="VQC34" s="16"/>
      <c r="VQD34" s="16"/>
      <c r="VQE34" s="16"/>
      <c r="VQF34" s="16"/>
      <c r="VQG34" s="16"/>
      <c r="VQH34" s="16"/>
      <c r="VQI34" s="16"/>
      <c r="VQJ34" s="16"/>
      <c r="VQK34" s="16"/>
      <c r="VQL34" s="16"/>
      <c r="VQM34" s="16"/>
      <c r="VQN34" s="16"/>
      <c r="VQO34" s="16"/>
      <c r="VQP34" s="16"/>
      <c r="VQQ34" s="16"/>
      <c r="VQR34" s="16"/>
      <c r="VQS34" s="16"/>
      <c r="VQT34" s="16"/>
      <c r="VQU34" s="16"/>
      <c r="VQV34" s="16"/>
      <c r="VQW34" s="16"/>
      <c r="VQX34" s="16"/>
      <c r="VQY34" s="16"/>
      <c r="VQZ34" s="16"/>
      <c r="VRA34" s="16"/>
      <c r="VRB34" s="16"/>
      <c r="VRC34" s="16"/>
      <c r="VRD34" s="16"/>
      <c r="VRE34" s="16"/>
      <c r="VRF34" s="16"/>
      <c r="VRG34" s="16"/>
      <c r="VRH34" s="16"/>
      <c r="VRI34" s="16"/>
      <c r="VRJ34" s="16"/>
      <c r="VRK34" s="16"/>
      <c r="VRL34" s="16"/>
      <c r="VRM34" s="16"/>
      <c r="VRN34" s="16"/>
      <c r="VRO34" s="16"/>
      <c r="VRP34" s="16"/>
      <c r="VRQ34" s="16"/>
      <c r="VRR34" s="16"/>
      <c r="VRS34" s="16"/>
      <c r="VRT34" s="16"/>
      <c r="VRU34" s="16"/>
      <c r="VRV34" s="16"/>
      <c r="VRW34" s="16"/>
      <c r="VRX34" s="16"/>
      <c r="VRY34" s="16"/>
      <c r="VRZ34" s="16"/>
      <c r="VSA34" s="16"/>
      <c r="VSB34" s="16"/>
      <c r="VSC34" s="16"/>
      <c r="VSD34" s="16"/>
      <c r="VSE34" s="16"/>
      <c r="VSF34" s="16"/>
      <c r="VSG34" s="16"/>
      <c r="VSH34" s="16"/>
      <c r="VSI34" s="16"/>
      <c r="VSJ34" s="16"/>
      <c r="VSK34" s="16"/>
      <c r="VSL34" s="16"/>
      <c r="VSM34" s="16"/>
      <c r="VSN34" s="16"/>
      <c r="VSO34" s="16"/>
      <c r="VSP34" s="16"/>
      <c r="VSQ34" s="16"/>
      <c r="VSR34" s="16"/>
      <c r="VSS34" s="16"/>
      <c r="VST34" s="16"/>
      <c r="VSU34" s="16"/>
      <c r="VSV34" s="16"/>
      <c r="VSW34" s="16"/>
      <c r="VSX34" s="16"/>
      <c r="VSY34" s="16"/>
      <c r="VSZ34" s="16"/>
      <c r="VTA34" s="16"/>
      <c r="VTB34" s="16"/>
      <c r="VTC34" s="16"/>
      <c r="VTD34" s="16"/>
      <c r="VTE34" s="16"/>
      <c r="VTF34" s="16"/>
      <c r="VTG34" s="16"/>
      <c r="VTH34" s="16"/>
      <c r="VTI34" s="16"/>
      <c r="VTJ34" s="16"/>
      <c r="VTK34" s="16"/>
      <c r="VTL34" s="16"/>
      <c r="VTM34" s="16"/>
      <c r="VTN34" s="16"/>
      <c r="VTO34" s="16"/>
      <c r="VTP34" s="16"/>
      <c r="VTQ34" s="16"/>
      <c r="VTR34" s="16"/>
      <c r="VTS34" s="16"/>
      <c r="VTT34" s="16"/>
      <c r="VTU34" s="16"/>
      <c r="VTV34" s="16"/>
      <c r="VTW34" s="16"/>
      <c r="VTX34" s="16"/>
      <c r="VTY34" s="16"/>
      <c r="VTZ34" s="16"/>
      <c r="VUA34" s="16"/>
      <c r="VUB34" s="16"/>
      <c r="VUC34" s="16"/>
      <c r="VUD34" s="16"/>
      <c r="VUE34" s="16"/>
      <c r="VUF34" s="16"/>
      <c r="VUG34" s="16"/>
      <c r="VUH34" s="16"/>
      <c r="VUI34" s="16"/>
      <c r="VUJ34" s="16"/>
      <c r="VUK34" s="16"/>
      <c r="VUL34" s="16"/>
      <c r="VUM34" s="16"/>
      <c r="VUN34" s="16"/>
      <c r="VUO34" s="16"/>
      <c r="VUP34" s="16"/>
      <c r="VUQ34" s="16"/>
      <c r="VUR34" s="16"/>
      <c r="VUS34" s="16"/>
      <c r="VUT34" s="16"/>
      <c r="VUU34" s="16"/>
      <c r="VUV34" s="16"/>
      <c r="VUW34" s="16"/>
      <c r="VUX34" s="16"/>
      <c r="VUY34" s="16"/>
      <c r="VUZ34" s="16"/>
      <c r="VVA34" s="16"/>
      <c r="VVB34" s="16"/>
      <c r="VVC34" s="16"/>
      <c r="VVD34" s="16"/>
      <c r="VVE34" s="16"/>
      <c r="VVF34" s="16"/>
      <c r="VVG34" s="16"/>
      <c r="VVH34" s="16"/>
      <c r="VVI34" s="16"/>
      <c r="VVJ34" s="16"/>
      <c r="VVK34" s="16"/>
      <c r="VVL34" s="16"/>
      <c r="VVM34" s="16"/>
      <c r="VVN34" s="16"/>
      <c r="VVO34" s="16"/>
      <c r="VVP34" s="16"/>
      <c r="VVQ34" s="16"/>
      <c r="VVR34" s="16"/>
      <c r="VVS34" s="16"/>
      <c r="VVT34" s="16"/>
      <c r="VVU34" s="16"/>
      <c r="VVV34" s="16"/>
      <c r="VVW34" s="16"/>
      <c r="VVX34" s="16"/>
      <c r="VVY34" s="16"/>
      <c r="VVZ34" s="16"/>
      <c r="VWA34" s="16"/>
      <c r="VWB34" s="16"/>
      <c r="VWC34" s="16"/>
      <c r="VWD34" s="16"/>
      <c r="VWE34" s="16"/>
      <c r="VWF34" s="16"/>
      <c r="VWG34" s="16"/>
      <c r="VWH34" s="16"/>
      <c r="VWI34" s="16"/>
      <c r="VWJ34" s="16"/>
      <c r="VWK34" s="16"/>
      <c r="VWL34" s="16"/>
      <c r="VWM34" s="16"/>
      <c r="VWN34" s="16"/>
      <c r="VWO34" s="16"/>
      <c r="VWP34" s="16"/>
      <c r="VWQ34" s="16"/>
      <c r="VWR34" s="16"/>
      <c r="VWS34" s="16"/>
      <c r="VWT34" s="16"/>
      <c r="VWU34" s="16"/>
      <c r="VWV34" s="16"/>
      <c r="VWW34" s="16"/>
      <c r="VWX34" s="16"/>
      <c r="VWY34" s="16"/>
      <c r="VWZ34" s="16"/>
      <c r="VXA34" s="16"/>
      <c r="VXB34" s="16"/>
      <c r="VXC34" s="16"/>
      <c r="VXD34" s="16"/>
      <c r="VXE34" s="16"/>
      <c r="VXF34" s="16"/>
      <c r="VXG34" s="16"/>
      <c r="VXH34" s="16"/>
      <c r="VXI34" s="16"/>
      <c r="VXJ34" s="16"/>
      <c r="VXK34" s="16"/>
      <c r="VXL34" s="16"/>
      <c r="VXM34" s="16"/>
      <c r="VXN34" s="16"/>
      <c r="VXO34" s="16"/>
      <c r="VXP34" s="16"/>
      <c r="VXQ34" s="16"/>
      <c r="VXR34" s="16"/>
      <c r="VXS34" s="16"/>
      <c r="VXT34" s="16"/>
      <c r="VXU34" s="16"/>
      <c r="VXV34" s="16"/>
      <c r="VXW34" s="16"/>
      <c r="VXX34" s="16"/>
      <c r="VXY34" s="16"/>
      <c r="VXZ34" s="16"/>
      <c r="VYA34" s="16"/>
      <c r="VYB34" s="16"/>
      <c r="VYC34" s="16"/>
      <c r="VYD34" s="16"/>
      <c r="VYE34" s="16"/>
      <c r="VYF34" s="16"/>
      <c r="VYG34" s="16"/>
      <c r="VYH34" s="16"/>
      <c r="VYI34" s="16"/>
      <c r="VYJ34" s="16"/>
      <c r="VYK34" s="16"/>
      <c r="VYL34" s="16"/>
      <c r="VYM34" s="16"/>
      <c r="VYN34" s="16"/>
      <c r="VYO34" s="16"/>
      <c r="VYP34" s="16"/>
      <c r="VYQ34" s="16"/>
      <c r="VYR34" s="16"/>
      <c r="VYS34" s="16"/>
      <c r="VYT34" s="16"/>
      <c r="VYU34" s="16"/>
      <c r="VYV34" s="16"/>
      <c r="VYW34" s="16"/>
      <c r="VYX34" s="16"/>
      <c r="VYY34" s="16"/>
      <c r="VYZ34" s="16"/>
      <c r="VZA34" s="16"/>
      <c r="VZB34" s="16"/>
      <c r="VZC34" s="16"/>
      <c r="VZD34" s="16"/>
      <c r="VZE34" s="16"/>
      <c r="VZF34" s="16"/>
      <c r="VZG34" s="16"/>
      <c r="VZH34" s="16"/>
      <c r="VZI34" s="16"/>
      <c r="VZJ34" s="16"/>
      <c r="VZK34" s="16"/>
      <c r="VZL34" s="16"/>
      <c r="VZM34" s="16"/>
      <c r="VZN34" s="16"/>
      <c r="VZO34" s="16"/>
      <c r="VZP34" s="16"/>
      <c r="VZQ34" s="16"/>
      <c r="VZR34" s="16"/>
      <c r="VZS34" s="16"/>
      <c r="VZT34" s="16"/>
      <c r="VZU34" s="16"/>
      <c r="VZV34" s="16"/>
      <c r="VZW34" s="16"/>
      <c r="VZX34" s="16"/>
      <c r="VZY34" s="16"/>
      <c r="VZZ34" s="16"/>
      <c r="WAA34" s="16"/>
      <c r="WAB34" s="16"/>
      <c r="WAC34" s="16"/>
      <c r="WAD34" s="16"/>
      <c r="WAE34" s="16"/>
      <c r="WAF34" s="16"/>
      <c r="WAG34" s="16"/>
      <c r="WAH34" s="16"/>
      <c r="WAI34" s="16"/>
      <c r="WAJ34" s="16"/>
      <c r="WAK34" s="16"/>
      <c r="WAL34" s="16"/>
      <c r="WAM34" s="16"/>
      <c r="WAN34" s="16"/>
      <c r="WAO34" s="16"/>
      <c r="WAP34" s="16"/>
      <c r="WAQ34" s="16"/>
      <c r="WAR34" s="16"/>
      <c r="WAS34" s="16"/>
      <c r="WAT34" s="16"/>
      <c r="WAU34" s="16"/>
      <c r="WAV34" s="16"/>
      <c r="WAW34" s="16"/>
      <c r="WAX34" s="16"/>
      <c r="WAY34" s="16"/>
      <c r="WAZ34" s="16"/>
      <c r="WBA34" s="16"/>
      <c r="WBB34" s="16"/>
      <c r="WBC34" s="16"/>
      <c r="WBD34" s="16"/>
      <c r="WBE34" s="16"/>
      <c r="WBF34" s="16"/>
      <c r="WBG34" s="16"/>
      <c r="WBH34" s="16"/>
      <c r="WBI34" s="16"/>
      <c r="WBJ34" s="16"/>
      <c r="WBK34" s="16"/>
      <c r="WBL34" s="16"/>
      <c r="WBM34" s="16"/>
      <c r="WBN34" s="16"/>
      <c r="WBO34" s="16"/>
      <c r="WBP34" s="16"/>
      <c r="WBQ34" s="16"/>
      <c r="WBR34" s="16"/>
      <c r="WBS34" s="16"/>
      <c r="WBT34" s="16"/>
      <c r="WBU34" s="16"/>
      <c r="WBV34" s="16"/>
      <c r="WBW34" s="16"/>
      <c r="WBX34" s="16"/>
      <c r="WBY34" s="16"/>
      <c r="WBZ34" s="16"/>
      <c r="WCA34" s="16"/>
      <c r="WCB34" s="16"/>
      <c r="WCC34" s="16"/>
      <c r="WCD34" s="16"/>
      <c r="WCE34" s="16"/>
      <c r="WCF34" s="16"/>
      <c r="WCG34" s="16"/>
      <c r="WCH34" s="16"/>
      <c r="WCI34" s="16"/>
      <c r="WCJ34" s="16"/>
      <c r="WCK34" s="16"/>
      <c r="WCL34" s="16"/>
      <c r="WCM34" s="16"/>
      <c r="WCN34" s="16"/>
      <c r="WCO34" s="16"/>
      <c r="WCP34" s="16"/>
      <c r="WCQ34" s="16"/>
      <c r="WCR34" s="16"/>
      <c r="WCS34" s="16"/>
      <c r="WCT34" s="16"/>
      <c r="WCU34" s="16"/>
      <c r="WCV34" s="16"/>
      <c r="WCW34" s="16"/>
      <c r="WCX34" s="16"/>
      <c r="WCY34" s="16"/>
      <c r="WCZ34" s="16"/>
      <c r="WDA34" s="16"/>
      <c r="WDB34" s="16"/>
      <c r="WDC34" s="16"/>
      <c r="WDD34" s="16"/>
      <c r="WDE34" s="16"/>
      <c r="WDF34" s="16"/>
      <c r="WDG34" s="16"/>
      <c r="WDH34" s="16"/>
      <c r="WDI34" s="16"/>
      <c r="WDJ34" s="16"/>
      <c r="WDK34" s="16"/>
      <c r="WDL34" s="16"/>
      <c r="WDM34" s="16"/>
      <c r="WDN34" s="16"/>
      <c r="WDO34" s="16"/>
      <c r="WDP34" s="16"/>
      <c r="WDQ34" s="16"/>
      <c r="WDR34" s="16"/>
      <c r="WDS34" s="16"/>
      <c r="WDT34" s="16"/>
      <c r="WDU34" s="16"/>
      <c r="WDV34" s="16"/>
      <c r="WDW34" s="16"/>
      <c r="WDX34" s="16"/>
      <c r="WDY34" s="16"/>
      <c r="WDZ34" s="16"/>
      <c r="WEA34" s="16"/>
      <c r="WEB34" s="16"/>
      <c r="WEC34" s="16"/>
      <c r="WED34" s="16"/>
      <c r="WEE34" s="16"/>
      <c r="WEF34" s="16"/>
      <c r="WEG34" s="16"/>
      <c r="WEH34" s="16"/>
      <c r="WEI34" s="16"/>
      <c r="WEJ34" s="16"/>
      <c r="WEK34" s="16"/>
      <c r="WEL34" s="16"/>
      <c r="WEM34" s="16"/>
      <c r="WEN34" s="16"/>
      <c r="WEO34" s="16"/>
      <c r="WEP34" s="16"/>
      <c r="WEQ34" s="16"/>
      <c r="WER34" s="16"/>
      <c r="WES34" s="16"/>
      <c r="WET34" s="16"/>
      <c r="WEU34" s="16"/>
      <c r="WEV34" s="16"/>
      <c r="WEW34" s="16"/>
      <c r="WEX34" s="16"/>
      <c r="WEY34" s="16"/>
      <c r="WEZ34" s="16"/>
      <c r="WFA34" s="16"/>
      <c r="WFB34" s="16"/>
      <c r="WFC34" s="16"/>
      <c r="WFD34" s="16"/>
      <c r="WFE34" s="16"/>
      <c r="WFF34" s="16"/>
      <c r="WFG34" s="16"/>
      <c r="WFH34" s="16"/>
      <c r="WFI34" s="16"/>
      <c r="WFJ34" s="16"/>
      <c r="WFK34" s="16"/>
      <c r="WFL34" s="16"/>
      <c r="WFM34" s="16"/>
      <c r="WFN34" s="16"/>
      <c r="WFO34" s="16"/>
      <c r="WFP34" s="16"/>
      <c r="WFQ34" s="16"/>
      <c r="WFR34" s="16"/>
      <c r="WFS34" s="16"/>
      <c r="WFT34" s="16"/>
      <c r="WFU34" s="16"/>
      <c r="WFV34" s="16"/>
      <c r="WFW34" s="16"/>
      <c r="WFX34" s="16"/>
      <c r="WFY34" s="16"/>
      <c r="WFZ34" s="16"/>
      <c r="WGA34" s="16"/>
      <c r="WGB34" s="16"/>
      <c r="WGC34" s="16"/>
      <c r="WGD34" s="16"/>
      <c r="WGE34" s="16"/>
      <c r="WGF34" s="16"/>
      <c r="WGG34" s="16"/>
      <c r="WGH34" s="16"/>
      <c r="WGI34" s="16"/>
      <c r="WGJ34" s="16"/>
      <c r="WGK34" s="16"/>
      <c r="WGL34" s="16"/>
      <c r="WGM34" s="16"/>
      <c r="WGN34" s="16"/>
      <c r="WGO34" s="16"/>
      <c r="WGP34" s="16"/>
      <c r="WGQ34" s="16"/>
      <c r="WGR34" s="16"/>
      <c r="WGS34" s="16"/>
      <c r="WGT34" s="16"/>
      <c r="WGU34" s="16"/>
      <c r="WGV34" s="16"/>
      <c r="WGW34" s="16"/>
      <c r="WGX34" s="16"/>
      <c r="WGY34" s="16"/>
      <c r="WGZ34" s="16"/>
      <c r="WHA34" s="16"/>
      <c r="WHB34" s="16"/>
      <c r="WHC34" s="16"/>
      <c r="WHD34" s="16"/>
      <c r="WHE34" s="16"/>
      <c r="WHF34" s="16"/>
      <c r="WHG34" s="16"/>
      <c r="WHH34" s="16"/>
      <c r="WHI34" s="16"/>
      <c r="WHJ34" s="16"/>
      <c r="WHK34" s="16"/>
      <c r="WHL34" s="16"/>
      <c r="WHM34" s="16"/>
      <c r="WHN34" s="16"/>
      <c r="WHO34" s="16"/>
      <c r="WHP34" s="16"/>
      <c r="WHQ34" s="16"/>
      <c r="WHR34" s="16"/>
      <c r="WHS34" s="16"/>
      <c r="WHT34" s="16"/>
      <c r="WHU34" s="16"/>
      <c r="WHV34" s="16"/>
      <c r="WHW34" s="16"/>
      <c r="WHX34" s="16"/>
      <c r="WHY34" s="16"/>
      <c r="WHZ34" s="16"/>
      <c r="WIA34" s="16"/>
      <c r="WIB34" s="16"/>
      <c r="WIC34" s="16"/>
      <c r="WID34" s="16"/>
      <c r="WIE34" s="16"/>
      <c r="WIF34" s="16"/>
      <c r="WIG34" s="16"/>
      <c r="WIH34" s="16"/>
      <c r="WII34" s="16"/>
      <c r="WIJ34" s="16"/>
      <c r="WIK34" s="16"/>
      <c r="WIL34" s="16"/>
      <c r="WIM34" s="16"/>
      <c r="WIN34" s="16"/>
      <c r="WIO34" s="16"/>
      <c r="WIP34" s="16"/>
      <c r="WIQ34" s="16"/>
      <c r="WIR34" s="16"/>
      <c r="WIS34" s="16"/>
      <c r="WIT34" s="16"/>
      <c r="WIU34" s="16"/>
      <c r="WIV34" s="16"/>
      <c r="WIW34" s="16"/>
      <c r="WIX34" s="16"/>
      <c r="WIY34" s="16"/>
      <c r="WIZ34" s="16"/>
      <c r="WJA34" s="16"/>
      <c r="WJB34" s="16"/>
      <c r="WJC34" s="16"/>
      <c r="WJD34" s="16"/>
      <c r="WJE34" s="16"/>
      <c r="WJF34" s="16"/>
      <c r="WJG34" s="16"/>
      <c r="WJH34" s="16"/>
      <c r="WJI34" s="16"/>
      <c r="WJJ34" s="16"/>
      <c r="WJK34" s="16"/>
      <c r="WJL34" s="16"/>
      <c r="WJM34" s="16"/>
      <c r="WJN34" s="16"/>
      <c r="WJO34" s="16"/>
      <c r="WJP34" s="16"/>
      <c r="WJQ34" s="16"/>
      <c r="WJR34" s="16"/>
      <c r="WJS34" s="16"/>
      <c r="WJT34" s="16"/>
      <c r="WJU34" s="16"/>
      <c r="WJV34" s="16"/>
      <c r="WJW34" s="16"/>
      <c r="WJX34" s="16"/>
      <c r="WJY34" s="16"/>
      <c r="WJZ34" s="16"/>
      <c r="WKA34" s="16"/>
      <c r="WKB34" s="16"/>
      <c r="WKC34" s="16"/>
      <c r="WKD34" s="16"/>
      <c r="WKE34" s="16"/>
      <c r="WKF34" s="16"/>
      <c r="WKG34" s="16"/>
      <c r="WKH34" s="16"/>
      <c r="WKI34" s="16"/>
      <c r="WKJ34" s="16"/>
      <c r="WKK34" s="16"/>
      <c r="WKL34" s="16"/>
      <c r="WKM34" s="16"/>
      <c r="WKN34" s="16"/>
      <c r="WKO34" s="16"/>
      <c r="WKP34" s="16"/>
      <c r="WKQ34" s="16"/>
      <c r="WKR34" s="16"/>
      <c r="WKS34" s="16"/>
      <c r="WKT34" s="16"/>
      <c r="WKU34" s="16"/>
      <c r="WKV34" s="16"/>
      <c r="WKW34" s="16"/>
      <c r="WKX34" s="16"/>
      <c r="WKY34" s="16"/>
      <c r="WKZ34" s="16"/>
      <c r="WLA34" s="16"/>
      <c r="WLB34" s="16"/>
      <c r="WLC34" s="16"/>
      <c r="WLD34" s="16"/>
      <c r="WLE34" s="16"/>
      <c r="WLF34" s="16"/>
      <c r="WLG34" s="16"/>
      <c r="WLH34" s="16"/>
      <c r="WLI34" s="16"/>
      <c r="WLJ34" s="16"/>
      <c r="WLK34" s="16"/>
      <c r="WLL34" s="16"/>
      <c r="WLM34" s="16"/>
      <c r="WLN34" s="16"/>
      <c r="WLO34" s="16"/>
      <c r="WLP34" s="16"/>
      <c r="WLQ34" s="16"/>
      <c r="WLR34" s="16"/>
      <c r="WLS34" s="16"/>
      <c r="WLT34" s="16"/>
      <c r="WLU34" s="16"/>
      <c r="WLV34" s="16"/>
      <c r="WLW34" s="16"/>
      <c r="WLX34" s="16"/>
      <c r="WLY34" s="16"/>
      <c r="WLZ34" s="16"/>
      <c r="WMA34" s="16"/>
      <c r="WMB34" s="16"/>
      <c r="WMC34" s="16"/>
      <c r="WMD34" s="16"/>
      <c r="WME34" s="16"/>
      <c r="WMF34" s="16"/>
      <c r="WMG34" s="16"/>
      <c r="WMH34" s="16"/>
      <c r="WMI34" s="16"/>
      <c r="WMJ34" s="16"/>
      <c r="WMK34" s="16"/>
      <c r="WML34" s="16"/>
      <c r="WMM34" s="16"/>
      <c r="WMN34" s="16"/>
      <c r="WMO34" s="16"/>
      <c r="WMP34" s="16"/>
      <c r="WMQ34" s="16"/>
      <c r="WMR34" s="16"/>
      <c r="WMS34" s="16"/>
      <c r="WMT34" s="16"/>
      <c r="WMU34" s="16"/>
      <c r="WMV34" s="16"/>
      <c r="WMW34" s="16"/>
      <c r="WMX34" s="16"/>
      <c r="WMY34" s="16"/>
      <c r="WMZ34" s="16"/>
      <c r="WNA34" s="16"/>
      <c r="WNB34" s="16"/>
      <c r="WNC34" s="16"/>
      <c r="WND34" s="16"/>
      <c r="WNE34" s="16"/>
      <c r="WNF34" s="16"/>
      <c r="WNG34" s="16"/>
      <c r="WNH34" s="16"/>
      <c r="WNI34" s="16"/>
      <c r="WNJ34" s="16"/>
      <c r="WNK34" s="16"/>
      <c r="WNL34" s="16"/>
      <c r="WNM34" s="16"/>
      <c r="WNN34" s="16"/>
      <c r="WNO34" s="16"/>
      <c r="WNP34" s="16"/>
      <c r="WNQ34" s="16"/>
      <c r="WNR34" s="16"/>
      <c r="WNS34" s="16"/>
      <c r="WNT34" s="16"/>
      <c r="WNU34" s="16"/>
      <c r="WNV34" s="16"/>
      <c r="WNW34" s="16"/>
      <c r="WNX34" s="16"/>
      <c r="WNY34" s="16"/>
      <c r="WNZ34" s="16"/>
      <c r="WOA34" s="16"/>
      <c r="WOB34" s="16"/>
      <c r="WOC34" s="16"/>
      <c r="WOD34" s="16"/>
      <c r="WOE34" s="16"/>
      <c r="WOF34" s="16"/>
      <c r="WOG34" s="16"/>
      <c r="WOH34" s="16"/>
      <c r="WOI34" s="16"/>
      <c r="WOJ34" s="16"/>
      <c r="WOK34" s="16"/>
      <c r="WOL34" s="16"/>
      <c r="WOM34" s="16"/>
      <c r="WON34" s="16"/>
      <c r="WOO34" s="16"/>
      <c r="WOP34" s="16"/>
      <c r="WOQ34" s="16"/>
      <c r="WOR34" s="16"/>
      <c r="WOS34" s="16"/>
      <c r="WOT34" s="16"/>
      <c r="WOU34" s="16"/>
      <c r="WOV34" s="16"/>
      <c r="WOW34" s="16"/>
      <c r="WOX34" s="16"/>
      <c r="WOY34" s="16"/>
      <c r="WOZ34" s="16"/>
      <c r="WPA34" s="16"/>
      <c r="WPB34" s="16"/>
      <c r="WPC34" s="16"/>
      <c r="WPD34" s="16"/>
      <c r="WPE34" s="16"/>
      <c r="WPF34" s="16"/>
      <c r="WPG34" s="16"/>
      <c r="WPH34" s="16"/>
      <c r="WPI34" s="16"/>
      <c r="WPJ34" s="16"/>
      <c r="WPK34" s="16"/>
      <c r="WPL34" s="16"/>
      <c r="WPM34" s="16"/>
      <c r="WPN34" s="16"/>
      <c r="WPO34" s="16"/>
      <c r="WPP34" s="16"/>
      <c r="WPQ34" s="16"/>
      <c r="WPR34" s="16"/>
      <c r="WPS34" s="16"/>
      <c r="WPT34" s="16"/>
      <c r="WPU34" s="16"/>
      <c r="WPV34" s="16"/>
      <c r="WPW34" s="16"/>
      <c r="WPX34" s="16"/>
      <c r="WPY34" s="16"/>
      <c r="WPZ34" s="16"/>
      <c r="WQA34" s="16"/>
      <c r="WQB34" s="16"/>
      <c r="WQC34" s="16"/>
      <c r="WQD34" s="16"/>
      <c r="WQE34" s="16"/>
      <c r="WQF34" s="16"/>
      <c r="WQG34" s="16"/>
      <c r="WQH34" s="16"/>
      <c r="WQI34" s="16"/>
      <c r="WQJ34" s="16"/>
      <c r="WQK34" s="16"/>
      <c r="WQL34" s="16"/>
      <c r="WQM34" s="16"/>
      <c r="WQN34" s="16"/>
      <c r="WQO34" s="16"/>
      <c r="WQP34" s="16"/>
      <c r="WQQ34" s="16"/>
      <c r="WQR34" s="16"/>
      <c r="WQS34" s="16"/>
      <c r="WQT34" s="16"/>
      <c r="WQU34" s="16"/>
      <c r="WQV34" s="16"/>
      <c r="WQW34" s="16"/>
      <c r="WQX34" s="16"/>
      <c r="WQY34" s="16"/>
      <c r="WQZ34" s="16"/>
      <c r="WRA34" s="16"/>
      <c r="WRB34" s="16"/>
      <c r="WRC34" s="16"/>
      <c r="WRD34" s="16"/>
      <c r="WRE34" s="16"/>
      <c r="WRF34" s="16"/>
      <c r="WRG34" s="16"/>
      <c r="WRH34" s="16"/>
      <c r="WRI34" s="16"/>
      <c r="WRJ34" s="16"/>
      <c r="WRK34" s="16"/>
      <c r="WRL34" s="16"/>
      <c r="WRM34" s="16"/>
      <c r="WRN34" s="16"/>
      <c r="WRO34" s="16"/>
      <c r="WRP34" s="16"/>
      <c r="WRQ34" s="16"/>
      <c r="WRR34" s="16"/>
      <c r="WRS34" s="16"/>
      <c r="WRT34" s="16"/>
      <c r="WRU34" s="16"/>
      <c r="WRV34" s="16"/>
      <c r="WRW34" s="16"/>
      <c r="WRX34" s="16"/>
      <c r="WRY34" s="16"/>
      <c r="WRZ34" s="16"/>
      <c r="WSA34" s="16"/>
      <c r="WSB34" s="16"/>
      <c r="WSC34" s="16"/>
      <c r="WSD34" s="16"/>
      <c r="WSE34" s="16"/>
      <c r="WSF34" s="16"/>
      <c r="WSG34" s="16"/>
      <c r="WSH34" s="16"/>
      <c r="WSI34" s="16"/>
      <c r="WSJ34" s="16"/>
      <c r="WSK34" s="16"/>
      <c r="WSL34" s="16"/>
      <c r="WSM34" s="16"/>
      <c r="WSN34" s="16"/>
      <c r="WSO34" s="16"/>
      <c r="WSP34" s="16"/>
      <c r="WSQ34" s="16"/>
      <c r="WSR34" s="16"/>
      <c r="WSS34" s="16"/>
      <c r="WST34" s="16"/>
      <c r="WSU34" s="16"/>
      <c r="WSV34" s="16"/>
      <c r="WSW34" s="16"/>
      <c r="WSX34" s="16"/>
      <c r="WSY34" s="16"/>
      <c r="WSZ34" s="16"/>
      <c r="WTA34" s="16"/>
      <c r="WTB34" s="16"/>
      <c r="WTC34" s="16"/>
      <c r="WTD34" s="16"/>
      <c r="WTE34" s="16"/>
      <c r="WTF34" s="16"/>
      <c r="WTG34" s="16"/>
      <c r="WTH34" s="16"/>
      <c r="WTI34" s="16"/>
      <c r="WTJ34" s="16"/>
      <c r="WTK34" s="16"/>
      <c r="WTL34" s="16"/>
      <c r="WTM34" s="16"/>
      <c r="WTN34" s="16"/>
      <c r="WTO34" s="16"/>
      <c r="WTP34" s="16"/>
      <c r="WTQ34" s="16"/>
      <c r="WTR34" s="16"/>
      <c r="WTS34" s="16"/>
      <c r="WTT34" s="16"/>
      <c r="WTU34" s="16"/>
      <c r="WTV34" s="16"/>
      <c r="WTW34" s="16"/>
      <c r="WTX34" s="16"/>
      <c r="WTY34" s="16"/>
      <c r="WTZ34" s="16"/>
      <c r="WUA34" s="16"/>
      <c r="WUB34" s="16"/>
      <c r="WUC34" s="16"/>
      <c r="WUD34" s="16"/>
      <c r="WUE34" s="16"/>
      <c r="WUF34" s="16"/>
      <c r="WUG34" s="16"/>
      <c r="WUH34" s="16"/>
      <c r="WUI34" s="16"/>
      <c r="WUJ34" s="16"/>
      <c r="WUK34" s="16"/>
      <c r="WUL34" s="16"/>
      <c r="WUM34" s="16"/>
      <c r="WUN34" s="16"/>
      <c r="WUO34" s="16"/>
      <c r="WUP34" s="16"/>
      <c r="WUQ34" s="16"/>
      <c r="WUR34" s="16"/>
      <c r="WUS34" s="16"/>
      <c r="WUT34" s="16"/>
      <c r="WUU34" s="16"/>
      <c r="WUV34" s="16"/>
      <c r="WUW34" s="16"/>
      <c r="WUX34" s="16"/>
      <c r="WUY34" s="16"/>
      <c r="WUZ34" s="16"/>
      <c r="WVA34" s="16"/>
      <c r="WVB34" s="16"/>
      <c r="WVC34" s="16"/>
      <c r="WVD34" s="16"/>
      <c r="WVE34" s="16"/>
      <c r="WVF34" s="16"/>
      <c r="WVG34" s="16"/>
      <c r="WVH34" s="16"/>
      <c r="WVI34" s="16"/>
      <c r="WVJ34" s="16"/>
      <c r="WVK34" s="16"/>
      <c r="WVL34" s="16"/>
      <c r="WVM34" s="16"/>
      <c r="WVN34" s="16"/>
      <c r="WVO34" s="16"/>
      <c r="WVP34" s="16"/>
      <c r="WVQ34" s="16"/>
      <c r="WVR34" s="16"/>
      <c r="WVS34" s="16"/>
      <c r="WVT34" s="16"/>
      <c r="WVU34" s="16"/>
      <c r="WVV34" s="16"/>
      <c r="WVW34" s="16"/>
      <c r="WVX34" s="16"/>
      <c r="WVY34" s="16"/>
      <c r="WVZ34" s="16"/>
      <c r="WWA34" s="16"/>
      <c r="WWB34" s="16"/>
      <c r="WWC34" s="16"/>
      <c r="WWD34" s="16"/>
      <c r="WWE34" s="16"/>
      <c r="WWF34" s="16"/>
      <c r="WWG34" s="16"/>
      <c r="WWH34" s="16"/>
      <c r="WWI34" s="16"/>
      <c r="WWJ34" s="16"/>
      <c r="WWK34" s="16"/>
      <c r="WWL34" s="16"/>
      <c r="WWM34" s="16"/>
      <c r="WWN34" s="16"/>
      <c r="WWO34" s="16"/>
      <c r="WWP34" s="16"/>
      <c r="WWQ34" s="16"/>
      <c r="WWR34" s="16"/>
      <c r="WWS34" s="16"/>
      <c r="WWT34" s="16"/>
      <c r="WWU34" s="16"/>
      <c r="WWV34" s="16"/>
      <c r="WWW34" s="16"/>
      <c r="WWX34" s="16"/>
      <c r="WWY34" s="16"/>
      <c r="WWZ34" s="16"/>
      <c r="WXA34" s="16"/>
      <c r="WXB34" s="16"/>
      <c r="WXC34" s="16"/>
      <c r="WXD34" s="16"/>
      <c r="WXE34" s="16"/>
      <c r="WXF34" s="16"/>
      <c r="WXG34" s="16"/>
      <c r="WXH34" s="16"/>
      <c r="WXI34" s="16"/>
      <c r="WXJ34" s="16"/>
      <c r="WXK34" s="16"/>
      <c r="WXL34" s="16"/>
      <c r="WXM34" s="16"/>
      <c r="WXN34" s="16"/>
      <c r="WXO34" s="16"/>
      <c r="WXP34" s="16"/>
      <c r="WXQ34" s="16"/>
      <c r="WXR34" s="16"/>
      <c r="WXS34" s="16"/>
      <c r="WXT34" s="16"/>
      <c r="WXU34" s="16"/>
      <c r="WXV34" s="16"/>
      <c r="WXW34" s="16"/>
      <c r="WXX34" s="16"/>
      <c r="WXY34" s="16"/>
      <c r="WXZ34" s="16"/>
      <c r="WYA34" s="16"/>
      <c r="WYB34" s="16"/>
      <c r="WYC34" s="16"/>
      <c r="WYD34" s="16"/>
      <c r="WYE34" s="16"/>
      <c r="WYF34" s="16"/>
      <c r="WYG34" s="16"/>
      <c r="WYH34" s="16"/>
      <c r="WYI34" s="16"/>
      <c r="WYJ34" s="16"/>
      <c r="WYK34" s="16"/>
      <c r="WYL34" s="16"/>
      <c r="WYM34" s="16"/>
      <c r="WYN34" s="16"/>
      <c r="WYO34" s="16"/>
      <c r="WYP34" s="16"/>
      <c r="WYQ34" s="16"/>
      <c r="WYR34" s="16"/>
      <c r="WYS34" s="16"/>
      <c r="WYT34" s="16"/>
      <c r="WYU34" s="16"/>
      <c r="WYV34" s="16"/>
      <c r="WYW34" s="16"/>
      <c r="WYX34" s="16"/>
      <c r="WYY34" s="16"/>
      <c r="WYZ34" s="16"/>
      <c r="WZA34" s="16"/>
      <c r="WZB34" s="16"/>
      <c r="WZC34" s="16"/>
      <c r="WZD34" s="16"/>
      <c r="WZE34" s="16"/>
      <c r="WZF34" s="16"/>
      <c r="WZG34" s="16"/>
      <c r="WZH34" s="16"/>
      <c r="WZI34" s="16"/>
      <c r="WZJ34" s="16"/>
      <c r="WZK34" s="16"/>
      <c r="WZL34" s="16"/>
      <c r="WZM34" s="16"/>
      <c r="WZN34" s="16"/>
      <c r="WZO34" s="16"/>
      <c r="WZP34" s="16"/>
      <c r="WZQ34" s="16"/>
      <c r="WZR34" s="16"/>
      <c r="WZS34" s="16"/>
      <c r="WZT34" s="16"/>
      <c r="WZU34" s="16"/>
      <c r="WZV34" s="16"/>
      <c r="WZW34" s="16"/>
      <c r="WZX34" s="16"/>
      <c r="WZY34" s="16"/>
      <c r="WZZ34" s="16"/>
      <c r="XAA34" s="16"/>
      <c r="XAB34" s="16"/>
      <c r="XAC34" s="16"/>
      <c r="XAD34" s="16"/>
      <c r="XAE34" s="16"/>
      <c r="XAF34" s="16"/>
      <c r="XAG34" s="16"/>
      <c r="XAH34" s="16"/>
      <c r="XAI34" s="16"/>
      <c r="XAJ34" s="16"/>
      <c r="XAK34" s="16"/>
      <c r="XAL34" s="16"/>
      <c r="XAM34" s="16"/>
      <c r="XAN34" s="16"/>
      <c r="XAO34" s="16"/>
      <c r="XAP34" s="16"/>
      <c r="XAQ34" s="16"/>
      <c r="XAR34" s="16"/>
      <c r="XAS34" s="16"/>
      <c r="XAT34" s="16"/>
      <c r="XAU34" s="16"/>
      <c r="XAV34" s="16"/>
      <c r="XAW34" s="16"/>
      <c r="XAX34" s="16"/>
      <c r="XAY34" s="16"/>
      <c r="XAZ34" s="16"/>
      <c r="XBA34" s="16"/>
      <c r="XBB34" s="16"/>
      <c r="XBC34" s="16"/>
      <c r="XBD34" s="16"/>
      <c r="XBE34" s="16"/>
      <c r="XBF34" s="16"/>
      <c r="XBG34" s="16"/>
      <c r="XBH34" s="16"/>
      <c r="XBI34" s="16"/>
      <c r="XBJ34" s="16"/>
      <c r="XBK34" s="16"/>
      <c r="XBL34" s="16"/>
      <c r="XBM34" s="16"/>
      <c r="XBN34" s="16"/>
      <c r="XBO34" s="16"/>
      <c r="XBP34" s="16"/>
      <c r="XBQ34" s="16"/>
      <c r="XBR34" s="16"/>
      <c r="XBS34" s="16"/>
      <c r="XBT34" s="16"/>
      <c r="XBU34" s="16"/>
      <c r="XBV34" s="16"/>
      <c r="XBW34" s="16"/>
      <c r="XBX34" s="16"/>
      <c r="XBY34" s="16"/>
      <c r="XBZ34" s="16"/>
      <c r="XCA34" s="16"/>
      <c r="XCB34" s="16"/>
      <c r="XCC34" s="16"/>
      <c r="XCD34" s="16"/>
      <c r="XCE34" s="16"/>
      <c r="XCF34" s="16"/>
      <c r="XCG34" s="16"/>
      <c r="XCH34" s="16"/>
      <c r="XCI34" s="16"/>
      <c r="XCJ34" s="16"/>
      <c r="XCK34" s="16"/>
      <c r="XCL34" s="16"/>
      <c r="XCM34" s="16"/>
      <c r="XCN34" s="16"/>
      <c r="XCO34" s="16"/>
      <c r="XCP34" s="16"/>
      <c r="XCQ34" s="16"/>
      <c r="XCR34" s="16"/>
      <c r="XCS34" s="16"/>
      <c r="XCT34" s="16"/>
      <c r="XCU34" s="16"/>
      <c r="XCV34" s="16"/>
      <c r="XCW34" s="16"/>
      <c r="XCX34" s="16"/>
      <c r="XCY34" s="16"/>
      <c r="XCZ34" s="16"/>
      <c r="XDA34" s="16"/>
      <c r="XDB34" s="16"/>
      <c r="XDC34" s="16"/>
      <c r="XDD34" s="16"/>
      <c r="XDE34" s="16"/>
      <c r="XDF34" s="16"/>
      <c r="XDG34" s="16"/>
      <c r="XDH34" s="16"/>
      <c r="XDI34" s="16"/>
      <c r="XDJ34" s="16"/>
      <c r="XDK34" s="16"/>
      <c r="XDL34" s="16"/>
      <c r="XDM34" s="16"/>
      <c r="XDN34" s="16"/>
      <c r="XDO34" s="16"/>
      <c r="XDP34" s="16"/>
      <c r="XDQ34" s="16"/>
      <c r="XDR34" s="16"/>
      <c r="XDS34" s="16"/>
      <c r="XDT34" s="16"/>
      <c r="XDU34" s="16"/>
      <c r="XDV34" s="16"/>
      <c r="XDW34" s="16"/>
      <c r="XDX34" s="16"/>
      <c r="XDY34" s="16"/>
      <c r="XDZ34" s="16"/>
      <c r="XEA34" s="16"/>
      <c r="XEB34" s="16"/>
      <c r="XEC34" s="16"/>
      <c r="XED34" s="16"/>
      <c r="XEE34" s="16"/>
      <c r="XEF34" s="16"/>
      <c r="XEG34" s="16"/>
      <c r="XEH34" s="16"/>
      <c r="XEI34" s="16"/>
      <c r="XEJ34" s="16"/>
      <c r="XEK34" s="16"/>
      <c r="XEL34" s="16"/>
      <c r="XEM34" s="16"/>
      <c r="XEN34" s="16"/>
      <c r="XEO34" s="16"/>
      <c r="XEP34" s="16"/>
      <c r="XEQ34" s="16"/>
      <c r="XER34" s="16"/>
      <c r="XES34" s="16"/>
      <c r="XET34" s="16"/>
      <c r="XEU34" s="16"/>
      <c r="XEV34" s="16"/>
      <c r="XEW34" s="16"/>
      <c r="XEX34" s="16"/>
      <c r="XEY34" s="16"/>
      <c r="XEZ34" s="16"/>
      <c r="XFA34" s="16"/>
      <c r="XFB34" s="16"/>
      <c r="XFC34" s="16"/>
      <c r="XFD34" s="16"/>
    </row>
    <row r="35" spans="1:16384" ht="36.75" customHeight="1">
      <c r="A35" s="893"/>
      <c r="B35" s="893"/>
      <c r="C35" s="893"/>
      <c r="D35" s="9" t="s">
        <v>2062</v>
      </c>
      <c r="E35" s="32">
        <v>10</v>
      </c>
      <c r="F35" s="1248">
        <v>200000</v>
      </c>
      <c r="G35" s="1248">
        <f t="shared" si="1"/>
        <v>2000000</v>
      </c>
      <c r="H35" s="893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  <c r="AM35" s="16"/>
      <c r="AN35" s="16"/>
      <c r="AO35" s="16"/>
      <c r="AP35" s="16"/>
      <c r="AQ35" s="16"/>
      <c r="AR35" s="16"/>
      <c r="AS35" s="16"/>
      <c r="AT35" s="16"/>
      <c r="AU35" s="16"/>
      <c r="AV35" s="16"/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  <c r="DO35" s="16"/>
      <c r="DP35" s="16"/>
      <c r="DQ35" s="16"/>
      <c r="DR35" s="16"/>
      <c r="DS35" s="16"/>
      <c r="DT35" s="16"/>
      <c r="DU35" s="16"/>
      <c r="DV35" s="16"/>
      <c r="DW35" s="16"/>
      <c r="DX35" s="16"/>
      <c r="DY35" s="16"/>
      <c r="DZ35" s="16"/>
      <c r="EA35" s="16"/>
      <c r="EB35" s="16"/>
      <c r="EC35" s="16"/>
      <c r="ED35" s="16"/>
      <c r="EE35" s="16"/>
      <c r="EF35" s="16"/>
      <c r="EG35" s="16"/>
      <c r="EH35" s="16"/>
      <c r="EI35" s="16"/>
      <c r="EJ35" s="16"/>
      <c r="EK35" s="16"/>
      <c r="EL35" s="16"/>
      <c r="EM35" s="16"/>
      <c r="EN35" s="16"/>
      <c r="EO35" s="16"/>
      <c r="EP35" s="16"/>
      <c r="EQ35" s="16"/>
      <c r="ER35" s="16"/>
      <c r="ES35" s="16"/>
      <c r="ET35" s="16"/>
      <c r="EU35" s="16"/>
      <c r="EV35" s="16"/>
      <c r="EW35" s="16"/>
      <c r="EX35" s="16"/>
      <c r="EY35" s="16"/>
      <c r="EZ35" s="16"/>
      <c r="FA35" s="16"/>
      <c r="FB35" s="16"/>
      <c r="FC35" s="16"/>
      <c r="FD35" s="16"/>
      <c r="FE35" s="16"/>
      <c r="FF35" s="16"/>
      <c r="FG35" s="16"/>
      <c r="FH35" s="16"/>
      <c r="FI35" s="16"/>
      <c r="FJ35" s="16"/>
      <c r="FK35" s="16"/>
      <c r="FL35" s="16"/>
      <c r="FM35" s="16"/>
      <c r="FN35" s="16"/>
      <c r="FO35" s="16"/>
      <c r="FP35" s="16"/>
      <c r="FQ35" s="16"/>
      <c r="FR35" s="16"/>
      <c r="FS35" s="16"/>
      <c r="FT35" s="16"/>
      <c r="FU35" s="16"/>
      <c r="FV35" s="16"/>
      <c r="FW35" s="16"/>
      <c r="FX35" s="16"/>
      <c r="FY35" s="16"/>
      <c r="FZ35" s="16"/>
      <c r="GA35" s="16"/>
      <c r="GB35" s="16"/>
      <c r="GC35" s="16"/>
      <c r="GD35" s="16"/>
      <c r="GE35" s="16"/>
      <c r="GF35" s="16"/>
      <c r="GG35" s="16"/>
      <c r="GH35" s="16"/>
      <c r="GI35" s="16"/>
      <c r="GJ35" s="16"/>
      <c r="GK35" s="16"/>
      <c r="GL35" s="16"/>
      <c r="GM35" s="16"/>
      <c r="GN35" s="16"/>
      <c r="GO35" s="16"/>
      <c r="GP35" s="16"/>
      <c r="GQ35" s="16"/>
      <c r="GR35" s="16"/>
      <c r="GS35" s="16"/>
      <c r="GT35" s="16"/>
      <c r="GU35" s="16"/>
      <c r="GV35" s="16"/>
      <c r="GW35" s="16"/>
      <c r="GX35" s="16"/>
      <c r="GY35" s="16"/>
      <c r="GZ35" s="16"/>
      <c r="HA35" s="16"/>
      <c r="HB35" s="16"/>
      <c r="HC35" s="16"/>
      <c r="HD35" s="16"/>
      <c r="HE35" s="16"/>
      <c r="HF35" s="16"/>
      <c r="HG35" s="16"/>
      <c r="HH35" s="16"/>
      <c r="HI35" s="16"/>
      <c r="HJ35" s="16"/>
      <c r="HK35" s="16"/>
      <c r="HL35" s="16"/>
      <c r="HM35" s="16"/>
      <c r="HN35" s="16"/>
      <c r="HO35" s="16"/>
      <c r="HP35" s="16"/>
      <c r="HQ35" s="16"/>
      <c r="HR35" s="16"/>
      <c r="HS35" s="16"/>
      <c r="HT35" s="16"/>
      <c r="HU35" s="16"/>
      <c r="HV35" s="16"/>
      <c r="HW35" s="16"/>
      <c r="HX35" s="16"/>
      <c r="HY35" s="16"/>
      <c r="HZ35" s="16"/>
      <c r="IA35" s="16"/>
      <c r="IB35" s="16"/>
      <c r="IC35" s="16"/>
      <c r="ID35" s="16"/>
      <c r="IE35" s="16"/>
      <c r="IF35" s="16"/>
      <c r="IG35" s="16"/>
      <c r="IH35" s="16"/>
      <c r="II35" s="16"/>
      <c r="IJ35" s="16"/>
      <c r="IK35" s="16"/>
      <c r="IL35" s="16"/>
      <c r="IM35" s="16"/>
      <c r="IN35" s="16"/>
      <c r="IO35" s="16"/>
      <c r="IP35" s="16"/>
      <c r="IQ35" s="16"/>
      <c r="IR35" s="16"/>
      <c r="IS35" s="16"/>
      <c r="IT35" s="16"/>
      <c r="IU35" s="16"/>
      <c r="IV35" s="16"/>
      <c r="IW35" s="16"/>
      <c r="IX35" s="16"/>
      <c r="IY35" s="16"/>
      <c r="IZ35" s="16"/>
      <c r="JA35" s="16"/>
      <c r="JB35" s="16"/>
      <c r="JC35" s="16"/>
      <c r="JD35" s="16"/>
      <c r="JE35" s="16"/>
      <c r="JF35" s="16"/>
      <c r="JG35" s="16"/>
      <c r="JH35" s="16"/>
      <c r="JI35" s="16"/>
      <c r="JJ35" s="16"/>
      <c r="JK35" s="16"/>
      <c r="JL35" s="16"/>
      <c r="JM35" s="16"/>
      <c r="JN35" s="16"/>
      <c r="JO35" s="16"/>
      <c r="JP35" s="16"/>
      <c r="JQ35" s="16"/>
      <c r="JR35" s="16"/>
      <c r="JS35" s="16"/>
      <c r="JT35" s="16"/>
      <c r="JU35" s="16"/>
      <c r="JV35" s="16"/>
      <c r="JW35" s="16"/>
      <c r="JX35" s="16"/>
      <c r="JY35" s="16"/>
      <c r="JZ35" s="16"/>
      <c r="KA35" s="16"/>
      <c r="KB35" s="16"/>
      <c r="KC35" s="16"/>
      <c r="KD35" s="16"/>
      <c r="KE35" s="16"/>
      <c r="KF35" s="16"/>
      <c r="KG35" s="16"/>
      <c r="KH35" s="16"/>
      <c r="KI35" s="16"/>
      <c r="KJ35" s="16"/>
      <c r="KK35" s="16"/>
      <c r="KL35" s="16"/>
      <c r="KM35" s="16"/>
      <c r="KN35" s="16"/>
      <c r="KO35" s="16"/>
      <c r="KP35" s="16"/>
      <c r="KQ35" s="16"/>
      <c r="KR35" s="16"/>
      <c r="KS35" s="16"/>
      <c r="KT35" s="16"/>
      <c r="KU35" s="16"/>
      <c r="KV35" s="16"/>
      <c r="KW35" s="16"/>
      <c r="KX35" s="16"/>
      <c r="KY35" s="16"/>
      <c r="KZ35" s="16"/>
      <c r="LA35" s="16"/>
      <c r="LB35" s="16"/>
      <c r="LC35" s="16"/>
      <c r="LD35" s="16"/>
      <c r="LE35" s="16"/>
      <c r="LF35" s="16"/>
      <c r="LG35" s="16"/>
      <c r="LH35" s="16"/>
      <c r="LI35" s="16"/>
      <c r="LJ35" s="16"/>
      <c r="LK35" s="16"/>
      <c r="LL35" s="16"/>
      <c r="LM35" s="16"/>
      <c r="LN35" s="16"/>
      <c r="LO35" s="16"/>
      <c r="LP35" s="16"/>
      <c r="LQ35" s="16"/>
      <c r="LR35" s="16"/>
      <c r="LS35" s="16"/>
      <c r="LT35" s="16"/>
      <c r="LU35" s="16"/>
      <c r="LV35" s="16"/>
      <c r="LW35" s="16"/>
      <c r="LX35" s="16"/>
      <c r="LY35" s="16"/>
      <c r="LZ35" s="16"/>
      <c r="MA35" s="16"/>
      <c r="MB35" s="16"/>
      <c r="MC35" s="16"/>
      <c r="MD35" s="16"/>
      <c r="ME35" s="16"/>
      <c r="MF35" s="16"/>
      <c r="MG35" s="16"/>
      <c r="MH35" s="16"/>
      <c r="MI35" s="16"/>
      <c r="MJ35" s="16"/>
      <c r="MK35" s="16"/>
      <c r="ML35" s="16"/>
      <c r="MM35" s="16"/>
      <c r="MN35" s="16"/>
      <c r="MO35" s="16"/>
      <c r="MP35" s="16"/>
      <c r="MQ35" s="16"/>
      <c r="MR35" s="16"/>
      <c r="MS35" s="16"/>
      <c r="MT35" s="16"/>
      <c r="MU35" s="16"/>
      <c r="MV35" s="16"/>
      <c r="MW35" s="16"/>
      <c r="MX35" s="16"/>
      <c r="MY35" s="16"/>
      <c r="MZ35" s="16"/>
      <c r="NA35" s="16"/>
      <c r="NB35" s="16"/>
      <c r="NC35" s="16"/>
      <c r="ND35" s="16"/>
      <c r="NE35" s="16"/>
      <c r="NF35" s="16"/>
      <c r="NG35" s="16"/>
      <c r="NH35" s="16"/>
      <c r="NI35" s="16"/>
      <c r="NJ35" s="16"/>
      <c r="NK35" s="16"/>
      <c r="NL35" s="16"/>
      <c r="NM35" s="16"/>
      <c r="NN35" s="16"/>
      <c r="NO35" s="16"/>
      <c r="NP35" s="16"/>
      <c r="NQ35" s="16"/>
      <c r="NR35" s="16"/>
      <c r="NS35" s="16"/>
      <c r="NT35" s="16"/>
      <c r="NU35" s="16"/>
      <c r="NV35" s="16"/>
      <c r="NW35" s="16"/>
      <c r="NX35" s="16"/>
      <c r="NY35" s="16"/>
      <c r="NZ35" s="16"/>
      <c r="OA35" s="16"/>
      <c r="OB35" s="16"/>
      <c r="OC35" s="16"/>
      <c r="OD35" s="16"/>
      <c r="OE35" s="16"/>
      <c r="OF35" s="16"/>
      <c r="OG35" s="16"/>
      <c r="OH35" s="16"/>
      <c r="OI35" s="16"/>
      <c r="OJ35" s="16"/>
      <c r="OK35" s="16"/>
      <c r="OL35" s="16"/>
      <c r="OM35" s="16"/>
      <c r="ON35" s="16"/>
      <c r="OO35" s="16"/>
      <c r="OP35" s="16"/>
      <c r="OQ35" s="16"/>
      <c r="OR35" s="16"/>
      <c r="OS35" s="16"/>
      <c r="OT35" s="16"/>
      <c r="OU35" s="16"/>
      <c r="OV35" s="16"/>
      <c r="OW35" s="16"/>
      <c r="OX35" s="16"/>
      <c r="OY35" s="16"/>
      <c r="OZ35" s="16"/>
      <c r="PA35" s="16"/>
      <c r="PB35" s="16"/>
      <c r="PC35" s="16"/>
      <c r="PD35" s="16"/>
      <c r="PE35" s="16"/>
      <c r="PF35" s="16"/>
      <c r="PG35" s="16"/>
      <c r="PH35" s="16"/>
      <c r="PI35" s="16"/>
      <c r="PJ35" s="16"/>
      <c r="PK35" s="16"/>
      <c r="PL35" s="16"/>
      <c r="PM35" s="16"/>
      <c r="PN35" s="16"/>
      <c r="PO35" s="16"/>
      <c r="PP35" s="16"/>
      <c r="PQ35" s="16"/>
      <c r="PR35" s="16"/>
      <c r="PS35" s="16"/>
      <c r="PT35" s="16"/>
      <c r="PU35" s="16"/>
      <c r="PV35" s="16"/>
      <c r="PW35" s="16"/>
      <c r="PX35" s="16"/>
      <c r="PY35" s="16"/>
      <c r="PZ35" s="16"/>
      <c r="QA35" s="16"/>
      <c r="QB35" s="16"/>
      <c r="QC35" s="16"/>
      <c r="QD35" s="16"/>
      <c r="QE35" s="16"/>
      <c r="QF35" s="16"/>
      <c r="QG35" s="16"/>
      <c r="QH35" s="16"/>
      <c r="QI35" s="16"/>
      <c r="QJ35" s="16"/>
      <c r="QK35" s="16"/>
      <c r="QL35" s="16"/>
      <c r="QM35" s="16"/>
      <c r="QN35" s="16"/>
      <c r="QO35" s="16"/>
      <c r="QP35" s="16"/>
      <c r="QQ35" s="16"/>
      <c r="QR35" s="16"/>
      <c r="QS35" s="16"/>
      <c r="QT35" s="16"/>
      <c r="QU35" s="16"/>
      <c r="QV35" s="16"/>
      <c r="QW35" s="16"/>
      <c r="QX35" s="16"/>
      <c r="QY35" s="16"/>
      <c r="QZ35" s="16"/>
      <c r="RA35" s="16"/>
      <c r="RB35" s="16"/>
      <c r="RC35" s="16"/>
      <c r="RD35" s="16"/>
      <c r="RE35" s="16"/>
      <c r="RF35" s="16"/>
      <c r="RG35" s="16"/>
      <c r="RH35" s="16"/>
      <c r="RI35" s="16"/>
      <c r="RJ35" s="16"/>
      <c r="RK35" s="16"/>
      <c r="RL35" s="16"/>
      <c r="RM35" s="16"/>
      <c r="RN35" s="16"/>
      <c r="RO35" s="16"/>
      <c r="RP35" s="16"/>
      <c r="RQ35" s="16"/>
      <c r="RR35" s="16"/>
      <c r="RS35" s="16"/>
      <c r="RT35" s="16"/>
      <c r="RU35" s="16"/>
      <c r="RV35" s="16"/>
      <c r="RW35" s="16"/>
      <c r="RX35" s="16"/>
      <c r="RY35" s="16"/>
      <c r="RZ35" s="16"/>
      <c r="SA35" s="16"/>
      <c r="SB35" s="16"/>
      <c r="SC35" s="16"/>
      <c r="SD35" s="16"/>
      <c r="SE35" s="16"/>
      <c r="SF35" s="16"/>
      <c r="SG35" s="16"/>
      <c r="SH35" s="16"/>
      <c r="SI35" s="16"/>
      <c r="SJ35" s="16"/>
      <c r="SK35" s="16"/>
      <c r="SL35" s="16"/>
      <c r="SM35" s="16"/>
      <c r="SN35" s="16"/>
      <c r="SO35" s="16"/>
      <c r="SP35" s="16"/>
      <c r="SQ35" s="16"/>
      <c r="SR35" s="16"/>
      <c r="SS35" s="16"/>
      <c r="ST35" s="16"/>
      <c r="SU35" s="16"/>
      <c r="SV35" s="16"/>
      <c r="SW35" s="16"/>
      <c r="SX35" s="16"/>
      <c r="SY35" s="16"/>
      <c r="SZ35" s="16"/>
      <c r="TA35" s="16"/>
      <c r="TB35" s="16"/>
      <c r="TC35" s="16"/>
      <c r="TD35" s="16"/>
      <c r="TE35" s="16"/>
      <c r="TF35" s="16"/>
      <c r="TG35" s="16"/>
      <c r="TH35" s="16"/>
      <c r="TI35" s="16"/>
      <c r="TJ35" s="16"/>
      <c r="TK35" s="16"/>
      <c r="TL35" s="16"/>
      <c r="TM35" s="16"/>
      <c r="TN35" s="16"/>
      <c r="TO35" s="16"/>
      <c r="TP35" s="16"/>
      <c r="TQ35" s="16"/>
      <c r="TR35" s="16"/>
      <c r="TS35" s="16"/>
      <c r="TT35" s="16"/>
      <c r="TU35" s="16"/>
      <c r="TV35" s="16"/>
      <c r="TW35" s="16"/>
      <c r="TX35" s="16"/>
      <c r="TY35" s="16"/>
      <c r="TZ35" s="16"/>
      <c r="UA35" s="16"/>
      <c r="UB35" s="16"/>
      <c r="UC35" s="16"/>
      <c r="UD35" s="16"/>
      <c r="UE35" s="16"/>
      <c r="UF35" s="16"/>
      <c r="UG35" s="16"/>
      <c r="UH35" s="16"/>
      <c r="UI35" s="16"/>
      <c r="UJ35" s="16"/>
      <c r="UK35" s="16"/>
      <c r="UL35" s="16"/>
      <c r="UM35" s="16"/>
      <c r="UN35" s="16"/>
      <c r="UO35" s="16"/>
      <c r="UP35" s="16"/>
      <c r="UQ35" s="16"/>
      <c r="UR35" s="16"/>
      <c r="US35" s="16"/>
      <c r="UT35" s="16"/>
      <c r="UU35" s="16"/>
      <c r="UV35" s="16"/>
      <c r="UW35" s="16"/>
      <c r="UX35" s="16"/>
      <c r="UY35" s="16"/>
      <c r="UZ35" s="16"/>
      <c r="VA35" s="16"/>
      <c r="VB35" s="16"/>
      <c r="VC35" s="16"/>
      <c r="VD35" s="16"/>
      <c r="VE35" s="16"/>
      <c r="VF35" s="16"/>
      <c r="VG35" s="16"/>
      <c r="VH35" s="16"/>
      <c r="VI35" s="16"/>
      <c r="VJ35" s="16"/>
      <c r="VK35" s="16"/>
      <c r="VL35" s="16"/>
      <c r="VM35" s="16"/>
      <c r="VN35" s="16"/>
      <c r="VO35" s="16"/>
      <c r="VP35" s="16"/>
      <c r="VQ35" s="16"/>
      <c r="VR35" s="16"/>
      <c r="VS35" s="16"/>
      <c r="VT35" s="16"/>
      <c r="VU35" s="16"/>
      <c r="VV35" s="16"/>
      <c r="VW35" s="16"/>
      <c r="VX35" s="16"/>
      <c r="VY35" s="16"/>
      <c r="VZ35" s="16"/>
      <c r="WA35" s="16"/>
      <c r="WB35" s="16"/>
      <c r="WC35" s="16"/>
      <c r="WD35" s="16"/>
      <c r="WE35" s="16"/>
      <c r="WF35" s="16"/>
      <c r="WG35" s="16"/>
      <c r="WH35" s="16"/>
      <c r="WI35" s="16"/>
      <c r="WJ35" s="16"/>
      <c r="WK35" s="16"/>
      <c r="WL35" s="16"/>
      <c r="WM35" s="16"/>
      <c r="WN35" s="16"/>
      <c r="WO35" s="16"/>
      <c r="WP35" s="16"/>
      <c r="WQ35" s="16"/>
      <c r="WR35" s="16"/>
      <c r="WS35" s="16"/>
      <c r="WT35" s="16"/>
      <c r="WU35" s="16"/>
      <c r="WV35" s="16"/>
      <c r="WW35" s="16"/>
      <c r="WX35" s="16"/>
      <c r="WY35" s="16"/>
      <c r="WZ35" s="16"/>
      <c r="XA35" s="16"/>
      <c r="XB35" s="16"/>
      <c r="XC35" s="16"/>
      <c r="XD35" s="16"/>
      <c r="XE35" s="16"/>
      <c r="XF35" s="16"/>
      <c r="XG35" s="16"/>
      <c r="XH35" s="16"/>
      <c r="XI35" s="16"/>
      <c r="XJ35" s="16"/>
      <c r="XK35" s="16"/>
      <c r="XL35" s="16"/>
      <c r="XM35" s="16"/>
      <c r="XN35" s="16"/>
      <c r="XO35" s="16"/>
      <c r="XP35" s="16"/>
      <c r="XQ35" s="16"/>
      <c r="XR35" s="16"/>
      <c r="XS35" s="16"/>
      <c r="XT35" s="16"/>
      <c r="XU35" s="16"/>
      <c r="XV35" s="16"/>
      <c r="XW35" s="16"/>
      <c r="XX35" s="16"/>
      <c r="XY35" s="16"/>
      <c r="XZ35" s="16"/>
      <c r="YA35" s="16"/>
      <c r="YB35" s="16"/>
      <c r="YC35" s="16"/>
      <c r="YD35" s="16"/>
      <c r="YE35" s="16"/>
      <c r="YF35" s="16"/>
      <c r="YG35" s="16"/>
      <c r="YH35" s="16"/>
      <c r="YI35" s="16"/>
      <c r="YJ35" s="16"/>
      <c r="YK35" s="16"/>
      <c r="YL35" s="16"/>
      <c r="YM35" s="16"/>
      <c r="YN35" s="16"/>
      <c r="YO35" s="16"/>
      <c r="YP35" s="16"/>
      <c r="YQ35" s="16"/>
      <c r="YR35" s="16"/>
      <c r="YS35" s="16"/>
      <c r="YT35" s="16"/>
      <c r="YU35" s="16"/>
      <c r="YV35" s="16"/>
      <c r="YW35" s="16"/>
      <c r="YX35" s="16"/>
      <c r="YY35" s="16"/>
      <c r="YZ35" s="16"/>
      <c r="ZA35" s="16"/>
      <c r="ZB35" s="16"/>
      <c r="ZC35" s="16"/>
      <c r="ZD35" s="16"/>
      <c r="ZE35" s="16"/>
      <c r="ZF35" s="16"/>
      <c r="ZG35" s="16"/>
      <c r="ZH35" s="16"/>
      <c r="ZI35" s="16"/>
      <c r="ZJ35" s="16"/>
      <c r="ZK35" s="16"/>
      <c r="ZL35" s="16"/>
      <c r="ZM35" s="16"/>
      <c r="ZN35" s="16"/>
      <c r="ZO35" s="16"/>
      <c r="ZP35" s="16"/>
      <c r="ZQ35" s="16"/>
      <c r="ZR35" s="16"/>
      <c r="ZS35" s="16"/>
      <c r="ZT35" s="16"/>
      <c r="ZU35" s="16"/>
      <c r="ZV35" s="16"/>
      <c r="ZW35" s="16"/>
      <c r="ZX35" s="16"/>
      <c r="ZY35" s="16"/>
      <c r="ZZ35" s="16"/>
      <c r="AAA35" s="16"/>
      <c r="AAB35" s="16"/>
      <c r="AAC35" s="16"/>
      <c r="AAD35" s="16"/>
      <c r="AAE35" s="16"/>
      <c r="AAF35" s="16"/>
      <c r="AAG35" s="16"/>
      <c r="AAH35" s="16"/>
      <c r="AAI35" s="16"/>
      <c r="AAJ35" s="16"/>
      <c r="AAK35" s="16"/>
      <c r="AAL35" s="16"/>
      <c r="AAM35" s="16"/>
      <c r="AAN35" s="16"/>
      <c r="AAO35" s="16"/>
      <c r="AAP35" s="16"/>
      <c r="AAQ35" s="16"/>
      <c r="AAR35" s="16"/>
      <c r="AAS35" s="16"/>
      <c r="AAT35" s="16"/>
      <c r="AAU35" s="16"/>
      <c r="AAV35" s="16"/>
      <c r="AAW35" s="16"/>
      <c r="AAX35" s="16"/>
      <c r="AAY35" s="16"/>
      <c r="AAZ35" s="16"/>
      <c r="ABA35" s="16"/>
      <c r="ABB35" s="16"/>
      <c r="ABC35" s="16"/>
      <c r="ABD35" s="16"/>
      <c r="ABE35" s="16"/>
      <c r="ABF35" s="16"/>
      <c r="ABG35" s="16"/>
      <c r="ABH35" s="16"/>
      <c r="ABI35" s="16"/>
      <c r="ABJ35" s="16"/>
      <c r="ABK35" s="16"/>
      <c r="ABL35" s="16"/>
      <c r="ABM35" s="16"/>
      <c r="ABN35" s="16"/>
      <c r="ABO35" s="16"/>
      <c r="ABP35" s="16"/>
      <c r="ABQ35" s="16"/>
      <c r="ABR35" s="16"/>
      <c r="ABS35" s="16"/>
      <c r="ABT35" s="16"/>
      <c r="ABU35" s="16"/>
      <c r="ABV35" s="16"/>
      <c r="ABW35" s="16"/>
      <c r="ABX35" s="16"/>
      <c r="ABY35" s="16"/>
      <c r="ABZ35" s="16"/>
      <c r="ACA35" s="16"/>
      <c r="ACB35" s="16"/>
      <c r="ACC35" s="16"/>
      <c r="ACD35" s="16"/>
      <c r="ACE35" s="16"/>
      <c r="ACF35" s="16"/>
      <c r="ACG35" s="16"/>
      <c r="ACH35" s="16"/>
      <c r="ACI35" s="16"/>
      <c r="ACJ35" s="16"/>
      <c r="ACK35" s="16"/>
      <c r="ACL35" s="16"/>
      <c r="ACM35" s="16"/>
      <c r="ACN35" s="16"/>
      <c r="ACO35" s="16"/>
      <c r="ACP35" s="16"/>
      <c r="ACQ35" s="16"/>
      <c r="ACR35" s="16"/>
      <c r="ACS35" s="16"/>
      <c r="ACT35" s="16"/>
      <c r="ACU35" s="16"/>
      <c r="ACV35" s="16"/>
      <c r="ACW35" s="16"/>
      <c r="ACX35" s="16"/>
      <c r="ACY35" s="16"/>
      <c r="ACZ35" s="16"/>
      <c r="ADA35" s="16"/>
      <c r="ADB35" s="16"/>
      <c r="ADC35" s="16"/>
      <c r="ADD35" s="16"/>
      <c r="ADE35" s="16"/>
      <c r="ADF35" s="16"/>
      <c r="ADG35" s="16"/>
      <c r="ADH35" s="16"/>
      <c r="ADI35" s="16"/>
      <c r="ADJ35" s="16"/>
      <c r="ADK35" s="16"/>
      <c r="ADL35" s="16"/>
      <c r="ADM35" s="16"/>
      <c r="ADN35" s="16"/>
      <c r="ADO35" s="16"/>
      <c r="ADP35" s="16"/>
      <c r="ADQ35" s="16"/>
      <c r="ADR35" s="16"/>
      <c r="ADS35" s="16"/>
      <c r="ADT35" s="16"/>
      <c r="ADU35" s="16"/>
      <c r="ADV35" s="16"/>
      <c r="ADW35" s="16"/>
      <c r="ADX35" s="16"/>
      <c r="ADY35" s="16"/>
      <c r="ADZ35" s="16"/>
      <c r="AEA35" s="16"/>
      <c r="AEB35" s="16"/>
      <c r="AEC35" s="16"/>
      <c r="AED35" s="16"/>
      <c r="AEE35" s="16"/>
      <c r="AEF35" s="16"/>
      <c r="AEG35" s="16"/>
      <c r="AEH35" s="16"/>
      <c r="AEI35" s="16"/>
      <c r="AEJ35" s="16"/>
      <c r="AEK35" s="16"/>
      <c r="AEL35" s="16"/>
      <c r="AEM35" s="16"/>
      <c r="AEN35" s="16"/>
      <c r="AEO35" s="16"/>
      <c r="AEP35" s="16"/>
      <c r="AEQ35" s="16"/>
      <c r="AER35" s="16"/>
      <c r="AES35" s="16"/>
      <c r="AET35" s="16"/>
      <c r="AEU35" s="16"/>
      <c r="AEV35" s="16"/>
      <c r="AEW35" s="16"/>
      <c r="AEX35" s="16"/>
      <c r="AEY35" s="16"/>
      <c r="AEZ35" s="16"/>
      <c r="AFA35" s="16"/>
      <c r="AFB35" s="16"/>
      <c r="AFC35" s="16"/>
      <c r="AFD35" s="16"/>
      <c r="AFE35" s="16"/>
      <c r="AFF35" s="16"/>
      <c r="AFG35" s="16"/>
      <c r="AFH35" s="16"/>
      <c r="AFI35" s="16"/>
      <c r="AFJ35" s="16"/>
      <c r="AFK35" s="16"/>
      <c r="AFL35" s="16"/>
      <c r="AFM35" s="16"/>
      <c r="AFN35" s="16"/>
      <c r="AFO35" s="16"/>
      <c r="AFP35" s="16"/>
      <c r="AFQ35" s="16"/>
      <c r="AFR35" s="16"/>
      <c r="AFS35" s="16"/>
      <c r="AFT35" s="16"/>
      <c r="AFU35" s="16"/>
      <c r="AFV35" s="16"/>
      <c r="AFW35" s="16"/>
      <c r="AFX35" s="16"/>
      <c r="AFY35" s="16"/>
      <c r="AFZ35" s="16"/>
      <c r="AGA35" s="16"/>
      <c r="AGB35" s="16"/>
      <c r="AGC35" s="16"/>
      <c r="AGD35" s="16"/>
      <c r="AGE35" s="16"/>
      <c r="AGF35" s="16"/>
      <c r="AGG35" s="16"/>
      <c r="AGH35" s="16"/>
      <c r="AGI35" s="16"/>
      <c r="AGJ35" s="16"/>
      <c r="AGK35" s="16"/>
      <c r="AGL35" s="16"/>
      <c r="AGM35" s="16"/>
      <c r="AGN35" s="16"/>
      <c r="AGO35" s="16"/>
      <c r="AGP35" s="16"/>
      <c r="AGQ35" s="16"/>
      <c r="AGR35" s="16"/>
      <c r="AGS35" s="16"/>
      <c r="AGT35" s="16"/>
      <c r="AGU35" s="16"/>
      <c r="AGV35" s="16"/>
      <c r="AGW35" s="16"/>
      <c r="AGX35" s="16"/>
      <c r="AGY35" s="16"/>
      <c r="AGZ35" s="16"/>
      <c r="AHA35" s="16"/>
      <c r="AHB35" s="16"/>
      <c r="AHC35" s="16"/>
      <c r="AHD35" s="16"/>
      <c r="AHE35" s="16"/>
      <c r="AHF35" s="16"/>
      <c r="AHG35" s="16"/>
      <c r="AHH35" s="16"/>
      <c r="AHI35" s="16"/>
      <c r="AHJ35" s="16"/>
      <c r="AHK35" s="16"/>
      <c r="AHL35" s="16"/>
      <c r="AHM35" s="16"/>
      <c r="AHN35" s="16"/>
      <c r="AHO35" s="16"/>
      <c r="AHP35" s="16"/>
      <c r="AHQ35" s="16"/>
      <c r="AHR35" s="16"/>
      <c r="AHS35" s="16"/>
      <c r="AHT35" s="16"/>
      <c r="AHU35" s="16"/>
      <c r="AHV35" s="16"/>
      <c r="AHW35" s="16"/>
      <c r="AHX35" s="16"/>
      <c r="AHY35" s="16"/>
      <c r="AHZ35" s="16"/>
      <c r="AIA35" s="16"/>
      <c r="AIB35" s="16"/>
      <c r="AIC35" s="16"/>
      <c r="AID35" s="16"/>
      <c r="AIE35" s="16"/>
      <c r="AIF35" s="16"/>
      <c r="AIG35" s="16"/>
      <c r="AIH35" s="16"/>
      <c r="AII35" s="16"/>
      <c r="AIJ35" s="16"/>
      <c r="AIK35" s="16"/>
      <c r="AIL35" s="16"/>
      <c r="AIM35" s="16"/>
      <c r="AIN35" s="16"/>
      <c r="AIO35" s="16"/>
      <c r="AIP35" s="16"/>
      <c r="AIQ35" s="16"/>
      <c r="AIR35" s="16"/>
      <c r="AIS35" s="16"/>
      <c r="AIT35" s="16"/>
      <c r="AIU35" s="16"/>
      <c r="AIV35" s="16"/>
      <c r="AIW35" s="16"/>
      <c r="AIX35" s="16"/>
      <c r="AIY35" s="16"/>
      <c r="AIZ35" s="16"/>
      <c r="AJA35" s="16"/>
      <c r="AJB35" s="16"/>
      <c r="AJC35" s="16"/>
      <c r="AJD35" s="16"/>
      <c r="AJE35" s="16"/>
      <c r="AJF35" s="16"/>
      <c r="AJG35" s="16"/>
      <c r="AJH35" s="16"/>
      <c r="AJI35" s="16"/>
      <c r="AJJ35" s="16"/>
      <c r="AJK35" s="16"/>
      <c r="AJL35" s="16"/>
      <c r="AJM35" s="16"/>
      <c r="AJN35" s="16"/>
      <c r="AJO35" s="16"/>
      <c r="AJP35" s="16"/>
      <c r="AJQ35" s="16"/>
      <c r="AJR35" s="16"/>
      <c r="AJS35" s="16"/>
      <c r="AJT35" s="16"/>
      <c r="AJU35" s="16"/>
      <c r="AJV35" s="16"/>
      <c r="AJW35" s="16"/>
      <c r="AJX35" s="16"/>
      <c r="AJY35" s="16"/>
      <c r="AJZ35" s="16"/>
      <c r="AKA35" s="16"/>
      <c r="AKB35" s="16"/>
      <c r="AKC35" s="16"/>
      <c r="AKD35" s="16"/>
      <c r="AKE35" s="16"/>
      <c r="AKF35" s="16"/>
      <c r="AKG35" s="16"/>
      <c r="AKH35" s="16"/>
      <c r="AKI35" s="16"/>
      <c r="AKJ35" s="16"/>
      <c r="AKK35" s="16"/>
      <c r="AKL35" s="16"/>
      <c r="AKM35" s="16"/>
      <c r="AKN35" s="16"/>
      <c r="AKO35" s="16"/>
      <c r="AKP35" s="16"/>
      <c r="AKQ35" s="16"/>
      <c r="AKR35" s="16"/>
      <c r="AKS35" s="16"/>
      <c r="AKT35" s="16"/>
      <c r="AKU35" s="16"/>
      <c r="AKV35" s="16"/>
      <c r="AKW35" s="16"/>
      <c r="AKX35" s="16"/>
      <c r="AKY35" s="16"/>
      <c r="AKZ35" s="16"/>
      <c r="ALA35" s="16"/>
      <c r="ALB35" s="16"/>
      <c r="ALC35" s="16"/>
      <c r="ALD35" s="16"/>
      <c r="ALE35" s="16"/>
      <c r="ALF35" s="16"/>
      <c r="ALG35" s="16"/>
      <c r="ALH35" s="16"/>
      <c r="ALI35" s="16"/>
      <c r="ALJ35" s="16"/>
      <c r="ALK35" s="16"/>
      <c r="ALL35" s="16"/>
      <c r="ALM35" s="16"/>
      <c r="ALN35" s="16"/>
      <c r="ALO35" s="16"/>
      <c r="ALP35" s="16"/>
      <c r="ALQ35" s="16"/>
      <c r="ALR35" s="16"/>
      <c r="ALS35" s="16"/>
      <c r="ALT35" s="16"/>
      <c r="ALU35" s="16"/>
      <c r="ALV35" s="16"/>
      <c r="ALW35" s="16"/>
      <c r="ALX35" s="16"/>
      <c r="ALY35" s="16"/>
      <c r="ALZ35" s="16"/>
      <c r="AMA35" s="16"/>
      <c r="AMB35" s="16"/>
      <c r="AMC35" s="16"/>
      <c r="AMD35" s="16"/>
      <c r="AME35" s="16"/>
      <c r="AMF35" s="16"/>
      <c r="AMG35" s="16"/>
      <c r="AMH35" s="16"/>
      <c r="AMI35" s="16"/>
      <c r="AMJ35" s="16"/>
      <c r="AMK35" s="16"/>
      <c r="AML35" s="16"/>
      <c r="AMM35" s="16"/>
      <c r="AMN35" s="16"/>
      <c r="AMO35" s="16"/>
      <c r="AMP35" s="16"/>
      <c r="AMQ35" s="16"/>
      <c r="AMR35" s="16"/>
      <c r="AMS35" s="16"/>
      <c r="AMT35" s="16"/>
      <c r="AMU35" s="16"/>
      <c r="AMV35" s="16"/>
      <c r="AMW35" s="16"/>
      <c r="AMX35" s="16"/>
      <c r="AMY35" s="16"/>
      <c r="AMZ35" s="16"/>
      <c r="ANA35" s="16"/>
      <c r="ANB35" s="16"/>
      <c r="ANC35" s="16"/>
      <c r="AND35" s="16"/>
      <c r="ANE35" s="16"/>
      <c r="ANF35" s="16"/>
      <c r="ANG35" s="16"/>
      <c r="ANH35" s="16"/>
      <c r="ANI35" s="16"/>
      <c r="ANJ35" s="16"/>
      <c r="ANK35" s="16"/>
      <c r="ANL35" s="16"/>
      <c r="ANM35" s="16"/>
      <c r="ANN35" s="16"/>
      <c r="ANO35" s="16"/>
      <c r="ANP35" s="16"/>
      <c r="ANQ35" s="16"/>
      <c r="ANR35" s="16"/>
      <c r="ANS35" s="16"/>
      <c r="ANT35" s="16"/>
      <c r="ANU35" s="16"/>
      <c r="ANV35" s="16"/>
      <c r="ANW35" s="16"/>
      <c r="ANX35" s="16"/>
      <c r="ANY35" s="16"/>
      <c r="ANZ35" s="16"/>
      <c r="AOA35" s="16"/>
      <c r="AOB35" s="16"/>
      <c r="AOC35" s="16"/>
      <c r="AOD35" s="16"/>
      <c r="AOE35" s="16"/>
      <c r="AOF35" s="16"/>
      <c r="AOG35" s="16"/>
      <c r="AOH35" s="16"/>
      <c r="AOI35" s="16"/>
      <c r="AOJ35" s="16"/>
      <c r="AOK35" s="16"/>
      <c r="AOL35" s="16"/>
      <c r="AOM35" s="16"/>
      <c r="AON35" s="16"/>
      <c r="AOO35" s="16"/>
      <c r="AOP35" s="16"/>
      <c r="AOQ35" s="16"/>
      <c r="AOR35" s="16"/>
      <c r="AOS35" s="16"/>
      <c r="AOT35" s="16"/>
      <c r="AOU35" s="16"/>
      <c r="AOV35" s="16"/>
      <c r="AOW35" s="16"/>
      <c r="AOX35" s="16"/>
      <c r="AOY35" s="16"/>
      <c r="AOZ35" s="16"/>
      <c r="APA35" s="16"/>
      <c r="APB35" s="16"/>
      <c r="APC35" s="16"/>
      <c r="APD35" s="16"/>
      <c r="APE35" s="16"/>
      <c r="APF35" s="16"/>
      <c r="APG35" s="16"/>
      <c r="APH35" s="16"/>
      <c r="API35" s="16"/>
      <c r="APJ35" s="16"/>
      <c r="APK35" s="16"/>
      <c r="APL35" s="16"/>
      <c r="APM35" s="16"/>
      <c r="APN35" s="16"/>
      <c r="APO35" s="16"/>
      <c r="APP35" s="16"/>
      <c r="APQ35" s="16"/>
      <c r="APR35" s="16"/>
      <c r="APS35" s="16"/>
      <c r="APT35" s="16"/>
      <c r="APU35" s="16"/>
      <c r="APV35" s="16"/>
      <c r="APW35" s="16"/>
      <c r="APX35" s="16"/>
      <c r="APY35" s="16"/>
      <c r="APZ35" s="16"/>
      <c r="AQA35" s="16"/>
      <c r="AQB35" s="16"/>
      <c r="AQC35" s="16"/>
      <c r="AQD35" s="16"/>
      <c r="AQE35" s="16"/>
      <c r="AQF35" s="16"/>
      <c r="AQG35" s="16"/>
      <c r="AQH35" s="16"/>
      <c r="AQI35" s="16"/>
      <c r="AQJ35" s="16"/>
      <c r="AQK35" s="16"/>
      <c r="AQL35" s="16"/>
      <c r="AQM35" s="16"/>
      <c r="AQN35" s="16"/>
      <c r="AQO35" s="16"/>
      <c r="AQP35" s="16"/>
      <c r="AQQ35" s="16"/>
      <c r="AQR35" s="16"/>
      <c r="AQS35" s="16"/>
      <c r="AQT35" s="16"/>
      <c r="AQU35" s="16"/>
      <c r="AQV35" s="16"/>
      <c r="AQW35" s="16"/>
      <c r="AQX35" s="16"/>
      <c r="AQY35" s="16"/>
      <c r="AQZ35" s="16"/>
      <c r="ARA35" s="16"/>
      <c r="ARB35" s="16"/>
      <c r="ARC35" s="16"/>
      <c r="ARD35" s="16"/>
      <c r="ARE35" s="16"/>
      <c r="ARF35" s="16"/>
      <c r="ARG35" s="16"/>
      <c r="ARH35" s="16"/>
      <c r="ARI35" s="16"/>
      <c r="ARJ35" s="16"/>
      <c r="ARK35" s="16"/>
      <c r="ARL35" s="16"/>
      <c r="ARM35" s="16"/>
      <c r="ARN35" s="16"/>
      <c r="ARO35" s="16"/>
      <c r="ARP35" s="16"/>
      <c r="ARQ35" s="16"/>
      <c r="ARR35" s="16"/>
      <c r="ARS35" s="16"/>
      <c r="ART35" s="16"/>
      <c r="ARU35" s="16"/>
      <c r="ARV35" s="16"/>
      <c r="ARW35" s="16"/>
      <c r="ARX35" s="16"/>
      <c r="ARY35" s="16"/>
      <c r="ARZ35" s="16"/>
      <c r="ASA35" s="16"/>
      <c r="ASB35" s="16"/>
      <c r="ASC35" s="16"/>
      <c r="ASD35" s="16"/>
      <c r="ASE35" s="16"/>
      <c r="ASF35" s="16"/>
      <c r="ASG35" s="16"/>
      <c r="ASH35" s="16"/>
      <c r="ASI35" s="16"/>
      <c r="ASJ35" s="16"/>
      <c r="ASK35" s="16"/>
      <c r="ASL35" s="16"/>
      <c r="ASM35" s="16"/>
      <c r="ASN35" s="16"/>
      <c r="ASO35" s="16"/>
      <c r="ASP35" s="16"/>
      <c r="ASQ35" s="16"/>
      <c r="ASR35" s="16"/>
      <c r="ASS35" s="16"/>
      <c r="AST35" s="16"/>
      <c r="ASU35" s="16"/>
      <c r="ASV35" s="16"/>
      <c r="ASW35" s="16"/>
      <c r="ASX35" s="16"/>
      <c r="ASY35" s="16"/>
      <c r="ASZ35" s="16"/>
      <c r="ATA35" s="16"/>
      <c r="ATB35" s="16"/>
      <c r="ATC35" s="16"/>
      <c r="ATD35" s="16"/>
      <c r="ATE35" s="16"/>
      <c r="ATF35" s="16"/>
      <c r="ATG35" s="16"/>
      <c r="ATH35" s="16"/>
      <c r="ATI35" s="16"/>
      <c r="ATJ35" s="16"/>
      <c r="ATK35" s="16"/>
      <c r="ATL35" s="16"/>
      <c r="ATM35" s="16"/>
      <c r="ATN35" s="16"/>
      <c r="ATO35" s="16"/>
      <c r="ATP35" s="16"/>
      <c r="ATQ35" s="16"/>
      <c r="ATR35" s="16"/>
      <c r="ATS35" s="16"/>
      <c r="ATT35" s="16"/>
      <c r="ATU35" s="16"/>
      <c r="ATV35" s="16"/>
      <c r="ATW35" s="16"/>
      <c r="ATX35" s="16"/>
      <c r="ATY35" s="16"/>
      <c r="ATZ35" s="16"/>
      <c r="AUA35" s="16"/>
      <c r="AUB35" s="16"/>
      <c r="AUC35" s="16"/>
      <c r="AUD35" s="16"/>
      <c r="AUE35" s="16"/>
      <c r="AUF35" s="16"/>
      <c r="AUG35" s="16"/>
      <c r="AUH35" s="16"/>
      <c r="AUI35" s="16"/>
      <c r="AUJ35" s="16"/>
      <c r="AUK35" s="16"/>
      <c r="AUL35" s="16"/>
      <c r="AUM35" s="16"/>
      <c r="AUN35" s="16"/>
      <c r="AUO35" s="16"/>
      <c r="AUP35" s="16"/>
      <c r="AUQ35" s="16"/>
      <c r="AUR35" s="16"/>
      <c r="AUS35" s="16"/>
      <c r="AUT35" s="16"/>
      <c r="AUU35" s="16"/>
      <c r="AUV35" s="16"/>
      <c r="AUW35" s="16"/>
      <c r="AUX35" s="16"/>
      <c r="AUY35" s="16"/>
      <c r="AUZ35" s="16"/>
      <c r="AVA35" s="16"/>
      <c r="AVB35" s="16"/>
      <c r="AVC35" s="16"/>
      <c r="AVD35" s="16"/>
      <c r="AVE35" s="16"/>
      <c r="AVF35" s="16"/>
      <c r="AVG35" s="16"/>
      <c r="AVH35" s="16"/>
      <c r="AVI35" s="16"/>
      <c r="AVJ35" s="16"/>
      <c r="AVK35" s="16"/>
      <c r="AVL35" s="16"/>
      <c r="AVM35" s="16"/>
      <c r="AVN35" s="16"/>
      <c r="AVO35" s="16"/>
      <c r="AVP35" s="16"/>
      <c r="AVQ35" s="16"/>
      <c r="AVR35" s="16"/>
      <c r="AVS35" s="16"/>
      <c r="AVT35" s="16"/>
      <c r="AVU35" s="16"/>
      <c r="AVV35" s="16"/>
      <c r="AVW35" s="16"/>
      <c r="AVX35" s="16"/>
      <c r="AVY35" s="16"/>
      <c r="AVZ35" s="16"/>
      <c r="AWA35" s="16"/>
      <c r="AWB35" s="16"/>
      <c r="AWC35" s="16"/>
      <c r="AWD35" s="16"/>
      <c r="AWE35" s="16"/>
      <c r="AWF35" s="16"/>
      <c r="AWG35" s="16"/>
      <c r="AWH35" s="16"/>
      <c r="AWI35" s="16"/>
      <c r="AWJ35" s="16"/>
      <c r="AWK35" s="16"/>
      <c r="AWL35" s="16"/>
      <c r="AWM35" s="16"/>
      <c r="AWN35" s="16"/>
      <c r="AWO35" s="16"/>
      <c r="AWP35" s="16"/>
      <c r="AWQ35" s="16"/>
      <c r="AWR35" s="16"/>
      <c r="AWS35" s="16"/>
      <c r="AWT35" s="16"/>
      <c r="AWU35" s="16"/>
      <c r="AWV35" s="16"/>
      <c r="AWW35" s="16"/>
      <c r="AWX35" s="16"/>
      <c r="AWY35" s="16"/>
      <c r="AWZ35" s="16"/>
      <c r="AXA35" s="16"/>
      <c r="AXB35" s="16"/>
      <c r="AXC35" s="16"/>
      <c r="AXD35" s="16"/>
      <c r="AXE35" s="16"/>
      <c r="AXF35" s="16"/>
      <c r="AXG35" s="16"/>
      <c r="AXH35" s="16"/>
      <c r="AXI35" s="16"/>
      <c r="AXJ35" s="16"/>
      <c r="AXK35" s="16"/>
      <c r="AXL35" s="16"/>
      <c r="AXM35" s="16"/>
      <c r="AXN35" s="16"/>
      <c r="AXO35" s="16"/>
      <c r="AXP35" s="16"/>
      <c r="AXQ35" s="16"/>
      <c r="AXR35" s="16"/>
      <c r="AXS35" s="16"/>
      <c r="AXT35" s="16"/>
      <c r="AXU35" s="16"/>
      <c r="AXV35" s="16"/>
      <c r="AXW35" s="16"/>
      <c r="AXX35" s="16"/>
      <c r="AXY35" s="16"/>
      <c r="AXZ35" s="16"/>
      <c r="AYA35" s="16"/>
      <c r="AYB35" s="16"/>
      <c r="AYC35" s="16"/>
      <c r="AYD35" s="16"/>
      <c r="AYE35" s="16"/>
      <c r="AYF35" s="16"/>
      <c r="AYG35" s="16"/>
      <c r="AYH35" s="16"/>
      <c r="AYI35" s="16"/>
      <c r="AYJ35" s="16"/>
      <c r="AYK35" s="16"/>
      <c r="AYL35" s="16"/>
      <c r="AYM35" s="16"/>
      <c r="AYN35" s="16"/>
      <c r="AYO35" s="16"/>
      <c r="AYP35" s="16"/>
      <c r="AYQ35" s="16"/>
      <c r="AYR35" s="16"/>
      <c r="AYS35" s="16"/>
      <c r="AYT35" s="16"/>
      <c r="AYU35" s="16"/>
      <c r="AYV35" s="16"/>
      <c r="AYW35" s="16"/>
      <c r="AYX35" s="16"/>
      <c r="AYY35" s="16"/>
      <c r="AYZ35" s="16"/>
      <c r="AZA35" s="16"/>
      <c r="AZB35" s="16"/>
      <c r="AZC35" s="16"/>
      <c r="AZD35" s="16"/>
      <c r="AZE35" s="16"/>
      <c r="AZF35" s="16"/>
      <c r="AZG35" s="16"/>
      <c r="AZH35" s="16"/>
      <c r="AZI35" s="16"/>
      <c r="AZJ35" s="16"/>
      <c r="AZK35" s="16"/>
      <c r="AZL35" s="16"/>
      <c r="AZM35" s="16"/>
      <c r="AZN35" s="16"/>
      <c r="AZO35" s="16"/>
      <c r="AZP35" s="16"/>
      <c r="AZQ35" s="16"/>
      <c r="AZR35" s="16"/>
      <c r="AZS35" s="16"/>
      <c r="AZT35" s="16"/>
      <c r="AZU35" s="16"/>
      <c r="AZV35" s="16"/>
      <c r="AZW35" s="16"/>
      <c r="AZX35" s="16"/>
      <c r="AZY35" s="16"/>
      <c r="AZZ35" s="16"/>
      <c r="BAA35" s="16"/>
      <c r="BAB35" s="16"/>
      <c r="BAC35" s="16"/>
      <c r="BAD35" s="16"/>
      <c r="BAE35" s="16"/>
      <c r="BAF35" s="16"/>
      <c r="BAG35" s="16"/>
      <c r="BAH35" s="16"/>
      <c r="BAI35" s="16"/>
      <c r="BAJ35" s="16"/>
      <c r="BAK35" s="16"/>
      <c r="BAL35" s="16"/>
      <c r="BAM35" s="16"/>
      <c r="BAN35" s="16"/>
      <c r="BAO35" s="16"/>
      <c r="BAP35" s="16"/>
      <c r="BAQ35" s="16"/>
      <c r="BAR35" s="16"/>
      <c r="BAS35" s="16"/>
      <c r="BAT35" s="16"/>
      <c r="BAU35" s="16"/>
      <c r="BAV35" s="16"/>
      <c r="BAW35" s="16"/>
      <c r="BAX35" s="16"/>
      <c r="BAY35" s="16"/>
      <c r="BAZ35" s="16"/>
      <c r="BBA35" s="16"/>
      <c r="BBB35" s="16"/>
      <c r="BBC35" s="16"/>
      <c r="BBD35" s="16"/>
      <c r="BBE35" s="16"/>
      <c r="BBF35" s="16"/>
      <c r="BBG35" s="16"/>
      <c r="BBH35" s="16"/>
      <c r="BBI35" s="16"/>
      <c r="BBJ35" s="16"/>
      <c r="BBK35" s="16"/>
      <c r="BBL35" s="16"/>
      <c r="BBM35" s="16"/>
      <c r="BBN35" s="16"/>
      <c r="BBO35" s="16"/>
      <c r="BBP35" s="16"/>
      <c r="BBQ35" s="16"/>
      <c r="BBR35" s="16"/>
      <c r="BBS35" s="16"/>
      <c r="BBT35" s="16"/>
      <c r="BBU35" s="16"/>
      <c r="BBV35" s="16"/>
      <c r="BBW35" s="16"/>
      <c r="BBX35" s="16"/>
      <c r="BBY35" s="16"/>
      <c r="BBZ35" s="16"/>
      <c r="BCA35" s="16"/>
      <c r="BCB35" s="16"/>
      <c r="BCC35" s="16"/>
      <c r="BCD35" s="16"/>
      <c r="BCE35" s="16"/>
      <c r="BCF35" s="16"/>
      <c r="BCG35" s="16"/>
      <c r="BCH35" s="16"/>
      <c r="BCI35" s="16"/>
      <c r="BCJ35" s="16"/>
      <c r="BCK35" s="16"/>
      <c r="BCL35" s="16"/>
      <c r="BCM35" s="16"/>
      <c r="BCN35" s="16"/>
      <c r="BCO35" s="16"/>
      <c r="BCP35" s="16"/>
      <c r="BCQ35" s="16"/>
      <c r="BCR35" s="16"/>
      <c r="BCS35" s="16"/>
      <c r="BCT35" s="16"/>
      <c r="BCU35" s="16"/>
      <c r="BCV35" s="16"/>
      <c r="BCW35" s="16"/>
      <c r="BCX35" s="16"/>
      <c r="BCY35" s="16"/>
      <c r="BCZ35" s="16"/>
      <c r="BDA35" s="16"/>
      <c r="BDB35" s="16"/>
      <c r="BDC35" s="16"/>
      <c r="BDD35" s="16"/>
      <c r="BDE35" s="16"/>
      <c r="BDF35" s="16"/>
      <c r="BDG35" s="16"/>
      <c r="BDH35" s="16"/>
      <c r="BDI35" s="16"/>
      <c r="BDJ35" s="16"/>
      <c r="BDK35" s="16"/>
      <c r="BDL35" s="16"/>
      <c r="BDM35" s="16"/>
      <c r="BDN35" s="16"/>
      <c r="BDO35" s="16"/>
      <c r="BDP35" s="16"/>
      <c r="BDQ35" s="16"/>
      <c r="BDR35" s="16"/>
      <c r="BDS35" s="16"/>
      <c r="BDT35" s="16"/>
      <c r="BDU35" s="16"/>
      <c r="BDV35" s="16"/>
      <c r="BDW35" s="16"/>
      <c r="BDX35" s="16"/>
      <c r="BDY35" s="16"/>
      <c r="BDZ35" s="16"/>
      <c r="BEA35" s="16"/>
      <c r="BEB35" s="16"/>
      <c r="BEC35" s="16"/>
      <c r="BED35" s="16"/>
      <c r="BEE35" s="16"/>
      <c r="BEF35" s="16"/>
      <c r="BEG35" s="16"/>
      <c r="BEH35" s="16"/>
      <c r="BEI35" s="16"/>
      <c r="BEJ35" s="16"/>
      <c r="BEK35" s="16"/>
      <c r="BEL35" s="16"/>
      <c r="BEM35" s="16"/>
      <c r="BEN35" s="16"/>
      <c r="BEO35" s="16"/>
      <c r="BEP35" s="16"/>
      <c r="BEQ35" s="16"/>
      <c r="BER35" s="16"/>
      <c r="BES35" s="16"/>
      <c r="BET35" s="16"/>
      <c r="BEU35" s="16"/>
      <c r="BEV35" s="16"/>
      <c r="BEW35" s="16"/>
      <c r="BEX35" s="16"/>
      <c r="BEY35" s="16"/>
      <c r="BEZ35" s="16"/>
      <c r="BFA35" s="16"/>
      <c r="BFB35" s="16"/>
      <c r="BFC35" s="16"/>
      <c r="BFD35" s="16"/>
      <c r="BFE35" s="16"/>
      <c r="BFF35" s="16"/>
      <c r="BFG35" s="16"/>
      <c r="BFH35" s="16"/>
      <c r="BFI35" s="16"/>
      <c r="BFJ35" s="16"/>
      <c r="BFK35" s="16"/>
      <c r="BFL35" s="16"/>
      <c r="BFM35" s="16"/>
      <c r="BFN35" s="16"/>
      <c r="BFO35" s="16"/>
      <c r="BFP35" s="16"/>
      <c r="BFQ35" s="16"/>
      <c r="BFR35" s="16"/>
      <c r="BFS35" s="16"/>
      <c r="BFT35" s="16"/>
      <c r="BFU35" s="16"/>
      <c r="BFV35" s="16"/>
      <c r="BFW35" s="16"/>
      <c r="BFX35" s="16"/>
      <c r="BFY35" s="16"/>
      <c r="BFZ35" s="16"/>
      <c r="BGA35" s="16"/>
      <c r="BGB35" s="16"/>
      <c r="BGC35" s="16"/>
      <c r="BGD35" s="16"/>
      <c r="BGE35" s="16"/>
      <c r="BGF35" s="16"/>
      <c r="BGG35" s="16"/>
      <c r="BGH35" s="16"/>
      <c r="BGI35" s="16"/>
      <c r="BGJ35" s="16"/>
      <c r="BGK35" s="16"/>
      <c r="BGL35" s="16"/>
      <c r="BGM35" s="16"/>
      <c r="BGN35" s="16"/>
      <c r="BGO35" s="16"/>
      <c r="BGP35" s="16"/>
      <c r="BGQ35" s="16"/>
      <c r="BGR35" s="16"/>
      <c r="BGS35" s="16"/>
      <c r="BGT35" s="16"/>
      <c r="BGU35" s="16"/>
      <c r="BGV35" s="16"/>
      <c r="BGW35" s="16"/>
      <c r="BGX35" s="16"/>
      <c r="BGY35" s="16"/>
      <c r="BGZ35" s="16"/>
      <c r="BHA35" s="16"/>
      <c r="BHB35" s="16"/>
      <c r="BHC35" s="16"/>
      <c r="BHD35" s="16"/>
      <c r="BHE35" s="16"/>
      <c r="BHF35" s="16"/>
      <c r="BHG35" s="16"/>
      <c r="BHH35" s="16"/>
      <c r="BHI35" s="16"/>
      <c r="BHJ35" s="16"/>
      <c r="BHK35" s="16"/>
      <c r="BHL35" s="16"/>
      <c r="BHM35" s="16"/>
      <c r="BHN35" s="16"/>
      <c r="BHO35" s="16"/>
      <c r="BHP35" s="16"/>
      <c r="BHQ35" s="16"/>
      <c r="BHR35" s="16"/>
      <c r="BHS35" s="16"/>
      <c r="BHT35" s="16"/>
      <c r="BHU35" s="16"/>
      <c r="BHV35" s="16"/>
      <c r="BHW35" s="16"/>
      <c r="BHX35" s="16"/>
      <c r="BHY35" s="16"/>
      <c r="BHZ35" s="16"/>
      <c r="BIA35" s="16"/>
      <c r="BIB35" s="16"/>
      <c r="BIC35" s="16"/>
      <c r="BID35" s="16"/>
      <c r="BIE35" s="16"/>
      <c r="BIF35" s="16"/>
      <c r="BIG35" s="16"/>
      <c r="BIH35" s="16"/>
      <c r="BII35" s="16"/>
      <c r="BIJ35" s="16"/>
      <c r="BIK35" s="16"/>
      <c r="BIL35" s="16"/>
      <c r="BIM35" s="16"/>
      <c r="BIN35" s="16"/>
      <c r="BIO35" s="16"/>
      <c r="BIP35" s="16"/>
      <c r="BIQ35" s="16"/>
      <c r="BIR35" s="16"/>
      <c r="BIS35" s="16"/>
      <c r="BIT35" s="16"/>
      <c r="BIU35" s="16"/>
      <c r="BIV35" s="16"/>
      <c r="BIW35" s="16"/>
      <c r="BIX35" s="16"/>
      <c r="BIY35" s="16"/>
      <c r="BIZ35" s="16"/>
      <c r="BJA35" s="16"/>
      <c r="BJB35" s="16"/>
      <c r="BJC35" s="16"/>
      <c r="BJD35" s="16"/>
      <c r="BJE35" s="16"/>
      <c r="BJF35" s="16"/>
      <c r="BJG35" s="16"/>
      <c r="BJH35" s="16"/>
      <c r="BJI35" s="16"/>
      <c r="BJJ35" s="16"/>
      <c r="BJK35" s="16"/>
      <c r="BJL35" s="16"/>
      <c r="BJM35" s="16"/>
      <c r="BJN35" s="16"/>
      <c r="BJO35" s="16"/>
      <c r="BJP35" s="16"/>
      <c r="BJQ35" s="16"/>
      <c r="BJR35" s="16"/>
      <c r="BJS35" s="16"/>
      <c r="BJT35" s="16"/>
      <c r="BJU35" s="16"/>
      <c r="BJV35" s="16"/>
      <c r="BJW35" s="16"/>
      <c r="BJX35" s="16"/>
      <c r="BJY35" s="16"/>
      <c r="BJZ35" s="16"/>
      <c r="BKA35" s="16"/>
      <c r="BKB35" s="16"/>
      <c r="BKC35" s="16"/>
      <c r="BKD35" s="16"/>
      <c r="BKE35" s="16"/>
      <c r="BKF35" s="16"/>
      <c r="BKG35" s="16"/>
      <c r="BKH35" s="16"/>
      <c r="BKI35" s="16"/>
      <c r="BKJ35" s="16"/>
      <c r="BKK35" s="16"/>
      <c r="BKL35" s="16"/>
      <c r="BKM35" s="16"/>
      <c r="BKN35" s="16"/>
      <c r="BKO35" s="16"/>
      <c r="BKP35" s="16"/>
      <c r="BKQ35" s="16"/>
      <c r="BKR35" s="16"/>
      <c r="BKS35" s="16"/>
      <c r="BKT35" s="16"/>
      <c r="BKU35" s="16"/>
      <c r="BKV35" s="16"/>
      <c r="BKW35" s="16"/>
      <c r="BKX35" s="16"/>
      <c r="BKY35" s="16"/>
      <c r="BKZ35" s="16"/>
      <c r="BLA35" s="16"/>
      <c r="BLB35" s="16"/>
      <c r="BLC35" s="16"/>
      <c r="BLD35" s="16"/>
      <c r="BLE35" s="16"/>
      <c r="BLF35" s="16"/>
      <c r="BLG35" s="16"/>
      <c r="BLH35" s="16"/>
      <c r="BLI35" s="16"/>
      <c r="BLJ35" s="16"/>
      <c r="BLK35" s="16"/>
      <c r="BLL35" s="16"/>
      <c r="BLM35" s="16"/>
      <c r="BLN35" s="16"/>
      <c r="BLO35" s="16"/>
      <c r="BLP35" s="16"/>
      <c r="BLQ35" s="16"/>
      <c r="BLR35" s="16"/>
      <c r="BLS35" s="16"/>
      <c r="BLT35" s="16"/>
      <c r="BLU35" s="16"/>
      <c r="BLV35" s="16"/>
      <c r="BLW35" s="16"/>
      <c r="BLX35" s="16"/>
      <c r="BLY35" s="16"/>
      <c r="BLZ35" s="16"/>
      <c r="BMA35" s="16"/>
      <c r="BMB35" s="16"/>
      <c r="BMC35" s="16"/>
      <c r="BMD35" s="16"/>
      <c r="BME35" s="16"/>
      <c r="BMF35" s="16"/>
      <c r="BMG35" s="16"/>
      <c r="BMH35" s="16"/>
      <c r="BMI35" s="16"/>
      <c r="BMJ35" s="16"/>
      <c r="BMK35" s="16"/>
      <c r="BML35" s="16"/>
      <c r="BMM35" s="16"/>
      <c r="BMN35" s="16"/>
      <c r="BMO35" s="16"/>
      <c r="BMP35" s="16"/>
      <c r="BMQ35" s="16"/>
      <c r="BMR35" s="16"/>
      <c r="BMS35" s="16"/>
      <c r="BMT35" s="16"/>
      <c r="BMU35" s="16"/>
      <c r="BMV35" s="16"/>
      <c r="BMW35" s="16"/>
      <c r="BMX35" s="16"/>
      <c r="BMY35" s="16"/>
      <c r="BMZ35" s="16"/>
      <c r="BNA35" s="16"/>
      <c r="BNB35" s="16"/>
      <c r="BNC35" s="16"/>
      <c r="BND35" s="16"/>
      <c r="BNE35" s="16"/>
      <c r="BNF35" s="16"/>
      <c r="BNG35" s="16"/>
      <c r="BNH35" s="16"/>
      <c r="BNI35" s="16"/>
      <c r="BNJ35" s="16"/>
      <c r="BNK35" s="16"/>
      <c r="BNL35" s="16"/>
      <c r="BNM35" s="16"/>
      <c r="BNN35" s="16"/>
      <c r="BNO35" s="16"/>
      <c r="BNP35" s="16"/>
      <c r="BNQ35" s="16"/>
      <c r="BNR35" s="16"/>
      <c r="BNS35" s="16"/>
      <c r="BNT35" s="16"/>
      <c r="BNU35" s="16"/>
      <c r="BNV35" s="16"/>
      <c r="BNW35" s="16"/>
      <c r="BNX35" s="16"/>
      <c r="BNY35" s="16"/>
      <c r="BNZ35" s="16"/>
      <c r="BOA35" s="16"/>
      <c r="BOB35" s="16"/>
      <c r="BOC35" s="16"/>
      <c r="BOD35" s="16"/>
      <c r="BOE35" s="16"/>
      <c r="BOF35" s="16"/>
      <c r="BOG35" s="16"/>
      <c r="BOH35" s="16"/>
      <c r="BOI35" s="16"/>
      <c r="BOJ35" s="16"/>
      <c r="BOK35" s="16"/>
      <c r="BOL35" s="16"/>
      <c r="BOM35" s="16"/>
      <c r="BON35" s="16"/>
      <c r="BOO35" s="16"/>
      <c r="BOP35" s="16"/>
      <c r="BOQ35" s="16"/>
      <c r="BOR35" s="16"/>
      <c r="BOS35" s="16"/>
      <c r="BOT35" s="16"/>
      <c r="BOU35" s="16"/>
      <c r="BOV35" s="16"/>
      <c r="BOW35" s="16"/>
      <c r="BOX35" s="16"/>
      <c r="BOY35" s="16"/>
      <c r="BOZ35" s="16"/>
      <c r="BPA35" s="16"/>
      <c r="BPB35" s="16"/>
      <c r="BPC35" s="16"/>
      <c r="BPD35" s="16"/>
      <c r="BPE35" s="16"/>
      <c r="BPF35" s="16"/>
      <c r="BPG35" s="16"/>
      <c r="BPH35" s="16"/>
      <c r="BPI35" s="16"/>
      <c r="BPJ35" s="16"/>
      <c r="BPK35" s="16"/>
      <c r="BPL35" s="16"/>
      <c r="BPM35" s="16"/>
      <c r="BPN35" s="16"/>
      <c r="BPO35" s="16"/>
      <c r="BPP35" s="16"/>
      <c r="BPQ35" s="16"/>
      <c r="BPR35" s="16"/>
      <c r="BPS35" s="16"/>
      <c r="BPT35" s="16"/>
      <c r="BPU35" s="16"/>
      <c r="BPV35" s="16"/>
      <c r="BPW35" s="16"/>
      <c r="BPX35" s="16"/>
      <c r="BPY35" s="16"/>
      <c r="BPZ35" s="16"/>
      <c r="BQA35" s="16"/>
      <c r="BQB35" s="16"/>
      <c r="BQC35" s="16"/>
      <c r="BQD35" s="16"/>
      <c r="BQE35" s="16"/>
      <c r="BQF35" s="16"/>
      <c r="BQG35" s="16"/>
      <c r="BQH35" s="16"/>
      <c r="BQI35" s="16"/>
      <c r="BQJ35" s="16"/>
      <c r="BQK35" s="16"/>
      <c r="BQL35" s="16"/>
      <c r="BQM35" s="16"/>
      <c r="BQN35" s="16"/>
      <c r="BQO35" s="16"/>
      <c r="BQP35" s="16"/>
      <c r="BQQ35" s="16"/>
      <c r="BQR35" s="16"/>
      <c r="BQS35" s="16"/>
      <c r="BQT35" s="16"/>
      <c r="BQU35" s="16"/>
      <c r="BQV35" s="16"/>
      <c r="BQW35" s="16"/>
      <c r="BQX35" s="16"/>
      <c r="BQY35" s="16"/>
      <c r="BQZ35" s="16"/>
      <c r="BRA35" s="16"/>
      <c r="BRB35" s="16"/>
      <c r="BRC35" s="16"/>
      <c r="BRD35" s="16"/>
      <c r="BRE35" s="16"/>
      <c r="BRF35" s="16"/>
      <c r="BRG35" s="16"/>
      <c r="BRH35" s="16"/>
      <c r="BRI35" s="16"/>
      <c r="BRJ35" s="16"/>
      <c r="BRK35" s="16"/>
      <c r="BRL35" s="16"/>
      <c r="BRM35" s="16"/>
      <c r="BRN35" s="16"/>
      <c r="BRO35" s="16"/>
      <c r="BRP35" s="16"/>
      <c r="BRQ35" s="16"/>
      <c r="BRR35" s="16"/>
      <c r="BRS35" s="16"/>
      <c r="BRT35" s="16"/>
      <c r="BRU35" s="16"/>
      <c r="BRV35" s="16"/>
      <c r="BRW35" s="16"/>
      <c r="BRX35" s="16"/>
      <c r="BRY35" s="16"/>
      <c r="BRZ35" s="16"/>
      <c r="BSA35" s="16"/>
      <c r="BSB35" s="16"/>
      <c r="BSC35" s="16"/>
      <c r="BSD35" s="16"/>
      <c r="BSE35" s="16"/>
      <c r="BSF35" s="16"/>
      <c r="BSG35" s="16"/>
      <c r="BSH35" s="16"/>
      <c r="BSI35" s="16"/>
      <c r="BSJ35" s="16"/>
      <c r="BSK35" s="16"/>
      <c r="BSL35" s="16"/>
      <c r="BSM35" s="16"/>
      <c r="BSN35" s="16"/>
      <c r="BSO35" s="16"/>
      <c r="BSP35" s="16"/>
      <c r="BSQ35" s="16"/>
      <c r="BSR35" s="16"/>
      <c r="BSS35" s="16"/>
      <c r="BST35" s="16"/>
      <c r="BSU35" s="16"/>
      <c r="BSV35" s="16"/>
      <c r="BSW35" s="16"/>
      <c r="BSX35" s="16"/>
      <c r="BSY35" s="16"/>
      <c r="BSZ35" s="16"/>
      <c r="BTA35" s="16"/>
      <c r="BTB35" s="16"/>
      <c r="BTC35" s="16"/>
      <c r="BTD35" s="16"/>
      <c r="BTE35" s="16"/>
      <c r="BTF35" s="16"/>
      <c r="BTG35" s="16"/>
      <c r="BTH35" s="16"/>
      <c r="BTI35" s="16"/>
      <c r="BTJ35" s="16"/>
      <c r="BTK35" s="16"/>
      <c r="BTL35" s="16"/>
      <c r="BTM35" s="16"/>
      <c r="BTN35" s="16"/>
      <c r="BTO35" s="16"/>
      <c r="BTP35" s="16"/>
      <c r="BTQ35" s="16"/>
      <c r="BTR35" s="16"/>
      <c r="BTS35" s="16"/>
      <c r="BTT35" s="16"/>
      <c r="BTU35" s="16"/>
      <c r="BTV35" s="16"/>
      <c r="BTW35" s="16"/>
      <c r="BTX35" s="16"/>
      <c r="BTY35" s="16"/>
      <c r="BTZ35" s="16"/>
      <c r="BUA35" s="16"/>
      <c r="BUB35" s="16"/>
      <c r="BUC35" s="16"/>
      <c r="BUD35" s="16"/>
      <c r="BUE35" s="16"/>
      <c r="BUF35" s="16"/>
      <c r="BUG35" s="16"/>
      <c r="BUH35" s="16"/>
      <c r="BUI35" s="16"/>
      <c r="BUJ35" s="16"/>
      <c r="BUK35" s="16"/>
      <c r="BUL35" s="16"/>
      <c r="BUM35" s="16"/>
      <c r="BUN35" s="16"/>
      <c r="BUO35" s="16"/>
      <c r="BUP35" s="16"/>
      <c r="BUQ35" s="16"/>
      <c r="BUR35" s="16"/>
      <c r="BUS35" s="16"/>
      <c r="BUT35" s="16"/>
      <c r="BUU35" s="16"/>
      <c r="BUV35" s="16"/>
      <c r="BUW35" s="16"/>
      <c r="BUX35" s="16"/>
      <c r="BUY35" s="16"/>
      <c r="BUZ35" s="16"/>
      <c r="BVA35" s="16"/>
      <c r="BVB35" s="16"/>
      <c r="BVC35" s="16"/>
      <c r="BVD35" s="16"/>
      <c r="BVE35" s="16"/>
      <c r="BVF35" s="16"/>
      <c r="BVG35" s="16"/>
      <c r="BVH35" s="16"/>
      <c r="BVI35" s="16"/>
      <c r="BVJ35" s="16"/>
      <c r="BVK35" s="16"/>
      <c r="BVL35" s="16"/>
      <c r="BVM35" s="16"/>
      <c r="BVN35" s="16"/>
      <c r="BVO35" s="16"/>
      <c r="BVP35" s="16"/>
      <c r="BVQ35" s="16"/>
      <c r="BVR35" s="16"/>
      <c r="BVS35" s="16"/>
      <c r="BVT35" s="16"/>
      <c r="BVU35" s="16"/>
      <c r="BVV35" s="16"/>
      <c r="BVW35" s="16"/>
      <c r="BVX35" s="16"/>
      <c r="BVY35" s="16"/>
      <c r="BVZ35" s="16"/>
      <c r="BWA35" s="16"/>
      <c r="BWB35" s="16"/>
      <c r="BWC35" s="16"/>
      <c r="BWD35" s="16"/>
      <c r="BWE35" s="16"/>
      <c r="BWF35" s="16"/>
      <c r="BWG35" s="16"/>
      <c r="BWH35" s="16"/>
      <c r="BWI35" s="16"/>
      <c r="BWJ35" s="16"/>
      <c r="BWK35" s="16"/>
      <c r="BWL35" s="16"/>
      <c r="BWM35" s="16"/>
      <c r="BWN35" s="16"/>
      <c r="BWO35" s="16"/>
      <c r="BWP35" s="16"/>
      <c r="BWQ35" s="16"/>
      <c r="BWR35" s="16"/>
      <c r="BWS35" s="16"/>
      <c r="BWT35" s="16"/>
      <c r="BWU35" s="16"/>
      <c r="BWV35" s="16"/>
      <c r="BWW35" s="16"/>
      <c r="BWX35" s="16"/>
      <c r="BWY35" s="16"/>
      <c r="BWZ35" s="16"/>
      <c r="BXA35" s="16"/>
      <c r="BXB35" s="16"/>
      <c r="BXC35" s="16"/>
      <c r="BXD35" s="16"/>
      <c r="BXE35" s="16"/>
      <c r="BXF35" s="16"/>
      <c r="BXG35" s="16"/>
      <c r="BXH35" s="16"/>
      <c r="BXI35" s="16"/>
      <c r="BXJ35" s="16"/>
      <c r="BXK35" s="16"/>
      <c r="BXL35" s="16"/>
      <c r="BXM35" s="16"/>
      <c r="BXN35" s="16"/>
      <c r="BXO35" s="16"/>
      <c r="BXP35" s="16"/>
      <c r="BXQ35" s="16"/>
      <c r="BXR35" s="16"/>
      <c r="BXS35" s="16"/>
      <c r="BXT35" s="16"/>
      <c r="BXU35" s="16"/>
      <c r="BXV35" s="16"/>
      <c r="BXW35" s="16"/>
      <c r="BXX35" s="16"/>
      <c r="BXY35" s="16"/>
      <c r="BXZ35" s="16"/>
      <c r="BYA35" s="16"/>
      <c r="BYB35" s="16"/>
      <c r="BYC35" s="16"/>
      <c r="BYD35" s="16"/>
      <c r="BYE35" s="16"/>
      <c r="BYF35" s="16"/>
      <c r="BYG35" s="16"/>
      <c r="BYH35" s="16"/>
      <c r="BYI35" s="16"/>
      <c r="BYJ35" s="16"/>
      <c r="BYK35" s="16"/>
      <c r="BYL35" s="16"/>
      <c r="BYM35" s="16"/>
      <c r="BYN35" s="16"/>
      <c r="BYO35" s="16"/>
      <c r="BYP35" s="16"/>
      <c r="BYQ35" s="16"/>
      <c r="BYR35" s="16"/>
      <c r="BYS35" s="16"/>
      <c r="BYT35" s="16"/>
      <c r="BYU35" s="16"/>
      <c r="BYV35" s="16"/>
      <c r="BYW35" s="16"/>
      <c r="BYX35" s="16"/>
      <c r="BYY35" s="16"/>
      <c r="BYZ35" s="16"/>
      <c r="BZA35" s="16"/>
      <c r="BZB35" s="16"/>
      <c r="BZC35" s="16"/>
      <c r="BZD35" s="16"/>
      <c r="BZE35" s="16"/>
      <c r="BZF35" s="16"/>
      <c r="BZG35" s="16"/>
      <c r="BZH35" s="16"/>
      <c r="BZI35" s="16"/>
      <c r="BZJ35" s="16"/>
      <c r="BZK35" s="16"/>
      <c r="BZL35" s="16"/>
      <c r="BZM35" s="16"/>
      <c r="BZN35" s="16"/>
      <c r="BZO35" s="16"/>
      <c r="BZP35" s="16"/>
      <c r="BZQ35" s="16"/>
      <c r="BZR35" s="16"/>
      <c r="BZS35" s="16"/>
      <c r="BZT35" s="16"/>
      <c r="BZU35" s="16"/>
      <c r="BZV35" s="16"/>
      <c r="BZW35" s="16"/>
      <c r="BZX35" s="16"/>
      <c r="BZY35" s="16"/>
      <c r="BZZ35" s="16"/>
      <c r="CAA35" s="16"/>
      <c r="CAB35" s="16"/>
      <c r="CAC35" s="16"/>
      <c r="CAD35" s="16"/>
      <c r="CAE35" s="16"/>
      <c r="CAF35" s="16"/>
      <c r="CAG35" s="16"/>
      <c r="CAH35" s="16"/>
      <c r="CAI35" s="16"/>
      <c r="CAJ35" s="16"/>
      <c r="CAK35" s="16"/>
      <c r="CAL35" s="16"/>
      <c r="CAM35" s="16"/>
      <c r="CAN35" s="16"/>
      <c r="CAO35" s="16"/>
      <c r="CAP35" s="16"/>
      <c r="CAQ35" s="16"/>
      <c r="CAR35" s="16"/>
      <c r="CAS35" s="16"/>
      <c r="CAT35" s="16"/>
      <c r="CAU35" s="16"/>
      <c r="CAV35" s="16"/>
      <c r="CAW35" s="16"/>
      <c r="CAX35" s="16"/>
      <c r="CAY35" s="16"/>
      <c r="CAZ35" s="16"/>
      <c r="CBA35" s="16"/>
      <c r="CBB35" s="16"/>
      <c r="CBC35" s="16"/>
      <c r="CBD35" s="16"/>
      <c r="CBE35" s="16"/>
      <c r="CBF35" s="16"/>
      <c r="CBG35" s="16"/>
      <c r="CBH35" s="16"/>
      <c r="CBI35" s="16"/>
      <c r="CBJ35" s="16"/>
      <c r="CBK35" s="16"/>
      <c r="CBL35" s="16"/>
      <c r="CBM35" s="16"/>
      <c r="CBN35" s="16"/>
      <c r="CBO35" s="16"/>
      <c r="CBP35" s="16"/>
      <c r="CBQ35" s="16"/>
      <c r="CBR35" s="16"/>
      <c r="CBS35" s="16"/>
      <c r="CBT35" s="16"/>
      <c r="CBU35" s="16"/>
      <c r="CBV35" s="16"/>
      <c r="CBW35" s="16"/>
      <c r="CBX35" s="16"/>
      <c r="CBY35" s="16"/>
      <c r="CBZ35" s="16"/>
      <c r="CCA35" s="16"/>
      <c r="CCB35" s="16"/>
      <c r="CCC35" s="16"/>
      <c r="CCD35" s="16"/>
      <c r="CCE35" s="16"/>
      <c r="CCF35" s="16"/>
      <c r="CCG35" s="16"/>
      <c r="CCH35" s="16"/>
      <c r="CCI35" s="16"/>
      <c r="CCJ35" s="16"/>
      <c r="CCK35" s="16"/>
      <c r="CCL35" s="16"/>
      <c r="CCM35" s="16"/>
      <c r="CCN35" s="16"/>
      <c r="CCO35" s="16"/>
      <c r="CCP35" s="16"/>
      <c r="CCQ35" s="16"/>
      <c r="CCR35" s="16"/>
      <c r="CCS35" s="16"/>
      <c r="CCT35" s="16"/>
      <c r="CCU35" s="16"/>
      <c r="CCV35" s="16"/>
      <c r="CCW35" s="16"/>
      <c r="CCX35" s="16"/>
      <c r="CCY35" s="16"/>
      <c r="CCZ35" s="16"/>
      <c r="CDA35" s="16"/>
      <c r="CDB35" s="16"/>
      <c r="CDC35" s="16"/>
      <c r="CDD35" s="16"/>
      <c r="CDE35" s="16"/>
      <c r="CDF35" s="16"/>
      <c r="CDG35" s="16"/>
      <c r="CDH35" s="16"/>
      <c r="CDI35" s="16"/>
      <c r="CDJ35" s="16"/>
      <c r="CDK35" s="16"/>
      <c r="CDL35" s="16"/>
      <c r="CDM35" s="16"/>
      <c r="CDN35" s="16"/>
      <c r="CDO35" s="16"/>
      <c r="CDP35" s="16"/>
      <c r="CDQ35" s="16"/>
      <c r="CDR35" s="16"/>
      <c r="CDS35" s="16"/>
      <c r="CDT35" s="16"/>
      <c r="CDU35" s="16"/>
      <c r="CDV35" s="16"/>
      <c r="CDW35" s="16"/>
      <c r="CDX35" s="16"/>
      <c r="CDY35" s="16"/>
      <c r="CDZ35" s="16"/>
      <c r="CEA35" s="16"/>
      <c r="CEB35" s="16"/>
      <c r="CEC35" s="16"/>
      <c r="CED35" s="16"/>
      <c r="CEE35" s="16"/>
      <c r="CEF35" s="16"/>
      <c r="CEG35" s="16"/>
      <c r="CEH35" s="16"/>
      <c r="CEI35" s="16"/>
      <c r="CEJ35" s="16"/>
      <c r="CEK35" s="16"/>
      <c r="CEL35" s="16"/>
      <c r="CEM35" s="16"/>
      <c r="CEN35" s="16"/>
      <c r="CEO35" s="16"/>
      <c r="CEP35" s="16"/>
      <c r="CEQ35" s="16"/>
      <c r="CER35" s="16"/>
      <c r="CES35" s="16"/>
      <c r="CET35" s="16"/>
      <c r="CEU35" s="16"/>
      <c r="CEV35" s="16"/>
      <c r="CEW35" s="16"/>
      <c r="CEX35" s="16"/>
      <c r="CEY35" s="16"/>
      <c r="CEZ35" s="16"/>
      <c r="CFA35" s="16"/>
      <c r="CFB35" s="16"/>
      <c r="CFC35" s="16"/>
      <c r="CFD35" s="16"/>
      <c r="CFE35" s="16"/>
      <c r="CFF35" s="16"/>
      <c r="CFG35" s="16"/>
      <c r="CFH35" s="16"/>
      <c r="CFI35" s="16"/>
      <c r="CFJ35" s="16"/>
      <c r="CFK35" s="16"/>
      <c r="CFL35" s="16"/>
      <c r="CFM35" s="16"/>
      <c r="CFN35" s="16"/>
      <c r="CFO35" s="16"/>
      <c r="CFP35" s="16"/>
      <c r="CFQ35" s="16"/>
      <c r="CFR35" s="16"/>
      <c r="CFS35" s="16"/>
      <c r="CFT35" s="16"/>
      <c r="CFU35" s="16"/>
      <c r="CFV35" s="16"/>
      <c r="CFW35" s="16"/>
      <c r="CFX35" s="16"/>
      <c r="CFY35" s="16"/>
      <c r="CFZ35" s="16"/>
      <c r="CGA35" s="16"/>
      <c r="CGB35" s="16"/>
      <c r="CGC35" s="16"/>
      <c r="CGD35" s="16"/>
      <c r="CGE35" s="16"/>
      <c r="CGF35" s="16"/>
      <c r="CGG35" s="16"/>
      <c r="CGH35" s="16"/>
      <c r="CGI35" s="16"/>
      <c r="CGJ35" s="16"/>
      <c r="CGK35" s="16"/>
      <c r="CGL35" s="16"/>
      <c r="CGM35" s="16"/>
      <c r="CGN35" s="16"/>
      <c r="CGO35" s="16"/>
      <c r="CGP35" s="16"/>
      <c r="CGQ35" s="16"/>
      <c r="CGR35" s="16"/>
      <c r="CGS35" s="16"/>
      <c r="CGT35" s="16"/>
      <c r="CGU35" s="16"/>
      <c r="CGV35" s="16"/>
      <c r="CGW35" s="16"/>
      <c r="CGX35" s="16"/>
      <c r="CGY35" s="16"/>
      <c r="CGZ35" s="16"/>
      <c r="CHA35" s="16"/>
      <c r="CHB35" s="16"/>
      <c r="CHC35" s="16"/>
      <c r="CHD35" s="16"/>
      <c r="CHE35" s="16"/>
      <c r="CHF35" s="16"/>
      <c r="CHG35" s="16"/>
      <c r="CHH35" s="16"/>
      <c r="CHI35" s="16"/>
      <c r="CHJ35" s="16"/>
      <c r="CHK35" s="16"/>
      <c r="CHL35" s="16"/>
      <c r="CHM35" s="16"/>
      <c r="CHN35" s="16"/>
      <c r="CHO35" s="16"/>
      <c r="CHP35" s="16"/>
      <c r="CHQ35" s="16"/>
      <c r="CHR35" s="16"/>
      <c r="CHS35" s="16"/>
      <c r="CHT35" s="16"/>
      <c r="CHU35" s="16"/>
      <c r="CHV35" s="16"/>
      <c r="CHW35" s="16"/>
      <c r="CHX35" s="16"/>
      <c r="CHY35" s="16"/>
      <c r="CHZ35" s="16"/>
      <c r="CIA35" s="16"/>
      <c r="CIB35" s="16"/>
      <c r="CIC35" s="16"/>
      <c r="CID35" s="16"/>
      <c r="CIE35" s="16"/>
      <c r="CIF35" s="16"/>
      <c r="CIG35" s="16"/>
      <c r="CIH35" s="16"/>
      <c r="CII35" s="16"/>
      <c r="CIJ35" s="16"/>
      <c r="CIK35" s="16"/>
      <c r="CIL35" s="16"/>
      <c r="CIM35" s="16"/>
      <c r="CIN35" s="16"/>
      <c r="CIO35" s="16"/>
      <c r="CIP35" s="16"/>
      <c r="CIQ35" s="16"/>
      <c r="CIR35" s="16"/>
      <c r="CIS35" s="16"/>
      <c r="CIT35" s="16"/>
      <c r="CIU35" s="16"/>
      <c r="CIV35" s="16"/>
      <c r="CIW35" s="16"/>
      <c r="CIX35" s="16"/>
      <c r="CIY35" s="16"/>
      <c r="CIZ35" s="16"/>
      <c r="CJA35" s="16"/>
      <c r="CJB35" s="16"/>
      <c r="CJC35" s="16"/>
      <c r="CJD35" s="16"/>
      <c r="CJE35" s="16"/>
      <c r="CJF35" s="16"/>
      <c r="CJG35" s="16"/>
      <c r="CJH35" s="16"/>
      <c r="CJI35" s="16"/>
      <c r="CJJ35" s="16"/>
      <c r="CJK35" s="16"/>
      <c r="CJL35" s="16"/>
      <c r="CJM35" s="16"/>
      <c r="CJN35" s="16"/>
      <c r="CJO35" s="16"/>
      <c r="CJP35" s="16"/>
      <c r="CJQ35" s="16"/>
      <c r="CJR35" s="16"/>
      <c r="CJS35" s="16"/>
      <c r="CJT35" s="16"/>
      <c r="CJU35" s="16"/>
      <c r="CJV35" s="16"/>
      <c r="CJW35" s="16"/>
      <c r="CJX35" s="16"/>
      <c r="CJY35" s="16"/>
      <c r="CJZ35" s="16"/>
      <c r="CKA35" s="16"/>
      <c r="CKB35" s="16"/>
      <c r="CKC35" s="16"/>
      <c r="CKD35" s="16"/>
      <c r="CKE35" s="16"/>
      <c r="CKF35" s="16"/>
      <c r="CKG35" s="16"/>
      <c r="CKH35" s="16"/>
      <c r="CKI35" s="16"/>
      <c r="CKJ35" s="16"/>
      <c r="CKK35" s="16"/>
      <c r="CKL35" s="16"/>
      <c r="CKM35" s="16"/>
      <c r="CKN35" s="16"/>
      <c r="CKO35" s="16"/>
      <c r="CKP35" s="16"/>
      <c r="CKQ35" s="16"/>
      <c r="CKR35" s="16"/>
      <c r="CKS35" s="16"/>
      <c r="CKT35" s="16"/>
      <c r="CKU35" s="16"/>
      <c r="CKV35" s="16"/>
      <c r="CKW35" s="16"/>
      <c r="CKX35" s="16"/>
      <c r="CKY35" s="16"/>
      <c r="CKZ35" s="16"/>
      <c r="CLA35" s="16"/>
      <c r="CLB35" s="16"/>
      <c r="CLC35" s="16"/>
      <c r="CLD35" s="16"/>
      <c r="CLE35" s="16"/>
      <c r="CLF35" s="16"/>
      <c r="CLG35" s="16"/>
      <c r="CLH35" s="16"/>
      <c r="CLI35" s="16"/>
      <c r="CLJ35" s="16"/>
      <c r="CLK35" s="16"/>
      <c r="CLL35" s="16"/>
      <c r="CLM35" s="16"/>
      <c r="CLN35" s="16"/>
      <c r="CLO35" s="16"/>
      <c r="CLP35" s="16"/>
      <c r="CLQ35" s="16"/>
      <c r="CLR35" s="16"/>
      <c r="CLS35" s="16"/>
      <c r="CLT35" s="16"/>
      <c r="CLU35" s="16"/>
      <c r="CLV35" s="16"/>
      <c r="CLW35" s="16"/>
      <c r="CLX35" s="16"/>
      <c r="CLY35" s="16"/>
      <c r="CLZ35" s="16"/>
      <c r="CMA35" s="16"/>
      <c r="CMB35" s="16"/>
      <c r="CMC35" s="16"/>
      <c r="CMD35" s="16"/>
      <c r="CME35" s="16"/>
      <c r="CMF35" s="16"/>
      <c r="CMG35" s="16"/>
      <c r="CMH35" s="16"/>
      <c r="CMI35" s="16"/>
      <c r="CMJ35" s="16"/>
      <c r="CMK35" s="16"/>
      <c r="CML35" s="16"/>
      <c r="CMM35" s="16"/>
      <c r="CMN35" s="16"/>
      <c r="CMO35" s="16"/>
      <c r="CMP35" s="16"/>
      <c r="CMQ35" s="16"/>
      <c r="CMR35" s="16"/>
      <c r="CMS35" s="16"/>
      <c r="CMT35" s="16"/>
      <c r="CMU35" s="16"/>
      <c r="CMV35" s="16"/>
      <c r="CMW35" s="16"/>
      <c r="CMX35" s="16"/>
      <c r="CMY35" s="16"/>
      <c r="CMZ35" s="16"/>
      <c r="CNA35" s="16"/>
      <c r="CNB35" s="16"/>
      <c r="CNC35" s="16"/>
      <c r="CND35" s="16"/>
      <c r="CNE35" s="16"/>
      <c r="CNF35" s="16"/>
      <c r="CNG35" s="16"/>
      <c r="CNH35" s="16"/>
      <c r="CNI35" s="16"/>
      <c r="CNJ35" s="16"/>
      <c r="CNK35" s="16"/>
      <c r="CNL35" s="16"/>
      <c r="CNM35" s="16"/>
      <c r="CNN35" s="16"/>
      <c r="CNO35" s="16"/>
      <c r="CNP35" s="16"/>
      <c r="CNQ35" s="16"/>
      <c r="CNR35" s="16"/>
      <c r="CNS35" s="16"/>
      <c r="CNT35" s="16"/>
      <c r="CNU35" s="16"/>
      <c r="CNV35" s="16"/>
      <c r="CNW35" s="16"/>
      <c r="CNX35" s="16"/>
      <c r="CNY35" s="16"/>
      <c r="CNZ35" s="16"/>
      <c r="COA35" s="16"/>
      <c r="COB35" s="16"/>
      <c r="COC35" s="16"/>
      <c r="COD35" s="16"/>
      <c r="COE35" s="16"/>
      <c r="COF35" s="16"/>
      <c r="COG35" s="16"/>
      <c r="COH35" s="16"/>
      <c r="COI35" s="16"/>
      <c r="COJ35" s="16"/>
      <c r="COK35" s="16"/>
      <c r="COL35" s="16"/>
      <c r="COM35" s="16"/>
      <c r="CON35" s="16"/>
      <c r="COO35" s="16"/>
      <c r="COP35" s="16"/>
      <c r="COQ35" s="16"/>
      <c r="COR35" s="16"/>
      <c r="COS35" s="16"/>
      <c r="COT35" s="16"/>
      <c r="COU35" s="16"/>
      <c r="COV35" s="16"/>
      <c r="COW35" s="16"/>
      <c r="COX35" s="16"/>
      <c r="COY35" s="16"/>
      <c r="COZ35" s="16"/>
      <c r="CPA35" s="16"/>
      <c r="CPB35" s="16"/>
      <c r="CPC35" s="16"/>
      <c r="CPD35" s="16"/>
      <c r="CPE35" s="16"/>
      <c r="CPF35" s="16"/>
      <c r="CPG35" s="16"/>
      <c r="CPH35" s="16"/>
      <c r="CPI35" s="16"/>
      <c r="CPJ35" s="16"/>
      <c r="CPK35" s="16"/>
      <c r="CPL35" s="16"/>
      <c r="CPM35" s="16"/>
      <c r="CPN35" s="16"/>
      <c r="CPO35" s="16"/>
      <c r="CPP35" s="16"/>
      <c r="CPQ35" s="16"/>
      <c r="CPR35" s="16"/>
      <c r="CPS35" s="16"/>
      <c r="CPT35" s="16"/>
      <c r="CPU35" s="16"/>
      <c r="CPV35" s="16"/>
      <c r="CPW35" s="16"/>
      <c r="CPX35" s="16"/>
      <c r="CPY35" s="16"/>
      <c r="CPZ35" s="16"/>
      <c r="CQA35" s="16"/>
      <c r="CQB35" s="16"/>
      <c r="CQC35" s="16"/>
      <c r="CQD35" s="16"/>
      <c r="CQE35" s="16"/>
      <c r="CQF35" s="16"/>
      <c r="CQG35" s="16"/>
      <c r="CQH35" s="16"/>
      <c r="CQI35" s="16"/>
      <c r="CQJ35" s="16"/>
      <c r="CQK35" s="16"/>
      <c r="CQL35" s="16"/>
      <c r="CQM35" s="16"/>
      <c r="CQN35" s="16"/>
      <c r="CQO35" s="16"/>
      <c r="CQP35" s="16"/>
      <c r="CQQ35" s="16"/>
      <c r="CQR35" s="16"/>
      <c r="CQS35" s="16"/>
      <c r="CQT35" s="16"/>
      <c r="CQU35" s="16"/>
      <c r="CQV35" s="16"/>
      <c r="CQW35" s="16"/>
      <c r="CQX35" s="16"/>
      <c r="CQY35" s="16"/>
      <c r="CQZ35" s="16"/>
      <c r="CRA35" s="16"/>
      <c r="CRB35" s="16"/>
      <c r="CRC35" s="16"/>
      <c r="CRD35" s="16"/>
      <c r="CRE35" s="16"/>
      <c r="CRF35" s="16"/>
      <c r="CRG35" s="16"/>
      <c r="CRH35" s="16"/>
      <c r="CRI35" s="16"/>
      <c r="CRJ35" s="16"/>
      <c r="CRK35" s="16"/>
      <c r="CRL35" s="16"/>
      <c r="CRM35" s="16"/>
      <c r="CRN35" s="16"/>
      <c r="CRO35" s="16"/>
      <c r="CRP35" s="16"/>
      <c r="CRQ35" s="16"/>
      <c r="CRR35" s="16"/>
      <c r="CRS35" s="16"/>
      <c r="CRT35" s="16"/>
      <c r="CRU35" s="16"/>
      <c r="CRV35" s="16"/>
      <c r="CRW35" s="16"/>
      <c r="CRX35" s="16"/>
      <c r="CRY35" s="16"/>
      <c r="CRZ35" s="16"/>
      <c r="CSA35" s="16"/>
      <c r="CSB35" s="16"/>
      <c r="CSC35" s="16"/>
      <c r="CSD35" s="16"/>
      <c r="CSE35" s="16"/>
      <c r="CSF35" s="16"/>
      <c r="CSG35" s="16"/>
      <c r="CSH35" s="16"/>
      <c r="CSI35" s="16"/>
      <c r="CSJ35" s="16"/>
      <c r="CSK35" s="16"/>
      <c r="CSL35" s="16"/>
      <c r="CSM35" s="16"/>
      <c r="CSN35" s="16"/>
      <c r="CSO35" s="16"/>
      <c r="CSP35" s="16"/>
      <c r="CSQ35" s="16"/>
      <c r="CSR35" s="16"/>
      <c r="CSS35" s="16"/>
      <c r="CST35" s="16"/>
      <c r="CSU35" s="16"/>
      <c r="CSV35" s="16"/>
      <c r="CSW35" s="16"/>
      <c r="CSX35" s="16"/>
      <c r="CSY35" s="16"/>
      <c r="CSZ35" s="16"/>
      <c r="CTA35" s="16"/>
      <c r="CTB35" s="16"/>
      <c r="CTC35" s="16"/>
      <c r="CTD35" s="16"/>
      <c r="CTE35" s="16"/>
      <c r="CTF35" s="16"/>
      <c r="CTG35" s="16"/>
      <c r="CTH35" s="16"/>
      <c r="CTI35" s="16"/>
      <c r="CTJ35" s="16"/>
      <c r="CTK35" s="16"/>
      <c r="CTL35" s="16"/>
      <c r="CTM35" s="16"/>
      <c r="CTN35" s="16"/>
      <c r="CTO35" s="16"/>
      <c r="CTP35" s="16"/>
      <c r="CTQ35" s="16"/>
      <c r="CTR35" s="16"/>
      <c r="CTS35" s="16"/>
      <c r="CTT35" s="16"/>
      <c r="CTU35" s="16"/>
      <c r="CTV35" s="16"/>
      <c r="CTW35" s="16"/>
      <c r="CTX35" s="16"/>
      <c r="CTY35" s="16"/>
      <c r="CTZ35" s="16"/>
      <c r="CUA35" s="16"/>
      <c r="CUB35" s="16"/>
      <c r="CUC35" s="16"/>
      <c r="CUD35" s="16"/>
      <c r="CUE35" s="16"/>
      <c r="CUF35" s="16"/>
      <c r="CUG35" s="16"/>
      <c r="CUH35" s="16"/>
      <c r="CUI35" s="16"/>
      <c r="CUJ35" s="16"/>
      <c r="CUK35" s="16"/>
      <c r="CUL35" s="16"/>
      <c r="CUM35" s="16"/>
      <c r="CUN35" s="16"/>
      <c r="CUO35" s="16"/>
      <c r="CUP35" s="16"/>
      <c r="CUQ35" s="16"/>
      <c r="CUR35" s="16"/>
      <c r="CUS35" s="16"/>
      <c r="CUT35" s="16"/>
      <c r="CUU35" s="16"/>
      <c r="CUV35" s="16"/>
      <c r="CUW35" s="16"/>
      <c r="CUX35" s="16"/>
      <c r="CUY35" s="16"/>
      <c r="CUZ35" s="16"/>
      <c r="CVA35" s="16"/>
      <c r="CVB35" s="16"/>
      <c r="CVC35" s="16"/>
      <c r="CVD35" s="16"/>
      <c r="CVE35" s="16"/>
      <c r="CVF35" s="16"/>
      <c r="CVG35" s="16"/>
      <c r="CVH35" s="16"/>
      <c r="CVI35" s="16"/>
      <c r="CVJ35" s="16"/>
      <c r="CVK35" s="16"/>
      <c r="CVL35" s="16"/>
      <c r="CVM35" s="16"/>
      <c r="CVN35" s="16"/>
      <c r="CVO35" s="16"/>
      <c r="CVP35" s="16"/>
      <c r="CVQ35" s="16"/>
      <c r="CVR35" s="16"/>
      <c r="CVS35" s="16"/>
      <c r="CVT35" s="16"/>
      <c r="CVU35" s="16"/>
      <c r="CVV35" s="16"/>
      <c r="CVW35" s="16"/>
      <c r="CVX35" s="16"/>
      <c r="CVY35" s="16"/>
      <c r="CVZ35" s="16"/>
      <c r="CWA35" s="16"/>
      <c r="CWB35" s="16"/>
      <c r="CWC35" s="16"/>
      <c r="CWD35" s="16"/>
      <c r="CWE35" s="16"/>
      <c r="CWF35" s="16"/>
      <c r="CWG35" s="16"/>
      <c r="CWH35" s="16"/>
      <c r="CWI35" s="16"/>
      <c r="CWJ35" s="16"/>
      <c r="CWK35" s="16"/>
      <c r="CWL35" s="16"/>
      <c r="CWM35" s="16"/>
      <c r="CWN35" s="16"/>
      <c r="CWO35" s="16"/>
      <c r="CWP35" s="16"/>
      <c r="CWQ35" s="16"/>
      <c r="CWR35" s="16"/>
      <c r="CWS35" s="16"/>
      <c r="CWT35" s="16"/>
      <c r="CWU35" s="16"/>
      <c r="CWV35" s="16"/>
      <c r="CWW35" s="16"/>
      <c r="CWX35" s="16"/>
      <c r="CWY35" s="16"/>
      <c r="CWZ35" s="16"/>
      <c r="CXA35" s="16"/>
      <c r="CXB35" s="16"/>
      <c r="CXC35" s="16"/>
      <c r="CXD35" s="16"/>
      <c r="CXE35" s="16"/>
      <c r="CXF35" s="16"/>
      <c r="CXG35" s="16"/>
      <c r="CXH35" s="16"/>
      <c r="CXI35" s="16"/>
      <c r="CXJ35" s="16"/>
      <c r="CXK35" s="16"/>
      <c r="CXL35" s="16"/>
      <c r="CXM35" s="16"/>
      <c r="CXN35" s="16"/>
      <c r="CXO35" s="16"/>
      <c r="CXP35" s="16"/>
      <c r="CXQ35" s="16"/>
      <c r="CXR35" s="16"/>
      <c r="CXS35" s="16"/>
      <c r="CXT35" s="16"/>
      <c r="CXU35" s="16"/>
      <c r="CXV35" s="16"/>
      <c r="CXW35" s="16"/>
      <c r="CXX35" s="16"/>
      <c r="CXY35" s="16"/>
      <c r="CXZ35" s="16"/>
      <c r="CYA35" s="16"/>
      <c r="CYB35" s="16"/>
      <c r="CYC35" s="16"/>
      <c r="CYD35" s="16"/>
      <c r="CYE35" s="16"/>
      <c r="CYF35" s="16"/>
      <c r="CYG35" s="16"/>
      <c r="CYH35" s="16"/>
      <c r="CYI35" s="16"/>
      <c r="CYJ35" s="16"/>
      <c r="CYK35" s="16"/>
      <c r="CYL35" s="16"/>
      <c r="CYM35" s="16"/>
      <c r="CYN35" s="16"/>
      <c r="CYO35" s="16"/>
      <c r="CYP35" s="16"/>
      <c r="CYQ35" s="16"/>
      <c r="CYR35" s="16"/>
      <c r="CYS35" s="16"/>
      <c r="CYT35" s="16"/>
      <c r="CYU35" s="16"/>
      <c r="CYV35" s="16"/>
      <c r="CYW35" s="16"/>
      <c r="CYX35" s="16"/>
      <c r="CYY35" s="16"/>
      <c r="CYZ35" s="16"/>
      <c r="CZA35" s="16"/>
      <c r="CZB35" s="16"/>
      <c r="CZC35" s="16"/>
      <c r="CZD35" s="16"/>
      <c r="CZE35" s="16"/>
      <c r="CZF35" s="16"/>
      <c r="CZG35" s="16"/>
      <c r="CZH35" s="16"/>
      <c r="CZI35" s="16"/>
      <c r="CZJ35" s="16"/>
      <c r="CZK35" s="16"/>
      <c r="CZL35" s="16"/>
      <c r="CZM35" s="16"/>
      <c r="CZN35" s="16"/>
      <c r="CZO35" s="16"/>
      <c r="CZP35" s="16"/>
      <c r="CZQ35" s="16"/>
      <c r="CZR35" s="16"/>
      <c r="CZS35" s="16"/>
      <c r="CZT35" s="16"/>
      <c r="CZU35" s="16"/>
      <c r="CZV35" s="16"/>
      <c r="CZW35" s="16"/>
      <c r="CZX35" s="16"/>
      <c r="CZY35" s="16"/>
      <c r="CZZ35" s="16"/>
      <c r="DAA35" s="16"/>
      <c r="DAB35" s="16"/>
      <c r="DAC35" s="16"/>
      <c r="DAD35" s="16"/>
      <c r="DAE35" s="16"/>
      <c r="DAF35" s="16"/>
      <c r="DAG35" s="16"/>
      <c r="DAH35" s="16"/>
      <c r="DAI35" s="16"/>
      <c r="DAJ35" s="16"/>
      <c r="DAK35" s="16"/>
      <c r="DAL35" s="16"/>
      <c r="DAM35" s="16"/>
      <c r="DAN35" s="16"/>
      <c r="DAO35" s="16"/>
      <c r="DAP35" s="16"/>
      <c r="DAQ35" s="16"/>
      <c r="DAR35" s="16"/>
      <c r="DAS35" s="16"/>
      <c r="DAT35" s="16"/>
      <c r="DAU35" s="16"/>
      <c r="DAV35" s="16"/>
      <c r="DAW35" s="16"/>
      <c r="DAX35" s="16"/>
      <c r="DAY35" s="16"/>
      <c r="DAZ35" s="16"/>
      <c r="DBA35" s="16"/>
      <c r="DBB35" s="16"/>
      <c r="DBC35" s="16"/>
      <c r="DBD35" s="16"/>
      <c r="DBE35" s="16"/>
      <c r="DBF35" s="16"/>
      <c r="DBG35" s="16"/>
      <c r="DBH35" s="16"/>
      <c r="DBI35" s="16"/>
      <c r="DBJ35" s="16"/>
      <c r="DBK35" s="16"/>
      <c r="DBL35" s="16"/>
      <c r="DBM35" s="16"/>
      <c r="DBN35" s="16"/>
      <c r="DBO35" s="16"/>
      <c r="DBP35" s="16"/>
      <c r="DBQ35" s="16"/>
      <c r="DBR35" s="16"/>
      <c r="DBS35" s="16"/>
      <c r="DBT35" s="16"/>
      <c r="DBU35" s="16"/>
      <c r="DBV35" s="16"/>
      <c r="DBW35" s="16"/>
      <c r="DBX35" s="16"/>
      <c r="DBY35" s="16"/>
      <c r="DBZ35" s="16"/>
      <c r="DCA35" s="16"/>
      <c r="DCB35" s="16"/>
      <c r="DCC35" s="16"/>
      <c r="DCD35" s="16"/>
      <c r="DCE35" s="16"/>
      <c r="DCF35" s="16"/>
      <c r="DCG35" s="16"/>
      <c r="DCH35" s="16"/>
      <c r="DCI35" s="16"/>
      <c r="DCJ35" s="16"/>
      <c r="DCK35" s="16"/>
      <c r="DCL35" s="16"/>
      <c r="DCM35" s="16"/>
      <c r="DCN35" s="16"/>
      <c r="DCO35" s="16"/>
      <c r="DCP35" s="16"/>
      <c r="DCQ35" s="16"/>
      <c r="DCR35" s="16"/>
      <c r="DCS35" s="16"/>
      <c r="DCT35" s="16"/>
      <c r="DCU35" s="16"/>
      <c r="DCV35" s="16"/>
      <c r="DCW35" s="16"/>
      <c r="DCX35" s="16"/>
      <c r="DCY35" s="16"/>
      <c r="DCZ35" s="16"/>
      <c r="DDA35" s="16"/>
      <c r="DDB35" s="16"/>
      <c r="DDC35" s="16"/>
      <c r="DDD35" s="16"/>
      <c r="DDE35" s="16"/>
      <c r="DDF35" s="16"/>
      <c r="DDG35" s="16"/>
      <c r="DDH35" s="16"/>
      <c r="DDI35" s="16"/>
      <c r="DDJ35" s="16"/>
      <c r="DDK35" s="16"/>
      <c r="DDL35" s="16"/>
      <c r="DDM35" s="16"/>
      <c r="DDN35" s="16"/>
      <c r="DDO35" s="16"/>
      <c r="DDP35" s="16"/>
      <c r="DDQ35" s="16"/>
      <c r="DDR35" s="16"/>
      <c r="DDS35" s="16"/>
      <c r="DDT35" s="16"/>
      <c r="DDU35" s="16"/>
      <c r="DDV35" s="16"/>
      <c r="DDW35" s="16"/>
      <c r="DDX35" s="16"/>
      <c r="DDY35" s="16"/>
      <c r="DDZ35" s="16"/>
      <c r="DEA35" s="16"/>
      <c r="DEB35" s="16"/>
      <c r="DEC35" s="16"/>
      <c r="DED35" s="16"/>
      <c r="DEE35" s="16"/>
      <c r="DEF35" s="16"/>
      <c r="DEG35" s="16"/>
      <c r="DEH35" s="16"/>
      <c r="DEI35" s="16"/>
      <c r="DEJ35" s="16"/>
      <c r="DEK35" s="16"/>
      <c r="DEL35" s="16"/>
      <c r="DEM35" s="16"/>
      <c r="DEN35" s="16"/>
      <c r="DEO35" s="16"/>
      <c r="DEP35" s="16"/>
      <c r="DEQ35" s="16"/>
      <c r="DER35" s="16"/>
      <c r="DES35" s="16"/>
      <c r="DET35" s="16"/>
      <c r="DEU35" s="16"/>
      <c r="DEV35" s="16"/>
      <c r="DEW35" s="16"/>
      <c r="DEX35" s="16"/>
      <c r="DEY35" s="16"/>
      <c r="DEZ35" s="16"/>
      <c r="DFA35" s="16"/>
      <c r="DFB35" s="16"/>
      <c r="DFC35" s="16"/>
      <c r="DFD35" s="16"/>
      <c r="DFE35" s="16"/>
      <c r="DFF35" s="16"/>
      <c r="DFG35" s="16"/>
      <c r="DFH35" s="16"/>
      <c r="DFI35" s="16"/>
      <c r="DFJ35" s="16"/>
      <c r="DFK35" s="16"/>
      <c r="DFL35" s="16"/>
      <c r="DFM35" s="16"/>
      <c r="DFN35" s="16"/>
      <c r="DFO35" s="16"/>
      <c r="DFP35" s="16"/>
      <c r="DFQ35" s="16"/>
      <c r="DFR35" s="16"/>
      <c r="DFS35" s="16"/>
      <c r="DFT35" s="16"/>
      <c r="DFU35" s="16"/>
      <c r="DFV35" s="16"/>
      <c r="DFW35" s="16"/>
      <c r="DFX35" s="16"/>
      <c r="DFY35" s="16"/>
      <c r="DFZ35" s="16"/>
      <c r="DGA35" s="16"/>
      <c r="DGB35" s="16"/>
      <c r="DGC35" s="16"/>
      <c r="DGD35" s="16"/>
      <c r="DGE35" s="16"/>
      <c r="DGF35" s="16"/>
      <c r="DGG35" s="16"/>
      <c r="DGH35" s="16"/>
      <c r="DGI35" s="16"/>
      <c r="DGJ35" s="16"/>
      <c r="DGK35" s="16"/>
      <c r="DGL35" s="16"/>
      <c r="DGM35" s="16"/>
      <c r="DGN35" s="16"/>
      <c r="DGO35" s="16"/>
      <c r="DGP35" s="16"/>
      <c r="DGQ35" s="16"/>
      <c r="DGR35" s="16"/>
      <c r="DGS35" s="16"/>
      <c r="DGT35" s="16"/>
      <c r="DGU35" s="16"/>
      <c r="DGV35" s="16"/>
      <c r="DGW35" s="16"/>
      <c r="DGX35" s="16"/>
      <c r="DGY35" s="16"/>
      <c r="DGZ35" s="16"/>
      <c r="DHA35" s="16"/>
      <c r="DHB35" s="16"/>
      <c r="DHC35" s="16"/>
      <c r="DHD35" s="16"/>
      <c r="DHE35" s="16"/>
      <c r="DHF35" s="16"/>
      <c r="DHG35" s="16"/>
      <c r="DHH35" s="16"/>
      <c r="DHI35" s="16"/>
      <c r="DHJ35" s="16"/>
      <c r="DHK35" s="16"/>
      <c r="DHL35" s="16"/>
      <c r="DHM35" s="16"/>
      <c r="DHN35" s="16"/>
      <c r="DHO35" s="16"/>
      <c r="DHP35" s="16"/>
      <c r="DHQ35" s="16"/>
      <c r="DHR35" s="16"/>
      <c r="DHS35" s="16"/>
      <c r="DHT35" s="16"/>
      <c r="DHU35" s="16"/>
      <c r="DHV35" s="16"/>
      <c r="DHW35" s="16"/>
      <c r="DHX35" s="16"/>
      <c r="DHY35" s="16"/>
      <c r="DHZ35" s="16"/>
      <c r="DIA35" s="16"/>
      <c r="DIB35" s="16"/>
      <c r="DIC35" s="16"/>
      <c r="DID35" s="16"/>
      <c r="DIE35" s="16"/>
      <c r="DIF35" s="16"/>
      <c r="DIG35" s="16"/>
      <c r="DIH35" s="16"/>
      <c r="DII35" s="16"/>
      <c r="DIJ35" s="16"/>
      <c r="DIK35" s="16"/>
      <c r="DIL35" s="16"/>
      <c r="DIM35" s="16"/>
      <c r="DIN35" s="16"/>
      <c r="DIO35" s="16"/>
      <c r="DIP35" s="16"/>
      <c r="DIQ35" s="16"/>
      <c r="DIR35" s="16"/>
      <c r="DIS35" s="16"/>
      <c r="DIT35" s="16"/>
      <c r="DIU35" s="16"/>
      <c r="DIV35" s="16"/>
      <c r="DIW35" s="16"/>
      <c r="DIX35" s="16"/>
      <c r="DIY35" s="16"/>
      <c r="DIZ35" s="16"/>
      <c r="DJA35" s="16"/>
      <c r="DJB35" s="16"/>
      <c r="DJC35" s="16"/>
      <c r="DJD35" s="16"/>
      <c r="DJE35" s="16"/>
      <c r="DJF35" s="16"/>
      <c r="DJG35" s="16"/>
      <c r="DJH35" s="16"/>
      <c r="DJI35" s="16"/>
      <c r="DJJ35" s="16"/>
      <c r="DJK35" s="16"/>
      <c r="DJL35" s="16"/>
      <c r="DJM35" s="16"/>
      <c r="DJN35" s="16"/>
      <c r="DJO35" s="16"/>
      <c r="DJP35" s="16"/>
      <c r="DJQ35" s="16"/>
      <c r="DJR35" s="16"/>
      <c r="DJS35" s="16"/>
      <c r="DJT35" s="16"/>
      <c r="DJU35" s="16"/>
      <c r="DJV35" s="16"/>
      <c r="DJW35" s="16"/>
      <c r="DJX35" s="16"/>
      <c r="DJY35" s="16"/>
      <c r="DJZ35" s="16"/>
      <c r="DKA35" s="16"/>
      <c r="DKB35" s="16"/>
      <c r="DKC35" s="16"/>
      <c r="DKD35" s="16"/>
      <c r="DKE35" s="16"/>
      <c r="DKF35" s="16"/>
      <c r="DKG35" s="16"/>
      <c r="DKH35" s="16"/>
      <c r="DKI35" s="16"/>
      <c r="DKJ35" s="16"/>
      <c r="DKK35" s="16"/>
      <c r="DKL35" s="16"/>
      <c r="DKM35" s="16"/>
      <c r="DKN35" s="16"/>
      <c r="DKO35" s="16"/>
      <c r="DKP35" s="16"/>
      <c r="DKQ35" s="16"/>
      <c r="DKR35" s="16"/>
      <c r="DKS35" s="16"/>
      <c r="DKT35" s="16"/>
      <c r="DKU35" s="16"/>
      <c r="DKV35" s="16"/>
      <c r="DKW35" s="16"/>
      <c r="DKX35" s="16"/>
      <c r="DKY35" s="16"/>
      <c r="DKZ35" s="16"/>
      <c r="DLA35" s="16"/>
      <c r="DLB35" s="16"/>
      <c r="DLC35" s="16"/>
      <c r="DLD35" s="16"/>
      <c r="DLE35" s="16"/>
      <c r="DLF35" s="16"/>
      <c r="DLG35" s="16"/>
      <c r="DLH35" s="16"/>
      <c r="DLI35" s="16"/>
      <c r="DLJ35" s="16"/>
      <c r="DLK35" s="16"/>
      <c r="DLL35" s="16"/>
      <c r="DLM35" s="16"/>
      <c r="DLN35" s="16"/>
      <c r="DLO35" s="16"/>
      <c r="DLP35" s="16"/>
      <c r="DLQ35" s="16"/>
      <c r="DLR35" s="16"/>
      <c r="DLS35" s="16"/>
      <c r="DLT35" s="16"/>
      <c r="DLU35" s="16"/>
      <c r="DLV35" s="16"/>
      <c r="DLW35" s="16"/>
      <c r="DLX35" s="16"/>
      <c r="DLY35" s="16"/>
      <c r="DLZ35" s="16"/>
      <c r="DMA35" s="16"/>
      <c r="DMB35" s="16"/>
      <c r="DMC35" s="16"/>
      <c r="DMD35" s="16"/>
      <c r="DME35" s="16"/>
      <c r="DMF35" s="16"/>
      <c r="DMG35" s="16"/>
      <c r="DMH35" s="16"/>
      <c r="DMI35" s="16"/>
      <c r="DMJ35" s="16"/>
      <c r="DMK35" s="16"/>
      <c r="DML35" s="16"/>
      <c r="DMM35" s="16"/>
      <c r="DMN35" s="16"/>
      <c r="DMO35" s="16"/>
      <c r="DMP35" s="16"/>
      <c r="DMQ35" s="16"/>
      <c r="DMR35" s="16"/>
      <c r="DMS35" s="16"/>
      <c r="DMT35" s="16"/>
      <c r="DMU35" s="16"/>
      <c r="DMV35" s="16"/>
      <c r="DMW35" s="16"/>
      <c r="DMX35" s="16"/>
      <c r="DMY35" s="16"/>
      <c r="DMZ35" s="16"/>
      <c r="DNA35" s="16"/>
      <c r="DNB35" s="16"/>
      <c r="DNC35" s="16"/>
      <c r="DND35" s="16"/>
      <c r="DNE35" s="16"/>
      <c r="DNF35" s="16"/>
      <c r="DNG35" s="16"/>
      <c r="DNH35" s="16"/>
      <c r="DNI35" s="16"/>
      <c r="DNJ35" s="16"/>
      <c r="DNK35" s="16"/>
      <c r="DNL35" s="16"/>
      <c r="DNM35" s="16"/>
      <c r="DNN35" s="16"/>
      <c r="DNO35" s="16"/>
      <c r="DNP35" s="16"/>
      <c r="DNQ35" s="16"/>
      <c r="DNR35" s="16"/>
      <c r="DNS35" s="16"/>
      <c r="DNT35" s="16"/>
      <c r="DNU35" s="16"/>
      <c r="DNV35" s="16"/>
      <c r="DNW35" s="16"/>
      <c r="DNX35" s="16"/>
      <c r="DNY35" s="16"/>
      <c r="DNZ35" s="16"/>
      <c r="DOA35" s="16"/>
      <c r="DOB35" s="16"/>
      <c r="DOC35" s="16"/>
      <c r="DOD35" s="16"/>
      <c r="DOE35" s="16"/>
      <c r="DOF35" s="16"/>
      <c r="DOG35" s="16"/>
      <c r="DOH35" s="16"/>
      <c r="DOI35" s="16"/>
      <c r="DOJ35" s="16"/>
      <c r="DOK35" s="16"/>
      <c r="DOL35" s="16"/>
      <c r="DOM35" s="16"/>
      <c r="DON35" s="16"/>
      <c r="DOO35" s="16"/>
      <c r="DOP35" s="16"/>
      <c r="DOQ35" s="16"/>
      <c r="DOR35" s="16"/>
      <c r="DOS35" s="16"/>
      <c r="DOT35" s="16"/>
      <c r="DOU35" s="16"/>
      <c r="DOV35" s="16"/>
      <c r="DOW35" s="16"/>
      <c r="DOX35" s="16"/>
      <c r="DOY35" s="16"/>
      <c r="DOZ35" s="16"/>
      <c r="DPA35" s="16"/>
      <c r="DPB35" s="16"/>
      <c r="DPC35" s="16"/>
      <c r="DPD35" s="16"/>
      <c r="DPE35" s="16"/>
      <c r="DPF35" s="16"/>
      <c r="DPG35" s="16"/>
      <c r="DPH35" s="16"/>
      <c r="DPI35" s="16"/>
      <c r="DPJ35" s="16"/>
      <c r="DPK35" s="16"/>
      <c r="DPL35" s="16"/>
      <c r="DPM35" s="16"/>
      <c r="DPN35" s="16"/>
      <c r="DPO35" s="16"/>
      <c r="DPP35" s="16"/>
      <c r="DPQ35" s="16"/>
      <c r="DPR35" s="16"/>
      <c r="DPS35" s="16"/>
      <c r="DPT35" s="16"/>
      <c r="DPU35" s="16"/>
      <c r="DPV35" s="16"/>
      <c r="DPW35" s="16"/>
      <c r="DPX35" s="16"/>
      <c r="DPY35" s="16"/>
      <c r="DPZ35" s="16"/>
      <c r="DQA35" s="16"/>
      <c r="DQB35" s="16"/>
      <c r="DQC35" s="16"/>
      <c r="DQD35" s="16"/>
      <c r="DQE35" s="16"/>
      <c r="DQF35" s="16"/>
      <c r="DQG35" s="16"/>
      <c r="DQH35" s="16"/>
      <c r="DQI35" s="16"/>
      <c r="DQJ35" s="16"/>
      <c r="DQK35" s="16"/>
      <c r="DQL35" s="16"/>
      <c r="DQM35" s="16"/>
      <c r="DQN35" s="16"/>
      <c r="DQO35" s="16"/>
      <c r="DQP35" s="16"/>
      <c r="DQQ35" s="16"/>
      <c r="DQR35" s="16"/>
      <c r="DQS35" s="16"/>
      <c r="DQT35" s="16"/>
      <c r="DQU35" s="16"/>
      <c r="DQV35" s="16"/>
      <c r="DQW35" s="16"/>
      <c r="DQX35" s="16"/>
      <c r="DQY35" s="16"/>
      <c r="DQZ35" s="16"/>
      <c r="DRA35" s="16"/>
      <c r="DRB35" s="16"/>
      <c r="DRC35" s="16"/>
      <c r="DRD35" s="16"/>
      <c r="DRE35" s="16"/>
      <c r="DRF35" s="16"/>
      <c r="DRG35" s="16"/>
      <c r="DRH35" s="16"/>
      <c r="DRI35" s="16"/>
      <c r="DRJ35" s="16"/>
      <c r="DRK35" s="16"/>
      <c r="DRL35" s="16"/>
      <c r="DRM35" s="16"/>
      <c r="DRN35" s="16"/>
      <c r="DRO35" s="16"/>
      <c r="DRP35" s="16"/>
      <c r="DRQ35" s="16"/>
      <c r="DRR35" s="16"/>
      <c r="DRS35" s="16"/>
      <c r="DRT35" s="16"/>
      <c r="DRU35" s="16"/>
      <c r="DRV35" s="16"/>
      <c r="DRW35" s="16"/>
      <c r="DRX35" s="16"/>
      <c r="DRY35" s="16"/>
      <c r="DRZ35" s="16"/>
      <c r="DSA35" s="16"/>
      <c r="DSB35" s="16"/>
      <c r="DSC35" s="16"/>
      <c r="DSD35" s="16"/>
      <c r="DSE35" s="16"/>
      <c r="DSF35" s="16"/>
      <c r="DSG35" s="16"/>
      <c r="DSH35" s="16"/>
      <c r="DSI35" s="16"/>
      <c r="DSJ35" s="16"/>
      <c r="DSK35" s="16"/>
      <c r="DSL35" s="16"/>
      <c r="DSM35" s="16"/>
      <c r="DSN35" s="16"/>
      <c r="DSO35" s="16"/>
      <c r="DSP35" s="16"/>
      <c r="DSQ35" s="16"/>
      <c r="DSR35" s="16"/>
      <c r="DSS35" s="16"/>
      <c r="DST35" s="16"/>
      <c r="DSU35" s="16"/>
      <c r="DSV35" s="16"/>
      <c r="DSW35" s="16"/>
      <c r="DSX35" s="16"/>
      <c r="DSY35" s="16"/>
      <c r="DSZ35" s="16"/>
      <c r="DTA35" s="16"/>
      <c r="DTB35" s="16"/>
      <c r="DTC35" s="16"/>
      <c r="DTD35" s="16"/>
      <c r="DTE35" s="16"/>
      <c r="DTF35" s="16"/>
      <c r="DTG35" s="16"/>
      <c r="DTH35" s="16"/>
      <c r="DTI35" s="16"/>
      <c r="DTJ35" s="16"/>
      <c r="DTK35" s="16"/>
      <c r="DTL35" s="16"/>
      <c r="DTM35" s="16"/>
      <c r="DTN35" s="16"/>
      <c r="DTO35" s="16"/>
      <c r="DTP35" s="16"/>
      <c r="DTQ35" s="16"/>
      <c r="DTR35" s="16"/>
      <c r="DTS35" s="16"/>
      <c r="DTT35" s="16"/>
      <c r="DTU35" s="16"/>
      <c r="DTV35" s="16"/>
      <c r="DTW35" s="16"/>
      <c r="DTX35" s="16"/>
      <c r="DTY35" s="16"/>
      <c r="DTZ35" s="16"/>
      <c r="DUA35" s="16"/>
      <c r="DUB35" s="16"/>
      <c r="DUC35" s="16"/>
      <c r="DUD35" s="16"/>
      <c r="DUE35" s="16"/>
      <c r="DUF35" s="16"/>
      <c r="DUG35" s="16"/>
      <c r="DUH35" s="16"/>
      <c r="DUI35" s="16"/>
      <c r="DUJ35" s="16"/>
      <c r="DUK35" s="16"/>
      <c r="DUL35" s="16"/>
      <c r="DUM35" s="16"/>
      <c r="DUN35" s="16"/>
      <c r="DUO35" s="16"/>
      <c r="DUP35" s="16"/>
      <c r="DUQ35" s="16"/>
      <c r="DUR35" s="16"/>
      <c r="DUS35" s="16"/>
      <c r="DUT35" s="16"/>
      <c r="DUU35" s="16"/>
      <c r="DUV35" s="16"/>
      <c r="DUW35" s="16"/>
      <c r="DUX35" s="16"/>
      <c r="DUY35" s="16"/>
      <c r="DUZ35" s="16"/>
      <c r="DVA35" s="16"/>
      <c r="DVB35" s="16"/>
      <c r="DVC35" s="16"/>
      <c r="DVD35" s="16"/>
      <c r="DVE35" s="16"/>
      <c r="DVF35" s="16"/>
      <c r="DVG35" s="16"/>
      <c r="DVH35" s="16"/>
      <c r="DVI35" s="16"/>
      <c r="DVJ35" s="16"/>
      <c r="DVK35" s="16"/>
      <c r="DVL35" s="16"/>
      <c r="DVM35" s="16"/>
      <c r="DVN35" s="16"/>
      <c r="DVO35" s="16"/>
      <c r="DVP35" s="16"/>
      <c r="DVQ35" s="16"/>
      <c r="DVR35" s="16"/>
      <c r="DVS35" s="16"/>
      <c r="DVT35" s="16"/>
      <c r="DVU35" s="16"/>
      <c r="DVV35" s="16"/>
      <c r="DVW35" s="16"/>
      <c r="DVX35" s="16"/>
      <c r="DVY35" s="16"/>
      <c r="DVZ35" s="16"/>
      <c r="DWA35" s="16"/>
      <c r="DWB35" s="16"/>
      <c r="DWC35" s="16"/>
      <c r="DWD35" s="16"/>
      <c r="DWE35" s="16"/>
      <c r="DWF35" s="16"/>
      <c r="DWG35" s="16"/>
      <c r="DWH35" s="16"/>
      <c r="DWI35" s="16"/>
      <c r="DWJ35" s="16"/>
      <c r="DWK35" s="16"/>
      <c r="DWL35" s="16"/>
      <c r="DWM35" s="16"/>
      <c r="DWN35" s="16"/>
      <c r="DWO35" s="16"/>
      <c r="DWP35" s="16"/>
      <c r="DWQ35" s="16"/>
      <c r="DWR35" s="16"/>
      <c r="DWS35" s="16"/>
      <c r="DWT35" s="16"/>
      <c r="DWU35" s="16"/>
      <c r="DWV35" s="16"/>
      <c r="DWW35" s="16"/>
      <c r="DWX35" s="16"/>
      <c r="DWY35" s="16"/>
      <c r="DWZ35" s="16"/>
      <c r="DXA35" s="16"/>
      <c r="DXB35" s="16"/>
      <c r="DXC35" s="16"/>
      <c r="DXD35" s="16"/>
      <c r="DXE35" s="16"/>
      <c r="DXF35" s="16"/>
      <c r="DXG35" s="16"/>
      <c r="DXH35" s="16"/>
      <c r="DXI35" s="16"/>
      <c r="DXJ35" s="16"/>
      <c r="DXK35" s="16"/>
      <c r="DXL35" s="16"/>
      <c r="DXM35" s="16"/>
      <c r="DXN35" s="16"/>
      <c r="DXO35" s="16"/>
      <c r="DXP35" s="16"/>
      <c r="DXQ35" s="16"/>
      <c r="DXR35" s="16"/>
      <c r="DXS35" s="16"/>
      <c r="DXT35" s="16"/>
      <c r="DXU35" s="16"/>
      <c r="DXV35" s="16"/>
      <c r="DXW35" s="16"/>
      <c r="DXX35" s="16"/>
      <c r="DXY35" s="16"/>
      <c r="DXZ35" s="16"/>
      <c r="DYA35" s="16"/>
      <c r="DYB35" s="16"/>
      <c r="DYC35" s="16"/>
      <c r="DYD35" s="16"/>
      <c r="DYE35" s="16"/>
      <c r="DYF35" s="16"/>
      <c r="DYG35" s="16"/>
      <c r="DYH35" s="16"/>
      <c r="DYI35" s="16"/>
      <c r="DYJ35" s="16"/>
      <c r="DYK35" s="16"/>
      <c r="DYL35" s="16"/>
      <c r="DYM35" s="16"/>
      <c r="DYN35" s="16"/>
      <c r="DYO35" s="16"/>
      <c r="DYP35" s="16"/>
      <c r="DYQ35" s="16"/>
      <c r="DYR35" s="16"/>
      <c r="DYS35" s="16"/>
      <c r="DYT35" s="16"/>
      <c r="DYU35" s="16"/>
      <c r="DYV35" s="16"/>
      <c r="DYW35" s="16"/>
      <c r="DYX35" s="16"/>
      <c r="DYY35" s="16"/>
      <c r="DYZ35" s="16"/>
      <c r="DZA35" s="16"/>
      <c r="DZB35" s="16"/>
      <c r="DZC35" s="16"/>
      <c r="DZD35" s="16"/>
      <c r="DZE35" s="16"/>
      <c r="DZF35" s="16"/>
      <c r="DZG35" s="16"/>
      <c r="DZH35" s="16"/>
      <c r="DZI35" s="16"/>
      <c r="DZJ35" s="16"/>
      <c r="DZK35" s="16"/>
      <c r="DZL35" s="16"/>
      <c r="DZM35" s="16"/>
      <c r="DZN35" s="16"/>
      <c r="DZO35" s="16"/>
      <c r="DZP35" s="16"/>
      <c r="DZQ35" s="16"/>
      <c r="DZR35" s="16"/>
      <c r="DZS35" s="16"/>
      <c r="DZT35" s="16"/>
      <c r="DZU35" s="16"/>
      <c r="DZV35" s="16"/>
      <c r="DZW35" s="16"/>
      <c r="DZX35" s="16"/>
      <c r="DZY35" s="16"/>
      <c r="DZZ35" s="16"/>
      <c r="EAA35" s="16"/>
      <c r="EAB35" s="16"/>
      <c r="EAC35" s="16"/>
      <c r="EAD35" s="16"/>
      <c r="EAE35" s="16"/>
      <c r="EAF35" s="16"/>
      <c r="EAG35" s="16"/>
      <c r="EAH35" s="16"/>
      <c r="EAI35" s="16"/>
      <c r="EAJ35" s="16"/>
      <c r="EAK35" s="16"/>
      <c r="EAL35" s="16"/>
      <c r="EAM35" s="16"/>
      <c r="EAN35" s="16"/>
      <c r="EAO35" s="16"/>
      <c r="EAP35" s="16"/>
      <c r="EAQ35" s="16"/>
      <c r="EAR35" s="16"/>
      <c r="EAS35" s="16"/>
      <c r="EAT35" s="16"/>
      <c r="EAU35" s="16"/>
      <c r="EAV35" s="16"/>
      <c r="EAW35" s="16"/>
      <c r="EAX35" s="16"/>
      <c r="EAY35" s="16"/>
      <c r="EAZ35" s="16"/>
      <c r="EBA35" s="16"/>
      <c r="EBB35" s="16"/>
      <c r="EBC35" s="16"/>
      <c r="EBD35" s="16"/>
      <c r="EBE35" s="16"/>
      <c r="EBF35" s="16"/>
      <c r="EBG35" s="16"/>
      <c r="EBH35" s="16"/>
      <c r="EBI35" s="16"/>
      <c r="EBJ35" s="16"/>
      <c r="EBK35" s="16"/>
      <c r="EBL35" s="16"/>
      <c r="EBM35" s="16"/>
      <c r="EBN35" s="16"/>
      <c r="EBO35" s="16"/>
      <c r="EBP35" s="16"/>
      <c r="EBQ35" s="16"/>
      <c r="EBR35" s="16"/>
      <c r="EBS35" s="16"/>
      <c r="EBT35" s="16"/>
      <c r="EBU35" s="16"/>
      <c r="EBV35" s="16"/>
      <c r="EBW35" s="16"/>
      <c r="EBX35" s="16"/>
      <c r="EBY35" s="16"/>
      <c r="EBZ35" s="16"/>
      <c r="ECA35" s="16"/>
      <c r="ECB35" s="16"/>
      <c r="ECC35" s="16"/>
      <c r="ECD35" s="16"/>
      <c r="ECE35" s="16"/>
      <c r="ECF35" s="16"/>
      <c r="ECG35" s="16"/>
      <c r="ECH35" s="16"/>
      <c r="ECI35" s="16"/>
      <c r="ECJ35" s="16"/>
      <c r="ECK35" s="16"/>
      <c r="ECL35" s="16"/>
      <c r="ECM35" s="16"/>
      <c r="ECN35" s="16"/>
      <c r="ECO35" s="16"/>
      <c r="ECP35" s="16"/>
      <c r="ECQ35" s="16"/>
      <c r="ECR35" s="16"/>
      <c r="ECS35" s="16"/>
      <c r="ECT35" s="16"/>
      <c r="ECU35" s="16"/>
      <c r="ECV35" s="16"/>
      <c r="ECW35" s="16"/>
      <c r="ECX35" s="16"/>
      <c r="ECY35" s="16"/>
      <c r="ECZ35" s="16"/>
      <c r="EDA35" s="16"/>
      <c r="EDB35" s="16"/>
      <c r="EDC35" s="16"/>
      <c r="EDD35" s="16"/>
      <c r="EDE35" s="16"/>
      <c r="EDF35" s="16"/>
      <c r="EDG35" s="16"/>
      <c r="EDH35" s="16"/>
      <c r="EDI35" s="16"/>
      <c r="EDJ35" s="16"/>
      <c r="EDK35" s="16"/>
      <c r="EDL35" s="16"/>
      <c r="EDM35" s="16"/>
      <c r="EDN35" s="16"/>
      <c r="EDO35" s="16"/>
      <c r="EDP35" s="16"/>
      <c r="EDQ35" s="16"/>
      <c r="EDR35" s="16"/>
      <c r="EDS35" s="16"/>
      <c r="EDT35" s="16"/>
      <c r="EDU35" s="16"/>
      <c r="EDV35" s="16"/>
      <c r="EDW35" s="16"/>
      <c r="EDX35" s="16"/>
      <c r="EDY35" s="16"/>
      <c r="EDZ35" s="16"/>
      <c r="EEA35" s="16"/>
      <c r="EEB35" s="16"/>
      <c r="EEC35" s="16"/>
      <c r="EED35" s="16"/>
      <c r="EEE35" s="16"/>
      <c r="EEF35" s="16"/>
      <c r="EEG35" s="16"/>
      <c r="EEH35" s="16"/>
      <c r="EEI35" s="16"/>
      <c r="EEJ35" s="16"/>
      <c r="EEK35" s="16"/>
      <c r="EEL35" s="16"/>
      <c r="EEM35" s="16"/>
      <c r="EEN35" s="16"/>
      <c r="EEO35" s="16"/>
      <c r="EEP35" s="16"/>
      <c r="EEQ35" s="16"/>
      <c r="EER35" s="16"/>
      <c r="EES35" s="16"/>
      <c r="EET35" s="16"/>
      <c r="EEU35" s="16"/>
      <c r="EEV35" s="16"/>
      <c r="EEW35" s="16"/>
      <c r="EEX35" s="16"/>
      <c r="EEY35" s="16"/>
      <c r="EEZ35" s="16"/>
      <c r="EFA35" s="16"/>
      <c r="EFB35" s="16"/>
      <c r="EFC35" s="16"/>
      <c r="EFD35" s="16"/>
      <c r="EFE35" s="16"/>
      <c r="EFF35" s="16"/>
      <c r="EFG35" s="16"/>
      <c r="EFH35" s="16"/>
      <c r="EFI35" s="16"/>
      <c r="EFJ35" s="16"/>
      <c r="EFK35" s="16"/>
      <c r="EFL35" s="16"/>
      <c r="EFM35" s="16"/>
      <c r="EFN35" s="16"/>
      <c r="EFO35" s="16"/>
      <c r="EFP35" s="16"/>
      <c r="EFQ35" s="16"/>
      <c r="EFR35" s="16"/>
      <c r="EFS35" s="16"/>
      <c r="EFT35" s="16"/>
      <c r="EFU35" s="16"/>
      <c r="EFV35" s="16"/>
      <c r="EFW35" s="16"/>
      <c r="EFX35" s="16"/>
      <c r="EFY35" s="16"/>
      <c r="EFZ35" s="16"/>
      <c r="EGA35" s="16"/>
      <c r="EGB35" s="16"/>
      <c r="EGC35" s="16"/>
      <c r="EGD35" s="16"/>
      <c r="EGE35" s="16"/>
      <c r="EGF35" s="16"/>
      <c r="EGG35" s="16"/>
      <c r="EGH35" s="16"/>
      <c r="EGI35" s="16"/>
      <c r="EGJ35" s="16"/>
      <c r="EGK35" s="16"/>
      <c r="EGL35" s="16"/>
      <c r="EGM35" s="16"/>
      <c r="EGN35" s="16"/>
      <c r="EGO35" s="16"/>
      <c r="EGP35" s="16"/>
      <c r="EGQ35" s="16"/>
      <c r="EGR35" s="16"/>
      <c r="EGS35" s="16"/>
      <c r="EGT35" s="16"/>
      <c r="EGU35" s="16"/>
      <c r="EGV35" s="16"/>
      <c r="EGW35" s="16"/>
      <c r="EGX35" s="16"/>
      <c r="EGY35" s="16"/>
      <c r="EGZ35" s="16"/>
      <c r="EHA35" s="16"/>
      <c r="EHB35" s="16"/>
      <c r="EHC35" s="16"/>
      <c r="EHD35" s="16"/>
      <c r="EHE35" s="16"/>
      <c r="EHF35" s="16"/>
      <c r="EHG35" s="16"/>
      <c r="EHH35" s="16"/>
      <c r="EHI35" s="16"/>
      <c r="EHJ35" s="16"/>
      <c r="EHK35" s="16"/>
      <c r="EHL35" s="16"/>
      <c r="EHM35" s="16"/>
      <c r="EHN35" s="16"/>
      <c r="EHO35" s="16"/>
      <c r="EHP35" s="16"/>
      <c r="EHQ35" s="16"/>
      <c r="EHR35" s="16"/>
      <c r="EHS35" s="16"/>
      <c r="EHT35" s="16"/>
      <c r="EHU35" s="16"/>
      <c r="EHV35" s="16"/>
      <c r="EHW35" s="16"/>
      <c r="EHX35" s="16"/>
      <c r="EHY35" s="16"/>
      <c r="EHZ35" s="16"/>
      <c r="EIA35" s="16"/>
      <c r="EIB35" s="16"/>
      <c r="EIC35" s="16"/>
      <c r="EID35" s="16"/>
      <c r="EIE35" s="16"/>
      <c r="EIF35" s="16"/>
      <c r="EIG35" s="16"/>
      <c r="EIH35" s="16"/>
      <c r="EII35" s="16"/>
      <c r="EIJ35" s="16"/>
      <c r="EIK35" s="16"/>
      <c r="EIL35" s="16"/>
      <c r="EIM35" s="16"/>
      <c r="EIN35" s="16"/>
      <c r="EIO35" s="16"/>
      <c r="EIP35" s="16"/>
      <c r="EIQ35" s="16"/>
      <c r="EIR35" s="16"/>
      <c r="EIS35" s="16"/>
      <c r="EIT35" s="16"/>
      <c r="EIU35" s="16"/>
      <c r="EIV35" s="16"/>
      <c r="EIW35" s="16"/>
      <c r="EIX35" s="16"/>
      <c r="EIY35" s="16"/>
      <c r="EIZ35" s="16"/>
      <c r="EJA35" s="16"/>
      <c r="EJB35" s="16"/>
      <c r="EJC35" s="16"/>
      <c r="EJD35" s="16"/>
      <c r="EJE35" s="16"/>
      <c r="EJF35" s="16"/>
      <c r="EJG35" s="16"/>
      <c r="EJH35" s="16"/>
      <c r="EJI35" s="16"/>
      <c r="EJJ35" s="16"/>
      <c r="EJK35" s="16"/>
      <c r="EJL35" s="16"/>
      <c r="EJM35" s="16"/>
      <c r="EJN35" s="16"/>
      <c r="EJO35" s="16"/>
      <c r="EJP35" s="16"/>
      <c r="EJQ35" s="16"/>
      <c r="EJR35" s="16"/>
      <c r="EJS35" s="16"/>
      <c r="EJT35" s="16"/>
      <c r="EJU35" s="16"/>
      <c r="EJV35" s="16"/>
      <c r="EJW35" s="16"/>
      <c r="EJX35" s="16"/>
      <c r="EJY35" s="16"/>
      <c r="EJZ35" s="16"/>
      <c r="EKA35" s="16"/>
      <c r="EKB35" s="16"/>
      <c r="EKC35" s="16"/>
      <c r="EKD35" s="16"/>
      <c r="EKE35" s="16"/>
      <c r="EKF35" s="16"/>
      <c r="EKG35" s="16"/>
      <c r="EKH35" s="16"/>
      <c r="EKI35" s="16"/>
      <c r="EKJ35" s="16"/>
      <c r="EKK35" s="16"/>
      <c r="EKL35" s="16"/>
      <c r="EKM35" s="16"/>
      <c r="EKN35" s="16"/>
      <c r="EKO35" s="16"/>
      <c r="EKP35" s="16"/>
      <c r="EKQ35" s="16"/>
      <c r="EKR35" s="16"/>
      <c r="EKS35" s="16"/>
      <c r="EKT35" s="16"/>
      <c r="EKU35" s="16"/>
      <c r="EKV35" s="16"/>
      <c r="EKW35" s="16"/>
      <c r="EKX35" s="16"/>
      <c r="EKY35" s="16"/>
      <c r="EKZ35" s="16"/>
      <c r="ELA35" s="16"/>
      <c r="ELB35" s="16"/>
      <c r="ELC35" s="16"/>
      <c r="ELD35" s="16"/>
      <c r="ELE35" s="16"/>
      <c r="ELF35" s="16"/>
      <c r="ELG35" s="16"/>
      <c r="ELH35" s="16"/>
      <c r="ELI35" s="16"/>
      <c r="ELJ35" s="16"/>
      <c r="ELK35" s="16"/>
      <c r="ELL35" s="16"/>
      <c r="ELM35" s="16"/>
      <c r="ELN35" s="16"/>
      <c r="ELO35" s="16"/>
      <c r="ELP35" s="16"/>
      <c r="ELQ35" s="16"/>
      <c r="ELR35" s="16"/>
      <c r="ELS35" s="16"/>
      <c r="ELT35" s="16"/>
      <c r="ELU35" s="16"/>
      <c r="ELV35" s="16"/>
      <c r="ELW35" s="16"/>
      <c r="ELX35" s="16"/>
      <c r="ELY35" s="16"/>
      <c r="ELZ35" s="16"/>
      <c r="EMA35" s="16"/>
      <c r="EMB35" s="16"/>
      <c r="EMC35" s="16"/>
      <c r="EMD35" s="16"/>
      <c r="EME35" s="16"/>
      <c r="EMF35" s="16"/>
      <c r="EMG35" s="16"/>
      <c r="EMH35" s="16"/>
      <c r="EMI35" s="16"/>
      <c r="EMJ35" s="16"/>
      <c r="EMK35" s="16"/>
      <c r="EML35" s="16"/>
      <c r="EMM35" s="16"/>
      <c r="EMN35" s="16"/>
      <c r="EMO35" s="16"/>
      <c r="EMP35" s="16"/>
      <c r="EMQ35" s="16"/>
      <c r="EMR35" s="16"/>
      <c r="EMS35" s="16"/>
      <c r="EMT35" s="16"/>
      <c r="EMU35" s="16"/>
      <c r="EMV35" s="16"/>
      <c r="EMW35" s="16"/>
      <c r="EMX35" s="16"/>
      <c r="EMY35" s="16"/>
      <c r="EMZ35" s="16"/>
      <c r="ENA35" s="16"/>
      <c r="ENB35" s="16"/>
      <c r="ENC35" s="16"/>
      <c r="END35" s="16"/>
      <c r="ENE35" s="16"/>
      <c r="ENF35" s="16"/>
      <c r="ENG35" s="16"/>
      <c r="ENH35" s="16"/>
      <c r="ENI35" s="16"/>
      <c r="ENJ35" s="16"/>
      <c r="ENK35" s="16"/>
      <c r="ENL35" s="16"/>
      <c r="ENM35" s="16"/>
      <c r="ENN35" s="16"/>
      <c r="ENO35" s="16"/>
      <c r="ENP35" s="16"/>
      <c r="ENQ35" s="16"/>
      <c r="ENR35" s="16"/>
      <c r="ENS35" s="16"/>
      <c r="ENT35" s="16"/>
      <c r="ENU35" s="16"/>
      <c r="ENV35" s="16"/>
      <c r="ENW35" s="16"/>
      <c r="ENX35" s="16"/>
      <c r="ENY35" s="16"/>
      <c r="ENZ35" s="16"/>
      <c r="EOA35" s="16"/>
      <c r="EOB35" s="16"/>
      <c r="EOC35" s="16"/>
      <c r="EOD35" s="16"/>
      <c r="EOE35" s="16"/>
      <c r="EOF35" s="16"/>
      <c r="EOG35" s="16"/>
      <c r="EOH35" s="16"/>
      <c r="EOI35" s="16"/>
      <c r="EOJ35" s="16"/>
      <c r="EOK35" s="16"/>
      <c r="EOL35" s="16"/>
      <c r="EOM35" s="16"/>
      <c r="EON35" s="16"/>
      <c r="EOO35" s="16"/>
      <c r="EOP35" s="16"/>
      <c r="EOQ35" s="16"/>
      <c r="EOR35" s="16"/>
      <c r="EOS35" s="16"/>
      <c r="EOT35" s="16"/>
      <c r="EOU35" s="16"/>
      <c r="EOV35" s="16"/>
      <c r="EOW35" s="16"/>
      <c r="EOX35" s="16"/>
      <c r="EOY35" s="16"/>
      <c r="EOZ35" s="16"/>
      <c r="EPA35" s="16"/>
      <c r="EPB35" s="16"/>
      <c r="EPC35" s="16"/>
      <c r="EPD35" s="16"/>
      <c r="EPE35" s="16"/>
      <c r="EPF35" s="16"/>
      <c r="EPG35" s="16"/>
      <c r="EPH35" s="16"/>
      <c r="EPI35" s="16"/>
      <c r="EPJ35" s="16"/>
      <c r="EPK35" s="16"/>
      <c r="EPL35" s="16"/>
      <c r="EPM35" s="16"/>
      <c r="EPN35" s="16"/>
      <c r="EPO35" s="16"/>
      <c r="EPP35" s="16"/>
      <c r="EPQ35" s="16"/>
      <c r="EPR35" s="16"/>
      <c r="EPS35" s="16"/>
      <c r="EPT35" s="16"/>
      <c r="EPU35" s="16"/>
      <c r="EPV35" s="16"/>
      <c r="EPW35" s="16"/>
      <c r="EPX35" s="16"/>
      <c r="EPY35" s="16"/>
      <c r="EPZ35" s="16"/>
      <c r="EQA35" s="16"/>
      <c r="EQB35" s="16"/>
      <c r="EQC35" s="16"/>
      <c r="EQD35" s="16"/>
      <c r="EQE35" s="16"/>
      <c r="EQF35" s="16"/>
      <c r="EQG35" s="16"/>
      <c r="EQH35" s="16"/>
      <c r="EQI35" s="16"/>
      <c r="EQJ35" s="16"/>
      <c r="EQK35" s="16"/>
      <c r="EQL35" s="16"/>
      <c r="EQM35" s="16"/>
      <c r="EQN35" s="16"/>
      <c r="EQO35" s="16"/>
      <c r="EQP35" s="16"/>
      <c r="EQQ35" s="16"/>
      <c r="EQR35" s="16"/>
      <c r="EQS35" s="16"/>
      <c r="EQT35" s="16"/>
      <c r="EQU35" s="16"/>
      <c r="EQV35" s="16"/>
      <c r="EQW35" s="16"/>
      <c r="EQX35" s="16"/>
      <c r="EQY35" s="16"/>
      <c r="EQZ35" s="16"/>
      <c r="ERA35" s="16"/>
      <c r="ERB35" s="16"/>
      <c r="ERC35" s="16"/>
      <c r="ERD35" s="16"/>
      <c r="ERE35" s="16"/>
      <c r="ERF35" s="16"/>
      <c r="ERG35" s="16"/>
      <c r="ERH35" s="16"/>
      <c r="ERI35" s="16"/>
      <c r="ERJ35" s="16"/>
      <c r="ERK35" s="16"/>
      <c r="ERL35" s="16"/>
      <c r="ERM35" s="16"/>
      <c r="ERN35" s="16"/>
      <c r="ERO35" s="16"/>
      <c r="ERP35" s="16"/>
      <c r="ERQ35" s="16"/>
      <c r="ERR35" s="16"/>
      <c r="ERS35" s="16"/>
      <c r="ERT35" s="16"/>
      <c r="ERU35" s="16"/>
      <c r="ERV35" s="16"/>
      <c r="ERW35" s="16"/>
      <c r="ERX35" s="16"/>
      <c r="ERY35" s="16"/>
      <c r="ERZ35" s="16"/>
      <c r="ESA35" s="16"/>
      <c r="ESB35" s="16"/>
      <c r="ESC35" s="16"/>
      <c r="ESD35" s="16"/>
      <c r="ESE35" s="16"/>
      <c r="ESF35" s="16"/>
      <c r="ESG35" s="16"/>
      <c r="ESH35" s="16"/>
      <c r="ESI35" s="16"/>
      <c r="ESJ35" s="16"/>
      <c r="ESK35" s="16"/>
      <c r="ESL35" s="16"/>
      <c r="ESM35" s="16"/>
      <c r="ESN35" s="16"/>
      <c r="ESO35" s="16"/>
      <c r="ESP35" s="16"/>
      <c r="ESQ35" s="16"/>
      <c r="ESR35" s="16"/>
      <c r="ESS35" s="16"/>
      <c r="EST35" s="16"/>
      <c r="ESU35" s="16"/>
      <c r="ESV35" s="16"/>
      <c r="ESW35" s="16"/>
      <c r="ESX35" s="16"/>
      <c r="ESY35" s="16"/>
      <c r="ESZ35" s="16"/>
      <c r="ETA35" s="16"/>
      <c r="ETB35" s="16"/>
      <c r="ETC35" s="16"/>
      <c r="ETD35" s="16"/>
      <c r="ETE35" s="16"/>
      <c r="ETF35" s="16"/>
      <c r="ETG35" s="16"/>
      <c r="ETH35" s="16"/>
      <c r="ETI35" s="16"/>
      <c r="ETJ35" s="16"/>
      <c r="ETK35" s="16"/>
      <c r="ETL35" s="16"/>
      <c r="ETM35" s="16"/>
      <c r="ETN35" s="16"/>
      <c r="ETO35" s="16"/>
      <c r="ETP35" s="16"/>
      <c r="ETQ35" s="16"/>
      <c r="ETR35" s="16"/>
      <c r="ETS35" s="16"/>
      <c r="ETT35" s="16"/>
      <c r="ETU35" s="16"/>
      <c r="ETV35" s="16"/>
      <c r="ETW35" s="16"/>
      <c r="ETX35" s="16"/>
      <c r="ETY35" s="16"/>
      <c r="ETZ35" s="16"/>
      <c r="EUA35" s="16"/>
      <c r="EUB35" s="16"/>
      <c r="EUC35" s="16"/>
      <c r="EUD35" s="16"/>
      <c r="EUE35" s="16"/>
      <c r="EUF35" s="16"/>
      <c r="EUG35" s="16"/>
      <c r="EUH35" s="16"/>
      <c r="EUI35" s="16"/>
      <c r="EUJ35" s="16"/>
      <c r="EUK35" s="16"/>
      <c r="EUL35" s="16"/>
      <c r="EUM35" s="16"/>
      <c r="EUN35" s="16"/>
      <c r="EUO35" s="16"/>
      <c r="EUP35" s="16"/>
      <c r="EUQ35" s="16"/>
      <c r="EUR35" s="16"/>
      <c r="EUS35" s="16"/>
      <c r="EUT35" s="16"/>
      <c r="EUU35" s="16"/>
      <c r="EUV35" s="16"/>
      <c r="EUW35" s="16"/>
      <c r="EUX35" s="16"/>
      <c r="EUY35" s="16"/>
      <c r="EUZ35" s="16"/>
      <c r="EVA35" s="16"/>
      <c r="EVB35" s="16"/>
      <c r="EVC35" s="16"/>
      <c r="EVD35" s="16"/>
      <c r="EVE35" s="16"/>
      <c r="EVF35" s="16"/>
      <c r="EVG35" s="16"/>
      <c r="EVH35" s="16"/>
      <c r="EVI35" s="16"/>
      <c r="EVJ35" s="16"/>
      <c r="EVK35" s="16"/>
      <c r="EVL35" s="16"/>
      <c r="EVM35" s="16"/>
      <c r="EVN35" s="16"/>
      <c r="EVO35" s="16"/>
      <c r="EVP35" s="16"/>
      <c r="EVQ35" s="16"/>
      <c r="EVR35" s="16"/>
      <c r="EVS35" s="16"/>
      <c r="EVT35" s="16"/>
      <c r="EVU35" s="16"/>
      <c r="EVV35" s="16"/>
      <c r="EVW35" s="16"/>
      <c r="EVX35" s="16"/>
      <c r="EVY35" s="16"/>
      <c r="EVZ35" s="16"/>
      <c r="EWA35" s="16"/>
      <c r="EWB35" s="16"/>
      <c r="EWC35" s="16"/>
      <c r="EWD35" s="16"/>
      <c r="EWE35" s="16"/>
      <c r="EWF35" s="16"/>
      <c r="EWG35" s="16"/>
      <c r="EWH35" s="16"/>
      <c r="EWI35" s="16"/>
      <c r="EWJ35" s="16"/>
      <c r="EWK35" s="16"/>
      <c r="EWL35" s="16"/>
      <c r="EWM35" s="16"/>
      <c r="EWN35" s="16"/>
      <c r="EWO35" s="16"/>
      <c r="EWP35" s="16"/>
      <c r="EWQ35" s="16"/>
      <c r="EWR35" s="16"/>
      <c r="EWS35" s="16"/>
      <c r="EWT35" s="16"/>
      <c r="EWU35" s="16"/>
      <c r="EWV35" s="16"/>
      <c r="EWW35" s="16"/>
      <c r="EWX35" s="16"/>
      <c r="EWY35" s="16"/>
      <c r="EWZ35" s="16"/>
      <c r="EXA35" s="16"/>
      <c r="EXB35" s="16"/>
      <c r="EXC35" s="16"/>
      <c r="EXD35" s="16"/>
      <c r="EXE35" s="16"/>
      <c r="EXF35" s="16"/>
      <c r="EXG35" s="16"/>
      <c r="EXH35" s="16"/>
      <c r="EXI35" s="16"/>
      <c r="EXJ35" s="16"/>
      <c r="EXK35" s="16"/>
      <c r="EXL35" s="16"/>
      <c r="EXM35" s="16"/>
      <c r="EXN35" s="16"/>
      <c r="EXO35" s="16"/>
      <c r="EXP35" s="16"/>
      <c r="EXQ35" s="16"/>
      <c r="EXR35" s="16"/>
      <c r="EXS35" s="16"/>
      <c r="EXT35" s="16"/>
      <c r="EXU35" s="16"/>
      <c r="EXV35" s="16"/>
      <c r="EXW35" s="16"/>
      <c r="EXX35" s="16"/>
      <c r="EXY35" s="16"/>
      <c r="EXZ35" s="16"/>
      <c r="EYA35" s="16"/>
      <c r="EYB35" s="16"/>
      <c r="EYC35" s="16"/>
      <c r="EYD35" s="16"/>
      <c r="EYE35" s="16"/>
      <c r="EYF35" s="16"/>
      <c r="EYG35" s="16"/>
      <c r="EYH35" s="16"/>
      <c r="EYI35" s="16"/>
      <c r="EYJ35" s="16"/>
      <c r="EYK35" s="16"/>
      <c r="EYL35" s="16"/>
      <c r="EYM35" s="16"/>
      <c r="EYN35" s="16"/>
      <c r="EYO35" s="16"/>
      <c r="EYP35" s="16"/>
      <c r="EYQ35" s="16"/>
      <c r="EYR35" s="16"/>
      <c r="EYS35" s="16"/>
      <c r="EYT35" s="16"/>
      <c r="EYU35" s="16"/>
      <c r="EYV35" s="16"/>
      <c r="EYW35" s="16"/>
      <c r="EYX35" s="16"/>
      <c r="EYY35" s="16"/>
      <c r="EYZ35" s="16"/>
      <c r="EZA35" s="16"/>
      <c r="EZB35" s="16"/>
      <c r="EZC35" s="16"/>
      <c r="EZD35" s="16"/>
      <c r="EZE35" s="16"/>
      <c r="EZF35" s="16"/>
      <c r="EZG35" s="16"/>
      <c r="EZH35" s="16"/>
      <c r="EZI35" s="16"/>
      <c r="EZJ35" s="16"/>
      <c r="EZK35" s="16"/>
      <c r="EZL35" s="16"/>
      <c r="EZM35" s="16"/>
      <c r="EZN35" s="16"/>
      <c r="EZO35" s="16"/>
      <c r="EZP35" s="16"/>
      <c r="EZQ35" s="16"/>
      <c r="EZR35" s="16"/>
      <c r="EZS35" s="16"/>
      <c r="EZT35" s="16"/>
      <c r="EZU35" s="16"/>
      <c r="EZV35" s="16"/>
      <c r="EZW35" s="16"/>
      <c r="EZX35" s="16"/>
      <c r="EZY35" s="16"/>
      <c r="EZZ35" s="16"/>
      <c r="FAA35" s="16"/>
      <c r="FAB35" s="16"/>
      <c r="FAC35" s="16"/>
      <c r="FAD35" s="16"/>
      <c r="FAE35" s="16"/>
      <c r="FAF35" s="16"/>
      <c r="FAG35" s="16"/>
      <c r="FAH35" s="16"/>
      <c r="FAI35" s="16"/>
      <c r="FAJ35" s="16"/>
      <c r="FAK35" s="16"/>
      <c r="FAL35" s="16"/>
      <c r="FAM35" s="16"/>
      <c r="FAN35" s="16"/>
      <c r="FAO35" s="16"/>
      <c r="FAP35" s="16"/>
      <c r="FAQ35" s="16"/>
      <c r="FAR35" s="16"/>
      <c r="FAS35" s="16"/>
      <c r="FAT35" s="16"/>
      <c r="FAU35" s="16"/>
      <c r="FAV35" s="16"/>
      <c r="FAW35" s="16"/>
      <c r="FAX35" s="16"/>
      <c r="FAY35" s="16"/>
      <c r="FAZ35" s="16"/>
      <c r="FBA35" s="16"/>
      <c r="FBB35" s="16"/>
      <c r="FBC35" s="16"/>
      <c r="FBD35" s="16"/>
      <c r="FBE35" s="16"/>
      <c r="FBF35" s="16"/>
      <c r="FBG35" s="16"/>
      <c r="FBH35" s="16"/>
      <c r="FBI35" s="16"/>
      <c r="FBJ35" s="16"/>
      <c r="FBK35" s="16"/>
      <c r="FBL35" s="16"/>
      <c r="FBM35" s="16"/>
      <c r="FBN35" s="16"/>
      <c r="FBO35" s="16"/>
      <c r="FBP35" s="16"/>
      <c r="FBQ35" s="16"/>
      <c r="FBR35" s="16"/>
      <c r="FBS35" s="16"/>
      <c r="FBT35" s="16"/>
      <c r="FBU35" s="16"/>
      <c r="FBV35" s="16"/>
      <c r="FBW35" s="16"/>
      <c r="FBX35" s="16"/>
      <c r="FBY35" s="16"/>
      <c r="FBZ35" s="16"/>
      <c r="FCA35" s="16"/>
      <c r="FCB35" s="16"/>
      <c r="FCC35" s="16"/>
      <c r="FCD35" s="16"/>
      <c r="FCE35" s="16"/>
      <c r="FCF35" s="16"/>
      <c r="FCG35" s="16"/>
      <c r="FCH35" s="16"/>
      <c r="FCI35" s="16"/>
      <c r="FCJ35" s="16"/>
      <c r="FCK35" s="16"/>
      <c r="FCL35" s="16"/>
      <c r="FCM35" s="16"/>
      <c r="FCN35" s="16"/>
      <c r="FCO35" s="16"/>
      <c r="FCP35" s="16"/>
      <c r="FCQ35" s="16"/>
      <c r="FCR35" s="16"/>
      <c r="FCS35" s="16"/>
      <c r="FCT35" s="16"/>
      <c r="FCU35" s="16"/>
      <c r="FCV35" s="16"/>
      <c r="FCW35" s="16"/>
      <c r="FCX35" s="16"/>
      <c r="FCY35" s="16"/>
      <c r="FCZ35" s="16"/>
      <c r="FDA35" s="16"/>
      <c r="FDB35" s="16"/>
      <c r="FDC35" s="16"/>
      <c r="FDD35" s="16"/>
      <c r="FDE35" s="16"/>
      <c r="FDF35" s="16"/>
      <c r="FDG35" s="16"/>
      <c r="FDH35" s="16"/>
      <c r="FDI35" s="16"/>
      <c r="FDJ35" s="16"/>
      <c r="FDK35" s="16"/>
      <c r="FDL35" s="16"/>
      <c r="FDM35" s="16"/>
      <c r="FDN35" s="16"/>
      <c r="FDO35" s="16"/>
      <c r="FDP35" s="16"/>
      <c r="FDQ35" s="16"/>
      <c r="FDR35" s="16"/>
      <c r="FDS35" s="16"/>
      <c r="FDT35" s="16"/>
      <c r="FDU35" s="16"/>
      <c r="FDV35" s="16"/>
      <c r="FDW35" s="16"/>
      <c r="FDX35" s="16"/>
      <c r="FDY35" s="16"/>
      <c r="FDZ35" s="16"/>
      <c r="FEA35" s="16"/>
      <c r="FEB35" s="16"/>
      <c r="FEC35" s="16"/>
      <c r="FED35" s="16"/>
      <c r="FEE35" s="16"/>
      <c r="FEF35" s="16"/>
      <c r="FEG35" s="16"/>
      <c r="FEH35" s="16"/>
      <c r="FEI35" s="16"/>
      <c r="FEJ35" s="16"/>
      <c r="FEK35" s="16"/>
      <c r="FEL35" s="16"/>
      <c r="FEM35" s="16"/>
      <c r="FEN35" s="16"/>
      <c r="FEO35" s="16"/>
      <c r="FEP35" s="16"/>
      <c r="FEQ35" s="16"/>
      <c r="FER35" s="16"/>
      <c r="FES35" s="16"/>
      <c r="FET35" s="16"/>
      <c r="FEU35" s="16"/>
      <c r="FEV35" s="16"/>
      <c r="FEW35" s="16"/>
      <c r="FEX35" s="16"/>
      <c r="FEY35" s="16"/>
      <c r="FEZ35" s="16"/>
      <c r="FFA35" s="16"/>
      <c r="FFB35" s="16"/>
      <c r="FFC35" s="16"/>
      <c r="FFD35" s="16"/>
      <c r="FFE35" s="16"/>
      <c r="FFF35" s="16"/>
      <c r="FFG35" s="16"/>
      <c r="FFH35" s="16"/>
      <c r="FFI35" s="16"/>
      <c r="FFJ35" s="16"/>
      <c r="FFK35" s="16"/>
      <c r="FFL35" s="16"/>
      <c r="FFM35" s="16"/>
      <c r="FFN35" s="16"/>
      <c r="FFO35" s="16"/>
      <c r="FFP35" s="16"/>
      <c r="FFQ35" s="16"/>
      <c r="FFR35" s="16"/>
      <c r="FFS35" s="16"/>
      <c r="FFT35" s="16"/>
      <c r="FFU35" s="16"/>
      <c r="FFV35" s="16"/>
      <c r="FFW35" s="16"/>
      <c r="FFX35" s="16"/>
      <c r="FFY35" s="16"/>
      <c r="FFZ35" s="16"/>
      <c r="FGA35" s="16"/>
      <c r="FGB35" s="16"/>
      <c r="FGC35" s="16"/>
      <c r="FGD35" s="16"/>
      <c r="FGE35" s="16"/>
      <c r="FGF35" s="16"/>
      <c r="FGG35" s="16"/>
      <c r="FGH35" s="16"/>
      <c r="FGI35" s="16"/>
      <c r="FGJ35" s="16"/>
      <c r="FGK35" s="16"/>
      <c r="FGL35" s="16"/>
      <c r="FGM35" s="16"/>
      <c r="FGN35" s="16"/>
      <c r="FGO35" s="16"/>
      <c r="FGP35" s="16"/>
      <c r="FGQ35" s="16"/>
      <c r="FGR35" s="16"/>
      <c r="FGS35" s="16"/>
      <c r="FGT35" s="16"/>
      <c r="FGU35" s="16"/>
      <c r="FGV35" s="16"/>
      <c r="FGW35" s="16"/>
      <c r="FGX35" s="16"/>
      <c r="FGY35" s="16"/>
      <c r="FGZ35" s="16"/>
      <c r="FHA35" s="16"/>
      <c r="FHB35" s="16"/>
      <c r="FHC35" s="16"/>
      <c r="FHD35" s="16"/>
      <c r="FHE35" s="16"/>
      <c r="FHF35" s="16"/>
      <c r="FHG35" s="16"/>
      <c r="FHH35" s="16"/>
      <c r="FHI35" s="16"/>
      <c r="FHJ35" s="16"/>
      <c r="FHK35" s="16"/>
      <c r="FHL35" s="16"/>
      <c r="FHM35" s="16"/>
      <c r="FHN35" s="16"/>
      <c r="FHO35" s="16"/>
      <c r="FHP35" s="16"/>
      <c r="FHQ35" s="16"/>
      <c r="FHR35" s="16"/>
      <c r="FHS35" s="16"/>
      <c r="FHT35" s="16"/>
      <c r="FHU35" s="16"/>
      <c r="FHV35" s="16"/>
      <c r="FHW35" s="16"/>
      <c r="FHX35" s="16"/>
      <c r="FHY35" s="16"/>
      <c r="FHZ35" s="16"/>
      <c r="FIA35" s="16"/>
      <c r="FIB35" s="16"/>
      <c r="FIC35" s="16"/>
      <c r="FID35" s="16"/>
      <c r="FIE35" s="16"/>
      <c r="FIF35" s="16"/>
      <c r="FIG35" s="16"/>
      <c r="FIH35" s="16"/>
      <c r="FII35" s="16"/>
      <c r="FIJ35" s="16"/>
      <c r="FIK35" s="16"/>
      <c r="FIL35" s="16"/>
      <c r="FIM35" s="16"/>
      <c r="FIN35" s="16"/>
      <c r="FIO35" s="16"/>
      <c r="FIP35" s="16"/>
      <c r="FIQ35" s="16"/>
      <c r="FIR35" s="16"/>
      <c r="FIS35" s="16"/>
      <c r="FIT35" s="16"/>
      <c r="FIU35" s="16"/>
      <c r="FIV35" s="16"/>
      <c r="FIW35" s="16"/>
      <c r="FIX35" s="16"/>
      <c r="FIY35" s="16"/>
      <c r="FIZ35" s="16"/>
      <c r="FJA35" s="16"/>
      <c r="FJB35" s="16"/>
      <c r="FJC35" s="16"/>
      <c r="FJD35" s="16"/>
      <c r="FJE35" s="16"/>
      <c r="FJF35" s="16"/>
      <c r="FJG35" s="16"/>
      <c r="FJH35" s="16"/>
      <c r="FJI35" s="16"/>
      <c r="FJJ35" s="16"/>
      <c r="FJK35" s="16"/>
      <c r="FJL35" s="16"/>
      <c r="FJM35" s="16"/>
      <c r="FJN35" s="16"/>
      <c r="FJO35" s="16"/>
      <c r="FJP35" s="16"/>
      <c r="FJQ35" s="16"/>
      <c r="FJR35" s="16"/>
      <c r="FJS35" s="16"/>
      <c r="FJT35" s="16"/>
      <c r="FJU35" s="16"/>
      <c r="FJV35" s="16"/>
      <c r="FJW35" s="16"/>
      <c r="FJX35" s="16"/>
      <c r="FJY35" s="16"/>
      <c r="FJZ35" s="16"/>
      <c r="FKA35" s="16"/>
      <c r="FKB35" s="16"/>
      <c r="FKC35" s="16"/>
      <c r="FKD35" s="16"/>
      <c r="FKE35" s="16"/>
      <c r="FKF35" s="16"/>
      <c r="FKG35" s="16"/>
      <c r="FKH35" s="16"/>
      <c r="FKI35" s="16"/>
      <c r="FKJ35" s="16"/>
      <c r="FKK35" s="16"/>
      <c r="FKL35" s="16"/>
      <c r="FKM35" s="16"/>
      <c r="FKN35" s="16"/>
      <c r="FKO35" s="16"/>
      <c r="FKP35" s="16"/>
      <c r="FKQ35" s="16"/>
      <c r="FKR35" s="16"/>
      <c r="FKS35" s="16"/>
      <c r="FKT35" s="16"/>
      <c r="FKU35" s="16"/>
      <c r="FKV35" s="16"/>
      <c r="FKW35" s="16"/>
      <c r="FKX35" s="16"/>
      <c r="FKY35" s="16"/>
      <c r="FKZ35" s="16"/>
      <c r="FLA35" s="16"/>
      <c r="FLB35" s="16"/>
      <c r="FLC35" s="16"/>
      <c r="FLD35" s="16"/>
      <c r="FLE35" s="16"/>
      <c r="FLF35" s="16"/>
      <c r="FLG35" s="16"/>
      <c r="FLH35" s="16"/>
      <c r="FLI35" s="16"/>
      <c r="FLJ35" s="16"/>
      <c r="FLK35" s="16"/>
      <c r="FLL35" s="16"/>
      <c r="FLM35" s="16"/>
      <c r="FLN35" s="16"/>
      <c r="FLO35" s="16"/>
      <c r="FLP35" s="16"/>
      <c r="FLQ35" s="16"/>
      <c r="FLR35" s="16"/>
      <c r="FLS35" s="16"/>
      <c r="FLT35" s="16"/>
      <c r="FLU35" s="16"/>
      <c r="FLV35" s="16"/>
      <c r="FLW35" s="16"/>
      <c r="FLX35" s="16"/>
      <c r="FLY35" s="16"/>
      <c r="FLZ35" s="16"/>
      <c r="FMA35" s="16"/>
      <c r="FMB35" s="16"/>
      <c r="FMC35" s="16"/>
      <c r="FMD35" s="16"/>
      <c r="FME35" s="16"/>
      <c r="FMF35" s="16"/>
      <c r="FMG35" s="16"/>
      <c r="FMH35" s="16"/>
      <c r="FMI35" s="16"/>
      <c r="FMJ35" s="16"/>
      <c r="FMK35" s="16"/>
      <c r="FML35" s="16"/>
      <c r="FMM35" s="16"/>
      <c r="FMN35" s="16"/>
      <c r="FMO35" s="16"/>
      <c r="FMP35" s="16"/>
      <c r="FMQ35" s="16"/>
      <c r="FMR35" s="16"/>
      <c r="FMS35" s="16"/>
      <c r="FMT35" s="16"/>
      <c r="FMU35" s="16"/>
      <c r="FMV35" s="16"/>
      <c r="FMW35" s="16"/>
      <c r="FMX35" s="16"/>
      <c r="FMY35" s="16"/>
      <c r="FMZ35" s="16"/>
      <c r="FNA35" s="16"/>
      <c r="FNB35" s="16"/>
      <c r="FNC35" s="16"/>
      <c r="FND35" s="16"/>
      <c r="FNE35" s="16"/>
      <c r="FNF35" s="16"/>
      <c r="FNG35" s="16"/>
      <c r="FNH35" s="16"/>
      <c r="FNI35" s="16"/>
      <c r="FNJ35" s="16"/>
      <c r="FNK35" s="16"/>
      <c r="FNL35" s="16"/>
      <c r="FNM35" s="16"/>
      <c r="FNN35" s="16"/>
      <c r="FNO35" s="16"/>
      <c r="FNP35" s="16"/>
      <c r="FNQ35" s="16"/>
      <c r="FNR35" s="16"/>
      <c r="FNS35" s="16"/>
      <c r="FNT35" s="16"/>
      <c r="FNU35" s="16"/>
      <c r="FNV35" s="16"/>
      <c r="FNW35" s="16"/>
      <c r="FNX35" s="16"/>
      <c r="FNY35" s="16"/>
      <c r="FNZ35" s="16"/>
      <c r="FOA35" s="16"/>
      <c r="FOB35" s="16"/>
      <c r="FOC35" s="16"/>
      <c r="FOD35" s="16"/>
      <c r="FOE35" s="16"/>
      <c r="FOF35" s="16"/>
      <c r="FOG35" s="16"/>
      <c r="FOH35" s="16"/>
      <c r="FOI35" s="16"/>
      <c r="FOJ35" s="16"/>
      <c r="FOK35" s="16"/>
      <c r="FOL35" s="16"/>
      <c r="FOM35" s="16"/>
      <c r="FON35" s="16"/>
      <c r="FOO35" s="16"/>
      <c r="FOP35" s="16"/>
      <c r="FOQ35" s="16"/>
      <c r="FOR35" s="16"/>
      <c r="FOS35" s="16"/>
      <c r="FOT35" s="16"/>
      <c r="FOU35" s="16"/>
      <c r="FOV35" s="16"/>
      <c r="FOW35" s="16"/>
      <c r="FOX35" s="16"/>
      <c r="FOY35" s="16"/>
      <c r="FOZ35" s="16"/>
      <c r="FPA35" s="16"/>
      <c r="FPB35" s="16"/>
      <c r="FPC35" s="16"/>
      <c r="FPD35" s="16"/>
      <c r="FPE35" s="16"/>
      <c r="FPF35" s="16"/>
      <c r="FPG35" s="16"/>
      <c r="FPH35" s="16"/>
      <c r="FPI35" s="16"/>
      <c r="FPJ35" s="16"/>
      <c r="FPK35" s="16"/>
      <c r="FPL35" s="16"/>
      <c r="FPM35" s="16"/>
      <c r="FPN35" s="16"/>
      <c r="FPO35" s="16"/>
      <c r="FPP35" s="16"/>
      <c r="FPQ35" s="16"/>
      <c r="FPR35" s="16"/>
      <c r="FPS35" s="16"/>
      <c r="FPT35" s="16"/>
      <c r="FPU35" s="16"/>
      <c r="FPV35" s="16"/>
      <c r="FPW35" s="16"/>
      <c r="FPX35" s="16"/>
      <c r="FPY35" s="16"/>
      <c r="FPZ35" s="16"/>
      <c r="FQA35" s="16"/>
      <c r="FQB35" s="16"/>
      <c r="FQC35" s="16"/>
      <c r="FQD35" s="16"/>
      <c r="FQE35" s="16"/>
      <c r="FQF35" s="16"/>
      <c r="FQG35" s="16"/>
      <c r="FQH35" s="16"/>
      <c r="FQI35" s="16"/>
      <c r="FQJ35" s="16"/>
      <c r="FQK35" s="16"/>
      <c r="FQL35" s="16"/>
      <c r="FQM35" s="16"/>
      <c r="FQN35" s="16"/>
      <c r="FQO35" s="16"/>
      <c r="FQP35" s="16"/>
      <c r="FQQ35" s="16"/>
      <c r="FQR35" s="16"/>
      <c r="FQS35" s="16"/>
      <c r="FQT35" s="16"/>
      <c r="FQU35" s="16"/>
      <c r="FQV35" s="16"/>
      <c r="FQW35" s="16"/>
      <c r="FQX35" s="16"/>
      <c r="FQY35" s="16"/>
      <c r="FQZ35" s="16"/>
      <c r="FRA35" s="16"/>
      <c r="FRB35" s="16"/>
      <c r="FRC35" s="16"/>
      <c r="FRD35" s="16"/>
      <c r="FRE35" s="16"/>
      <c r="FRF35" s="16"/>
      <c r="FRG35" s="16"/>
      <c r="FRH35" s="16"/>
      <c r="FRI35" s="16"/>
      <c r="FRJ35" s="16"/>
      <c r="FRK35" s="16"/>
      <c r="FRL35" s="16"/>
      <c r="FRM35" s="16"/>
      <c r="FRN35" s="16"/>
      <c r="FRO35" s="16"/>
      <c r="FRP35" s="16"/>
      <c r="FRQ35" s="16"/>
      <c r="FRR35" s="16"/>
      <c r="FRS35" s="16"/>
      <c r="FRT35" s="16"/>
      <c r="FRU35" s="16"/>
      <c r="FRV35" s="16"/>
      <c r="FRW35" s="16"/>
      <c r="FRX35" s="16"/>
      <c r="FRY35" s="16"/>
      <c r="FRZ35" s="16"/>
      <c r="FSA35" s="16"/>
      <c r="FSB35" s="16"/>
      <c r="FSC35" s="16"/>
      <c r="FSD35" s="16"/>
      <c r="FSE35" s="16"/>
      <c r="FSF35" s="16"/>
      <c r="FSG35" s="16"/>
      <c r="FSH35" s="16"/>
      <c r="FSI35" s="16"/>
      <c r="FSJ35" s="16"/>
      <c r="FSK35" s="16"/>
      <c r="FSL35" s="16"/>
      <c r="FSM35" s="16"/>
      <c r="FSN35" s="16"/>
      <c r="FSO35" s="16"/>
      <c r="FSP35" s="16"/>
      <c r="FSQ35" s="16"/>
      <c r="FSR35" s="16"/>
      <c r="FSS35" s="16"/>
      <c r="FST35" s="16"/>
      <c r="FSU35" s="16"/>
      <c r="FSV35" s="16"/>
      <c r="FSW35" s="16"/>
      <c r="FSX35" s="16"/>
      <c r="FSY35" s="16"/>
      <c r="FSZ35" s="16"/>
      <c r="FTA35" s="16"/>
      <c r="FTB35" s="16"/>
      <c r="FTC35" s="16"/>
      <c r="FTD35" s="16"/>
      <c r="FTE35" s="16"/>
      <c r="FTF35" s="16"/>
      <c r="FTG35" s="16"/>
      <c r="FTH35" s="16"/>
      <c r="FTI35" s="16"/>
      <c r="FTJ35" s="16"/>
      <c r="FTK35" s="16"/>
      <c r="FTL35" s="16"/>
      <c r="FTM35" s="16"/>
      <c r="FTN35" s="16"/>
      <c r="FTO35" s="16"/>
      <c r="FTP35" s="16"/>
      <c r="FTQ35" s="16"/>
      <c r="FTR35" s="16"/>
      <c r="FTS35" s="16"/>
      <c r="FTT35" s="16"/>
      <c r="FTU35" s="16"/>
      <c r="FTV35" s="16"/>
      <c r="FTW35" s="16"/>
      <c r="FTX35" s="16"/>
      <c r="FTY35" s="16"/>
      <c r="FTZ35" s="16"/>
      <c r="FUA35" s="16"/>
      <c r="FUB35" s="16"/>
      <c r="FUC35" s="16"/>
      <c r="FUD35" s="16"/>
      <c r="FUE35" s="16"/>
      <c r="FUF35" s="16"/>
      <c r="FUG35" s="16"/>
      <c r="FUH35" s="16"/>
      <c r="FUI35" s="16"/>
      <c r="FUJ35" s="16"/>
      <c r="FUK35" s="16"/>
      <c r="FUL35" s="16"/>
      <c r="FUM35" s="16"/>
      <c r="FUN35" s="16"/>
      <c r="FUO35" s="16"/>
      <c r="FUP35" s="16"/>
      <c r="FUQ35" s="16"/>
      <c r="FUR35" s="16"/>
      <c r="FUS35" s="16"/>
      <c r="FUT35" s="16"/>
      <c r="FUU35" s="16"/>
      <c r="FUV35" s="16"/>
      <c r="FUW35" s="16"/>
      <c r="FUX35" s="16"/>
      <c r="FUY35" s="16"/>
      <c r="FUZ35" s="16"/>
      <c r="FVA35" s="16"/>
      <c r="FVB35" s="16"/>
      <c r="FVC35" s="16"/>
      <c r="FVD35" s="16"/>
      <c r="FVE35" s="16"/>
      <c r="FVF35" s="16"/>
      <c r="FVG35" s="16"/>
      <c r="FVH35" s="16"/>
      <c r="FVI35" s="16"/>
      <c r="FVJ35" s="16"/>
      <c r="FVK35" s="16"/>
      <c r="FVL35" s="16"/>
      <c r="FVM35" s="16"/>
      <c r="FVN35" s="16"/>
      <c r="FVO35" s="16"/>
      <c r="FVP35" s="16"/>
      <c r="FVQ35" s="16"/>
      <c r="FVR35" s="16"/>
      <c r="FVS35" s="16"/>
      <c r="FVT35" s="16"/>
      <c r="FVU35" s="16"/>
      <c r="FVV35" s="16"/>
      <c r="FVW35" s="16"/>
      <c r="FVX35" s="16"/>
      <c r="FVY35" s="16"/>
      <c r="FVZ35" s="16"/>
      <c r="FWA35" s="16"/>
      <c r="FWB35" s="16"/>
      <c r="FWC35" s="16"/>
      <c r="FWD35" s="16"/>
      <c r="FWE35" s="16"/>
      <c r="FWF35" s="16"/>
      <c r="FWG35" s="16"/>
      <c r="FWH35" s="16"/>
      <c r="FWI35" s="16"/>
      <c r="FWJ35" s="16"/>
      <c r="FWK35" s="16"/>
      <c r="FWL35" s="16"/>
      <c r="FWM35" s="16"/>
      <c r="FWN35" s="16"/>
      <c r="FWO35" s="16"/>
      <c r="FWP35" s="16"/>
      <c r="FWQ35" s="16"/>
      <c r="FWR35" s="16"/>
      <c r="FWS35" s="16"/>
      <c r="FWT35" s="16"/>
      <c r="FWU35" s="16"/>
      <c r="FWV35" s="16"/>
      <c r="FWW35" s="16"/>
      <c r="FWX35" s="16"/>
      <c r="FWY35" s="16"/>
      <c r="FWZ35" s="16"/>
      <c r="FXA35" s="16"/>
      <c r="FXB35" s="16"/>
      <c r="FXC35" s="16"/>
      <c r="FXD35" s="16"/>
      <c r="FXE35" s="16"/>
      <c r="FXF35" s="16"/>
      <c r="FXG35" s="16"/>
      <c r="FXH35" s="16"/>
      <c r="FXI35" s="16"/>
      <c r="FXJ35" s="16"/>
      <c r="FXK35" s="16"/>
      <c r="FXL35" s="16"/>
      <c r="FXM35" s="16"/>
      <c r="FXN35" s="16"/>
      <c r="FXO35" s="16"/>
      <c r="FXP35" s="16"/>
      <c r="FXQ35" s="16"/>
      <c r="FXR35" s="16"/>
      <c r="FXS35" s="16"/>
      <c r="FXT35" s="16"/>
      <c r="FXU35" s="16"/>
      <c r="FXV35" s="16"/>
      <c r="FXW35" s="16"/>
      <c r="FXX35" s="16"/>
      <c r="FXY35" s="16"/>
      <c r="FXZ35" s="16"/>
      <c r="FYA35" s="16"/>
      <c r="FYB35" s="16"/>
      <c r="FYC35" s="16"/>
      <c r="FYD35" s="16"/>
      <c r="FYE35" s="16"/>
      <c r="FYF35" s="16"/>
      <c r="FYG35" s="16"/>
      <c r="FYH35" s="16"/>
      <c r="FYI35" s="16"/>
      <c r="FYJ35" s="16"/>
      <c r="FYK35" s="16"/>
      <c r="FYL35" s="16"/>
      <c r="FYM35" s="16"/>
      <c r="FYN35" s="16"/>
      <c r="FYO35" s="16"/>
      <c r="FYP35" s="16"/>
      <c r="FYQ35" s="16"/>
      <c r="FYR35" s="16"/>
      <c r="FYS35" s="16"/>
      <c r="FYT35" s="16"/>
      <c r="FYU35" s="16"/>
      <c r="FYV35" s="16"/>
      <c r="FYW35" s="16"/>
      <c r="FYX35" s="16"/>
      <c r="FYY35" s="16"/>
      <c r="FYZ35" s="16"/>
      <c r="FZA35" s="16"/>
      <c r="FZB35" s="16"/>
      <c r="FZC35" s="16"/>
      <c r="FZD35" s="16"/>
      <c r="FZE35" s="16"/>
      <c r="FZF35" s="16"/>
      <c r="FZG35" s="16"/>
      <c r="FZH35" s="16"/>
      <c r="FZI35" s="16"/>
      <c r="FZJ35" s="16"/>
      <c r="FZK35" s="16"/>
      <c r="FZL35" s="16"/>
      <c r="FZM35" s="16"/>
      <c r="FZN35" s="16"/>
      <c r="FZO35" s="16"/>
      <c r="FZP35" s="16"/>
      <c r="FZQ35" s="16"/>
      <c r="FZR35" s="16"/>
      <c r="FZS35" s="16"/>
      <c r="FZT35" s="16"/>
      <c r="FZU35" s="16"/>
      <c r="FZV35" s="16"/>
      <c r="FZW35" s="16"/>
      <c r="FZX35" s="16"/>
      <c r="FZY35" s="16"/>
      <c r="FZZ35" s="16"/>
      <c r="GAA35" s="16"/>
      <c r="GAB35" s="16"/>
      <c r="GAC35" s="16"/>
      <c r="GAD35" s="16"/>
      <c r="GAE35" s="16"/>
      <c r="GAF35" s="16"/>
      <c r="GAG35" s="16"/>
      <c r="GAH35" s="16"/>
      <c r="GAI35" s="16"/>
      <c r="GAJ35" s="16"/>
      <c r="GAK35" s="16"/>
      <c r="GAL35" s="16"/>
      <c r="GAM35" s="16"/>
      <c r="GAN35" s="16"/>
      <c r="GAO35" s="16"/>
      <c r="GAP35" s="16"/>
      <c r="GAQ35" s="16"/>
      <c r="GAR35" s="16"/>
      <c r="GAS35" s="16"/>
      <c r="GAT35" s="16"/>
      <c r="GAU35" s="16"/>
      <c r="GAV35" s="16"/>
      <c r="GAW35" s="16"/>
      <c r="GAX35" s="16"/>
      <c r="GAY35" s="16"/>
      <c r="GAZ35" s="16"/>
      <c r="GBA35" s="16"/>
      <c r="GBB35" s="16"/>
      <c r="GBC35" s="16"/>
      <c r="GBD35" s="16"/>
      <c r="GBE35" s="16"/>
      <c r="GBF35" s="16"/>
      <c r="GBG35" s="16"/>
      <c r="GBH35" s="16"/>
      <c r="GBI35" s="16"/>
      <c r="GBJ35" s="16"/>
      <c r="GBK35" s="16"/>
      <c r="GBL35" s="16"/>
      <c r="GBM35" s="16"/>
      <c r="GBN35" s="16"/>
      <c r="GBO35" s="16"/>
      <c r="GBP35" s="16"/>
      <c r="GBQ35" s="16"/>
      <c r="GBR35" s="16"/>
      <c r="GBS35" s="16"/>
      <c r="GBT35" s="16"/>
      <c r="GBU35" s="16"/>
      <c r="GBV35" s="16"/>
      <c r="GBW35" s="16"/>
      <c r="GBX35" s="16"/>
      <c r="GBY35" s="16"/>
      <c r="GBZ35" s="16"/>
      <c r="GCA35" s="16"/>
      <c r="GCB35" s="16"/>
      <c r="GCC35" s="16"/>
      <c r="GCD35" s="16"/>
      <c r="GCE35" s="16"/>
      <c r="GCF35" s="16"/>
      <c r="GCG35" s="16"/>
      <c r="GCH35" s="16"/>
      <c r="GCI35" s="16"/>
      <c r="GCJ35" s="16"/>
      <c r="GCK35" s="16"/>
      <c r="GCL35" s="16"/>
      <c r="GCM35" s="16"/>
      <c r="GCN35" s="16"/>
      <c r="GCO35" s="16"/>
      <c r="GCP35" s="16"/>
      <c r="GCQ35" s="16"/>
      <c r="GCR35" s="16"/>
      <c r="GCS35" s="16"/>
      <c r="GCT35" s="16"/>
      <c r="GCU35" s="16"/>
      <c r="GCV35" s="16"/>
      <c r="GCW35" s="16"/>
      <c r="GCX35" s="16"/>
      <c r="GCY35" s="16"/>
      <c r="GCZ35" s="16"/>
      <c r="GDA35" s="16"/>
      <c r="GDB35" s="16"/>
      <c r="GDC35" s="16"/>
      <c r="GDD35" s="16"/>
      <c r="GDE35" s="16"/>
      <c r="GDF35" s="16"/>
      <c r="GDG35" s="16"/>
      <c r="GDH35" s="16"/>
      <c r="GDI35" s="16"/>
      <c r="GDJ35" s="16"/>
      <c r="GDK35" s="16"/>
      <c r="GDL35" s="16"/>
      <c r="GDM35" s="16"/>
      <c r="GDN35" s="16"/>
      <c r="GDO35" s="16"/>
      <c r="GDP35" s="16"/>
      <c r="GDQ35" s="16"/>
      <c r="GDR35" s="16"/>
      <c r="GDS35" s="16"/>
      <c r="GDT35" s="16"/>
      <c r="GDU35" s="16"/>
      <c r="GDV35" s="16"/>
      <c r="GDW35" s="16"/>
      <c r="GDX35" s="16"/>
      <c r="GDY35" s="16"/>
      <c r="GDZ35" s="16"/>
      <c r="GEA35" s="16"/>
      <c r="GEB35" s="16"/>
      <c r="GEC35" s="16"/>
      <c r="GED35" s="16"/>
      <c r="GEE35" s="16"/>
      <c r="GEF35" s="16"/>
      <c r="GEG35" s="16"/>
      <c r="GEH35" s="16"/>
      <c r="GEI35" s="16"/>
      <c r="GEJ35" s="16"/>
      <c r="GEK35" s="16"/>
      <c r="GEL35" s="16"/>
      <c r="GEM35" s="16"/>
      <c r="GEN35" s="16"/>
      <c r="GEO35" s="16"/>
      <c r="GEP35" s="16"/>
      <c r="GEQ35" s="16"/>
      <c r="GER35" s="16"/>
      <c r="GES35" s="16"/>
      <c r="GET35" s="16"/>
      <c r="GEU35" s="16"/>
      <c r="GEV35" s="16"/>
      <c r="GEW35" s="16"/>
      <c r="GEX35" s="16"/>
      <c r="GEY35" s="16"/>
      <c r="GEZ35" s="16"/>
      <c r="GFA35" s="16"/>
      <c r="GFB35" s="16"/>
      <c r="GFC35" s="16"/>
      <c r="GFD35" s="16"/>
      <c r="GFE35" s="16"/>
      <c r="GFF35" s="16"/>
      <c r="GFG35" s="16"/>
      <c r="GFH35" s="16"/>
      <c r="GFI35" s="16"/>
      <c r="GFJ35" s="16"/>
      <c r="GFK35" s="16"/>
      <c r="GFL35" s="16"/>
      <c r="GFM35" s="16"/>
      <c r="GFN35" s="16"/>
      <c r="GFO35" s="16"/>
      <c r="GFP35" s="16"/>
      <c r="GFQ35" s="16"/>
      <c r="GFR35" s="16"/>
      <c r="GFS35" s="16"/>
      <c r="GFT35" s="16"/>
      <c r="GFU35" s="16"/>
      <c r="GFV35" s="16"/>
      <c r="GFW35" s="16"/>
      <c r="GFX35" s="16"/>
      <c r="GFY35" s="16"/>
      <c r="GFZ35" s="16"/>
      <c r="GGA35" s="16"/>
      <c r="GGB35" s="16"/>
      <c r="GGC35" s="16"/>
      <c r="GGD35" s="16"/>
      <c r="GGE35" s="16"/>
      <c r="GGF35" s="16"/>
      <c r="GGG35" s="16"/>
      <c r="GGH35" s="16"/>
      <c r="GGI35" s="16"/>
      <c r="GGJ35" s="16"/>
      <c r="GGK35" s="16"/>
      <c r="GGL35" s="16"/>
      <c r="GGM35" s="16"/>
      <c r="GGN35" s="16"/>
      <c r="GGO35" s="16"/>
      <c r="GGP35" s="16"/>
      <c r="GGQ35" s="16"/>
      <c r="GGR35" s="16"/>
      <c r="GGS35" s="16"/>
      <c r="GGT35" s="16"/>
      <c r="GGU35" s="16"/>
      <c r="GGV35" s="16"/>
      <c r="GGW35" s="16"/>
      <c r="GGX35" s="16"/>
      <c r="GGY35" s="16"/>
      <c r="GGZ35" s="16"/>
      <c r="GHA35" s="16"/>
      <c r="GHB35" s="16"/>
      <c r="GHC35" s="16"/>
      <c r="GHD35" s="16"/>
      <c r="GHE35" s="16"/>
      <c r="GHF35" s="16"/>
      <c r="GHG35" s="16"/>
      <c r="GHH35" s="16"/>
      <c r="GHI35" s="16"/>
      <c r="GHJ35" s="16"/>
      <c r="GHK35" s="16"/>
      <c r="GHL35" s="16"/>
      <c r="GHM35" s="16"/>
      <c r="GHN35" s="16"/>
      <c r="GHO35" s="16"/>
      <c r="GHP35" s="16"/>
      <c r="GHQ35" s="16"/>
      <c r="GHR35" s="16"/>
      <c r="GHS35" s="16"/>
      <c r="GHT35" s="16"/>
      <c r="GHU35" s="16"/>
      <c r="GHV35" s="16"/>
      <c r="GHW35" s="16"/>
      <c r="GHX35" s="16"/>
      <c r="GHY35" s="16"/>
      <c r="GHZ35" s="16"/>
      <c r="GIA35" s="16"/>
      <c r="GIB35" s="16"/>
      <c r="GIC35" s="16"/>
      <c r="GID35" s="16"/>
      <c r="GIE35" s="16"/>
      <c r="GIF35" s="16"/>
      <c r="GIG35" s="16"/>
      <c r="GIH35" s="16"/>
      <c r="GII35" s="16"/>
      <c r="GIJ35" s="16"/>
      <c r="GIK35" s="16"/>
      <c r="GIL35" s="16"/>
      <c r="GIM35" s="16"/>
      <c r="GIN35" s="16"/>
      <c r="GIO35" s="16"/>
      <c r="GIP35" s="16"/>
      <c r="GIQ35" s="16"/>
      <c r="GIR35" s="16"/>
      <c r="GIS35" s="16"/>
      <c r="GIT35" s="16"/>
      <c r="GIU35" s="16"/>
      <c r="GIV35" s="16"/>
      <c r="GIW35" s="16"/>
      <c r="GIX35" s="16"/>
      <c r="GIY35" s="16"/>
      <c r="GIZ35" s="16"/>
      <c r="GJA35" s="16"/>
      <c r="GJB35" s="16"/>
      <c r="GJC35" s="16"/>
      <c r="GJD35" s="16"/>
      <c r="GJE35" s="16"/>
      <c r="GJF35" s="16"/>
      <c r="GJG35" s="16"/>
      <c r="GJH35" s="16"/>
      <c r="GJI35" s="16"/>
      <c r="GJJ35" s="16"/>
      <c r="GJK35" s="16"/>
      <c r="GJL35" s="16"/>
      <c r="GJM35" s="16"/>
      <c r="GJN35" s="16"/>
      <c r="GJO35" s="16"/>
      <c r="GJP35" s="16"/>
      <c r="GJQ35" s="16"/>
      <c r="GJR35" s="16"/>
      <c r="GJS35" s="16"/>
      <c r="GJT35" s="16"/>
      <c r="GJU35" s="16"/>
      <c r="GJV35" s="16"/>
      <c r="GJW35" s="16"/>
      <c r="GJX35" s="16"/>
      <c r="GJY35" s="16"/>
      <c r="GJZ35" s="16"/>
      <c r="GKA35" s="16"/>
      <c r="GKB35" s="16"/>
      <c r="GKC35" s="16"/>
      <c r="GKD35" s="16"/>
      <c r="GKE35" s="16"/>
      <c r="GKF35" s="16"/>
      <c r="GKG35" s="16"/>
      <c r="GKH35" s="16"/>
      <c r="GKI35" s="16"/>
      <c r="GKJ35" s="16"/>
      <c r="GKK35" s="16"/>
      <c r="GKL35" s="16"/>
      <c r="GKM35" s="16"/>
      <c r="GKN35" s="16"/>
      <c r="GKO35" s="16"/>
      <c r="GKP35" s="16"/>
      <c r="GKQ35" s="16"/>
      <c r="GKR35" s="16"/>
      <c r="GKS35" s="16"/>
      <c r="GKT35" s="16"/>
      <c r="GKU35" s="16"/>
      <c r="GKV35" s="16"/>
      <c r="GKW35" s="16"/>
      <c r="GKX35" s="16"/>
      <c r="GKY35" s="16"/>
      <c r="GKZ35" s="16"/>
      <c r="GLA35" s="16"/>
      <c r="GLB35" s="16"/>
      <c r="GLC35" s="16"/>
      <c r="GLD35" s="16"/>
      <c r="GLE35" s="16"/>
      <c r="GLF35" s="16"/>
      <c r="GLG35" s="16"/>
      <c r="GLH35" s="16"/>
      <c r="GLI35" s="16"/>
      <c r="GLJ35" s="16"/>
      <c r="GLK35" s="16"/>
      <c r="GLL35" s="16"/>
      <c r="GLM35" s="16"/>
      <c r="GLN35" s="16"/>
      <c r="GLO35" s="16"/>
      <c r="GLP35" s="16"/>
      <c r="GLQ35" s="16"/>
      <c r="GLR35" s="16"/>
      <c r="GLS35" s="16"/>
      <c r="GLT35" s="16"/>
      <c r="GLU35" s="16"/>
      <c r="GLV35" s="16"/>
      <c r="GLW35" s="16"/>
      <c r="GLX35" s="16"/>
      <c r="GLY35" s="16"/>
      <c r="GLZ35" s="16"/>
      <c r="GMA35" s="16"/>
      <c r="GMB35" s="16"/>
      <c r="GMC35" s="16"/>
      <c r="GMD35" s="16"/>
      <c r="GME35" s="16"/>
      <c r="GMF35" s="16"/>
      <c r="GMG35" s="16"/>
      <c r="GMH35" s="16"/>
      <c r="GMI35" s="16"/>
      <c r="GMJ35" s="16"/>
      <c r="GMK35" s="16"/>
      <c r="GML35" s="16"/>
      <c r="GMM35" s="16"/>
      <c r="GMN35" s="16"/>
      <c r="GMO35" s="16"/>
      <c r="GMP35" s="16"/>
      <c r="GMQ35" s="16"/>
      <c r="GMR35" s="16"/>
      <c r="GMS35" s="16"/>
      <c r="GMT35" s="16"/>
      <c r="GMU35" s="16"/>
      <c r="GMV35" s="16"/>
      <c r="GMW35" s="16"/>
      <c r="GMX35" s="16"/>
      <c r="GMY35" s="16"/>
      <c r="GMZ35" s="16"/>
      <c r="GNA35" s="16"/>
      <c r="GNB35" s="16"/>
      <c r="GNC35" s="16"/>
      <c r="GND35" s="16"/>
      <c r="GNE35" s="16"/>
      <c r="GNF35" s="16"/>
      <c r="GNG35" s="16"/>
      <c r="GNH35" s="16"/>
      <c r="GNI35" s="16"/>
      <c r="GNJ35" s="16"/>
      <c r="GNK35" s="16"/>
      <c r="GNL35" s="16"/>
      <c r="GNM35" s="16"/>
      <c r="GNN35" s="16"/>
      <c r="GNO35" s="16"/>
      <c r="GNP35" s="16"/>
      <c r="GNQ35" s="16"/>
      <c r="GNR35" s="16"/>
      <c r="GNS35" s="16"/>
      <c r="GNT35" s="16"/>
      <c r="GNU35" s="16"/>
      <c r="GNV35" s="16"/>
      <c r="GNW35" s="16"/>
      <c r="GNX35" s="16"/>
      <c r="GNY35" s="16"/>
      <c r="GNZ35" s="16"/>
      <c r="GOA35" s="16"/>
      <c r="GOB35" s="16"/>
      <c r="GOC35" s="16"/>
      <c r="GOD35" s="16"/>
      <c r="GOE35" s="16"/>
      <c r="GOF35" s="16"/>
      <c r="GOG35" s="16"/>
      <c r="GOH35" s="16"/>
      <c r="GOI35" s="16"/>
      <c r="GOJ35" s="16"/>
      <c r="GOK35" s="16"/>
      <c r="GOL35" s="16"/>
      <c r="GOM35" s="16"/>
      <c r="GON35" s="16"/>
      <c r="GOO35" s="16"/>
      <c r="GOP35" s="16"/>
      <c r="GOQ35" s="16"/>
      <c r="GOR35" s="16"/>
      <c r="GOS35" s="16"/>
      <c r="GOT35" s="16"/>
      <c r="GOU35" s="16"/>
      <c r="GOV35" s="16"/>
      <c r="GOW35" s="16"/>
      <c r="GOX35" s="16"/>
      <c r="GOY35" s="16"/>
      <c r="GOZ35" s="16"/>
      <c r="GPA35" s="16"/>
      <c r="GPB35" s="16"/>
      <c r="GPC35" s="16"/>
      <c r="GPD35" s="16"/>
      <c r="GPE35" s="16"/>
      <c r="GPF35" s="16"/>
      <c r="GPG35" s="16"/>
      <c r="GPH35" s="16"/>
      <c r="GPI35" s="16"/>
      <c r="GPJ35" s="16"/>
      <c r="GPK35" s="16"/>
      <c r="GPL35" s="16"/>
      <c r="GPM35" s="16"/>
      <c r="GPN35" s="16"/>
      <c r="GPO35" s="16"/>
      <c r="GPP35" s="16"/>
      <c r="GPQ35" s="16"/>
      <c r="GPR35" s="16"/>
      <c r="GPS35" s="16"/>
      <c r="GPT35" s="16"/>
      <c r="GPU35" s="16"/>
      <c r="GPV35" s="16"/>
      <c r="GPW35" s="16"/>
      <c r="GPX35" s="16"/>
      <c r="GPY35" s="16"/>
      <c r="GPZ35" s="16"/>
      <c r="GQA35" s="16"/>
      <c r="GQB35" s="16"/>
      <c r="GQC35" s="16"/>
      <c r="GQD35" s="16"/>
      <c r="GQE35" s="16"/>
      <c r="GQF35" s="16"/>
      <c r="GQG35" s="16"/>
      <c r="GQH35" s="16"/>
      <c r="GQI35" s="16"/>
      <c r="GQJ35" s="16"/>
      <c r="GQK35" s="16"/>
      <c r="GQL35" s="16"/>
      <c r="GQM35" s="16"/>
      <c r="GQN35" s="16"/>
      <c r="GQO35" s="16"/>
      <c r="GQP35" s="16"/>
      <c r="GQQ35" s="16"/>
      <c r="GQR35" s="16"/>
      <c r="GQS35" s="16"/>
      <c r="GQT35" s="16"/>
      <c r="GQU35" s="16"/>
      <c r="GQV35" s="16"/>
      <c r="GQW35" s="16"/>
      <c r="GQX35" s="16"/>
      <c r="GQY35" s="16"/>
      <c r="GQZ35" s="16"/>
      <c r="GRA35" s="16"/>
      <c r="GRB35" s="16"/>
      <c r="GRC35" s="16"/>
      <c r="GRD35" s="16"/>
      <c r="GRE35" s="16"/>
      <c r="GRF35" s="16"/>
      <c r="GRG35" s="16"/>
      <c r="GRH35" s="16"/>
      <c r="GRI35" s="16"/>
      <c r="GRJ35" s="16"/>
      <c r="GRK35" s="16"/>
      <c r="GRL35" s="16"/>
      <c r="GRM35" s="16"/>
      <c r="GRN35" s="16"/>
      <c r="GRO35" s="16"/>
      <c r="GRP35" s="16"/>
      <c r="GRQ35" s="16"/>
      <c r="GRR35" s="16"/>
      <c r="GRS35" s="16"/>
      <c r="GRT35" s="16"/>
      <c r="GRU35" s="16"/>
      <c r="GRV35" s="16"/>
      <c r="GRW35" s="16"/>
      <c r="GRX35" s="16"/>
      <c r="GRY35" s="16"/>
      <c r="GRZ35" s="16"/>
      <c r="GSA35" s="16"/>
      <c r="GSB35" s="16"/>
      <c r="GSC35" s="16"/>
      <c r="GSD35" s="16"/>
      <c r="GSE35" s="16"/>
      <c r="GSF35" s="16"/>
      <c r="GSG35" s="16"/>
      <c r="GSH35" s="16"/>
      <c r="GSI35" s="16"/>
      <c r="GSJ35" s="16"/>
      <c r="GSK35" s="16"/>
      <c r="GSL35" s="16"/>
      <c r="GSM35" s="16"/>
      <c r="GSN35" s="16"/>
      <c r="GSO35" s="16"/>
      <c r="GSP35" s="16"/>
      <c r="GSQ35" s="16"/>
      <c r="GSR35" s="16"/>
      <c r="GSS35" s="16"/>
      <c r="GST35" s="16"/>
      <c r="GSU35" s="16"/>
      <c r="GSV35" s="16"/>
      <c r="GSW35" s="16"/>
      <c r="GSX35" s="16"/>
      <c r="GSY35" s="16"/>
      <c r="GSZ35" s="16"/>
      <c r="GTA35" s="16"/>
      <c r="GTB35" s="16"/>
      <c r="GTC35" s="16"/>
      <c r="GTD35" s="16"/>
      <c r="GTE35" s="16"/>
      <c r="GTF35" s="16"/>
      <c r="GTG35" s="16"/>
      <c r="GTH35" s="16"/>
      <c r="GTI35" s="16"/>
      <c r="GTJ35" s="16"/>
      <c r="GTK35" s="16"/>
      <c r="GTL35" s="16"/>
      <c r="GTM35" s="16"/>
      <c r="GTN35" s="16"/>
      <c r="GTO35" s="16"/>
      <c r="GTP35" s="16"/>
      <c r="GTQ35" s="16"/>
      <c r="GTR35" s="16"/>
      <c r="GTS35" s="16"/>
      <c r="GTT35" s="16"/>
      <c r="GTU35" s="16"/>
      <c r="GTV35" s="16"/>
      <c r="GTW35" s="16"/>
      <c r="GTX35" s="16"/>
      <c r="GTY35" s="16"/>
      <c r="GTZ35" s="16"/>
      <c r="GUA35" s="16"/>
      <c r="GUB35" s="16"/>
      <c r="GUC35" s="16"/>
      <c r="GUD35" s="16"/>
      <c r="GUE35" s="16"/>
      <c r="GUF35" s="16"/>
      <c r="GUG35" s="16"/>
      <c r="GUH35" s="16"/>
      <c r="GUI35" s="16"/>
      <c r="GUJ35" s="16"/>
      <c r="GUK35" s="16"/>
      <c r="GUL35" s="16"/>
      <c r="GUM35" s="16"/>
      <c r="GUN35" s="16"/>
      <c r="GUO35" s="16"/>
      <c r="GUP35" s="16"/>
      <c r="GUQ35" s="16"/>
      <c r="GUR35" s="16"/>
      <c r="GUS35" s="16"/>
      <c r="GUT35" s="16"/>
      <c r="GUU35" s="16"/>
      <c r="GUV35" s="16"/>
      <c r="GUW35" s="16"/>
      <c r="GUX35" s="16"/>
      <c r="GUY35" s="16"/>
      <c r="GUZ35" s="16"/>
      <c r="GVA35" s="16"/>
      <c r="GVB35" s="16"/>
      <c r="GVC35" s="16"/>
      <c r="GVD35" s="16"/>
      <c r="GVE35" s="16"/>
      <c r="GVF35" s="16"/>
      <c r="GVG35" s="16"/>
      <c r="GVH35" s="16"/>
      <c r="GVI35" s="16"/>
      <c r="GVJ35" s="16"/>
      <c r="GVK35" s="16"/>
      <c r="GVL35" s="16"/>
      <c r="GVM35" s="16"/>
      <c r="GVN35" s="16"/>
      <c r="GVO35" s="16"/>
      <c r="GVP35" s="16"/>
      <c r="GVQ35" s="16"/>
      <c r="GVR35" s="16"/>
      <c r="GVS35" s="16"/>
      <c r="GVT35" s="16"/>
      <c r="GVU35" s="16"/>
      <c r="GVV35" s="16"/>
      <c r="GVW35" s="16"/>
      <c r="GVX35" s="16"/>
      <c r="GVY35" s="16"/>
      <c r="GVZ35" s="16"/>
      <c r="GWA35" s="16"/>
      <c r="GWB35" s="16"/>
      <c r="GWC35" s="16"/>
      <c r="GWD35" s="16"/>
      <c r="GWE35" s="16"/>
      <c r="GWF35" s="16"/>
      <c r="GWG35" s="16"/>
      <c r="GWH35" s="16"/>
      <c r="GWI35" s="16"/>
      <c r="GWJ35" s="16"/>
      <c r="GWK35" s="16"/>
      <c r="GWL35" s="16"/>
      <c r="GWM35" s="16"/>
      <c r="GWN35" s="16"/>
      <c r="GWO35" s="16"/>
      <c r="GWP35" s="16"/>
      <c r="GWQ35" s="16"/>
      <c r="GWR35" s="16"/>
      <c r="GWS35" s="16"/>
      <c r="GWT35" s="16"/>
      <c r="GWU35" s="16"/>
      <c r="GWV35" s="16"/>
      <c r="GWW35" s="16"/>
      <c r="GWX35" s="16"/>
      <c r="GWY35" s="16"/>
      <c r="GWZ35" s="16"/>
      <c r="GXA35" s="16"/>
      <c r="GXB35" s="16"/>
      <c r="GXC35" s="16"/>
      <c r="GXD35" s="16"/>
      <c r="GXE35" s="16"/>
      <c r="GXF35" s="16"/>
      <c r="GXG35" s="16"/>
      <c r="GXH35" s="16"/>
      <c r="GXI35" s="16"/>
      <c r="GXJ35" s="16"/>
      <c r="GXK35" s="16"/>
      <c r="GXL35" s="16"/>
      <c r="GXM35" s="16"/>
      <c r="GXN35" s="16"/>
      <c r="GXO35" s="16"/>
      <c r="GXP35" s="16"/>
      <c r="GXQ35" s="16"/>
      <c r="GXR35" s="16"/>
      <c r="GXS35" s="16"/>
      <c r="GXT35" s="16"/>
      <c r="GXU35" s="16"/>
      <c r="GXV35" s="16"/>
      <c r="GXW35" s="16"/>
      <c r="GXX35" s="16"/>
      <c r="GXY35" s="16"/>
      <c r="GXZ35" s="16"/>
      <c r="GYA35" s="16"/>
      <c r="GYB35" s="16"/>
      <c r="GYC35" s="16"/>
      <c r="GYD35" s="16"/>
      <c r="GYE35" s="16"/>
      <c r="GYF35" s="16"/>
      <c r="GYG35" s="16"/>
      <c r="GYH35" s="16"/>
      <c r="GYI35" s="16"/>
      <c r="GYJ35" s="16"/>
      <c r="GYK35" s="16"/>
      <c r="GYL35" s="16"/>
      <c r="GYM35" s="16"/>
      <c r="GYN35" s="16"/>
      <c r="GYO35" s="16"/>
      <c r="GYP35" s="16"/>
      <c r="GYQ35" s="16"/>
      <c r="GYR35" s="16"/>
      <c r="GYS35" s="16"/>
      <c r="GYT35" s="16"/>
      <c r="GYU35" s="16"/>
      <c r="GYV35" s="16"/>
      <c r="GYW35" s="16"/>
      <c r="GYX35" s="16"/>
      <c r="GYY35" s="16"/>
      <c r="GYZ35" s="16"/>
      <c r="GZA35" s="16"/>
      <c r="GZB35" s="16"/>
      <c r="GZC35" s="16"/>
      <c r="GZD35" s="16"/>
      <c r="GZE35" s="16"/>
      <c r="GZF35" s="16"/>
      <c r="GZG35" s="16"/>
      <c r="GZH35" s="16"/>
      <c r="GZI35" s="16"/>
      <c r="GZJ35" s="16"/>
      <c r="GZK35" s="16"/>
      <c r="GZL35" s="16"/>
      <c r="GZM35" s="16"/>
      <c r="GZN35" s="16"/>
      <c r="GZO35" s="16"/>
      <c r="GZP35" s="16"/>
      <c r="GZQ35" s="16"/>
      <c r="GZR35" s="16"/>
      <c r="GZS35" s="16"/>
      <c r="GZT35" s="16"/>
      <c r="GZU35" s="16"/>
      <c r="GZV35" s="16"/>
      <c r="GZW35" s="16"/>
      <c r="GZX35" s="16"/>
      <c r="GZY35" s="16"/>
      <c r="GZZ35" s="16"/>
      <c r="HAA35" s="16"/>
      <c r="HAB35" s="16"/>
      <c r="HAC35" s="16"/>
      <c r="HAD35" s="16"/>
      <c r="HAE35" s="16"/>
      <c r="HAF35" s="16"/>
      <c r="HAG35" s="16"/>
      <c r="HAH35" s="16"/>
      <c r="HAI35" s="16"/>
      <c r="HAJ35" s="16"/>
      <c r="HAK35" s="16"/>
      <c r="HAL35" s="16"/>
      <c r="HAM35" s="16"/>
      <c r="HAN35" s="16"/>
      <c r="HAO35" s="16"/>
      <c r="HAP35" s="16"/>
      <c r="HAQ35" s="16"/>
      <c r="HAR35" s="16"/>
      <c r="HAS35" s="16"/>
      <c r="HAT35" s="16"/>
      <c r="HAU35" s="16"/>
      <c r="HAV35" s="16"/>
      <c r="HAW35" s="16"/>
      <c r="HAX35" s="16"/>
      <c r="HAY35" s="16"/>
      <c r="HAZ35" s="16"/>
      <c r="HBA35" s="16"/>
      <c r="HBB35" s="16"/>
      <c r="HBC35" s="16"/>
      <c r="HBD35" s="16"/>
      <c r="HBE35" s="16"/>
      <c r="HBF35" s="16"/>
      <c r="HBG35" s="16"/>
      <c r="HBH35" s="16"/>
      <c r="HBI35" s="16"/>
      <c r="HBJ35" s="16"/>
      <c r="HBK35" s="16"/>
      <c r="HBL35" s="16"/>
      <c r="HBM35" s="16"/>
      <c r="HBN35" s="16"/>
      <c r="HBO35" s="16"/>
      <c r="HBP35" s="16"/>
      <c r="HBQ35" s="16"/>
      <c r="HBR35" s="16"/>
      <c r="HBS35" s="16"/>
      <c r="HBT35" s="16"/>
      <c r="HBU35" s="16"/>
      <c r="HBV35" s="16"/>
      <c r="HBW35" s="16"/>
      <c r="HBX35" s="16"/>
      <c r="HBY35" s="16"/>
      <c r="HBZ35" s="16"/>
      <c r="HCA35" s="16"/>
      <c r="HCB35" s="16"/>
      <c r="HCC35" s="16"/>
      <c r="HCD35" s="16"/>
      <c r="HCE35" s="16"/>
      <c r="HCF35" s="16"/>
      <c r="HCG35" s="16"/>
      <c r="HCH35" s="16"/>
      <c r="HCI35" s="16"/>
      <c r="HCJ35" s="16"/>
      <c r="HCK35" s="16"/>
      <c r="HCL35" s="16"/>
      <c r="HCM35" s="16"/>
      <c r="HCN35" s="16"/>
      <c r="HCO35" s="16"/>
      <c r="HCP35" s="16"/>
      <c r="HCQ35" s="16"/>
      <c r="HCR35" s="16"/>
      <c r="HCS35" s="16"/>
      <c r="HCT35" s="16"/>
      <c r="HCU35" s="16"/>
      <c r="HCV35" s="16"/>
      <c r="HCW35" s="16"/>
      <c r="HCX35" s="16"/>
      <c r="HCY35" s="16"/>
      <c r="HCZ35" s="16"/>
      <c r="HDA35" s="16"/>
      <c r="HDB35" s="16"/>
      <c r="HDC35" s="16"/>
      <c r="HDD35" s="16"/>
      <c r="HDE35" s="16"/>
      <c r="HDF35" s="16"/>
      <c r="HDG35" s="16"/>
      <c r="HDH35" s="16"/>
      <c r="HDI35" s="16"/>
      <c r="HDJ35" s="16"/>
      <c r="HDK35" s="16"/>
      <c r="HDL35" s="16"/>
      <c r="HDM35" s="16"/>
      <c r="HDN35" s="16"/>
      <c r="HDO35" s="16"/>
      <c r="HDP35" s="16"/>
      <c r="HDQ35" s="16"/>
      <c r="HDR35" s="16"/>
      <c r="HDS35" s="16"/>
      <c r="HDT35" s="16"/>
      <c r="HDU35" s="16"/>
      <c r="HDV35" s="16"/>
      <c r="HDW35" s="16"/>
      <c r="HDX35" s="16"/>
      <c r="HDY35" s="16"/>
      <c r="HDZ35" s="16"/>
      <c r="HEA35" s="16"/>
      <c r="HEB35" s="16"/>
      <c r="HEC35" s="16"/>
      <c r="HED35" s="16"/>
      <c r="HEE35" s="16"/>
      <c r="HEF35" s="16"/>
      <c r="HEG35" s="16"/>
      <c r="HEH35" s="16"/>
      <c r="HEI35" s="16"/>
      <c r="HEJ35" s="16"/>
      <c r="HEK35" s="16"/>
      <c r="HEL35" s="16"/>
      <c r="HEM35" s="16"/>
      <c r="HEN35" s="16"/>
      <c r="HEO35" s="16"/>
      <c r="HEP35" s="16"/>
      <c r="HEQ35" s="16"/>
      <c r="HER35" s="16"/>
      <c r="HES35" s="16"/>
      <c r="HET35" s="16"/>
      <c r="HEU35" s="16"/>
      <c r="HEV35" s="16"/>
      <c r="HEW35" s="16"/>
      <c r="HEX35" s="16"/>
      <c r="HEY35" s="16"/>
      <c r="HEZ35" s="16"/>
      <c r="HFA35" s="16"/>
      <c r="HFB35" s="16"/>
      <c r="HFC35" s="16"/>
      <c r="HFD35" s="16"/>
      <c r="HFE35" s="16"/>
      <c r="HFF35" s="16"/>
      <c r="HFG35" s="16"/>
      <c r="HFH35" s="16"/>
      <c r="HFI35" s="16"/>
      <c r="HFJ35" s="16"/>
      <c r="HFK35" s="16"/>
      <c r="HFL35" s="16"/>
      <c r="HFM35" s="16"/>
      <c r="HFN35" s="16"/>
      <c r="HFO35" s="16"/>
      <c r="HFP35" s="16"/>
      <c r="HFQ35" s="16"/>
      <c r="HFR35" s="16"/>
      <c r="HFS35" s="16"/>
      <c r="HFT35" s="16"/>
      <c r="HFU35" s="16"/>
      <c r="HFV35" s="16"/>
      <c r="HFW35" s="16"/>
      <c r="HFX35" s="16"/>
      <c r="HFY35" s="16"/>
      <c r="HFZ35" s="16"/>
      <c r="HGA35" s="16"/>
      <c r="HGB35" s="16"/>
      <c r="HGC35" s="16"/>
      <c r="HGD35" s="16"/>
      <c r="HGE35" s="16"/>
      <c r="HGF35" s="16"/>
      <c r="HGG35" s="16"/>
      <c r="HGH35" s="16"/>
      <c r="HGI35" s="16"/>
      <c r="HGJ35" s="16"/>
      <c r="HGK35" s="16"/>
      <c r="HGL35" s="16"/>
      <c r="HGM35" s="16"/>
      <c r="HGN35" s="16"/>
      <c r="HGO35" s="16"/>
      <c r="HGP35" s="16"/>
      <c r="HGQ35" s="16"/>
      <c r="HGR35" s="16"/>
      <c r="HGS35" s="16"/>
      <c r="HGT35" s="16"/>
      <c r="HGU35" s="16"/>
      <c r="HGV35" s="16"/>
      <c r="HGW35" s="16"/>
      <c r="HGX35" s="16"/>
      <c r="HGY35" s="16"/>
      <c r="HGZ35" s="16"/>
      <c r="HHA35" s="16"/>
      <c r="HHB35" s="16"/>
      <c r="HHC35" s="16"/>
      <c r="HHD35" s="16"/>
      <c r="HHE35" s="16"/>
      <c r="HHF35" s="16"/>
      <c r="HHG35" s="16"/>
      <c r="HHH35" s="16"/>
      <c r="HHI35" s="16"/>
      <c r="HHJ35" s="16"/>
      <c r="HHK35" s="16"/>
      <c r="HHL35" s="16"/>
      <c r="HHM35" s="16"/>
      <c r="HHN35" s="16"/>
      <c r="HHO35" s="16"/>
      <c r="HHP35" s="16"/>
      <c r="HHQ35" s="16"/>
      <c r="HHR35" s="16"/>
      <c r="HHS35" s="16"/>
      <c r="HHT35" s="16"/>
      <c r="HHU35" s="16"/>
      <c r="HHV35" s="16"/>
      <c r="HHW35" s="16"/>
      <c r="HHX35" s="16"/>
      <c r="HHY35" s="16"/>
      <c r="HHZ35" s="16"/>
      <c r="HIA35" s="16"/>
      <c r="HIB35" s="16"/>
      <c r="HIC35" s="16"/>
      <c r="HID35" s="16"/>
      <c r="HIE35" s="16"/>
      <c r="HIF35" s="16"/>
      <c r="HIG35" s="16"/>
      <c r="HIH35" s="16"/>
      <c r="HII35" s="16"/>
      <c r="HIJ35" s="16"/>
      <c r="HIK35" s="16"/>
      <c r="HIL35" s="16"/>
      <c r="HIM35" s="16"/>
      <c r="HIN35" s="16"/>
      <c r="HIO35" s="16"/>
      <c r="HIP35" s="16"/>
      <c r="HIQ35" s="16"/>
      <c r="HIR35" s="16"/>
      <c r="HIS35" s="16"/>
      <c r="HIT35" s="16"/>
      <c r="HIU35" s="16"/>
      <c r="HIV35" s="16"/>
      <c r="HIW35" s="16"/>
      <c r="HIX35" s="16"/>
      <c r="HIY35" s="16"/>
      <c r="HIZ35" s="16"/>
      <c r="HJA35" s="16"/>
      <c r="HJB35" s="16"/>
      <c r="HJC35" s="16"/>
      <c r="HJD35" s="16"/>
      <c r="HJE35" s="16"/>
      <c r="HJF35" s="16"/>
      <c r="HJG35" s="16"/>
      <c r="HJH35" s="16"/>
      <c r="HJI35" s="16"/>
      <c r="HJJ35" s="16"/>
      <c r="HJK35" s="16"/>
      <c r="HJL35" s="16"/>
      <c r="HJM35" s="16"/>
      <c r="HJN35" s="16"/>
      <c r="HJO35" s="16"/>
      <c r="HJP35" s="16"/>
      <c r="HJQ35" s="16"/>
      <c r="HJR35" s="16"/>
      <c r="HJS35" s="16"/>
      <c r="HJT35" s="16"/>
      <c r="HJU35" s="16"/>
      <c r="HJV35" s="16"/>
      <c r="HJW35" s="16"/>
      <c r="HJX35" s="16"/>
      <c r="HJY35" s="16"/>
      <c r="HJZ35" s="16"/>
      <c r="HKA35" s="16"/>
      <c r="HKB35" s="16"/>
      <c r="HKC35" s="16"/>
      <c r="HKD35" s="16"/>
      <c r="HKE35" s="16"/>
      <c r="HKF35" s="16"/>
      <c r="HKG35" s="16"/>
      <c r="HKH35" s="16"/>
      <c r="HKI35" s="16"/>
      <c r="HKJ35" s="16"/>
      <c r="HKK35" s="16"/>
      <c r="HKL35" s="16"/>
      <c r="HKM35" s="16"/>
      <c r="HKN35" s="16"/>
      <c r="HKO35" s="16"/>
      <c r="HKP35" s="16"/>
      <c r="HKQ35" s="16"/>
      <c r="HKR35" s="16"/>
      <c r="HKS35" s="16"/>
      <c r="HKT35" s="16"/>
      <c r="HKU35" s="16"/>
      <c r="HKV35" s="16"/>
      <c r="HKW35" s="16"/>
      <c r="HKX35" s="16"/>
      <c r="HKY35" s="16"/>
      <c r="HKZ35" s="16"/>
      <c r="HLA35" s="16"/>
      <c r="HLB35" s="16"/>
      <c r="HLC35" s="16"/>
      <c r="HLD35" s="16"/>
      <c r="HLE35" s="16"/>
      <c r="HLF35" s="16"/>
      <c r="HLG35" s="16"/>
      <c r="HLH35" s="16"/>
      <c r="HLI35" s="16"/>
      <c r="HLJ35" s="16"/>
      <c r="HLK35" s="16"/>
      <c r="HLL35" s="16"/>
      <c r="HLM35" s="16"/>
      <c r="HLN35" s="16"/>
      <c r="HLO35" s="16"/>
      <c r="HLP35" s="16"/>
      <c r="HLQ35" s="16"/>
      <c r="HLR35" s="16"/>
      <c r="HLS35" s="16"/>
      <c r="HLT35" s="16"/>
      <c r="HLU35" s="16"/>
      <c r="HLV35" s="16"/>
      <c r="HLW35" s="16"/>
      <c r="HLX35" s="16"/>
      <c r="HLY35" s="16"/>
      <c r="HLZ35" s="16"/>
      <c r="HMA35" s="16"/>
      <c r="HMB35" s="16"/>
      <c r="HMC35" s="16"/>
      <c r="HMD35" s="16"/>
      <c r="HME35" s="16"/>
      <c r="HMF35" s="16"/>
      <c r="HMG35" s="16"/>
      <c r="HMH35" s="16"/>
      <c r="HMI35" s="16"/>
      <c r="HMJ35" s="16"/>
      <c r="HMK35" s="16"/>
      <c r="HML35" s="16"/>
      <c r="HMM35" s="16"/>
      <c r="HMN35" s="16"/>
      <c r="HMO35" s="16"/>
      <c r="HMP35" s="16"/>
      <c r="HMQ35" s="16"/>
      <c r="HMR35" s="16"/>
      <c r="HMS35" s="16"/>
      <c r="HMT35" s="16"/>
      <c r="HMU35" s="16"/>
      <c r="HMV35" s="16"/>
      <c r="HMW35" s="16"/>
      <c r="HMX35" s="16"/>
      <c r="HMY35" s="16"/>
      <c r="HMZ35" s="16"/>
      <c r="HNA35" s="16"/>
      <c r="HNB35" s="16"/>
      <c r="HNC35" s="16"/>
      <c r="HND35" s="16"/>
      <c r="HNE35" s="16"/>
      <c r="HNF35" s="16"/>
      <c r="HNG35" s="16"/>
      <c r="HNH35" s="16"/>
      <c r="HNI35" s="16"/>
      <c r="HNJ35" s="16"/>
      <c r="HNK35" s="16"/>
      <c r="HNL35" s="16"/>
      <c r="HNM35" s="16"/>
      <c r="HNN35" s="16"/>
      <c r="HNO35" s="16"/>
      <c r="HNP35" s="16"/>
      <c r="HNQ35" s="16"/>
      <c r="HNR35" s="16"/>
      <c r="HNS35" s="16"/>
      <c r="HNT35" s="16"/>
      <c r="HNU35" s="16"/>
      <c r="HNV35" s="16"/>
      <c r="HNW35" s="16"/>
      <c r="HNX35" s="16"/>
      <c r="HNY35" s="16"/>
      <c r="HNZ35" s="16"/>
      <c r="HOA35" s="16"/>
      <c r="HOB35" s="16"/>
      <c r="HOC35" s="16"/>
      <c r="HOD35" s="16"/>
      <c r="HOE35" s="16"/>
      <c r="HOF35" s="16"/>
      <c r="HOG35" s="16"/>
      <c r="HOH35" s="16"/>
      <c r="HOI35" s="16"/>
      <c r="HOJ35" s="16"/>
      <c r="HOK35" s="16"/>
      <c r="HOL35" s="16"/>
      <c r="HOM35" s="16"/>
      <c r="HON35" s="16"/>
      <c r="HOO35" s="16"/>
      <c r="HOP35" s="16"/>
      <c r="HOQ35" s="16"/>
      <c r="HOR35" s="16"/>
      <c r="HOS35" s="16"/>
      <c r="HOT35" s="16"/>
      <c r="HOU35" s="16"/>
      <c r="HOV35" s="16"/>
      <c r="HOW35" s="16"/>
      <c r="HOX35" s="16"/>
      <c r="HOY35" s="16"/>
      <c r="HOZ35" s="16"/>
      <c r="HPA35" s="16"/>
      <c r="HPB35" s="16"/>
      <c r="HPC35" s="16"/>
      <c r="HPD35" s="16"/>
      <c r="HPE35" s="16"/>
      <c r="HPF35" s="16"/>
      <c r="HPG35" s="16"/>
      <c r="HPH35" s="16"/>
      <c r="HPI35" s="16"/>
      <c r="HPJ35" s="16"/>
      <c r="HPK35" s="16"/>
      <c r="HPL35" s="16"/>
      <c r="HPM35" s="16"/>
      <c r="HPN35" s="16"/>
      <c r="HPO35" s="16"/>
      <c r="HPP35" s="16"/>
      <c r="HPQ35" s="16"/>
      <c r="HPR35" s="16"/>
      <c r="HPS35" s="16"/>
      <c r="HPT35" s="16"/>
      <c r="HPU35" s="16"/>
      <c r="HPV35" s="16"/>
      <c r="HPW35" s="16"/>
      <c r="HPX35" s="16"/>
      <c r="HPY35" s="16"/>
      <c r="HPZ35" s="16"/>
      <c r="HQA35" s="16"/>
      <c r="HQB35" s="16"/>
      <c r="HQC35" s="16"/>
      <c r="HQD35" s="16"/>
      <c r="HQE35" s="16"/>
      <c r="HQF35" s="16"/>
      <c r="HQG35" s="16"/>
      <c r="HQH35" s="16"/>
      <c r="HQI35" s="16"/>
      <c r="HQJ35" s="16"/>
      <c r="HQK35" s="16"/>
      <c r="HQL35" s="16"/>
      <c r="HQM35" s="16"/>
      <c r="HQN35" s="16"/>
      <c r="HQO35" s="16"/>
      <c r="HQP35" s="16"/>
      <c r="HQQ35" s="16"/>
      <c r="HQR35" s="16"/>
      <c r="HQS35" s="16"/>
      <c r="HQT35" s="16"/>
      <c r="HQU35" s="16"/>
      <c r="HQV35" s="16"/>
      <c r="HQW35" s="16"/>
      <c r="HQX35" s="16"/>
      <c r="HQY35" s="16"/>
      <c r="HQZ35" s="16"/>
      <c r="HRA35" s="16"/>
      <c r="HRB35" s="16"/>
      <c r="HRC35" s="16"/>
      <c r="HRD35" s="16"/>
      <c r="HRE35" s="16"/>
      <c r="HRF35" s="16"/>
      <c r="HRG35" s="16"/>
      <c r="HRH35" s="16"/>
      <c r="HRI35" s="16"/>
      <c r="HRJ35" s="16"/>
      <c r="HRK35" s="16"/>
      <c r="HRL35" s="16"/>
      <c r="HRM35" s="16"/>
      <c r="HRN35" s="16"/>
      <c r="HRO35" s="16"/>
      <c r="HRP35" s="16"/>
      <c r="HRQ35" s="16"/>
      <c r="HRR35" s="16"/>
      <c r="HRS35" s="16"/>
      <c r="HRT35" s="16"/>
      <c r="HRU35" s="16"/>
      <c r="HRV35" s="16"/>
      <c r="HRW35" s="16"/>
      <c r="HRX35" s="16"/>
      <c r="HRY35" s="16"/>
      <c r="HRZ35" s="16"/>
      <c r="HSA35" s="16"/>
      <c r="HSB35" s="16"/>
      <c r="HSC35" s="16"/>
      <c r="HSD35" s="16"/>
      <c r="HSE35" s="16"/>
      <c r="HSF35" s="16"/>
      <c r="HSG35" s="16"/>
      <c r="HSH35" s="16"/>
      <c r="HSI35" s="16"/>
      <c r="HSJ35" s="16"/>
      <c r="HSK35" s="16"/>
      <c r="HSL35" s="16"/>
      <c r="HSM35" s="16"/>
      <c r="HSN35" s="16"/>
      <c r="HSO35" s="16"/>
      <c r="HSP35" s="16"/>
      <c r="HSQ35" s="16"/>
      <c r="HSR35" s="16"/>
      <c r="HSS35" s="16"/>
      <c r="HST35" s="16"/>
      <c r="HSU35" s="16"/>
      <c r="HSV35" s="16"/>
      <c r="HSW35" s="16"/>
      <c r="HSX35" s="16"/>
      <c r="HSY35" s="16"/>
      <c r="HSZ35" s="16"/>
      <c r="HTA35" s="16"/>
      <c r="HTB35" s="16"/>
      <c r="HTC35" s="16"/>
      <c r="HTD35" s="16"/>
      <c r="HTE35" s="16"/>
      <c r="HTF35" s="16"/>
      <c r="HTG35" s="16"/>
      <c r="HTH35" s="16"/>
      <c r="HTI35" s="16"/>
      <c r="HTJ35" s="16"/>
      <c r="HTK35" s="16"/>
      <c r="HTL35" s="16"/>
      <c r="HTM35" s="16"/>
      <c r="HTN35" s="16"/>
      <c r="HTO35" s="16"/>
      <c r="HTP35" s="16"/>
      <c r="HTQ35" s="16"/>
      <c r="HTR35" s="16"/>
      <c r="HTS35" s="16"/>
      <c r="HTT35" s="16"/>
      <c r="HTU35" s="16"/>
      <c r="HTV35" s="16"/>
      <c r="HTW35" s="16"/>
      <c r="HTX35" s="16"/>
      <c r="HTY35" s="16"/>
      <c r="HTZ35" s="16"/>
      <c r="HUA35" s="16"/>
      <c r="HUB35" s="16"/>
      <c r="HUC35" s="16"/>
      <c r="HUD35" s="16"/>
      <c r="HUE35" s="16"/>
      <c r="HUF35" s="16"/>
      <c r="HUG35" s="16"/>
      <c r="HUH35" s="16"/>
      <c r="HUI35" s="16"/>
      <c r="HUJ35" s="16"/>
      <c r="HUK35" s="16"/>
      <c r="HUL35" s="16"/>
      <c r="HUM35" s="16"/>
      <c r="HUN35" s="16"/>
      <c r="HUO35" s="16"/>
      <c r="HUP35" s="16"/>
      <c r="HUQ35" s="16"/>
      <c r="HUR35" s="16"/>
      <c r="HUS35" s="16"/>
      <c r="HUT35" s="16"/>
      <c r="HUU35" s="16"/>
      <c r="HUV35" s="16"/>
      <c r="HUW35" s="16"/>
      <c r="HUX35" s="16"/>
      <c r="HUY35" s="16"/>
      <c r="HUZ35" s="16"/>
      <c r="HVA35" s="16"/>
      <c r="HVB35" s="16"/>
      <c r="HVC35" s="16"/>
      <c r="HVD35" s="16"/>
      <c r="HVE35" s="16"/>
      <c r="HVF35" s="16"/>
      <c r="HVG35" s="16"/>
      <c r="HVH35" s="16"/>
      <c r="HVI35" s="16"/>
      <c r="HVJ35" s="16"/>
      <c r="HVK35" s="16"/>
      <c r="HVL35" s="16"/>
      <c r="HVM35" s="16"/>
      <c r="HVN35" s="16"/>
      <c r="HVO35" s="16"/>
      <c r="HVP35" s="16"/>
      <c r="HVQ35" s="16"/>
      <c r="HVR35" s="16"/>
      <c r="HVS35" s="16"/>
      <c r="HVT35" s="16"/>
      <c r="HVU35" s="16"/>
      <c r="HVV35" s="16"/>
      <c r="HVW35" s="16"/>
      <c r="HVX35" s="16"/>
      <c r="HVY35" s="16"/>
      <c r="HVZ35" s="16"/>
      <c r="HWA35" s="16"/>
      <c r="HWB35" s="16"/>
      <c r="HWC35" s="16"/>
      <c r="HWD35" s="16"/>
      <c r="HWE35" s="16"/>
      <c r="HWF35" s="16"/>
      <c r="HWG35" s="16"/>
      <c r="HWH35" s="16"/>
      <c r="HWI35" s="16"/>
      <c r="HWJ35" s="16"/>
      <c r="HWK35" s="16"/>
      <c r="HWL35" s="16"/>
      <c r="HWM35" s="16"/>
      <c r="HWN35" s="16"/>
      <c r="HWO35" s="16"/>
      <c r="HWP35" s="16"/>
      <c r="HWQ35" s="16"/>
      <c r="HWR35" s="16"/>
      <c r="HWS35" s="16"/>
      <c r="HWT35" s="16"/>
      <c r="HWU35" s="16"/>
      <c r="HWV35" s="16"/>
      <c r="HWW35" s="16"/>
      <c r="HWX35" s="16"/>
      <c r="HWY35" s="16"/>
      <c r="HWZ35" s="16"/>
      <c r="HXA35" s="16"/>
      <c r="HXB35" s="16"/>
      <c r="HXC35" s="16"/>
      <c r="HXD35" s="16"/>
      <c r="HXE35" s="16"/>
      <c r="HXF35" s="16"/>
      <c r="HXG35" s="16"/>
      <c r="HXH35" s="16"/>
      <c r="HXI35" s="16"/>
      <c r="HXJ35" s="16"/>
      <c r="HXK35" s="16"/>
      <c r="HXL35" s="16"/>
      <c r="HXM35" s="16"/>
      <c r="HXN35" s="16"/>
      <c r="HXO35" s="16"/>
      <c r="HXP35" s="16"/>
      <c r="HXQ35" s="16"/>
      <c r="HXR35" s="16"/>
      <c r="HXS35" s="16"/>
      <c r="HXT35" s="16"/>
      <c r="HXU35" s="16"/>
      <c r="HXV35" s="16"/>
      <c r="HXW35" s="16"/>
      <c r="HXX35" s="16"/>
      <c r="HXY35" s="16"/>
      <c r="HXZ35" s="16"/>
      <c r="HYA35" s="16"/>
      <c r="HYB35" s="16"/>
      <c r="HYC35" s="16"/>
      <c r="HYD35" s="16"/>
      <c r="HYE35" s="16"/>
      <c r="HYF35" s="16"/>
      <c r="HYG35" s="16"/>
      <c r="HYH35" s="16"/>
      <c r="HYI35" s="16"/>
      <c r="HYJ35" s="16"/>
      <c r="HYK35" s="16"/>
      <c r="HYL35" s="16"/>
      <c r="HYM35" s="16"/>
      <c r="HYN35" s="16"/>
      <c r="HYO35" s="16"/>
      <c r="HYP35" s="16"/>
      <c r="HYQ35" s="16"/>
      <c r="HYR35" s="16"/>
      <c r="HYS35" s="16"/>
      <c r="HYT35" s="16"/>
      <c r="HYU35" s="16"/>
      <c r="HYV35" s="16"/>
      <c r="HYW35" s="16"/>
      <c r="HYX35" s="16"/>
      <c r="HYY35" s="16"/>
      <c r="HYZ35" s="16"/>
      <c r="HZA35" s="16"/>
      <c r="HZB35" s="16"/>
      <c r="HZC35" s="16"/>
      <c r="HZD35" s="16"/>
      <c r="HZE35" s="16"/>
      <c r="HZF35" s="16"/>
      <c r="HZG35" s="16"/>
      <c r="HZH35" s="16"/>
      <c r="HZI35" s="16"/>
      <c r="HZJ35" s="16"/>
      <c r="HZK35" s="16"/>
      <c r="HZL35" s="16"/>
      <c r="HZM35" s="16"/>
      <c r="HZN35" s="16"/>
      <c r="HZO35" s="16"/>
      <c r="HZP35" s="16"/>
      <c r="HZQ35" s="16"/>
      <c r="HZR35" s="16"/>
      <c r="HZS35" s="16"/>
      <c r="HZT35" s="16"/>
      <c r="HZU35" s="16"/>
      <c r="HZV35" s="16"/>
      <c r="HZW35" s="16"/>
      <c r="HZX35" s="16"/>
      <c r="HZY35" s="16"/>
      <c r="HZZ35" s="16"/>
      <c r="IAA35" s="16"/>
      <c r="IAB35" s="16"/>
      <c r="IAC35" s="16"/>
      <c r="IAD35" s="16"/>
      <c r="IAE35" s="16"/>
      <c r="IAF35" s="16"/>
      <c r="IAG35" s="16"/>
      <c r="IAH35" s="16"/>
      <c r="IAI35" s="16"/>
      <c r="IAJ35" s="16"/>
      <c r="IAK35" s="16"/>
      <c r="IAL35" s="16"/>
      <c r="IAM35" s="16"/>
      <c r="IAN35" s="16"/>
      <c r="IAO35" s="16"/>
      <c r="IAP35" s="16"/>
      <c r="IAQ35" s="16"/>
      <c r="IAR35" s="16"/>
      <c r="IAS35" s="16"/>
      <c r="IAT35" s="16"/>
      <c r="IAU35" s="16"/>
      <c r="IAV35" s="16"/>
      <c r="IAW35" s="16"/>
      <c r="IAX35" s="16"/>
      <c r="IAY35" s="16"/>
      <c r="IAZ35" s="16"/>
      <c r="IBA35" s="16"/>
      <c r="IBB35" s="16"/>
      <c r="IBC35" s="16"/>
      <c r="IBD35" s="16"/>
      <c r="IBE35" s="16"/>
      <c r="IBF35" s="16"/>
      <c r="IBG35" s="16"/>
      <c r="IBH35" s="16"/>
      <c r="IBI35" s="16"/>
      <c r="IBJ35" s="16"/>
      <c r="IBK35" s="16"/>
      <c r="IBL35" s="16"/>
      <c r="IBM35" s="16"/>
      <c r="IBN35" s="16"/>
      <c r="IBO35" s="16"/>
      <c r="IBP35" s="16"/>
      <c r="IBQ35" s="16"/>
      <c r="IBR35" s="16"/>
      <c r="IBS35" s="16"/>
      <c r="IBT35" s="16"/>
      <c r="IBU35" s="16"/>
      <c r="IBV35" s="16"/>
      <c r="IBW35" s="16"/>
      <c r="IBX35" s="16"/>
      <c r="IBY35" s="16"/>
      <c r="IBZ35" s="16"/>
      <c r="ICA35" s="16"/>
      <c r="ICB35" s="16"/>
      <c r="ICC35" s="16"/>
      <c r="ICD35" s="16"/>
      <c r="ICE35" s="16"/>
      <c r="ICF35" s="16"/>
      <c r="ICG35" s="16"/>
      <c r="ICH35" s="16"/>
      <c r="ICI35" s="16"/>
      <c r="ICJ35" s="16"/>
      <c r="ICK35" s="16"/>
      <c r="ICL35" s="16"/>
      <c r="ICM35" s="16"/>
      <c r="ICN35" s="16"/>
      <c r="ICO35" s="16"/>
      <c r="ICP35" s="16"/>
      <c r="ICQ35" s="16"/>
      <c r="ICR35" s="16"/>
      <c r="ICS35" s="16"/>
      <c r="ICT35" s="16"/>
      <c r="ICU35" s="16"/>
      <c r="ICV35" s="16"/>
      <c r="ICW35" s="16"/>
      <c r="ICX35" s="16"/>
      <c r="ICY35" s="16"/>
      <c r="ICZ35" s="16"/>
      <c r="IDA35" s="16"/>
      <c r="IDB35" s="16"/>
      <c r="IDC35" s="16"/>
      <c r="IDD35" s="16"/>
      <c r="IDE35" s="16"/>
      <c r="IDF35" s="16"/>
      <c r="IDG35" s="16"/>
      <c r="IDH35" s="16"/>
      <c r="IDI35" s="16"/>
      <c r="IDJ35" s="16"/>
      <c r="IDK35" s="16"/>
      <c r="IDL35" s="16"/>
      <c r="IDM35" s="16"/>
      <c r="IDN35" s="16"/>
      <c r="IDO35" s="16"/>
      <c r="IDP35" s="16"/>
      <c r="IDQ35" s="16"/>
      <c r="IDR35" s="16"/>
      <c r="IDS35" s="16"/>
      <c r="IDT35" s="16"/>
      <c r="IDU35" s="16"/>
      <c r="IDV35" s="16"/>
      <c r="IDW35" s="16"/>
      <c r="IDX35" s="16"/>
      <c r="IDY35" s="16"/>
      <c r="IDZ35" s="16"/>
      <c r="IEA35" s="16"/>
      <c r="IEB35" s="16"/>
      <c r="IEC35" s="16"/>
      <c r="IED35" s="16"/>
      <c r="IEE35" s="16"/>
      <c r="IEF35" s="16"/>
      <c r="IEG35" s="16"/>
      <c r="IEH35" s="16"/>
      <c r="IEI35" s="16"/>
      <c r="IEJ35" s="16"/>
      <c r="IEK35" s="16"/>
      <c r="IEL35" s="16"/>
      <c r="IEM35" s="16"/>
      <c r="IEN35" s="16"/>
      <c r="IEO35" s="16"/>
      <c r="IEP35" s="16"/>
      <c r="IEQ35" s="16"/>
      <c r="IER35" s="16"/>
      <c r="IES35" s="16"/>
      <c r="IET35" s="16"/>
      <c r="IEU35" s="16"/>
      <c r="IEV35" s="16"/>
      <c r="IEW35" s="16"/>
      <c r="IEX35" s="16"/>
      <c r="IEY35" s="16"/>
      <c r="IEZ35" s="16"/>
      <c r="IFA35" s="16"/>
      <c r="IFB35" s="16"/>
      <c r="IFC35" s="16"/>
      <c r="IFD35" s="16"/>
      <c r="IFE35" s="16"/>
      <c r="IFF35" s="16"/>
      <c r="IFG35" s="16"/>
      <c r="IFH35" s="16"/>
      <c r="IFI35" s="16"/>
      <c r="IFJ35" s="16"/>
      <c r="IFK35" s="16"/>
      <c r="IFL35" s="16"/>
      <c r="IFM35" s="16"/>
      <c r="IFN35" s="16"/>
      <c r="IFO35" s="16"/>
      <c r="IFP35" s="16"/>
      <c r="IFQ35" s="16"/>
      <c r="IFR35" s="16"/>
      <c r="IFS35" s="16"/>
      <c r="IFT35" s="16"/>
      <c r="IFU35" s="16"/>
      <c r="IFV35" s="16"/>
      <c r="IFW35" s="16"/>
      <c r="IFX35" s="16"/>
      <c r="IFY35" s="16"/>
      <c r="IFZ35" s="16"/>
      <c r="IGA35" s="16"/>
      <c r="IGB35" s="16"/>
      <c r="IGC35" s="16"/>
      <c r="IGD35" s="16"/>
      <c r="IGE35" s="16"/>
      <c r="IGF35" s="16"/>
      <c r="IGG35" s="16"/>
      <c r="IGH35" s="16"/>
      <c r="IGI35" s="16"/>
      <c r="IGJ35" s="16"/>
      <c r="IGK35" s="16"/>
      <c r="IGL35" s="16"/>
      <c r="IGM35" s="16"/>
      <c r="IGN35" s="16"/>
      <c r="IGO35" s="16"/>
      <c r="IGP35" s="16"/>
      <c r="IGQ35" s="16"/>
      <c r="IGR35" s="16"/>
      <c r="IGS35" s="16"/>
      <c r="IGT35" s="16"/>
      <c r="IGU35" s="16"/>
      <c r="IGV35" s="16"/>
      <c r="IGW35" s="16"/>
      <c r="IGX35" s="16"/>
      <c r="IGY35" s="16"/>
      <c r="IGZ35" s="16"/>
      <c r="IHA35" s="16"/>
      <c r="IHB35" s="16"/>
      <c r="IHC35" s="16"/>
      <c r="IHD35" s="16"/>
      <c r="IHE35" s="16"/>
      <c r="IHF35" s="16"/>
      <c r="IHG35" s="16"/>
      <c r="IHH35" s="16"/>
      <c r="IHI35" s="16"/>
      <c r="IHJ35" s="16"/>
      <c r="IHK35" s="16"/>
      <c r="IHL35" s="16"/>
      <c r="IHM35" s="16"/>
      <c r="IHN35" s="16"/>
      <c r="IHO35" s="16"/>
      <c r="IHP35" s="16"/>
      <c r="IHQ35" s="16"/>
      <c r="IHR35" s="16"/>
      <c r="IHS35" s="16"/>
      <c r="IHT35" s="16"/>
      <c r="IHU35" s="16"/>
      <c r="IHV35" s="16"/>
      <c r="IHW35" s="16"/>
      <c r="IHX35" s="16"/>
      <c r="IHY35" s="16"/>
      <c r="IHZ35" s="16"/>
      <c r="IIA35" s="16"/>
      <c r="IIB35" s="16"/>
      <c r="IIC35" s="16"/>
      <c r="IID35" s="16"/>
      <c r="IIE35" s="16"/>
      <c r="IIF35" s="16"/>
      <c r="IIG35" s="16"/>
      <c r="IIH35" s="16"/>
      <c r="III35" s="16"/>
      <c r="IIJ35" s="16"/>
      <c r="IIK35" s="16"/>
      <c r="IIL35" s="16"/>
      <c r="IIM35" s="16"/>
      <c r="IIN35" s="16"/>
      <c r="IIO35" s="16"/>
      <c r="IIP35" s="16"/>
      <c r="IIQ35" s="16"/>
      <c r="IIR35" s="16"/>
      <c r="IIS35" s="16"/>
      <c r="IIT35" s="16"/>
      <c r="IIU35" s="16"/>
      <c r="IIV35" s="16"/>
      <c r="IIW35" s="16"/>
      <c r="IIX35" s="16"/>
      <c r="IIY35" s="16"/>
      <c r="IIZ35" s="16"/>
      <c r="IJA35" s="16"/>
      <c r="IJB35" s="16"/>
      <c r="IJC35" s="16"/>
      <c r="IJD35" s="16"/>
      <c r="IJE35" s="16"/>
      <c r="IJF35" s="16"/>
      <c r="IJG35" s="16"/>
      <c r="IJH35" s="16"/>
      <c r="IJI35" s="16"/>
      <c r="IJJ35" s="16"/>
      <c r="IJK35" s="16"/>
      <c r="IJL35" s="16"/>
      <c r="IJM35" s="16"/>
      <c r="IJN35" s="16"/>
      <c r="IJO35" s="16"/>
      <c r="IJP35" s="16"/>
      <c r="IJQ35" s="16"/>
      <c r="IJR35" s="16"/>
      <c r="IJS35" s="16"/>
      <c r="IJT35" s="16"/>
      <c r="IJU35" s="16"/>
      <c r="IJV35" s="16"/>
      <c r="IJW35" s="16"/>
      <c r="IJX35" s="16"/>
      <c r="IJY35" s="16"/>
      <c r="IJZ35" s="16"/>
      <c r="IKA35" s="16"/>
      <c r="IKB35" s="16"/>
      <c r="IKC35" s="16"/>
      <c r="IKD35" s="16"/>
      <c r="IKE35" s="16"/>
      <c r="IKF35" s="16"/>
      <c r="IKG35" s="16"/>
      <c r="IKH35" s="16"/>
      <c r="IKI35" s="16"/>
      <c r="IKJ35" s="16"/>
      <c r="IKK35" s="16"/>
      <c r="IKL35" s="16"/>
      <c r="IKM35" s="16"/>
      <c r="IKN35" s="16"/>
      <c r="IKO35" s="16"/>
      <c r="IKP35" s="16"/>
      <c r="IKQ35" s="16"/>
      <c r="IKR35" s="16"/>
      <c r="IKS35" s="16"/>
      <c r="IKT35" s="16"/>
      <c r="IKU35" s="16"/>
      <c r="IKV35" s="16"/>
      <c r="IKW35" s="16"/>
      <c r="IKX35" s="16"/>
      <c r="IKY35" s="16"/>
      <c r="IKZ35" s="16"/>
      <c r="ILA35" s="16"/>
      <c r="ILB35" s="16"/>
      <c r="ILC35" s="16"/>
      <c r="ILD35" s="16"/>
      <c r="ILE35" s="16"/>
      <c r="ILF35" s="16"/>
      <c r="ILG35" s="16"/>
      <c r="ILH35" s="16"/>
      <c r="ILI35" s="16"/>
      <c r="ILJ35" s="16"/>
      <c r="ILK35" s="16"/>
      <c r="ILL35" s="16"/>
      <c r="ILM35" s="16"/>
      <c r="ILN35" s="16"/>
      <c r="ILO35" s="16"/>
      <c r="ILP35" s="16"/>
      <c r="ILQ35" s="16"/>
      <c r="ILR35" s="16"/>
      <c r="ILS35" s="16"/>
      <c r="ILT35" s="16"/>
      <c r="ILU35" s="16"/>
      <c r="ILV35" s="16"/>
      <c r="ILW35" s="16"/>
      <c r="ILX35" s="16"/>
      <c r="ILY35" s="16"/>
      <c r="ILZ35" s="16"/>
      <c r="IMA35" s="16"/>
      <c r="IMB35" s="16"/>
      <c r="IMC35" s="16"/>
      <c r="IMD35" s="16"/>
      <c r="IME35" s="16"/>
      <c r="IMF35" s="16"/>
      <c r="IMG35" s="16"/>
      <c r="IMH35" s="16"/>
      <c r="IMI35" s="16"/>
      <c r="IMJ35" s="16"/>
      <c r="IMK35" s="16"/>
      <c r="IML35" s="16"/>
      <c r="IMM35" s="16"/>
      <c r="IMN35" s="16"/>
      <c r="IMO35" s="16"/>
      <c r="IMP35" s="16"/>
      <c r="IMQ35" s="16"/>
      <c r="IMR35" s="16"/>
      <c r="IMS35" s="16"/>
      <c r="IMT35" s="16"/>
      <c r="IMU35" s="16"/>
      <c r="IMV35" s="16"/>
      <c r="IMW35" s="16"/>
      <c r="IMX35" s="16"/>
      <c r="IMY35" s="16"/>
      <c r="IMZ35" s="16"/>
      <c r="INA35" s="16"/>
      <c r="INB35" s="16"/>
      <c r="INC35" s="16"/>
      <c r="IND35" s="16"/>
      <c r="INE35" s="16"/>
      <c r="INF35" s="16"/>
      <c r="ING35" s="16"/>
      <c r="INH35" s="16"/>
      <c r="INI35" s="16"/>
      <c r="INJ35" s="16"/>
      <c r="INK35" s="16"/>
      <c r="INL35" s="16"/>
      <c r="INM35" s="16"/>
      <c r="INN35" s="16"/>
      <c r="INO35" s="16"/>
      <c r="INP35" s="16"/>
      <c r="INQ35" s="16"/>
      <c r="INR35" s="16"/>
      <c r="INS35" s="16"/>
      <c r="INT35" s="16"/>
      <c r="INU35" s="16"/>
      <c r="INV35" s="16"/>
      <c r="INW35" s="16"/>
      <c r="INX35" s="16"/>
      <c r="INY35" s="16"/>
      <c r="INZ35" s="16"/>
      <c r="IOA35" s="16"/>
      <c r="IOB35" s="16"/>
      <c r="IOC35" s="16"/>
      <c r="IOD35" s="16"/>
      <c r="IOE35" s="16"/>
      <c r="IOF35" s="16"/>
      <c r="IOG35" s="16"/>
      <c r="IOH35" s="16"/>
      <c r="IOI35" s="16"/>
      <c r="IOJ35" s="16"/>
      <c r="IOK35" s="16"/>
      <c r="IOL35" s="16"/>
      <c r="IOM35" s="16"/>
      <c r="ION35" s="16"/>
      <c r="IOO35" s="16"/>
      <c r="IOP35" s="16"/>
      <c r="IOQ35" s="16"/>
      <c r="IOR35" s="16"/>
      <c r="IOS35" s="16"/>
      <c r="IOT35" s="16"/>
      <c r="IOU35" s="16"/>
      <c r="IOV35" s="16"/>
      <c r="IOW35" s="16"/>
      <c r="IOX35" s="16"/>
      <c r="IOY35" s="16"/>
      <c r="IOZ35" s="16"/>
      <c r="IPA35" s="16"/>
      <c r="IPB35" s="16"/>
      <c r="IPC35" s="16"/>
      <c r="IPD35" s="16"/>
      <c r="IPE35" s="16"/>
      <c r="IPF35" s="16"/>
      <c r="IPG35" s="16"/>
      <c r="IPH35" s="16"/>
      <c r="IPI35" s="16"/>
      <c r="IPJ35" s="16"/>
      <c r="IPK35" s="16"/>
      <c r="IPL35" s="16"/>
      <c r="IPM35" s="16"/>
      <c r="IPN35" s="16"/>
      <c r="IPO35" s="16"/>
      <c r="IPP35" s="16"/>
      <c r="IPQ35" s="16"/>
      <c r="IPR35" s="16"/>
      <c r="IPS35" s="16"/>
      <c r="IPT35" s="16"/>
      <c r="IPU35" s="16"/>
      <c r="IPV35" s="16"/>
      <c r="IPW35" s="16"/>
      <c r="IPX35" s="16"/>
      <c r="IPY35" s="16"/>
      <c r="IPZ35" s="16"/>
      <c r="IQA35" s="16"/>
      <c r="IQB35" s="16"/>
      <c r="IQC35" s="16"/>
      <c r="IQD35" s="16"/>
      <c r="IQE35" s="16"/>
      <c r="IQF35" s="16"/>
      <c r="IQG35" s="16"/>
      <c r="IQH35" s="16"/>
      <c r="IQI35" s="16"/>
      <c r="IQJ35" s="16"/>
      <c r="IQK35" s="16"/>
      <c r="IQL35" s="16"/>
      <c r="IQM35" s="16"/>
      <c r="IQN35" s="16"/>
      <c r="IQO35" s="16"/>
      <c r="IQP35" s="16"/>
      <c r="IQQ35" s="16"/>
      <c r="IQR35" s="16"/>
      <c r="IQS35" s="16"/>
      <c r="IQT35" s="16"/>
      <c r="IQU35" s="16"/>
      <c r="IQV35" s="16"/>
      <c r="IQW35" s="16"/>
      <c r="IQX35" s="16"/>
      <c r="IQY35" s="16"/>
      <c r="IQZ35" s="16"/>
      <c r="IRA35" s="16"/>
      <c r="IRB35" s="16"/>
      <c r="IRC35" s="16"/>
      <c r="IRD35" s="16"/>
      <c r="IRE35" s="16"/>
      <c r="IRF35" s="16"/>
      <c r="IRG35" s="16"/>
      <c r="IRH35" s="16"/>
      <c r="IRI35" s="16"/>
      <c r="IRJ35" s="16"/>
      <c r="IRK35" s="16"/>
      <c r="IRL35" s="16"/>
      <c r="IRM35" s="16"/>
      <c r="IRN35" s="16"/>
      <c r="IRO35" s="16"/>
      <c r="IRP35" s="16"/>
      <c r="IRQ35" s="16"/>
      <c r="IRR35" s="16"/>
      <c r="IRS35" s="16"/>
      <c r="IRT35" s="16"/>
      <c r="IRU35" s="16"/>
      <c r="IRV35" s="16"/>
      <c r="IRW35" s="16"/>
      <c r="IRX35" s="16"/>
      <c r="IRY35" s="16"/>
      <c r="IRZ35" s="16"/>
      <c r="ISA35" s="16"/>
      <c r="ISB35" s="16"/>
      <c r="ISC35" s="16"/>
      <c r="ISD35" s="16"/>
      <c r="ISE35" s="16"/>
      <c r="ISF35" s="16"/>
      <c r="ISG35" s="16"/>
      <c r="ISH35" s="16"/>
      <c r="ISI35" s="16"/>
      <c r="ISJ35" s="16"/>
      <c r="ISK35" s="16"/>
      <c r="ISL35" s="16"/>
      <c r="ISM35" s="16"/>
      <c r="ISN35" s="16"/>
      <c r="ISO35" s="16"/>
      <c r="ISP35" s="16"/>
      <c r="ISQ35" s="16"/>
      <c r="ISR35" s="16"/>
      <c r="ISS35" s="16"/>
      <c r="IST35" s="16"/>
      <c r="ISU35" s="16"/>
      <c r="ISV35" s="16"/>
      <c r="ISW35" s="16"/>
      <c r="ISX35" s="16"/>
      <c r="ISY35" s="16"/>
      <c r="ISZ35" s="16"/>
      <c r="ITA35" s="16"/>
      <c r="ITB35" s="16"/>
      <c r="ITC35" s="16"/>
      <c r="ITD35" s="16"/>
      <c r="ITE35" s="16"/>
      <c r="ITF35" s="16"/>
      <c r="ITG35" s="16"/>
      <c r="ITH35" s="16"/>
      <c r="ITI35" s="16"/>
      <c r="ITJ35" s="16"/>
      <c r="ITK35" s="16"/>
      <c r="ITL35" s="16"/>
      <c r="ITM35" s="16"/>
      <c r="ITN35" s="16"/>
      <c r="ITO35" s="16"/>
      <c r="ITP35" s="16"/>
      <c r="ITQ35" s="16"/>
      <c r="ITR35" s="16"/>
      <c r="ITS35" s="16"/>
      <c r="ITT35" s="16"/>
      <c r="ITU35" s="16"/>
      <c r="ITV35" s="16"/>
      <c r="ITW35" s="16"/>
      <c r="ITX35" s="16"/>
      <c r="ITY35" s="16"/>
      <c r="ITZ35" s="16"/>
      <c r="IUA35" s="16"/>
      <c r="IUB35" s="16"/>
      <c r="IUC35" s="16"/>
      <c r="IUD35" s="16"/>
      <c r="IUE35" s="16"/>
      <c r="IUF35" s="16"/>
      <c r="IUG35" s="16"/>
      <c r="IUH35" s="16"/>
      <c r="IUI35" s="16"/>
      <c r="IUJ35" s="16"/>
      <c r="IUK35" s="16"/>
      <c r="IUL35" s="16"/>
      <c r="IUM35" s="16"/>
      <c r="IUN35" s="16"/>
      <c r="IUO35" s="16"/>
      <c r="IUP35" s="16"/>
      <c r="IUQ35" s="16"/>
      <c r="IUR35" s="16"/>
      <c r="IUS35" s="16"/>
      <c r="IUT35" s="16"/>
      <c r="IUU35" s="16"/>
      <c r="IUV35" s="16"/>
      <c r="IUW35" s="16"/>
      <c r="IUX35" s="16"/>
      <c r="IUY35" s="16"/>
      <c r="IUZ35" s="16"/>
      <c r="IVA35" s="16"/>
      <c r="IVB35" s="16"/>
      <c r="IVC35" s="16"/>
      <c r="IVD35" s="16"/>
      <c r="IVE35" s="16"/>
      <c r="IVF35" s="16"/>
      <c r="IVG35" s="16"/>
      <c r="IVH35" s="16"/>
      <c r="IVI35" s="16"/>
      <c r="IVJ35" s="16"/>
      <c r="IVK35" s="16"/>
      <c r="IVL35" s="16"/>
      <c r="IVM35" s="16"/>
      <c r="IVN35" s="16"/>
      <c r="IVO35" s="16"/>
      <c r="IVP35" s="16"/>
      <c r="IVQ35" s="16"/>
      <c r="IVR35" s="16"/>
      <c r="IVS35" s="16"/>
      <c r="IVT35" s="16"/>
      <c r="IVU35" s="16"/>
      <c r="IVV35" s="16"/>
      <c r="IVW35" s="16"/>
      <c r="IVX35" s="16"/>
      <c r="IVY35" s="16"/>
      <c r="IVZ35" s="16"/>
      <c r="IWA35" s="16"/>
      <c r="IWB35" s="16"/>
      <c r="IWC35" s="16"/>
      <c r="IWD35" s="16"/>
      <c r="IWE35" s="16"/>
      <c r="IWF35" s="16"/>
      <c r="IWG35" s="16"/>
      <c r="IWH35" s="16"/>
      <c r="IWI35" s="16"/>
      <c r="IWJ35" s="16"/>
      <c r="IWK35" s="16"/>
      <c r="IWL35" s="16"/>
      <c r="IWM35" s="16"/>
      <c r="IWN35" s="16"/>
      <c r="IWO35" s="16"/>
      <c r="IWP35" s="16"/>
      <c r="IWQ35" s="16"/>
      <c r="IWR35" s="16"/>
      <c r="IWS35" s="16"/>
      <c r="IWT35" s="16"/>
      <c r="IWU35" s="16"/>
      <c r="IWV35" s="16"/>
      <c r="IWW35" s="16"/>
      <c r="IWX35" s="16"/>
      <c r="IWY35" s="16"/>
      <c r="IWZ35" s="16"/>
      <c r="IXA35" s="16"/>
      <c r="IXB35" s="16"/>
      <c r="IXC35" s="16"/>
      <c r="IXD35" s="16"/>
      <c r="IXE35" s="16"/>
      <c r="IXF35" s="16"/>
      <c r="IXG35" s="16"/>
      <c r="IXH35" s="16"/>
      <c r="IXI35" s="16"/>
      <c r="IXJ35" s="16"/>
      <c r="IXK35" s="16"/>
      <c r="IXL35" s="16"/>
      <c r="IXM35" s="16"/>
      <c r="IXN35" s="16"/>
      <c r="IXO35" s="16"/>
      <c r="IXP35" s="16"/>
      <c r="IXQ35" s="16"/>
      <c r="IXR35" s="16"/>
      <c r="IXS35" s="16"/>
      <c r="IXT35" s="16"/>
      <c r="IXU35" s="16"/>
      <c r="IXV35" s="16"/>
      <c r="IXW35" s="16"/>
      <c r="IXX35" s="16"/>
      <c r="IXY35" s="16"/>
      <c r="IXZ35" s="16"/>
      <c r="IYA35" s="16"/>
      <c r="IYB35" s="16"/>
      <c r="IYC35" s="16"/>
      <c r="IYD35" s="16"/>
      <c r="IYE35" s="16"/>
      <c r="IYF35" s="16"/>
      <c r="IYG35" s="16"/>
      <c r="IYH35" s="16"/>
      <c r="IYI35" s="16"/>
      <c r="IYJ35" s="16"/>
      <c r="IYK35" s="16"/>
      <c r="IYL35" s="16"/>
      <c r="IYM35" s="16"/>
      <c r="IYN35" s="16"/>
      <c r="IYO35" s="16"/>
      <c r="IYP35" s="16"/>
      <c r="IYQ35" s="16"/>
      <c r="IYR35" s="16"/>
      <c r="IYS35" s="16"/>
      <c r="IYT35" s="16"/>
      <c r="IYU35" s="16"/>
      <c r="IYV35" s="16"/>
      <c r="IYW35" s="16"/>
      <c r="IYX35" s="16"/>
      <c r="IYY35" s="16"/>
      <c r="IYZ35" s="16"/>
      <c r="IZA35" s="16"/>
      <c r="IZB35" s="16"/>
      <c r="IZC35" s="16"/>
      <c r="IZD35" s="16"/>
      <c r="IZE35" s="16"/>
      <c r="IZF35" s="16"/>
      <c r="IZG35" s="16"/>
      <c r="IZH35" s="16"/>
      <c r="IZI35" s="16"/>
      <c r="IZJ35" s="16"/>
      <c r="IZK35" s="16"/>
      <c r="IZL35" s="16"/>
      <c r="IZM35" s="16"/>
      <c r="IZN35" s="16"/>
      <c r="IZO35" s="16"/>
      <c r="IZP35" s="16"/>
      <c r="IZQ35" s="16"/>
      <c r="IZR35" s="16"/>
      <c r="IZS35" s="16"/>
      <c r="IZT35" s="16"/>
      <c r="IZU35" s="16"/>
      <c r="IZV35" s="16"/>
      <c r="IZW35" s="16"/>
      <c r="IZX35" s="16"/>
      <c r="IZY35" s="16"/>
      <c r="IZZ35" s="16"/>
      <c r="JAA35" s="16"/>
      <c r="JAB35" s="16"/>
      <c r="JAC35" s="16"/>
      <c r="JAD35" s="16"/>
      <c r="JAE35" s="16"/>
      <c r="JAF35" s="16"/>
      <c r="JAG35" s="16"/>
      <c r="JAH35" s="16"/>
      <c r="JAI35" s="16"/>
      <c r="JAJ35" s="16"/>
      <c r="JAK35" s="16"/>
      <c r="JAL35" s="16"/>
      <c r="JAM35" s="16"/>
      <c r="JAN35" s="16"/>
      <c r="JAO35" s="16"/>
      <c r="JAP35" s="16"/>
      <c r="JAQ35" s="16"/>
      <c r="JAR35" s="16"/>
      <c r="JAS35" s="16"/>
      <c r="JAT35" s="16"/>
      <c r="JAU35" s="16"/>
      <c r="JAV35" s="16"/>
      <c r="JAW35" s="16"/>
      <c r="JAX35" s="16"/>
      <c r="JAY35" s="16"/>
      <c r="JAZ35" s="16"/>
      <c r="JBA35" s="16"/>
      <c r="JBB35" s="16"/>
      <c r="JBC35" s="16"/>
      <c r="JBD35" s="16"/>
      <c r="JBE35" s="16"/>
      <c r="JBF35" s="16"/>
      <c r="JBG35" s="16"/>
      <c r="JBH35" s="16"/>
      <c r="JBI35" s="16"/>
      <c r="JBJ35" s="16"/>
      <c r="JBK35" s="16"/>
      <c r="JBL35" s="16"/>
      <c r="JBM35" s="16"/>
      <c r="JBN35" s="16"/>
      <c r="JBO35" s="16"/>
      <c r="JBP35" s="16"/>
      <c r="JBQ35" s="16"/>
      <c r="JBR35" s="16"/>
      <c r="JBS35" s="16"/>
      <c r="JBT35" s="16"/>
      <c r="JBU35" s="16"/>
      <c r="JBV35" s="16"/>
      <c r="JBW35" s="16"/>
      <c r="JBX35" s="16"/>
      <c r="JBY35" s="16"/>
      <c r="JBZ35" s="16"/>
      <c r="JCA35" s="16"/>
      <c r="JCB35" s="16"/>
      <c r="JCC35" s="16"/>
      <c r="JCD35" s="16"/>
      <c r="JCE35" s="16"/>
      <c r="JCF35" s="16"/>
      <c r="JCG35" s="16"/>
      <c r="JCH35" s="16"/>
      <c r="JCI35" s="16"/>
      <c r="JCJ35" s="16"/>
      <c r="JCK35" s="16"/>
      <c r="JCL35" s="16"/>
      <c r="JCM35" s="16"/>
      <c r="JCN35" s="16"/>
      <c r="JCO35" s="16"/>
      <c r="JCP35" s="16"/>
      <c r="JCQ35" s="16"/>
      <c r="JCR35" s="16"/>
      <c r="JCS35" s="16"/>
      <c r="JCT35" s="16"/>
      <c r="JCU35" s="16"/>
      <c r="JCV35" s="16"/>
      <c r="JCW35" s="16"/>
      <c r="JCX35" s="16"/>
      <c r="JCY35" s="16"/>
      <c r="JCZ35" s="16"/>
      <c r="JDA35" s="16"/>
      <c r="JDB35" s="16"/>
      <c r="JDC35" s="16"/>
      <c r="JDD35" s="16"/>
      <c r="JDE35" s="16"/>
      <c r="JDF35" s="16"/>
      <c r="JDG35" s="16"/>
      <c r="JDH35" s="16"/>
      <c r="JDI35" s="16"/>
      <c r="JDJ35" s="16"/>
      <c r="JDK35" s="16"/>
      <c r="JDL35" s="16"/>
      <c r="JDM35" s="16"/>
      <c r="JDN35" s="16"/>
      <c r="JDO35" s="16"/>
      <c r="JDP35" s="16"/>
      <c r="JDQ35" s="16"/>
      <c r="JDR35" s="16"/>
      <c r="JDS35" s="16"/>
      <c r="JDT35" s="16"/>
      <c r="JDU35" s="16"/>
      <c r="JDV35" s="16"/>
      <c r="JDW35" s="16"/>
      <c r="JDX35" s="16"/>
      <c r="JDY35" s="16"/>
      <c r="JDZ35" s="16"/>
      <c r="JEA35" s="16"/>
      <c r="JEB35" s="16"/>
      <c r="JEC35" s="16"/>
      <c r="JED35" s="16"/>
      <c r="JEE35" s="16"/>
      <c r="JEF35" s="16"/>
      <c r="JEG35" s="16"/>
      <c r="JEH35" s="16"/>
      <c r="JEI35" s="16"/>
      <c r="JEJ35" s="16"/>
      <c r="JEK35" s="16"/>
      <c r="JEL35" s="16"/>
      <c r="JEM35" s="16"/>
      <c r="JEN35" s="16"/>
      <c r="JEO35" s="16"/>
      <c r="JEP35" s="16"/>
      <c r="JEQ35" s="16"/>
      <c r="JER35" s="16"/>
      <c r="JES35" s="16"/>
      <c r="JET35" s="16"/>
      <c r="JEU35" s="16"/>
      <c r="JEV35" s="16"/>
      <c r="JEW35" s="16"/>
      <c r="JEX35" s="16"/>
      <c r="JEY35" s="16"/>
      <c r="JEZ35" s="16"/>
      <c r="JFA35" s="16"/>
      <c r="JFB35" s="16"/>
      <c r="JFC35" s="16"/>
      <c r="JFD35" s="16"/>
      <c r="JFE35" s="16"/>
      <c r="JFF35" s="16"/>
      <c r="JFG35" s="16"/>
      <c r="JFH35" s="16"/>
      <c r="JFI35" s="16"/>
      <c r="JFJ35" s="16"/>
      <c r="JFK35" s="16"/>
      <c r="JFL35" s="16"/>
      <c r="JFM35" s="16"/>
      <c r="JFN35" s="16"/>
      <c r="JFO35" s="16"/>
      <c r="JFP35" s="16"/>
      <c r="JFQ35" s="16"/>
      <c r="JFR35" s="16"/>
      <c r="JFS35" s="16"/>
      <c r="JFT35" s="16"/>
      <c r="JFU35" s="16"/>
      <c r="JFV35" s="16"/>
      <c r="JFW35" s="16"/>
      <c r="JFX35" s="16"/>
      <c r="JFY35" s="16"/>
      <c r="JFZ35" s="16"/>
      <c r="JGA35" s="16"/>
      <c r="JGB35" s="16"/>
      <c r="JGC35" s="16"/>
      <c r="JGD35" s="16"/>
      <c r="JGE35" s="16"/>
      <c r="JGF35" s="16"/>
      <c r="JGG35" s="16"/>
      <c r="JGH35" s="16"/>
      <c r="JGI35" s="16"/>
      <c r="JGJ35" s="16"/>
      <c r="JGK35" s="16"/>
      <c r="JGL35" s="16"/>
      <c r="JGM35" s="16"/>
      <c r="JGN35" s="16"/>
      <c r="JGO35" s="16"/>
      <c r="JGP35" s="16"/>
      <c r="JGQ35" s="16"/>
      <c r="JGR35" s="16"/>
      <c r="JGS35" s="16"/>
      <c r="JGT35" s="16"/>
      <c r="JGU35" s="16"/>
      <c r="JGV35" s="16"/>
      <c r="JGW35" s="16"/>
      <c r="JGX35" s="16"/>
      <c r="JGY35" s="16"/>
      <c r="JGZ35" s="16"/>
      <c r="JHA35" s="16"/>
      <c r="JHB35" s="16"/>
      <c r="JHC35" s="16"/>
      <c r="JHD35" s="16"/>
      <c r="JHE35" s="16"/>
      <c r="JHF35" s="16"/>
      <c r="JHG35" s="16"/>
      <c r="JHH35" s="16"/>
      <c r="JHI35" s="16"/>
      <c r="JHJ35" s="16"/>
      <c r="JHK35" s="16"/>
      <c r="JHL35" s="16"/>
      <c r="JHM35" s="16"/>
      <c r="JHN35" s="16"/>
      <c r="JHO35" s="16"/>
      <c r="JHP35" s="16"/>
      <c r="JHQ35" s="16"/>
      <c r="JHR35" s="16"/>
      <c r="JHS35" s="16"/>
      <c r="JHT35" s="16"/>
      <c r="JHU35" s="16"/>
      <c r="JHV35" s="16"/>
      <c r="JHW35" s="16"/>
      <c r="JHX35" s="16"/>
      <c r="JHY35" s="16"/>
      <c r="JHZ35" s="16"/>
      <c r="JIA35" s="16"/>
      <c r="JIB35" s="16"/>
      <c r="JIC35" s="16"/>
      <c r="JID35" s="16"/>
      <c r="JIE35" s="16"/>
      <c r="JIF35" s="16"/>
      <c r="JIG35" s="16"/>
      <c r="JIH35" s="16"/>
      <c r="JII35" s="16"/>
      <c r="JIJ35" s="16"/>
      <c r="JIK35" s="16"/>
      <c r="JIL35" s="16"/>
      <c r="JIM35" s="16"/>
      <c r="JIN35" s="16"/>
      <c r="JIO35" s="16"/>
      <c r="JIP35" s="16"/>
      <c r="JIQ35" s="16"/>
      <c r="JIR35" s="16"/>
      <c r="JIS35" s="16"/>
      <c r="JIT35" s="16"/>
      <c r="JIU35" s="16"/>
      <c r="JIV35" s="16"/>
      <c r="JIW35" s="16"/>
      <c r="JIX35" s="16"/>
      <c r="JIY35" s="16"/>
      <c r="JIZ35" s="16"/>
      <c r="JJA35" s="16"/>
      <c r="JJB35" s="16"/>
      <c r="JJC35" s="16"/>
      <c r="JJD35" s="16"/>
      <c r="JJE35" s="16"/>
      <c r="JJF35" s="16"/>
      <c r="JJG35" s="16"/>
      <c r="JJH35" s="16"/>
      <c r="JJI35" s="16"/>
      <c r="JJJ35" s="16"/>
      <c r="JJK35" s="16"/>
      <c r="JJL35" s="16"/>
      <c r="JJM35" s="16"/>
      <c r="JJN35" s="16"/>
      <c r="JJO35" s="16"/>
      <c r="JJP35" s="16"/>
      <c r="JJQ35" s="16"/>
      <c r="JJR35" s="16"/>
      <c r="JJS35" s="16"/>
      <c r="JJT35" s="16"/>
      <c r="JJU35" s="16"/>
      <c r="JJV35" s="16"/>
      <c r="JJW35" s="16"/>
      <c r="JJX35" s="16"/>
      <c r="JJY35" s="16"/>
      <c r="JJZ35" s="16"/>
      <c r="JKA35" s="16"/>
      <c r="JKB35" s="16"/>
      <c r="JKC35" s="16"/>
      <c r="JKD35" s="16"/>
      <c r="JKE35" s="16"/>
      <c r="JKF35" s="16"/>
      <c r="JKG35" s="16"/>
      <c r="JKH35" s="16"/>
      <c r="JKI35" s="16"/>
      <c r="JKJ35" s="16"/>
      <c r="JKK35" s="16"/>
      <c r="JKL35" s="16"/>
      <c r="JKM35" s="16"/>
      <c r="JKN35" s="16"/>
      <c r="JKO35" s="16"/>
      <c r="JKP35" s="16"/>
      <c r="JKQ35" s="16"/>
      <c r="JKR35" s="16"/>
      <c r="JKS35" s="16"/>
      <c r="JKT35" s="16"/>
      <c r="JKU35" s="16"/>
      <c r="JKV35" s="16"/>
      <c r="JKW35" s="16"/>
      <c r="JKX35" s="16"/>
      <c r="JKY35" s="16"/>
      <c r="JKZ35" s="16"/>
      <c r="JLA35" s="16"/>
      <c r="JLB35" s="16"/>
      <c r="JLC35" s="16"/>
      <c r="JLD35" s="16"/>
      <c r="JLE35" s="16"/>
      <c r="JLF35" s="16"/>
      <c r="JLG35" s="16"/>
      <c r="JLH35" s="16"/>
      <c r="JLI35" s="16"/>
      <c r="JLJ35" s="16"/>
      <c r="JLK35" s="16"/>
      <c r="JLL35" s="16"/>
      <c r="JLM35" s="16"/>
      <c r="JLN35" s="16"/>
      <c r="JLO35" s="16"/>
      <c r="JLP35" s="16"/>
      <c r="JLQ35" s="16"/>
      <c r="JLR35" s="16"/>
      <c r="JLS35" s="16"/>
      <c r="JLT35" s="16"/>
      <c r="JLU35" s="16"/>
      <c r="JLV35" s="16"/>
      <c r="JLW35" s="16"/>
      <c r="JLX35" s="16"/>
      <c r="JLY35" s="16"/>
      <c r="JLZ35" s="16"/>
      <c r="JMA35" s="16"/>
      <c r="JMB35" s="16"/>
      <c r="JMC35" s="16"/>
      <c r="JMD35" s="16"/>
      <c r="JME35" s="16"/>
      <c r="JMF35" s="16"/>
      <c r="JMG35" s="16"/>
      <c r="JMH35" s="16"/>
      <c r="JMI35" s="16"/>
      <c r="JMJ35" s="16"/>
      <c r="JMK35" s="16"/>
      <c r="JML35" s="16"/>
      <c r="JMM35" s="16"/>
      <c r="JMN35" s="16"/>
      <c r="JMO35" s="16"/>
      <c r="JMP35" s="16"/>
      <c r="JMQ35" s="16"/>
      <c r="JMR35" s="16"/>
      <c r="JMS35" s="16"/>
      <c r="JMT35" s="16"/>
      <c r="JMU35" s="16"/>
      <c r="JMV35" s="16"/>
      <c r="JMW35" s="16"/>
      <c r="JMX35" s="16"/>
      <c r="JMY35" s="16"/>
      <c r="JMZ35" s="16"/>
      <c r="JNA35" s="16"/>
      <c r="JNB35" s="16"/>
      <c r="JNC35" s="16"/>
      <c r="JND35" s="16"/>
      <c r="JNE35" s="16"/>
      <c r="JNF35" s="16"/>
      <c r="JNG35" s="16"/>
      <c r="JNH35" s="16"/>
      <c r="JNI35" s="16"/>
      <c r="JNJ35" s="16"/>
      <c r="JNK35" s="16"/>
      <c r="JNL35" s="16"/>
      <c r="JNM35" s="16"/>
      <c r="JNN35" s="16"/>
      <c r="JNO35" s="16"/>
      <c r="JNP35" s="16"/>
      <c r="JNQ35" s="16"/>
      <c r="JNR35" s="16"/>
      <c r="JNS35" s="16"/>
      <c r="JNT35" s="16"/>
      <c r="JNU35" s="16"/>
      <c r="JNV35" s="16"/>
      <c r="JNW35" s="16"/>
      <c r="JNX35" s="16"/>
      <c r="JNY35" s="16"/>
      <c r="JNZ35" s="16"/>
      <c r="JOA35" s="16"/>
      <c r="JOB35" s="16"/>
      <c r="JOC35" s="16"/>
      <c r="JOD35" s="16"/>
      <c r="JOE35" s="16"/>
      <c r="JOF35" s="16"/>
      <c r="JOG35" s="16"/>
      <c r="JOH35" s="16"/>
      <c r="JOI35" s="16"/>
      <c r="JOJ35" s="16"/>
      <c r="JOK35" s="16"/>
      <c r="JOL35" s="16"/>
      <c r="JOM35" s="16"/>
      <c r="JON35" s="16"/>
      <c r="JOO35" s="16"/>
      <c r="JOP35" s="16"/>
      <c r="JOQ35" s="16"/>
      <c r="JOR35" s="16"/>
      <c r="JOS35" s="16"/>
      <c r="JOT35" s="16"/>
      <c r="JOU35" s="16"/>
      <c r="JOV35" s="16"/>
      <c r="JOW35" s="16"/>
      <c r="JOX35" s="16"/>
      <c r="JOY35" s="16"/>
      <c r="JOZ35" s="16"/>
      <c r="JPA35" s="16"/>
      <c r="JPB35" s="16"/>
      <c r="JPC35" s="16"/>
      <c r="JPD35" s="16"/>
      <c r="JPE35" s="16"/>
      <c r="JPF35" s="16"/>
      <c r="JPG35" s="16"/>
      <c r="JPH35" s="16"/>
      <c r="JPI35" s="16"/>
      <c r="JPJ35" s="16"/>
      <c r="JPK35" s="16"/>
      <c r="JPL35" s="16"/>
      <c r="JPM35" s="16"/>
      <c r="JPN35" s="16"/>
      <c r="JPO35" s="16"/>
      <c r="JPP35" s="16"/>
      <c r="JPQ35" s="16"/>
      <c r="JPR35" s="16"/>
      <c r="JPS35" s="16"/>
      <c r="JPT35" s="16"/>
      <c r="JPU35" s="16"/>
      <c r="JPV35" s="16"/>
      <c r="JPW35" s="16"/>
      <c r="JPX35" s="16"/>
      <c r="JPY35" s="16"/>
      <c r="JPZ35" s="16"/>
      <c r="JQA35" s="16"/>
      <c r="JQB35" s="16"/>
      <c r="JQC35" s="16"/>
      <c r="JQD35" s="16"/>
      <c r="JQE35" s="16"/>
      <c r="JQF35" s="16"/>
      <c r="JQG35" s="16"/>
      <c r="JQH35" s="16"/>
      <c r="JQI35" s="16"/>
      <c r="JQJ35" s="16"/>
      <c r="JQK35" s="16"/>
      <c r="JQL35" s="16"/>
      <c r="JQM35" s="16"/>
      <c r="JQN35" s="16"/>
      <c r="JQO35" s="16"/>
      <c r="JQP35" s="16"/>
      <c r="JQQ35" s="16"/>
      <c r="JQR35" s="16"/>
      <c r="JQS35" s="16"/>
      <c r="JQT35" s="16"/>
      <c r="JQU35" s="16"/>
      <c r="JQV35" s="16"/>
      <c r="JQW35" s="16"/>
      <c r="JQX35" s="16"/>
      <c r="JQY35" s="16"/>
      <c r="JQZ35" s="16"/>
      <c r="JRA35" s="16"/>
      <c r="JRB35" s="16"/>
      <c r="JRC35" s="16"/>
      <c r="JRD35" s="16"/>
      <c r="JRE35" s="16"/>
      <c r="JRF35" s="16"/>
      <c r="JRG35" s="16"/>
      <c r="JRH35" s="16"/>
      <c r="JRI35" s="16"/>
      <c r="JRJ35" s="16"/>
      <c r="JRK35" s="16"/>
      <c r="JRL35" s="16"/>
      <c r="JRM35" s="16"/>
      <c r="JRN35" s="16"/>
      <c r="JRO35" s="16"/>
      <c r="JRP35" s="16"/>
      <c r="JRQ35" s="16"/>
      <c r="JRR35" s="16"/>
      <c r="JRS35" s="16"/>
      <c r="JRT35" s="16"/>
      <c r="JRU35" s="16"/>
      <c r="JRV35" s="16"/>
      <c r="JRW35" s="16"/>
      <c r="JRX35" s="16"/>
      <c r="JRY35" s="16"/>
      <c r="JRZ35" s="16"/>
      <c r="JSA35" s="16"/>
      <c r="JSB35" s="16"/>
      <c r="JSC35" s="16"/>
      <c r="JSD35" s="16"/>
      <c r="JSE35" s="16"/>
      <c r="JSF35" s="16"/>
      <c r="JSG35" s="16"/>
      <c r="JSH35" s="16"/>
      <c r="JSI35" s="16"/>
      <c r="JSJ35" s="16"/>
      <c r="JSK35" s="16"/>
      <c r="JSL35" s="16"/>
      <c r="JSM35" s="16"/>
      <c r="JSN35" s="16"/>
      <c r="JSO35" s="16"/>
      <c r="JSP35" s="16"/>
      <c r="JSQ35" s="16"/>
      <c r="JSR35" s="16"/>
      <c r="JSS35" s="16"/>
      <c r="JST35" s="16"/>
      <c r="JSU35" s="16"/>
      <c r="JSV35" s="16"/>
      <c r="JSW35" s="16"/>
      <c r="JSX35" s="16"/>
      <c r="JSY35" s="16"/>
      <c r="JSZ35" s="16"/>
      <c r="JTA35" s="16"/>
      <c r="JTB35" s="16"/>
      <c r="JTC35" s="16"/>
      <c r="JTD35" s="16"/>
      <c r="JTE35" s="16"/>
      <c r="JTF35" s="16"/>
      <c r="JTG35" s="16"/>
      <c r="JTH35" s="16"/>
      <c r="JTI35" s="16"/>
      <c r="JTJ35" s="16"/>
      <c r="JTK35" s="16"/>
      <c r="JTL35" s="16"/>
      <c r="JTM35" s="16"/>
      <c r="JTN35" s="16"/>
      <c r="JTO35" s="16"/>
      <c r="JTP35" s="16"/>
      <c r="JTQ35" s="16"/>
      <c r="JTR35" s="16"/>
      <c r="JTS35" s="16"/>
      <c r="JTT35" s="16"/>
      <c r="JTU35" s="16"/>
      <c r="JTV35" s="16"/>
      <c r="JTW35" s="16"/>
      <c r="JTX35" s="16"/>
      <c r="JTY35" s="16"/>
      <c r="JTZ35" s="16"/>
      <c r="JUA35" s="16"/>
      <c r="JUB35" s="16"/>
      <c r="JUC35" s="16"/>
      <c r="JUD35" s="16"/>
      <c r="JUE35" s="16"/>
      <c r="JUF35" s="16"/>
      <c r="JUG35" s="16"/>
      <c r="JUH35" s="16"/>
      <c r="JUI35" s="16"/>
      <c r="JUJ35" s="16"/>
      <c r="JUK35" s="16"/>
      <c r="JUL35" s="16"/>
      <c r="JUM35" s="16"/>
      <c r="JUN35" s="16"/>
      <c r="JUO35" s="16"/>
      <c r="JUP35" s="16"/>
      <c r="JUQ35" s="16"/>
      <c r="JUR35" s="16"/>
      <c r="JUS35" s="16"/>
      <c r="JUT35" s="16"/>
      <c r="JUU35" s="16"/>
      <c r="JUV35" s="16"/>
      <c r="JUW35" s="16"/>
      <c r="JUX35" s="16"/>
      <c r="JUY35" s="16"/>
      <c r="JUZ35" s="16"/>
      <c r="JVA35" s="16"/>
      <c r="JVB35" s="16"/>
      <c r="JVC35" s="16"/>
      <c r="JVD35" s="16"/>
      <c r="JVE35" s="16"/>
      <c r="JVF35" s="16"/>
      <c r="JVG35" s="16"/>
      <c r="JVH35" s="16"/>
      <c r="JVI35" s="16"/>
      <c r="JVJ35" s="16"/>
      <c r="JVK35" s="16"/>
      <c r="JVL35" s="16"/>
      <c r="JVM35" s="16"/>
      <c r="JVN35" s="16"/>
      <c r="JVO35" s="16"/>
      <c r="JVP35" s="16"/>
      <c r="JVQ35" s="16"/>
      <c r="JVR35" s="16"/>
      <c r="JVS35" s="16"/>
      <c r="JVT35" s="16"/>
      <c r="JVU35" s="16"/>
      <c r="JVV35" s="16"/>
      <c r="JVW35" s="16"/>
      <c r="JVX35" s="16"/>
      <c r="JVY35" s="16"/>
      <c r="JVZ35" s="16"/>
      <c r="JWA35" s="16"/>
      <c r="JWB35" s="16"/>
      <c r="JWC35" s="16"/>
      <c r="JWD35" s="16"/>
      <c r="JWE35" s="16"/>
      <c r="JWF35" s="16"/>
      <c r="JWG35" s="16"/>
      <c r="JWH35" s="16"/>
      <c r="JWI35" s="16"/>
      <c r="JWJ35" s="16"/>
      <c r="JWK35" s="16"/>
      <c r="JWL35" s="16"/>
      <c r="JWM35" s="16"/>
      <c r="JWN35" s="16"/>
      <c r="JWO35" s="16"/>
      <c r="JWP35" s="16"/>
      <c r="JWQ35" s="16"/>
      <c r="JWR35" s="16"/>
      <c r="JWS35" s="16"/>
      <c r="JWT35" s="16"/>
      <c r="JWU35" s="16"/>
      <c r="JWV35" s="16"/>
      <c r="JWW35" s="16"/>
      <c r="JWX35" s="16"/>
      <c r="JWY35" s="16"/>
      <c r="JWZ35" s="16"/>
      <c r="JXA35" s="16"/>
      <c r="JXB35" s="16"/>
      <c r="JXC35" s="16"/>
      <c r="JXD35" s="16"/>
      <c r="JXE35" s="16"/>
      <c r="JXF35" s="16"/>
      <c r="JXG35" s="16"/>
      <c r="JXH35" s="16"/>
      <c r="JXI35" s="16"/>
      <c r="JXJ35" s="16"/>
      <c r="JXK35" s="16"/>
      <c r="JXL35" s="16"/>
      <c r="JXM35" s="16"/>
      <c r="JXN35" s="16"/>
      <c r="JXO35" s="16"/>
      <c r="JXP35" s="16"/>
      <c r="JXQ35" s="16"/>
      <c r="JXR35" s="16"/>
      <c r="JXS35" s="16"/>
      <c r="JXT35" s="16"/>
      <c r="JXU35" s="16"/>
      <c r="JXV35" s="16"/>
      <c r="JXW35" s="16"/>
      <c r="JXX35" s="16"/>
      <c r="JXY35" s="16"/>
      <c r="JXZ35" s="16"/>
      <c r="JYA35" s="16"/>
      <c r="JYB35" s="16"/>
      <c r="JYC35" s="16"/>
      <c r="JYD35" s="16"/>
      <c r="JYE35" s="16"/>
      <c r="JYF35" s="16"/>
      <c r="JYG35" s="16"/>
      <c r="JYH35" s="16"/>
      <c r="JYI35" s="16"/>
      <c r="JYJ35" s="16"/>
      <c r="JYK35" s="16"/>
      <c r="JYL35" s="16"/>
      <c r="JYM35" s="16"/>
      <c r="JYN35" s="16"/>
      <c r="JYO35" s="16"/>
      <c r="JYP35" s="16"/>
      <c r="JYQ35" s="16"/>
      <c r="JYR35" s="16"/>
      <c r="JYS35" s="16"/>
      <c r="JYT35" s="16"/>
      <c r="JYU35" s="16"/>
      <c r="JYV35" s="16"/>
      <c r="JYW35" s="16"/>
      <c r="JYX35" s="16"/>
      <c r="JYY35" s="16"/>
      <c r="JYZ35" s="16"/>
      <c r="JZA35" s="16"/>
      <c r="JZB35" s="16"/>
      <c r="JZC35" s="16"/>
      <c r="JZD35" s="16"/>
      <c r="JZE35" s="16"/>
      <c r="JZF35" s="16"/>
      <c r="JZG35" s="16"/>
      <c r="JZH35" s="16"/>
      <c r="JZI35" s="16"/>
      <c r="JZJ35" s="16"/>
      <c r="JZK35" s="16"/>
      <c r="JZL35" s="16"/>
      <c r="JZM35" s="16"/>
      <c r="JZN35" s="16"/>
      <c r="JZO35" s="16"/>
      <c r="JZP35" s="16"/>
      <c r="JZQ35" s="16"/>
      <c r="JZR35" s="16"/>
      <c r="JZS35" s="16"/>
      <c r="JZT35" s="16"/>
      <c r="JZU35" s="16"/>
      <c r="JZV35" s="16"/>
      <c r="JZW35" s="16"/>
      <c r="JZX35" s="16"/>
      <c r="JZY35" s="16"/>
      <c r="JZZ35" s="16"/>
      <c r="KAA35" s="16"/>
      <c r="KAB35" s="16"/>
      <c r="KAC35" s="16"/>
      <c r="KAD35" s="16"/>
      <c r="KAE35" s="16"/>
      <c r="KAF35" s="16"/>
      <c r="KAG35" s="16"/>
      <c r="KAH35" s="16"/>
      <c r="KAI35" s="16"/>
      <c r="KAJ35" s="16"/>
      <c r="KAK35" s="16"/>
      <c r="KAL35" s="16"/>
      <c r="KAM35" s="16"/>
      <c r="KAN35" s="16"/>
      <c r="KAO35" s="16"/>
      <c r="KAP35" s="16"/>
      <c r="KAQ35" s="16"/>
      <c r="KAR35" s="16"/>
      <c r="KAS35" s="16"/>
      <c r="KAT35" s="16"/>
      <c r="KAU35" s="16"/>
      <c r="KAV35" s="16"/>
      <c r="KAW35" s="16"/>
      <c r="KAX35" s="16"/>
      <c r="KAY35" s="16"/>
      <c r="KAZ35" s="16"/>
      <c r="KBA35" s="16"/>
      <c r="KBB35" s="16"/>
      <c r="KBC35" s="16"/>
      <c r="KBD35" s="16"/>
      <c r="KBE35" s="16"/>
      <c r="KBF35" s="16"/>
      <c r="KBG35" s="16"/>
      <c r="KBH35" s="16"/>
      <c r="KBI35" s="16"/>
      <c r="KBJ35" s="16"/>
      <c r="KBK35" s="16"/>
      <c r="KBL35" s="16"/>
      <c r="KBM35" s="16"/>
      <c r="KBN35" s="16"/>
      <c r="KBO35" s="16"/>
      <c r="KBP35" s="16"/>
      <c r="KBQ35" s="16"/>
      <c r="KBR35" s="16"/>
      <c r="KBS35" s="16"/>
      <c r="KBT35" s="16"/>
      <c r="KBU35" s="16"/>
      <c r="KBV35" s="16"/>
      <c r="KBW35" s="16"/>
      <c r="KBX35" s="16"/>
      <c r="KBY35" s="16"/>
      <c r="KBZ35" s="16"/>
      <c r="KCA35" s="16"/>
      <c r="KCB35" s="16"/>
      <c r="KCC35" s="16"/>
      <c r="KCD35" s="16"/>
      <c r="KCE35" s="16"/>
      <c r="KCF35" s="16"/>
      <c r="KCG35" s="16"/>
      <c r="KCH35" s="16"/>
      <c r="KCI35" s="16"/>
      <c r="KCJ35" s="16"/>
      <c r="KCK35" s="16"/>
      <c r="KCL35" s="16"/>
      <c r="KCM35" s="16"/>
      <c r="KCN35" s="16"/>
      <c r="KCO35" s="16"/>
      <c r="KCP35" s="16"/>
      <c r="KCQ35" s="16"/>
      <c r="KCR35" s="16"/>
      <c r="KCS35" s="16"/>
      <c r="KCT35" s="16"/>
      <c r="KCU35" s="16"/>
      <c r="KCV35" s="16"/>
      <c r="KCW35" s="16"/>
      <c r="KCX35" s="16"/>
      <c r="KCY35" s="16"/>
      <c r="KCZ35" s="16"/>
      <c r="KDA35" s="16"/>
      <c r="KDB35" s="16"/>
      <c r="KDC35" s="16"/>
      <c r="KDD35" s="16"/>
      <c r="KDE35" s="16"/>
      <c r="KDF35" s="16"/>
      <c r="KDG35" s="16"/>
      <c r="KDH35" s="16"/>
      <c r="KDI35" s="16"/>
      <c r="KDJ35" s="16"/>
      <c r="KDK35" s="16"/>
      <c r="KDL35" s="16"/>
      <c r="KDM35" s="16"/>
      <c r="KDN35" s="16"/>
      <c r="KDO35" s="16"/>
      <c r="KDP35" s="16"/>
      <c r="KDQ35" s="16"/>
      <c r="KDR35" s="16"/>
      <c r="KDS35" s="16"/>
      <c r="KDT35" s="16"/>
      <c r="KDU35" s="16"/>
      <c r="KDV35" s="16"/>
      <c r="KDW35" s="16"/>
      <c r="KDX35" s="16"/>
      <c r="KDY35" s="16"/>
      <c r="KDZ35" s="16"/>
      <c r="KEA35" s="16"/>
      <c r="KEB35" s="16"/>
      <c r="KEC35" s="16"/>
      <c r="KED35" s="16"/>
      <c r="KEE35" s="16"/>
      <c r="KEF35" s="16"/>
      <c r="KEG35" s="16"/>
      <c r="KEH35" s="16"/>
      <c r="KEI35" s="16"/>
      <c r="KEJ35" s="16"/>
      <c r="KEK35" s="16"/>
      <c r="KEL35" s="16"/>
      <c r="KEM35" s="16"/>
      <c r="KEN35" s="16"/>
      <c r="KEO35" s="16"/>
      <c r="KEP35" s="16"/>
      <c r="KEQ35" s="16"/>
      <c r="KER35" s="16"/>
      <c r="KES35" s="16"/>
      <c r="KET35" s="16"/>
      <c r="KEU35" s="16"/>
      <c r="KEV35" s="16"/>
      <c r="KEW35" s="16"/>
      <c r="KEX35" s="16"/>
      <c r="KEY35" s="16"/>
      <c r="KEZ35" s="16"/>
      <c r="KFA35" s="16"/>
      <c r="KFB35" s="16"/>
      <c r="KFC35" s="16"/>
      <c r="KFD35" s="16"/>
      <c r="KFE35" s="16"/>
      <c r="KFF35" s="16"/>
      <c r="KFG35" s="16"/>
      <c r="KFH35" s="16"/>
      <c r="KFI35" s="16"/>
      <c r="KFJ35" s="16"/>
      <c r="KFK35" s="16"/>
      <c r="KFL35" s="16"/>
      <c r="KFM35" s="16"/>
      <c r="KFN35" s="16"/>
      <c r="KFO35" s="16"/>
      <c r="KFP35" s="16"/>
      <c r="KFQ35" s="16"/>
      <c r="KFR35" s="16"/>
      <c r="KFS35" s="16"/>
      <c r="KFT35" s="16"/>
      <c r="KFU35" s="16"/>
      <c r="KFV35" s="16"/>
      <c r="KFW35" s="16"/>
      <c r="KFX35" s="16"/>
      <c r="KFY35" s="16"/>
      <c r="KFZ35" s="16"/>
      <c r="KGA35" s="16"/>
      <c r="KGB35" s="16"/>
      <c r="KGC35" s="16"/>
      <c r="KGD35" s="16"/>
      <c r="KGE35" s="16"/>
      <c r="KGF35" s="16"/>
      <c r="KGG35" s="16"/>
      <c r="KGH35" s="16"/>
      <c r="KGI35" s="16"/>
      <c r="KGJ35" s="16"/>
      <c r="KGK35" s="16"/>
      <c r="KGL35" s="16"/>
      <c r="KGM35" s="16"/>
      <c r="KGN35" s="16"/>
      <c r="KGO35" s="16"/>
      <c r="KGP35" s="16"/>
      <c r="KGQ35" s="16"/>
      <c r="KGR35" s="16"/>
      <c r="KGS35" s="16"/>
      <c r="KGT35" s="16"/>
      <c r="KGU35" s="16"/>
      <c r="KGV35" s="16"/>
      <c r="KGW35" s="16"/>
      <c r="KGX35" s="16"/>
      <c r="KGY35" s="16"/>
      <c r="KGZ35" s="16"/>
      <c r="KHA35" s="16"/>
      <c r="KHB35" s="16"/>
      <c r="KHC35" s="16"/>
      <c r="KHD35" s="16"/>
      <c r="KHE35" s="16"/>
      <c r="KHF35" s="16"/>
      <c r="KHG35" s="16"/>
      <c r="KHH35" s="16"/>
      <c r="KHI35" s="16"/>
      <c r="KHJ35" s="16"/>
      <c r="KHK35" s="16"/>
      <c r="KHL35" s="16"/>
      <c r="KHM35" s="16"/>
      <c r="KHN35" s="16"/>
      <c r="KHO35" s="16"/>
      <c r="KHP35" s="16"/>
      <c r="KHQ35" s="16"/>
      <c r="KHR35" s="16"/>
      <c r="KHS35" s="16"/>
      <c r="KHT35" s="16"/>
      <c r="KHU35" s="16"/>
      <c r="KHV35" s="16"/>
      <c r="KHW35" s="16"/>
      <c r="KHX35" s="16"/>
      <c r="KHY35" s="16"/>
      <c r="KHZ35" s="16"/>
      <c r="KIA35" s="16"/>
      <c r="KIB35" s="16"/>
      <c r="KIC35" s="16"/>
      <c r="KID35" s="16"/>
      <c r="KIE35" s="16"/>
      <c r="KIF35" s="16"/>
      <c r="KIG35" s="16"/>
      <c r="KIH35" s="16"/>
      <c r="KII35" s="16"/>
      <c r="KIJ35" s="16"/>
      <c r="KIK35" s="16"/>
      <c r="KIL35" s="16"/>
      <c r="KIM35" s="16"/>
      <c r="KIN35" s="16"/>
      <c r="KIO35" s="16"/>
      <c r="KIP35" s="16"/>
      <c r="KIQ35" s="16"/>
      <c r="KIR35" s="16"/>
      <c r="KIS35" s="16"/>
      <c r="KIT35" s="16"/>
      <c r="KIU35" s="16"/>
      <c r="KIV35" s="16"/>
      <c r="KIW35" s="16"/>
      <c r="KIX35" s="16"/>
      <c r="KIY35" s="16"/>
      <c r="KIZ35" s="16"/>
      <c r="KJA35" s="16"/>
      <c r="KJB35" s="16"/>
      <c r="KJC35" s="16"/>
      <c r="KJD35" s="16"/>
      <c r="KJE35" s="16"/>
      <c r="KJF35" s="16"/>
      <c r="KJG35" s="16"/>
      <c r="KJH35" s="16"/>
      <c r="KJI35" s="16"/>
      <c r="KJJ35" s="16"/>
      <c r="KJK35" s="16"/>
      <c r="KJL35" s="16"/>
      <c r="KJM35" s="16"/>
      <c r="KJN35" s="16"/>
      <c r="KJO35" s="16"/>
      <c r="KJP35" s="16"/>
      <c r="KJQ35" s="16"/>
      <c r="KJR35" s="16"/>
      <c r="KJS35" s="16"/>
      <c r="KJT35" s="16"/>
      <c r="KJU35" s="16"/>
      <c r="KJV35" s="16"/>
      <c r="KJW35" s="16"/>
      <c r="KJX35" s="16"/>
      <c r="KJY35" s="16"/>
      <c r="KJZ35" s="16"/>
      <c r="KKA35" s="16"/>
      <c r="KKB35" s="16"/>
      <c r="KKC35" s="16"/>
      <c r="KKD35" s="16"/>
      <c r="KKE35" s="16"/>
      <c r="KKF35" s="16"/>
      <c r="KKG35" s="16"/>
      <c r="KKH35" s="16"/>
      <c r="KKI35" s="16"/>
      <c r="KKJ35" s="16"/>
      <c r="KKK35" s="16"/>
      <c r="KKL35" s="16"/>
      <c r="KKM35" s="16"/>
      <c r="KKN35" s="16"/>
      <c r="KKO35" s="16"/>
      <c r="KKP35" s="16"/>
      <c r="KKQ35" s="16"/>
      <c r="KKR35" s="16"/>
      <c r="KKS35" s="16"/>
      <c r="KKT35" s="16"/>
      <c r="KKU35" s="16"/>
      <c r="KKV35" s="16"/>
      <c r="KKW35" s="16"/>
      <c r="KKX35" s="16"/>
      <c r="KKY35" s="16"/>
      <c r="KKZ35" s="16"/>
      <c r="KLA35" s="16"/>
      <c r="KLB35" s="16"/>
      <c r="KLC35" s="16"/>
      <c r="KLD35" s="16"/>
      <c r="KLE35" s="16"/>
      <c r="KLF35" s="16"/>
      <c r="KLG35" s="16"/>
      <c r="KLH35" s="16"/>
      <c r="KLI35" s="16"/>
      <c r="KLJ35" s="16"/>
      <c r="KLK35" s="16"/>
      <c r="KLL35" s="16"/>
      <c r="KLM35" s="16"/>
      <c r="KLN35" s="16"/>
      <c r="KLO35" s="16"/>
      <c r="KLP35" s="16"/>
      <c r="KLQ35" s="16"/>
      <c r="KLR35" s="16"/>
      <c r="KLS35" s="16"/>
      <c r="KLT35" s="16"/>
      <c r="KLU35" s="16"/>
      <c r="KLV35" s="16"/>
      <c r="KLW35" s="16"/>
      <c r="KLX35" s="16"/>
      <c r="KLY35" s="16"/>
      <c r="KLZ35" s="16"/>
      <c r="KMA35" s="16"/>
      <c r="KMB35" s="16"/>
      <c r="KMC35" s="16"/>
      <c r="KMD35" s="16"/>
      <c r="KME35" s="16"/>
      <c r="KMF35" s="16"/>
      <c r="KMG35" s="16"/>
      <c r="KMH35" s="16"/>
      <c r="KMI35" s="16"/>
      <c r="KMJ35" s="16"/>
      <c r="KMK35" s="16"/>
      <c r="KML35" s="16"/>
      <c r="KMM35" s="16"/>
      <c r="KMN35" s="16"/>
      <c r="KMO35" s="16"/>
      <c r="KMP35" s="16"/>
      <c r="KMQ35" s="16"/>
      <c r="KMR35" s="16"/>
      <c r="KMS35" s="16"/>
      <c r="KMT35" s="16"/>
      <c r="KMU35" s="16"/>
      <c r="KMV35" s="16"/>
      <c r="KMW35" s="16"/>
      <c r="KMX35" s="16"/>
      <c r="KMY35" s="16"/>
      <c r="KMZ35" s="16"/>
      <c r="KNA35" s="16"/>
      <c r="KNB35" s="16"/>
      <c r="KNC35" s="16"/>
      <c r="KND35" s="16"/>
      <c r="KNE35" s="16"/>
      <c r="KNF35" s="16"/>
      <c r="KNG35" s="16"/>
      <c r="KNH35" s="16"/>
      <c r="KNI35" s="16"/>
      <c r="KNJ35" s="16"/>
      <c r="KNK35" s="16"/>
      <c r="KNL35" s="16"/>
      <c r="KNM35" s="16"/>
      <c r="KNN35" s="16"/>
      <c r="KNO35" s="16"/>
      <c r="KNP35" s="16"/>
      <c r="KNQ35" s="16"/>
      <c r="KNR35" s="16"/>
      <c r="KNS35" s="16"/>
      <c r="KNT35" s="16"/>
      <c r="KNU35" s="16"/>
      <c r="KNV35" s="16"/>
      <c r="KNW35" s="16"/>
      <c r="KNX35" s="16"/>
      <c r="KNY35" s="16"/>
      <c r="KNZ35" s="16"/>
      <c r="KOA35" s="16"/>
      <c r="KOB35" s="16"/>
      <c r="KOC35" s="16"/>
      <c r="KOD35" s="16"/>
      <c r="KOE35" s="16"/>
      <c r="KOF35" s="16"/>
      <c r="KOG35" s="16"/>
      <c r="KOH35" s="16"/>
      <c r="KOI35" s="16"/>
      <c r="KOJ35" s="16"/>
      <c r="KOK35" s="16"/>
      <c r="KOL35" s="16"/>
      <c r="KOM35" s="16"/>
      <c r="KON35" s="16"/>
      <c r="KOO35" s="16"/>
      <c r="KOP35" s="16"/>
      <c r="KOQ35" s="16"/>
      <c r="KOR35" s="16"/>
      <c r="KOS35" s="16"/>
      <c r="KOT35" s="16"/>
      <c r="KOU35" s="16"/>
      <c r="KOV35" s="16"/>
      <c r="KOW35" s="16"/>
      <c r="KOX35" s="16"/>
      <c r="KOY35" s="16"/>
      <c r="KOZ35" s="16"/>
      <c r="KPA35" s="16"/>
      <c r="KPB35" s="16"/>
      <c r="KPC35" s="16"/>
      <c r="KPD35" s="16"/>
      <c r="KPE35" s="16"/>
      <c r="KPF35" s="16"/>
      <c r="KPG35" s="16"/>
      <c r="KPH35" s="16"/>
      <c r="KPI35" s="16"/>
      <c r="KPJ35" s="16"/>
      <c r="KPK35" s="16"/>
      <c r="KPL35" s="16"/>
      <c r="KPM35" s="16"/>
      <c r="KPN35" s="16"/>
      <c r="KPO35" s="16"/>
      <c r="KPP35" s="16"/>
      <c r="KPQ35" s="16"/>
      <c r="KPR35" s="16"/>
      <c r="KPS35" s="16"/>
      <c r="KPT35" s="16"/>
      <c r="KPU35" s="16"/>
      <c r="KPV35" s="16"/>
      <c r="KPW35" s="16"/>
      <c r="KPX35" s="16"/>
      <c r="KPY35" s="16"/>
      <c r="KPZ35" s="16"/>
      <c r="KQA35" s="16"/>
      <c r="KQB35" s="16"/>
      <c r="KQC35" s="16"/>
      <c r="KQD35" s="16"/>
      <c r="KQE35" s="16"/>
      <c r="KQF35" s="16"/>
      <c r="KQG35" s="16"/>
      <c r="KQH35" s="16"/>
      <c r="KQI35" s="16"/>
      <c r="KQJ35" s="16"/>
      <c r="KQK35" s="16"/>
      <c r="KQL35" s="16"/>
      <c r="KQM35" s="16"/>
      <c r="KQN35" s="16"/>
      <c r="KQO35" s="16"/>
      <c r="KQP35" s="16"/>
      <c r="KQQ35" s="16"/>
      <c r="KQR35" s="16"/>
      <c r="KQS35" s="16"/>
      <c r="KQT35" s="16"/>
      <c r="KQU35" s="16"/>
      <c r="KQV35" s="16"/>
      <c r="KQW35" s="16"/>
      <c r="KQX35" s="16"/>
      <c r="KQY35" s="16"/>
      <c r="KQZ35" s="16"/>
      <c r="KRA35" s="16"/>
      <c r="KRB35" s="16"/>
      <c r="KRC35" s="16"/>
      <c r="KRD35" s="16"/>
      <c r="KRE35" s="16"/>
      <c r="KRF35" s="16"/>
      <c r="KRG35" s="16"/>
      <c r="KRH35" s="16"/>
      <c r="KRI35" s="16"/>
      <c r="KRJ35" s="16"/>
      <c r="KRK35" s="16"/>
      <c r="KRL35" s="16"/>
      <c r="KRM35" s="16"/>
      <c r="KRN35" s="16"/>
      <c r="KRO35" s="16"/>
      <c r="KRP35" s="16"/>
      <c r="KRQ35" s="16"/>
      <c r="KRR35" s="16"/>
      <c r="KRS35" s="16"/>
      <c r="KRT35" s="16"/>
      <c r="KRU35" s="16"/>
      <c r="KRV35" s="16"/>
      <c r="KRW35" s="16"/>
      <c r="KRX35" s="16"/>
      <c r="KRY35" s="16"/>
      <c r="KRZ35" s="16"/>
      <c r="KSA35" s="16"/>
      <c r="KSB35" s="16"/>
      <c r="KSC35" s="16"/>
      <c r="KSD35" s="16"/>
      <c r="KSE35" s="16"/>
      <c r="KSF35" s="16"/>
      <c r="KSG35" s="16"/>
      <c r="KSH35" s="16"/>
      <c r="KSI35" s="16"/>
      <c r="KSJ35" s="16"/>
      <c r="KSK35" s="16"/>
      <c r="KSL35" s="16"/>
      <c r="KSM35" s="16"/>
      <c r="KSN35" s="16"/>
      <c r="KSO35" s="16"/>
      <c r="KSP35" s="16"/>
      <c r="KSQ35" s="16"/>
      <c r="KSR35" s="16"/>
      <c r="KSS35" s="16"/>
      <c r="KST35" s="16"/>
      <c r="KSU35" s="16"/>
      <c r="KSV35" s="16"/>
      <c r="KSW35" s="16"/>
      <c r="KSX35" s="16"/>
      <c r="KSY35" s="16"/>
      <c r="KSZ35" s="16"/>
      <c r="KTA35" s="16"/>
      <c r="KTB35" s="16"/>
      <c r="KTC35" s="16"/>
      <c r="KTD35" s="16"/>
      <c r="KTE35" s="16"/>
      <c r="KTF35" s="16"/>
      <c r="KTG35" s="16"/>
      <c r="KTH35" s="16"/>
      <c r="KTI35" s="16"/>
      <c r="KTJ35" s="16"/>
      <c r="KTK35" s="16"/>
      <c r="KTL35" s="16"/>
      <c r="KTM35" s="16"/>
      <c r="KTN35" s="16"/>
      <c r="KTO35" s="16"/>
      <c r="KTP35" s="16"/>
      <c r="KTQ35" s="16"/>
      <c r="KTR35" s="16"/>
      <c r="KTS35" s="16"/>
      <c r="KTT35" s="16"/>
      <c r="KTU35" s="16"/>
      <c r="KTV35" s="16"/>
      <c r="KTW35" s="16"/>
      <c r="KTX35" s="16"/>
      <c r="KTY35" s="16"/>
      <c r="KTZ35" s="16"/>
      <c r="KUA35" s="16"/>
      <c r="KUB35" s="16"/>
      <c r="KUC35" s="16"/>
      <c r="KUD35" s="16"/>
      <c r="KUE35" s="16"/>
      <c r="KUF35" s="16"/>
      <c r="KUG35" s="16"/>
      <c r="KUH35" s="16"/>
      <c r="KUI35" s="16"/>
      <c r="KUJ35" s="16"/>
      <c r="KUK35" s="16"/>
      <c r="KUL35" s="16"/>
      <c r="KUM35" s="16"/>
      <c r="KUN35" s="16"/>
      <c r="KUO35" s="16"/>
      <c r="KUP35" s="16"/>
      <c r="KUQ35" s="16"/>
      <c r="KUR35" s="16"/>
      <c r="KUS35" s="16"/>
      <c r="KUT35" s="16"/>
      <c r="KUU35" s="16"/>
      <c r="KUV35" s="16"/>
      <c r="KUW35" s="16"/>
      <c r="KUX35" s="16"/>
      <c r="KUY35" s="16"/>
      <c r="KUZ35" s="16"/>
      <c r="KVA35" s="16"/>
      <c r="KVB35" s="16"/>
      <c r="KVC35" s="16"/>
      <c r="KVD35" s="16"/>
      <c r="KVE35" s="16"/>
      <c r="KVF35" s="16"/>
      <c r="KVG35" s="16"/>
      <c r="KVH35" s="16"/>
      <c r="KVI35" s="16"/>
      <c r="KVJ35" s="16"/>
      <c r="KVK35" s="16"/>
      <c r="KVL35" s="16"/>
      <c r="KVM35" s="16"/>
      <c r="KVN35" s="16"/>
      <c r="KVO35" s="16"/>
      <c r="KVP35" s="16"/>
      <c r="KVQ35" s="16"/>
      <c r="KVR35" s="16"/>
      <c r="KVS35" s="16"/>
      <c r="KVT35" s="16"/>
      <c r="KVU35" s="16"/>
      <c r="KVV35" s="16"/>
      <c r="KVW35" s="16"/>
      <c r="KVX35" s="16"/>
      <c r="KVY35" s="16"/>
      <c r="KVZ35" s="16"/>
      <c r="KWA35" s="16"/>
      <c r="KWB35" s="16"/>
      <c r="KWC35" s="16"/>
      <c r="KWD35" s="16"/>
      <c r="KWE35" s="16"/>
      <c r="KWF35" s="16"/>
      <c r="KWG35" s="16"/>
      <c r="KWH35" s="16"/>
      <c r="KWI35" s="16"/>
      <c r="KWJ35" s="16"/>
      <c r="KWK35" s="16"/>
      <c r="KWL35" s="16"/>
      <c r="KWM35" s="16"/>
      <c r="KWN35" s="16"/>
      <c r="KWO35" s="16"/>
      <c r="KWP35" s="16"/>
      <c r="KWQ35" s="16"/>
      <c r="KWR35" s="16"/>
      <c r="KWS35" s="16"/>
      <c r="KWT35" s="16"/>
      <c r="KWU35" s="16"/>
      <c r="KWV35" s="16"/>
      <c r="KWW35" s="16"/>
      <c r="KWX35" s="16"/>
      <c r="KWY35" s="16"/>
      <c r="KWZ35" s="16"/>
      <c r="KXA35" s="16"/>
      <c r="KXB35" s="16"/>
      <c r="KXC35" s="16"/>
      <c r="KXD35" s="16"/>
      <c r="KXE35" s="16"/>
      <c r="KXF35" s="16"/>
      <c r="KXG35" s="16"/>
      <c r="KXH35" s="16"/>
      <c r="KXI35" s="16"/>
      <c r="KXJ35" s="16"/>
      <c r="KXK35" s="16"/>
      <c r="KXL35" s="16"/>
      <c r="KXM35" s="16"/>
      <c r="KXN35" s="16"/>
      <c r="KXO35" s="16"/>
      <c r="KXP35" s="16"/>
      <c r="KXQ35" s="16"/>
      <c r="KXR35" s="16"/>
      <c r="KXS35" s="16"/>
      <c r="KXT35" s="16"/>
      <c r="KXU35" s="16"/>
      <c r="KXV35" s="16"/>
      <c r="KXW35" s="16"/>
      <c r="KXX35" s="16"/>
      <c r="KXY35" s="16"/>
      <c r="KXZ35" s="16"/>
      <c r="KYA35" s="16"/>
      <c r="KYB35" s="16"/>
      <c r="KYC35" s="16"/>
      <c r="KYD35" s="16"/>
      <c r="KYE35" s="16"/>
      <c r="KYF35" s="16"/>
      <c r="KYG35" s="16"/>
      <c r="KYH35" s="16"/>
      <c r="KYI35" s="16"/>
      <c r="KYJ35" s="16"/>
      <c r="KYK35" s="16"/>
      <c r="KYL35" s="16"/>
      <c r="KYM35" s="16"/>
      <c r="KYN35" s="16"/>
      <c r="KYO35" s="16"/>
      <c r="KYP35" s="16"/>
      <c r="KYQ35" s="16"/>
      <c r="KYR35" s="16"/>
      <c r="KYS35" s="16"/>
      <c r="KYT35" s="16"/>
      <c r="KYU35" s="16"/>
      <c r="KYV35" s="16"/>
      <c r="KYW35" s="16"/>
      <c r="KYX35" s="16"/>
      <c r="KYY35" s="16"/>
      <c r="KYZ35" s="16"/>
      <c r="KZA35" s="16"/>
      <c r="KZB35" s="16"/>
      <c r="KZC35" s="16"/>
      <c r="KZD35" s="16"/>
      <c r="KZE35" s="16"/>
      <c r="KZF35" s="16"/>
      <c r="KZG35" s="16"/>
      <c r="KZH35" s="16"/>
      <c r="KZI35" s="16"/>
      <c r="KZJ35" s="16"/>
      <c r="KZK35" s="16"/>
      <c r="KZL35" s="16"/>
      <c r="KZM35" s="16"/>
      <c r="KZN35" s="16"/>
      <c r="KZO35" s="16"/>
      <c r="KZP35" s="16"/>
      <c r="KZQ35" s="16"/>
      <c r="KZR35" s="16"/>
      <c r="KZS35" s="16"/>
      <c r="KZT35" s="16"/>
      <c r="KZU35" s="16"/>
      <c r="KZV35" s="16"/>
      <c r="KZW35" s="16"/>
      <c r="KZX35" s="16"/>
      <c r="KZY35" s="16"/>
      <c r="KZZ35" s="16"/>
      <c r="LAA35" s="16"/>
      <c r="LAB35" s="16"/>
      <c r="LAC35" s="16"/>
      <c r="LAD35" s="16"/>
      <c r="LAE35" s="16"/>
      <c r="LAF35" s="16"/>
      <c r="LAG35" s="16"/>
      <c r="LAH35" s="16"/>
      <c r="LAI35" s="16"/>
      <c r="LAJ35" s="16"/>
      <c r="LAK35" s="16"/>
      <c r="LAL35" s="16"/>
      <c r="LAM35" s="16"/>
      <c r="LAN35" s="16"/>
      <c r="LAO35" s="16"/>
      <c r="LAP35" s="16"/>
      <c r="LAQ35" s="16"/>
      <c r="LAR35" s="16"/>
      <c r="LAS35" s="16"/>
      <c r="LAT35" s="16"/>
      <c r="LAU35" s="16"/>
      <c r="LAV35" s="16"/>
      <c r="LAW35" s="16"/>
      <c r="LAX35" s="16"/>
      <c r="LAY35" s="16"/>
      <c r="LAZ35" s="16"/>
      <c r="LBA35" s="16"/>
      <c r="LBB35" s="16"/>
      <c r="LBC35" s="16"/>
      <c r="LBD35" s="16"/>
      <c r="LBE35" s="16"/>
      <c r="LBF35" s="16"/>
      <c r="LBG35" s="16"/>
      <c r="LBH35" s="16"/>
      <c r="LBI35" s="16"/>
      <c r="LBJ35" s="16"/>
      <c r="LBK35" s="16"/>
      <c r="LBL35" s="16"/>
      <c r="LBM35" s="16"/>
      <c r="LBN35" s="16"/>
      <c r="LBO35" s="16"/>
      <c r="LBP35" s="16"/>
      <c r="LBQ35" s="16"/>
      <c r="LBR35" s="16"/>
      <c r="LBS35" s="16"/>
      <c r="LBT35" s="16"/>
      <c r="LBU35" s="16"/>
      <c r="LBV35" s="16"/>
      <c r="LBW35" s="16"/>
      <c r="LBX35" s="16"/>
      <c r="LBY35" s="16"/>
      <c r="LBZ35" s="16"/>
      <c r="LCA35" s="16"/>
      <c r="LCB35" s="16"/>
      <c r="LCC35" s="16"/>
      <c r="LCD35" s="16"/>
      <c r="LCE35" s="16"/>
      <c r="LCF35" s="16"/>
      <c r="LCG35" s="16"/>
      <c r="LCH35" s="16"/>
      <c r="LCI35" s="16"/>
      <c r="LCJ35" s="16"/>
      <c r="LCK35" s="16"/>
      <c r="LCL35" s="16"/>
      <c r="LCM35" s="16"/>
      <c r="LCN35" s="16"/>
      <c r="LCO35" s="16"/>
      <c r="LCP35" s="16"/>
      <c r="LCQ35" s="16"/>
      <c r="LCR35" s="16"/>
      <c r="LCS35" s="16"/>
      <c r="LCT35" s="16"/>
      <c r="LCU35" s="16"/>
      <c r="LCV35" s="16"/>
      <c r="LCW35" s="16"/>
      <c r="LCX35" s="16"/>
      <c r="LCY35" s="16"/>
      <c r="LCZ35" s="16"/>
      <c r="LDA35" s="16"/>
      <c r="LDB35" s="16"/>
      <c r="LDC35" s="16"/>
      <c r="LDD35" s="16"/>
      <c r="LDE35" s="16"/>
      <c r="LDF35" s="16"/>
      <c r="LDG35" s="16"/>
      <c r="LDH35" s="16"/>
      <c r="LDI35" s="16"/>
      <c r="LDJ35" s="16"/>
      <c r="LDK35" s="16"/>
      <c r="LDL35" s="16"/>
      <c r="LDM35" s="16"/>
      <c r="LDN35" s="16"/>
      <c r="LDO35" s="16"/>
      <c r="LDP35" s="16"/>
      <c r="LDQ35" s="16"/>
      <c r="LDR35" s="16"/>
      <c r="LDS35" s="16"/>
      <c r="LDT35" s="16"/>
      <c r="LDU35" s="16"/>
      <c r="LDV35" s="16"/>
      <c r="LDW35" s="16"/>
      <c r="LDX35" s="16"/>
      <c r="LDY35" s="16"/>
      <c r="LDZ35" s="16"/>
      <c r="LEA35" s="16"/>
      <c r="LEB35" s="16"/>
      <c r="LEC35" s="16"/>
      <c r="LED35" s="16"/>
      <c r="LEE35" s="16"/>
      <c r="LEF35" s="16"/>
      <c r="LEG35" s="16"/>
      <c r="LEH35" s="16"/>
      <c r="LEI35" s="16"/>
      <c r="LEJ35" s="16"/>
      <c r="LEK35" s="16"/>
      <c r="LEL35" s="16"/>
      <c r="LEM35" s="16"/>
      <c r="LEN35" s="16"/>
      <c r="LEO35" s="16"/>
      <c r="LEP35" s="16"/>
      <c r="LEQ35" s="16"/>
      <c r="LER35" s="16"/>
      <c r="LES35" s="16"/>
      <c r="LET35" s="16"/>
      <c r="LEU35" s="16"/>
      <c r="LEV35" s="16"/>
      <c r="LEW35" s="16"/>
      <c r="LEX35" s="16"/>
      <c r="LEY35" s="16"/>
      <c r="LEZ35" s="16"/>
      <c r="LFA35" s="16"/>
      <c r="LFB35" s="16"/>
      <c r="LFC35" s="16"/>
      <c r="LFD35" s="16"/>
      <c r="LFE35" s="16"/>
      <c r="LFF35" s="16"/>
      <c r="LFG35" s="16"/>
      <c r="LFH35" s="16"/>
      <c r="LFI35" s="16"/>
      <c r="LFJ35" s="16"/>
      <c r="LFK35" s="16"/>
      <c r="LFL35" s="16"/>
      <c r="LFM35" s="16"/>
      <c r="LFN35" s="16"/>
      <c r="LFO35" s="16"/>
      <c r="LFP35" s="16"/>
      <c r="LFQ35" s="16"/>
      <c r="LFR35" s="16"/>
      <c r="LFS35" s="16"/>
      <c r="LFT35" s="16"/>
      <c r="LFU35" s="16"/>
      <c r="LFV35" s="16"/>
      <c r="LFW35" s="16"/>
      <c r="LFX35" s="16"/>
      <c r="LFY35" s="16"/>
      <c r="LFZ35" s="16"/>
      <c r="LGA35" s="16"/>
      <c r="LGB35" s="16"/>
      <c r="LGC35" s="16"/>
      <c r="LGD35" s="16"/>
      <c r="LGE35" s="16"/>
      <c r="LGF35" s="16"/>
      <c r="LGG35" s="16"/>
      <c r="LGH35" s="16"/>
      <c r="LGI35" s="16"/>
      <c r="LGJ35" s="16"/>
      <c r="LGK35" s="16"/>
      <c r="LGL35" s="16"/>
      <c r="LGM35" s="16"/>
      <c r="LGN35" s="16"/>
      <c r="LGO35" s="16"/>
      <c r="LGP35" s="16"/>
      <c r="LGQ35" s="16"/>
      <c r="LGR35" s="16"/>
      <c r="LGS35" s="16"/>
      <c r="LGT35" s="16"/>
      <c r="LGU35" s="16"/>
      <c r="LGV35" s="16"/>
      <c r="LGW35" s="16"/>
      <c r="LGX35" s="16"/>
      <c r="LGY35" s="16"/>
      <c r="LGZ35" s="16"/>
      <c r="LHA35" s="16"/>
      <c r="LHB35" s="16"/>
      <c r="LHC35" s="16"/>
      <c r="LHD35" s="16"/>
      <c r="LHE35" s="16"/>
      <c r="LHF35" s="16"/>
      <c r="LHG35" s="16"/>
      <c r="LHH35" s="16"/>
      <c r="LHI35" s="16"/>
      <c r="LHJ35" s="16"/>
      <c r="LHK35" s="16"/>
      <c r="LHL35" s="16"/>
      <c r="LHM35" s="16"/>
      <c r="LHN35" s="16"/>
      <c r="LHO35" s="16"/>
      <c r="LHP35" s="16"/>
      <c r="LHQ35" s="16"/>
      <c r="LHR35" s="16"/>
      <c r="LHS35" s="16"/>
      <c r="LHT35" s="16"/>
      <c r="LHU35" s="16"/>
      <c r="LHV35" s="16"/>
      <c r="LHW35" s="16"/>
      <c r="LHX35" s="16"/>
      <c r="LHY35" s="16"/>
      <c r="LHZ35" s="16"/>
      <c r="LIA35" s="16"/>
      <c r="LIB35" s="16"/>
      <c r="LIC35" s="16"/>
      <c r="LID35" s="16"/>
      <c r="LIE35" s="16"/>
      <c r="LIF35" s="16"/>
      <c r="LIG35" s="16"/>
      <c r="LIH35" s="16"/>
      <c r="LII35" s="16"/>
      <c r="LIJ35" s="16"/>
      <c r="LIK35" s="16"/>
      <c r="LIL35" s="16"/>
      <c r="LIM35" s="16"/>
      <c r="LIN35" s="16"/>
      <c r="LIO35" s="16"/>
      <c r="LIP35" s="16"/>
      <c r="LIQ35" s="16"/>
      <c r="LIR35" s="16"/>
      <c r="LIS35" s="16"/>
      <c r="LIT35" s="16"/>
      <c r="LIU35" s="16"/>
      <c r="LIV35" s="16"/>
      <c r="LIW35" s="16"/>
      <c r="LIX35" s="16"/>
      <c r="LIY35" s="16"/>
      <c r="LIZ35" s="16"/>
      <c r="LJA35" s="16"/>
      <c r="LJB35" s="16"/>
      <c r="LJC35" s="16"/>
      <c r="LJD35" s="16"/>
      <c r="LJE35" s="16"/>
      <c r="LJF35" s="16"/>
      <c r="LJG35" s="16"/>
      <c r="LJH35" s="16"/>
      <c r="LJI35" s="16"/>
      <c r="LJJ35" s="16"/>
      <c r="LJK35" s="16"/>
      <c r="LJL35" s="16"/>
      <c r="LJM35" s="16"/>
      <c r="LJN35" s="16"/>
      <c r="LJO35" s="16"/>
      <c r="LJP35" s="16"/>
      <c r="LJQ35" s="16"/>
      <c r="LJR35" s="16"/>
      <c r="LJS35" s="16"/>
      <c r="LJT35" s="16"/>
      <c r="LJU35" s="16"/>
      <c r="LJV35" s="16"/>
      <c r="LJW35" s="16"/>
      <c r="LJX35" s="16"/>
      <c r="LJY35" s="16"/>
      <c r="LJZ35" s="16"/>
      <c r="LKA35" s="16"/>
      <c r="LKB35" s="16"/>
      <c r="LKC35" s="16"/>
      <c r="LKD35" s="16"/>
      <c r="LKE35" s="16"/>
      <c r="LKF35" s="16"/>
      <c r="LKG35" s="16"/>
      <c r="LKH35" s="16"/>
      <c r="LKI35" s="16"/>
      <c r="LKJ35" s="16"/>
      <c r="LKK35" s="16"/>
      <c r="LKL35" s="16"/>
      <c r="LKM35" s="16"/>
      <c r="LKN35" s="16"/>
      <c r="LKO35" s="16"/>
      <c r="LKP35" s="16"/>
      <c r="LKQ35" s="16"/>
      <c r="LKR35" s="16"/>
      <c r="LKS35" s="16"/>
      <c r="LKT35" s="16"/>
      <c r="LKU35" s="16"/>
      <c r="LKV35" s="16"/>
      <c r="LKW35" s="16"/>
      <c r="LKX35" s="16"/>
      <c r="LKY35" s="16"/>
      <c r="LKZ35" s="16"/>
      <c r="LLA35" s="16"/>
      <c r="LLB35" s="16"/>
      <c r="LLC35" s="16"/>
      <c r="LLD35" s="16"/>
      <c r="LLE35" s="16"/>
      <c r="LLF35" s="16"/>
      <c r="LLG35" s="16"/>
      <c r="LLH35" s="16"/>
      <c r="LLI35" s="16"/>
      <c r="LLJ35" s="16"/>
      <c r="LLK35" s="16"/>
      <c r="LLL35" s="16"/>
      <c r="LLM35" s="16"/>
      <c r="LLN35" s="16"/>
      <c r="LLO35" s="16"/>
      <c r="LLP35" s="16"/>
      <c r="LLQ35" s="16"/>
      <c r="LLR35" s="16"/>
      <c r="LLS35" s="16"/>
      <c r="LLT35" s="16"/>
      <c r="LLU35" s="16"/>
      <c r="LLV35" s="16"/>
      <c r="LLW35" s="16"/>
      <c r="LLX35" s="16"/>
      <c r="LLY35" s="16"/>
      <c r="LLZ35" s="16"/>
      <c r="LMA35" s="16"/>
      <c r="LMB35" s="16"/>
      <c r="LMC35" s="16"/>
      <c r="LMD35" s="16"/>
      <c r="LME35" s="16"/>
      <c r="LMF35" s="16"/>
      <c r="LMG35" s="16"/>
      <c r="LMH35" s="16"/>
      <c r="LMI35" s="16"/>
      <c r="LMJ35" s="16"/>
      <c r="LMK35" s="16"/>
      <c r="LML35" s="16"/>
      <c r="LMM35" s="16"/>
      <c r="LMN35" s="16"/>
      <c r="LMO35" s="16"/>
      <c r="LMP35" s="16"/>
      <c r="LMQ35" s="16"/>
      <c r="LMR35" s="16"/>
      <c r="LMS35" s="16"/>
      <c r="LMT35" s="16"/>
      <c r="LMU35" s="16"/>
      <c r="LMV35" s="16"/>
      <c r="LMW35" s="16"/>
      <c r="LMX35" s="16"/>
      <c r="LMY35" s="16"/>
      <c r="LMZ35" s="16"/>
      <c r="LNA35" s="16"/>
      <c r="LNB35" s="16"/>
      <c r="LNC35" s="16"/>
      <c r="LND35" s="16"/>
      <c r="LNE35" s="16"/>
      <c r="LNF35" s="16"/>
      <c r="LNG35" s="16"/>
      <c r="LNH35" s="16"/>
      <c r="LNI35" s="16"/>
      <c r="LNJ35" s="16"/>
      <c r="LNK35" s="16"/>
      <c r="LNL35" s="16"/>
      <c r="LNM35" s="16"/>
      <c r="LNN35" s="16"/>
      <c r="LNO35" s="16"/>
      <c r="LNP35" s="16"/>
      <c r="LNQ35" s="16"/>
      <c r="LNR35" s="16"/>
      <c r="LNS35" s="16"/>
      <c r="LNT35" s="16"/>
      <c r="LNU35" s="16"/>
      <c r="LNV35" s="16"/>
      <c r="LNW35" s="16"/>
      <c r="LNX35" s="16"/>
      <c r="LNY35" s="16"/>
      <c r="LNZ35" s="16"/>
      <c r="LOA35" s="16"/>
      <c r="LOB35" s="16"/>
      <c r="LOC35" s="16"/>
      <c r="LOD35" s="16"/>
      <c r="LOE35" s="16"/>
      <c r="LOF35" s="16"/>
      <c r="LOG35" s="16"/>
      <c r="LOH35" s="16"/>
      <c r="LOI35" s="16"/>
      <c r="LOJ35" s="16"/>
      <c r="LOK35" s="16"/>
      <c r="LOL35" s="16"/>
      <c r="LOM35" s="16"/>
      <c r="LON35" s="16"/>
      <c r="LOO35" s="16"/>
      <c r="LOP35" s="16"/>
      <c r="LOQ35" s="16"/>
      <c r="LOR35" s="16"/>
      <c r="LOS35" s="16"/>
      <c r="LOT35" s="16"/>
      <c r="LOU35" s="16"/>
      <c r="LOV35" s="16"/>
      <c r="LOW35" s="16"/>
      <c r="LOX35" s="16"/>
      <c r="LOY35" s="16"/>
      <c r="LOZ35" s="16"/>
      <c r="LPA35" s="16"/>
      <c r="LPB35" s="16"/>
      <c r="LPC35" s="16"/>
      <c r="LPD35" s="16"/>
      <c r="LPE35" s="16"/>
      <c r="LPF35" s="16"/>
      <c r="LPG35" s="16"/>
      <c r="LPH35" s="16"/>
      <c r="LPI35" s="16"/>
      <c r="LPJ35" s="16"/>
      <c r="LPK35" s="16"/>
      <c r="LPL35" s="16"/>
      <c r="LPM35" s="16"/>
      <c r="LPN35" s="16"/>
      <c r="LPO35" s="16"/>
      <c r="LPP35" s="16"/>
      <c r="LPQ35" s="16"/>
      <c r="LPR35" s="16"/>
      <c r="LPS35" s="16"/>
      <c r="LPT35" s="16"/>
      <c r="LPU35" s="16"/>
      <c r="LPV35" s="16"/>
      <c r="LPW35" s="16"/>
      <c r="LPX35" s="16"/>
      <c r="LPY35" s="16"/>
      <c r="LPZ35" s="16"/>
      <c r="LQA35" s="16"/>
      <c r="LQB35" s="16"/>
      <c r="LQC35" s="16"/>
      <c r="LQD35" s="16"/>
      <c r="LQE35" s="16"/>
      <c r="LQF35" s="16"/>
      <c r="LQG35" s="16"/>
      <c r="LQH35" s="16"/>
      <c r="LQI35" s="16"/>
      <c r="LQJ35" s="16"/>
      <c r="LQK35" s="16"/>
      <c r="LQL35" s="16"/>
      <c r="LQM35" s="16"/>
      <c r="LQN35" s="16"/>
      <c r="LQO35" s="16"/>
      <c r="LQP35" s="16"/>
      <c r="LQQ35" s="16"/>
      <c r="LQR35" s="16"/>
      <c r="LQS35" s="16"/>
      <c r="LQT35" s="16"/>
      <c r="LQU35" s="16"/>
      <c r="LQV35" s="16"/>
      <c r="LQW35" s="16"/>
      <c r="LQX35" s="16"/>
      <c r="LQY35" s="16"/>
      <c r="LQZ35" s="16"/>
      <c r="LRA35" s="16"/>
      <c r="LRB35" s="16"/>
      <c r="LRC35" s="16"/>
      <c r="LRD35" s="16"/>
      <c r="LRE35" s="16"/>
      <c r="LRF35" s="16"/>
      <c r="LRG35" s="16"/>
      <c r="LRH35" s="16"/>
      <c r="LRI35" s="16"/>
      <c r="LRJ35" s="16"/>
      <c r="LRK35" s="16"/>
      <c r="LRL35" s="16"/>
      <c r="LRM35" s="16"/>
      <c r="LRN35" s="16"/>
      <c r="LRO35" s="16"/>
      <c r="LRP35" s="16"/>
      <c r="LRQ35" s="16"/>
      <c r="LRR35" s="16"/>
      <c r="LRS35" s="16"/>
      <c r="LRT35" s="16"/>
      <c r="LRU35" s="16"/>
      <c r="LRV35" s="16"/>
      <c r="LRW35" s="16"/>
      <c r="LRX35" s="16"/>
      <c r="LRY35" s="16"/>
      <c r="LRZ35" s="16"/>
      <c r="LSA35" s="16"/>
      <c r="LSB35" s="16"/>
      <c r="LSC35" s="16"/>
      <c r="LSD35" s="16"/>
      <c r="LSE35" s="16"/>
      <c r="LSF35" s="16"/>
      <c r="LSG35" s="16"/>
      <c r="LSH35" s="16"/>
      <c r="LSI35" s="16"/>
      <c r="LSJ35" s="16"/>
      <c r="LSK35" s="16"/>
      <c r="LSL35" s="16"/>
      <c r="LSM35" s="16"/>
      <c r="LSN35" s="16"/>
      <c r="LSO35" s="16"/>
      <c r="LSP35" s="16"/>
      <c r="LSQ35" s="16"/>
      <c r="LSR35" s="16"/>
      <c r="LSS35" s="16"/>
      <c r="LST35" s="16"/>
      <c r="LSU35" s="16"/>
      <c r="LSV35" s="16"/>
      <c r="LSW35" s="16"/>
      <c r="LSX35" s="16"/>
      <c r="LSY35" s="16"/>
      <c r="LSZ35" s="16"/>
      <c r="LTA35" s="16"/>
      <c r="LTB35" s="16"/>
      <c r="LTC35" s="16"/>
      <c r="LTD35" s="16"/>
      <c r="LTE35" s="16"/>
      <c r="LTF35" s="16"/>
      <c r="LTG35" s="16"/>
      <c r="LTH35" s="16"/>
      <c r="LTI35" s="16"/>
      <c r="LTJ35" s="16"/>
      <c r="LTK35" s="16"/>
      <c r="LTL35" s="16"/>
      <c r="LTM35" s="16"/>
      <c r="LTN35" s="16"/>
      <c r="LTO35" s="16"/>
      <c r="LTP35" s="16"/>
      <c r="LTQ35" s="16"/>
      <c r="LTR35" s="16"/>
      <c r="LTS35" s="16"/>
      <c r="LTT35" s="16"/>
      <c r="LTU35" s="16"/>
      <c r="LTV35" s="16"/>
      <c r="LTW35" s="16"/>
      <c r="LTX35" s="16"/>
      <c r="LTY35" s="16"/>
      <c r="LTZ35" s="16"/>
      <c r="LUA35" s="16"/>
      <c r="LUB35" s="16"/>
      <c r="LUC35" s="16"/>
      <c r="LUD35" s="16"/>
      <c r="LUE35" s="16"/>
      <c r="LUF35" s="16"/>
      <c r="LUG35" s="16"/>
      <c r="LUH35" s="16"/>
      <c r="LUI35" s="16"/>
      <c r="LUJ35" s="16"/>
      <c r="LUK35" s="16"/>
      <c r="LUL35" s="16"/>
      <c r="LUM35" s="16"/>
      <c r="LUN35" s="16"/>
      <c r="LUO35" s="16"/>
      <c r="LUP35" s="16"/>
      <c r="LUQ35" s="16"/>
      <c r="LUR35" s="16"/>
      <c r="LUS35" s="16"/>
      <c r="LUT35" s="16"/>
      <c r="LUU35" s="16"/>
      <c r="LUV35" s="16"/>
      <c r="LUW35" s="16"/>
      <c r="LUX35" s="16"/>
      <c r="LUY35" s="16"/>
      <c r="LUZ35" s="16"/>
      <c r="LVA35" s="16"/>
      <c r="LVB35" s="16"/>
      <c r="LVC35" s="16"/>
      <c r="LVD35" s="16"/>
      <c r="LVE35" s="16"/>
      <c r="LVF35" s="16"/>
      <c r="LVG35" s="16"/>
      <c r="LVH35" s="16"/>
      <c r="LVI35" s="16"/>
      <c r="LVJ35" s="16"/>
      <c r="LVK35" s="16"/>
      <c r="LVL35" s="16"/>
      <c r="LVM35" s="16"/>
      <c r="LVN35" s="16"/>
      <c r="LVO35" s="16"/>
      <c r="LVP35" s="16"/>
      <c r="LVQ35" s="16"/>
      <c r="LVR35" s="16"/>
      <c r="LVS35" s="16"/>
      <c r="LVT35" s="16"/>
      <c r="LVU35" s="16"/>
      <c r="LVV35" s="16"/>
      <c r="LVW35" s="16"/>
      <c r="LVX35" s="16"/>
      <c r="LVY35" s="16"/>
      <c r="LVZ35" s="16"/>
      <c r="LWA35" s="16"/>
      <c r="LWB35" s="16"/>
      <c r="LWC35" s="16"/>
      <c r="LWD35" s="16"/>
      <c r="LWE35" s="16"/>
      <c r="LWF35" s="16"/>
      <c r="LWG35" s="16"/>
      <c r="LWH35" s="16"/>
      <c r="LWI35" s="16"/>
      <c r="LWJ35" s="16"/>
      <c r="LWK35" s="16"/>
      <c r="LWL35" s="16"/>
      <c r="LWM35" s="16"/>
      <c r="LWN35" s="16"/>
      <c r="LWO35" s="16"/>
      <c r="LWP35" s="16"/>
      <c r="LWQ35" s="16"/>
      <c r="LWR35" s="16"/>
      <c r="LWS35" s="16"/>
      <c r="LWT35" s="16"/>
      <c r="LWU35" s="16"/>
      <c r="LWV35" s="16"/>
      <c r="LWW35" s="16"/>
      <c r="LWX35" s="16"/>
      <c r="LWY35" s="16"/>
      <c r="LWZ35" s="16"/>
      <c r="LXA35" s="16"/>
      <c r="LXB35" s="16"/>
      <c r="LXC35" s="16"/>
      <c r="LXD35" s="16"/>
      <c r="LXE35" s="16"/>
      <c r="LXF35" s="16"/>
      <c r="LXG35" s="16"/>
      <c r="LXH35" s="16"/>
      <c r="LXI35" s="16"/>
      <c r="LXJ35" s="16"/>
      <c r="LXK35" s="16"/>
      <c r="LXL35" s="16"/>
      <c r="LXM35" s="16"/>
      <c r="LXN35" s="16"/>
      <c r="LXO35" s="16"/>
      <c r="LXP35" s="16"/>
      <c r="LXQ35" s="16"/>
      <c r="LXR35" s="16"/>
      <c r="LXS35" s="16"/>
      <c r="LXT35" s="16"/>
      <c r="LXU35" s="16"/>
      <c r="LXV35" s="16"/>
      <c r="LXW35" s="16"/>
      <c r="LXX35" s="16"/>
      <c r="LXY35" s="16"/>
      <c r="LXZ35" s="16"/>
      <c r="LYA35" s="16"/>
      <c r="LYB35" s="16"/>
      <c r="LYC35" s="16"/>
      <c r="LYD35" s="16"/>
      <c r="LYE35" s="16"/>
      <c r="LYF35" s="16"/>
      <c r="LYG35" s="16"/>
      <c r="LYH35" s="16"/>
      <c r="LYI35" s="16"/>
      <c r="LYJ35" s="16"/>
      <c r="LYK35" s="16"/>
      <c r="LYL35" s="16"/>
      <c r="LYM35" s="16"/>
      <c r="LYN35" s="16"/>
      <c r="LYO35" s="16"/>
      <c r="LYP35" s="16"/>
      <c r="LYQ35" s="16"/>
      <c r="LYR35" s="16"/>
      <c r="LYS35" s="16"/>
      <c r="LYT35" s="16"/>
      <c r="LYU35" s="16"/>
      <c r="LYV35" s="16"/>
      <c r="LYW35" s="16"/>
      <c r="LYX35" s="16"/>
      <c r="LYY35" s="16"/>
      <c r="LYZ35" s="16"/>
      <c r="LZA35" s="16"/>
      <c r="LZB35" s="16"/>
      <c r="LZC35" s="16"/>
      <c r="LZD35" s="16"/>
      <c r="LZE35" s="16"/>
      <c r="LZF35" s="16"/>
      <c r="LZG35" s="16"/>
      <c r="LZH35" s="16"/>
      <c r="LZI35" s="16"/>
      <c r="LZJ35" s="16"/>
      <c r="LZK35" s="16"/>
      <c r="LZL35" s="16"/>
      <c r="LZM35" s="16"/>
      <c r="LZN35" s="16"/>
      <c r="LZO35" s="16"/>
      <c r="LZP35" s="16"/>
      <c r="LZQ35" s="16"/>
      <c r="LZR35" s="16"/>
      <c r="LZS35" s="16"/>
      <c r="LZT35" s="16"/>
      <c r="LZU35" s="16"/>
      <c r="LZV35" s="16"/>
      <c r="LZW35" s="16"/>
      <c r="LZX35" s="16"/>
      <c r="LZY35" s="16"/>
      <c r="LZZ35" s="16"/>
      <c r="MAA35" s="16"/>
      <c r="MAB35" s="16"/>
      <c r="MAC35" s="16"/>
      <c r="MAD35" s="16"/>
      <c r="MAE35" s="16"/>
      <c r="MAF35" s="16"/>
      <c r="MAG35" s="16"/>
      <c r="MAH35" s="16"/>
      <c r="MAI35" s="16"/>
      <c r="MAJ35" s="16"/>
      <c r="MAK35" s="16"/>
      <c r="MAL35" s="16"/>
      <c r="MAM35" s="16"/>
      <c r="MAN35" s="16"/>
      <c r="MAO35" s="16"/>
      <c r="MAP35" s="16"/>
      <c r="MAQ35" s="16"/>
      <c r="MAR35" s="16"/>
      <c r="MAS35" s="16"/>
      <c r="MAT35" s="16"/>
      <c r="MAU35" s="16"/>
      <c r="MAV35" s="16"/>
      <c r="MAW35" s="16"/>
      <c r="MAX35" s="16"/>
      <c r="MAY35" s="16"/>
      <c r="MAZ35" s="16"/>
      <c r="MBA35" s="16"/>
      <c r="MBB35" s="16"/>
      <c r="MBC35" s="16"/>
      <c r="MBD35" s="16"/>
      <c r="MBE35" s="16"/>
      <c r="MBF35" s="16"/>
      <c r="MBG35" s="16"/>
      <c r="MBH35" s="16"/>
      <c r="MBI35" s="16"/>
      <c r="MBJ35" s="16"/>
      <c r="MBK35" s="16"/>
      <c r="MBL35" s="16"/>
      <c r="MBM35" s="16"/>
      <c r="MBN35" s="16"/>
      <c r="MBO35" s="16"/>
      <c r="MBP35" s="16"/>
      <c r="MBQ35" s="16"/>
      <c r="MBR35" s="16"/>
      <c r="MBS35" s="16"/>
      <c r="MBT35" s="16"/>
      <c r="MBU35" s="16"/>
      <c r="MBV35" s="16"/>
      <c r="MBW35" s="16"/>
      <c r="MBX35" s="16"/>
      <c r="MBY35" s="16"/>
      <c r="MBZ35" s="16"/>
      <c r="MCA35" s="16"/>
      <c r="MCB35" s="16"/>
      <c r="MCC35" s="16"/>
      <c r="MCD35" s="16"/>
      <c r="MCE35" s="16"/>
      <c r="MCF35" s="16"/>
      <c r="MCG35" s="16"/>
      <c r="MCH35" s="16"/>
      <c r="MCI35" s="16"/>
      <c r="MCJ35" s="16"/>
      <c r="MCK35" s="16"/>
      <c r="MCL35" s="16"/>
      <c r="MCM35" s="16"/>
      <c r="MCN35" s="16"/>
      <c r="MCO35" s="16"/>
      <c r="MCP35" s="16"/>
      <c r="MCQ35" s="16"/>
      <c r="MCR35" s="16"/>
      <c r="MCS35" s="16"/>
      <c r="MCT35" s="16"/>
      <c r="MCU35" s="16"/>
      <c r="MCV35" s="16"/>
      <c r="MCW35" s="16"/>
      <c r="MCX35" s="16"/>
      <c r="MCY35" s="16"/>
      <c r="MCZ35" s="16"/>
      <c r="MDA35" s="16"/>
      <c r="MDB35" s="16"/>
      <c r="MDC35" s="16"/>
      <c r="MDD35" s="16"/>
      <c r="MDE35" s="16"/>
      <c r="MDF35" s="16"/>
      <c r="MDG35" s="16"/>
      <c r="MDH35" s="16"/>
      <c r="MDI35" s="16"/>
      <c r="MDJ35" s="16"/>
      <c r="MDK35" s="16"/>
      <c r="MDL35" s="16"/>
      <c r="MDM35" s="16"/>
      <c r="MDN35" s="16"/>
      <c r="MDO35" s="16"/>
      <c r="MDP35" s="16"/>
      <c r="MDQ35" s="16"/>
      <c r="MDR35" s="16"/>
      <c r="MDS35" s="16"/>
      <c r="MDT35" s="16"/>
      <c r="MDU35" s="16"/>
      <c r="MDV35" s="16"/>
      <c r="MDW35" s="16"/>
      <c r="MDX35" s="16"/>
      <c r="MDY35" s="16"/>
      <c r="MDZ35" s="16"/>
      <c r="MEA35" s="16"/>
      <c r="MEB35" s="16"/>
      <c r="MEC35" s="16"/>
      <c r="MED35" s="16"/>
      <c r="MEE35" s="16"/>
      <c r="MEF35" s="16"/>
      <c r="MEG35" s="16"/>
      <c r="MEH35" s="16"/>
      <c r="MEI35" s="16"/>
      <c r="MEJ35" s="16"/>
      <c r="MEK35" s="16"/>
      <c r="MEL35" s="16"/>
      <c r="MEM35" s="16"/>
      <c r="MEN35" s="16"/>
      <c r="MEO35" s="16"/>
      <c r="MEP35" s="16"/>
      <c r="MEQ35" s="16"/>
      <c r="MER35" s="16"/>
      <c r="MES35" s="16"/>
      <c r="MET35" s="16"/>
      <c r="MEU35" s="16"/>
      <c r="MEV35" s="16"/>
      <c r="MEW35" s="16"/>
      <c r="MEX35" s="16"/>
      <c r="MEY35" s="16"/>
      <c r="MEZ35" s="16"/>
      <c r="MFA35" s="16"/>
      <c r="MFB35" s="16"/>
      <c r="MFC35" s="16"/>
      <c r="MFD35" s="16"/>
      <c r="MFE35" s="16"/>
      <c r="MFF35" s="16"/>
      <c r="MFG35" s="16"/>
      <c r="MFH35" s="16"/>
      <c r="MFI35" s="16"/>
      <c r="MFJ35" s="16"/>
      <c r="MFK35" s="16"/>
      <c r="MFL35" s="16"/>
      <c r="MFM35" s="16"/>
      <c r="MFN35" s="16"/>
      <c r="MFO35" s="16"/>
      <c r="MFP35" s="16"/>
      <c r="MFQ35" s="16"/>
      <c r="MFR35" s="16"/>
      <c r="MFS35" s="16"/>
      <c r="MFT35" s="16"/>
      <c r="MFU35" s="16"/>
      <c r="MFV35" s="16"/>
      <c r="MFW35" s="16"/>
      <c r="MFX35" s="16"/>
      <c r="MFY35" s="16"/>
      <c r="MFZ35" s="16"/>
      <c r="MGA35" s="16"/>
      <c r="MGB35" s="16"/>
      <c r="MGC35" s="16"/>
      <c r="MGD35" s="16"/>
      <c r="MGE35" s="16"/>
      <c r="MGF35" s="16"/>
      <c r="MGG35" s="16"/>
      <c r="MGH35" s="16"/>
      <c r="MGI35" s="16"/>
      <c r="MGJ35" s="16"/>
      <c r="MGK35" s="16"/>
      <c r="MGL35" s="16"/>
      <c r="MGM35" s="16"/>
      <c r="MGN35" s="16"/>
      <c r="MGO35" s="16"/>
      <c r="MGP35" s="16"/>
      <c r="MGQ35" s="16"/>
      <c r="MGR35" s="16"/>
      <c r="MGS35" s="16"/>
      <c r="MGT35" s="16"/>
      <c r="MGU35" s="16"/>
      <c r="MGV35" s="16"/>
      <c r="MGW35" s="16"/>
      <c r="MGX35" s="16"/>
      <c r="MGY35" s="16"/>
      <c r="MGZ35" s="16"/>
      <c r="MHA35" s="16"/>
      <c r="MHB35" s="16"/>
      <c r="MHC35" s="16"/>
      <c r="MHD35" s="16"/>
      <c r="MHE35" s="16"/>
      <c r="MHF35" s="16"/>
      <c r="MHG35" s="16"/>
      <c r="MHH35" s="16"/>
      <c r="MHI35" s="16"/>
      <c r="MHJ35" s="16"/>
      <c r="MHK35" s="16"/>
      <c r="MHL35" s="16"/>
      <c r="MHM35" s="16"/>
      <c r="MHN35" s="16"/>
      <c r="MHO35" s="16"/>
      <c r="MHP35" s="16"/>
      <c r="MHQ35" s="16"/>
      <c r="MHR35" s="16"/>
      <c r="MHS35" s="16"/>
      <c r="MHT35" s="16"/>
      <c r="MHU35" s="16"/>
      <c r="MHV35" s="16"/>
      <c r="MHW35" s="16"/>
      <c r="MHX35" s="16"/>
      <c r="MHY35" s="16"/>
      <c r="MHZ35" s="16"/>
      <c r="MIA35" s="16"/>
      <c r="MIB35" s="16"/>
      <c r="MIC35" s="16"/>
      <c r="MID35" s="16"/>
      <c r="MIE35" s="16"/>
      <c r="MIF35" s="16"/>
      <c r="MIG35" s="16"/>
      <c r="MIH35" s="16"/>
      <c r="MII35" s="16"/>
      <c r="MIJ35" s="16"/>
      <c r="MIK35" s="16"/>
      <c r="MIL35" s="16"/>
      <c r="MIM35" s="16"/>
      <c r="MIN35" s="16"/>
      <c r="MIO35" s="16"/>
      <c r="MIP35" s="16"/>
      <c r="MIQ35" s="16"/>
      <c r="MIR35" s="16"/>
      <c r="MIS35" s="16"/>
      <c r="MIT35" s="16"/>
      <c r="MIU35" s="16"/>
      <c r="MIV35" s="16"/>
      <c r="MIW35" s="16"/>
      <c r="MIX35" s="16"/>
      <c r="MIY35" s="16"/>
      <c r="MIZ35" s="16"/>
      <c r="MJA35" s="16"/>
      <c r="MJB35" s="16"/>
      <c r="MJC35" s="16"/>
      <c r="MJD35" s="16"/>
      <c r="MJE35" s="16"/>
      <c r="MJF35" s="16"/>
      <c r="MJG35" s="16"/>
      <c r="MJH35" s="16"/>
      <c r="MJI35" s="16"/>
      <c r="MJJ35" s="16"/>
      <c r="MJK35" s="16"/>
      <c r="MJL35" s="16"/>
      <c r="MJM35" s="16"/>
      <c r="MJN35" s="16"/>
      <c r="MJO35" s="16"/>
      <c r="MJP35" s="16"/>
      <c r="MJQ35" s="16"/>
      <c r="MJR35" s="16"/>
      <c r="MJS35" s="16"/>
      <c r="MJT35" s="16"/>
      <c r="MJU35" s="16"/>
      <c r="MJV35" s="16"/>
      <c r="MJW35" s="16"/>
      <c r="MJX35" s="16"/>
      <c r="MJY35" s="16"/>
      <c r="MJZ35" s="16"/>
      <c r="MKA35" s="16"/>
      <c r="MKB35" s="16"/>
      <c r="MKC35" s="16"/>
      <c r="MKD35" s="16"/>
      <c r="MKE35" s="16"/>
      <c r="MKF35" s="16"/>
      <c r="MKG35" s="16"/>
      <c r="MKH35" s="16"/>
      <c r="MKI35" s="16"/>
      <c r="MKJ35" s="16"/>
      <c r="MKK35" s="16"/>
      <c r="MKL35" s="16"/>
      <c r="MKM35" s="16"/>
      <c r="MKN35" s="16"/>
      <c r="MKO35" s="16"/>
      <c r="MKP35" s="16"/>
      <c r="MKQ35" s="16"/>
      <c r="MKR35" s="16"/>
      <c r="MKS35" s="16"/>
      <c r="MKT35" s="16"/>
      <c r="MKU35" s="16"/>
      <c r="MKV35" s="16"/>
      <c r="MKW35" s="16"/>
      <c r="MKX35" s="16"/>
      <c r="MKY35" s="16"/>
      <c r="MKZ35" s="16"/>
      <c r="MLA35" s="16"/>
      <c r="MLB35" s="16"/>
      <c r="MLC35" s="16"/>
      <c r="MLD35" s="16"/>
      <c r="MLE35" s="16"/>
      <c r="MLF35" s="16"/>
      <c r="MLG35" s="16"/>
      <c r="MLH35" s="16"/>
      <c r="MLI35" s="16"/>
      <c r="MLJ35" s="16"/>
      <c r="MLK35" s="16"/>
      <c r="MLL35" s="16"/>
      <c r="MLM35" s="16"/>
      <c r="MLN35" s="16"/>
      <c r="MLO35" s="16"/>
      <c r="MLP35" s="16"/>
      <c r="MLQ35" s="16"/>
      <c r="MLR35" s="16"/>
      <c r="MLS35" s="16"/>
      <c r="MLT35" s="16"/>
      <c r="MLU35" s="16"/>
      <c r="MLV35" s="16"/>
      <c r="MLW35" s="16"/>
      <c r="MLX35" s="16"/>
      <c r="MLY35" s="16"/>
      <c r="MLZ35" s="16"/>
      <c r="MMA35" s="16"/>
      <c r="MMB35" s="16"/>
      <c r="MMC35" s="16"/>
      <c r="MMD35" s="16"/>
      <c r="MME35" s="16"/>
      <c r="MMF35" s="16"/>
      <c r="MMG35" s="16"/>
      <c r="MMH35" s="16"/>
      <c r="MMI35" s="16"/>
      <c r="MMJ35" s="16"/>
      <c r="MMK35" s="16"/>
      <c r="MML35" s="16"/>
      <c r="MMM35" s="16"/>
      <c r="MMN35" s="16"/>
      <c r="MMO35" s="16"/>
      <c r="MMP35" s="16"/>
      <c r="MMQ35" s="16"/>
      <c r="MMR35" s="16"/>
      <c r="MMS35" s="16"/>
      <c r="MMT35" s="16"/>
      <c r="MMU35" s="16"/>
      <c r="MMV35" s="16"/>
      <c r="MMW35" s="16"/>
      <c r="MMX35" s="16"/>
      <c r="MMY35" s="16"/>
      <c r="MMZ35" s="16"/>
      <c r="MNA35" s="16"/>
      <c r="MNB35" s="16"/>
      <c r="MNC35" s="16"/>
      <c r="MND35" s="16"/>
      <c r="MNE35" s="16"/>
      <c r="MNF35" s="16"/>
      <c r="MNG35" s="16"/>
      <c r="MNH35" s="16"/>
      <c r="MNI35" s="16"/>
      <c r="MNJ35" s="16"/>
      <c r="MNK35" s="16"/>
      <c r="MNL35" s="16"/>
      <c r="MNM35" s="16"/>
      <c r="MNN35" s="16"/>
      <c r="MNO35" s="16"/>
      <c r="MNP35" s="16"/>
      <c r="MNQ35" s="16"/>
      <c r="MNR35" s="16"/>
      <c r="MNS35" s="16"/>
      <c r="MNT35" s="16"/>
      <c r="MNU35" s="16"/>
      <c r="MNV35" s="16"/>
      <c r="MNW35" s="16"/>
      <c r="MNX35" s="16"/>
      <c r="MNY35" s="16"/>
      <c r="MNZ35" s="16"/>
      <c r="MOA35" s="16"/>
      <c r="MOB35" s="16"/>
      <c r="MOC35" s="16"/>
      <c r="MOD35" s="16"/>
      <c r="MOE35" s="16"/>
      <c r="MOF35" s="16"/>
      <c r="MOG35" s="16"/>
      <c r="MOH35" s="16"/>
      <c r="MOI35" s="16"/>
      <c r="MOJ35" s="16"/>
      <c r="MOK35" s="16"/>
      <c r="MOL35" s="16"/>
      <c r="MOM35" s="16"/>
      <c r="MON35" s="16"/>
      <c r="MOO35" s="16"/>
      <c r="MOP35" s="16"/>
      <c r="MOQ35" s="16"/>
      <c r="MOR35" s="16"/>
      <c r="MOS35" s="16"/>
      <c r="MOT35" s="16"/>
      <c r="MOU35" s="16"/>
      <c r="MOV35" s="16"/>
      <c r="MOW35" s="16"/>
      <c r="MOX35" s="16"/>
      <c r="MOY35" s="16"/>
      <c r="MOZ35" s="16"/>
      <c r="MPA35" s="16"/>
      <c r="MPB35" s="16"/>
      <c r="MPC35" s="16"/>
      <c r="MPD35" s="16"/>
      <c r="MPE35" s="16"/>
      <c r="MPF35" s="16"/>
      <c r="MPG35" s="16"/>
      <c r="MPH35" s="16"/>
      <c r="MPI35" s="16"/>
      <c r="MPJ35" s="16"/>
      <c r="MPK35" s="16"/>
      <c r="MPL35" s="16"/>
      <c r="MPM35" s="16"/>
      <c r="MPN35" s="16"/>
      <c r="MPO35" s="16"/>
      <c r="MPP35" s="16"/>
      <c r="MPQ35" s="16"/>
      <c r="MPR35" s="16"/>
      <c r="MPS35" s="16"/>
      <c r="MPT35" s="16"/>
      <c r="MPU35" s="16"/>
      <c r="MPV35" s="16"/>
      <c r="MPW35" s="16"/>
      <c r="MPX35" s="16"/>
      <c r="MPY35" s="16"/>
      <c r="MPZ35" s="16"/>
      <c r="MQA35" s="16"/>
      <c r="MQB35" s="16"/>
      <c r="MQC35" s="16"/>
      <c r="MQD35" s="16"/>
      <c r="MQE35" s="16"/>
      <c r="MQF35" s="16"/>
      <c r="MQG35" s="16"/>
      <c r="MQH35" s="16"/>
      <c r="MQI35" s="16"/>
      <c r="MQJ35" s="16"/>
      <c r="MQK35" s="16"/>
      <c r="MQL35" s="16"/>
      <c r="MQM35" s="16"/>
      <c r="MQN35" s="16"/>
      <c r="MQO35" s="16"/>
      <c r="MQP35" s="16"/>
      <c r="MQQ35" s="16"/>
      <c r="MQR35" s="16"/>
      <c r="MQS35" s="16"/>
      <c r="MQT35" s="16"/>
      <c r="MQU35" s="16"/>
      <c r="MQV35" s="16"/>
      <c r="MQW35" s="16"/>
      <c r="MQX35" s="16"/>
      <c r="MQY35" s="16"/>
      <c r="MQZ35" s="16"/>
      <c r="MRA35" s="16"/>
      <c r="MRB35" s="16"/>
      <c r="MRC35" s="16"/>
      <c r="MRD35" s="16"/>
      <c r="MRE35" s="16"/>
      <c r="MRF35" s="16"/>
      <c r="MRG35" s="16"/>
      <c r="MRH35" s="16"/>
      <c r="MRI35" s="16"/>
      <c r="MRJ35" s="16"/>
      <c r="MRK35" s="16"/>
      <c r="MRL35" s="16"/>
      <c r="MRM35" s="16"/>
      <c r="MRN35" s="16"/>
      <c r="MRO35" s="16"/>
      <c r="MRP35" s="16"/>
      <c r="MRQ35" s="16"/>
      <c r="MRR35" s="16"/>
      <c r="MRS35" s="16"/>
      <c r="MRT35" s="16"/>
      <c r="MRU35" s="16"/>
      <c r="MRV35" s="16"/>
      <c r="MRW35" s="16"/>
      <c r="MRX35" s="16"/>
      <c r="MRY35" s="16"/>
      <c r="MRZ35" s="16"/>
      <c r="MSA35" s="16"/>
      <c r="MSB35" s="16"/>
      <c r="MSC35" s="16"/>
      <c r="MSD35" s="16"/>
      <c r="MSE35" s="16"/>
      <c r="MSF35" s="16"/>
      <c r="MSG35" s="16"/>
      <c r="MSH35" s="16"/>
      <c r="MSI35" s="16"/>
      <c r="MSJ35" s="16"/>
      <c r="MSK35" s="16"/>
      <c r="MSL35" s="16"/>
      <c r="MSM35" s="16"/>
      <c r="MSN35" s="16"/>
      <c r="MSO35" s="16"/>
      <c r="MSP35" s="16"/>
      <c r="MSQ35" s="16"/>
      <c r="MSR35" s="16"/>
      <c r="MSS35" s="16"/>
      <c r="MST35" s="16"/>
      <c r="MSU35" s="16"/>
      <c r="MSV35" s="16"/>
      <c r="MSW35" s="16"/>
      <c r="MSX35" s="16"/>
      <c r="MSY35" s="16"/>
      <c r="MSZ35" s="16"/>
      <c r="MTA35" s="16"/>
      <c r="MTB35" s="16"/>
      <c r="MTC35" s="16"/>
      <c r="MTD35" s="16"/>
      <c r="MTE35" s="16"/>
      <c r="MTF35" s="16"/>
      <c r="MTG35" s="16"/>
      <c r="MTH35" s="16"/>
      <c r="MTI35" s="16"/>
      <c r="MTJ35" s="16"/>
      <c r="MTK35" s="16"/>
      <c r="MTL35" s="16"/>
      <c r="MTM35" s="16"/>
      <c r="MTN35" s="16"/>
      <c r="MTO35" s="16"/>
      <c r="MTP35" s="16"/>
      <c r="MTQ35" s="16"/>
      <c r="MTR35" s="16"/>
      <c r="MTS35" s="16"/>
      <c r="MTT35" s="16"/>
      <c r="MTU35" s="16"/>
      <c r="MTV35" s="16"/>
      <c r="MTW35" s="16"/>
      <c r="MTX35" s="16"/>
      <c r="MTY35" s="16"/>
      <c r="MTZ35" s="16"/>
      <c r="MUA35" s="16"/>
      <c r="MUB35" s="16"/>
      <c r="MUC35" s="16"/>
      <c r="MUD35" s="16"/>
      <c r="MUE35" s="16"/>
      <c r="MUF35" s="16"/>
      <c r="MUG35" s="16"/>
      <c r="MUH35" s="16"/>
      <c r="MUI35" s="16"/>
      <c r="MUJ35" s="16"/>
      <c r="MUK35" s="16"/>
      <c r="MUL35" s="16"/>
      <c r="MUM35" s="16"/>
      <c r="MUN35" s="16"/>
      <c r="MUO35" s="16"/>
      <c r="MUP35" s="16"/>
      <c r="MUQ35" s="16"/>
      <c r="MUR35" s="16"/>
      <c r="MUS35" s="16"/>
      <c r="MUT35" s="16"/>
      <c r="MUU35" s="16"/>
      <c r="MUV35" s="16"/>
      <c r="MUW35" s="16"/>
      <c r="MUX35" s="16"/>
      <c r="MUY35" s="16"/>
      <c r="MUZ35" s="16"/>
      <c r="MVA35" s="16"/>
      <c r="MVB35" s="16"/>
      <c r="MVC35" s="16"/>
      <c r="MVD35" s="16"/>
      <c r="MVE35" s="16"/>
      <c r="MVF35" s="16"/>
      <c r="MVG35" s="16"/>
      <c r="MVH35" s="16"/>
      <c r="MVI35" s="16"/>
      <c r="MVJ35" s="16"/>
      <c r="MVK35" s="16"/>
      <c r="MVL35" s="16"/>
      <c r="MVM35" s="16"/>
      <c r="MVN35" s="16"/>
      <c r="MVO35" s="16"/>
      <c r="MVP35" s="16"/>
      <c r="MVQ35" s="16"/>
      <c r="MVR35" s="16"/>
      <c r="MVS35" s="16"/>
      <c r="MVT35" s="16"/>
      <c r="MVU35" s="16"/>
      <c r="MVV35" s="16"/>
      <c r="MVW35" s="16"/>
      <c r="MVX35" s="16"/>
      <c r="MVY35" s="16"/>
      <c r="MVZ35" s="16"/>
      <c r="MWA35" s="16"/>
      <c r="MWB35" s="16"/>
      <c r="MWC35" s="16"/>
      <c r="MWD35" s="16"/>
      <c r="MWE35" s="16"/>
      <c r="MWF35" s="16"/>
      <c r="MWG35" s="16"/>
      <c r="MWH35" s="16"/>
      <c r="MWI35" s="16"/>
      <c r="MWJ35" s="16"/>
      <c r="MWK35" s="16"/>
      <c r="MWL35" s="16"/>
      <c r="MWM35" s="16"/>
      <c r="MWN35" s="16"/>
      <c r="MWO35" s="16"/>
      <c r="MWP35" s="16"/>
      <c r="MWQ35" s="16"/>
      <c r="MWR35" s="16"/>
      <c r="MWS35" s="16"/>
      <c r="MWT35" s="16"/>
      <c r="MWU35" s="16"/>
      <c r="MWV35" s="16"/>
      <c r="MWW35" s="16"/>
      <c r="MWX35" s="16"/>
      <c r="MWY35" s="16"/>
      <c r="MWZ35" s="16"/>
      <c r="MXA35" s="16"/>
      <c r="MXB35" s="16"/>
      <c r="MXC35" s="16"/>
      <c r="MXD35" s="16"/>
      <c r="MXE35" s="16"/>
      <c r="MXF35" s="16"/>
      <c r="MXG35" s="16"/>
      <c r="MXH35" s="16"/>
      <c r="MXI35" s="16"/>
      <c r="MXJ35" s="16"/>
      <c r="MXK35" s="16"/>
      <c r="MXL35" s="16"/>
      <c r="MXM35" s="16"/>
      <c r="MXN35" s="16"/>
      <c r="MXO35" s="16"/>
      <c r="MXP35" s="16"/>
      <c r="MXQ35" s="16"/>
      <c r="MXR35" s="16"/>
      <c r="MXS35" s="16"/>
      <c r="MXT35" s="16"/>
      <c r="MXU35" s="16"/>
      <c r="MXV35" s="16"/>
      <c r="MXW35" s="16"/>
      <c r="MXX35" s="16"/>
      <c r="MXY35" s="16"/>
      <c r="MXZ35" s="16"/>
      <c r="MYA35" s="16"/>
      <c r="MYB35" s="16"/>
      <c r="MYC35" s="16"/>
      <c r="MYD35" s="16"/>
      <c r="MYE35" s="16"/>
      <c r="MYF35" s="16"/>
      <c r="MYG35" s="16"/>
      <c r="MYH35" s="16"/>
      <c r="MYI35" s="16"/>
      <c r="MYJ35" s="16"/>
      <c r="MYK35" s="16"/>
      <c r="MYL35" s="16"/>
      <c r="MYM35" s="16"/>
      <c r="MYN35" s="16"/>
      <c r="MYO35" s="16"/>
      <c r="MYP35" s="16"/>
      <c r="MYQ35" s="16"/>
      <c r="MYR35" s="16"/>
      <c r="MYS35" s="16"/>
      <c r="MYT35" s="16"/>
      <c r="MYU35" s="16"/>
      <c r="MYV35" s="16"/>
      <c r="MYW35" s="16"/>
      <c r="MYX35" s="16"/>
      <c r="MYY35" s="16"/>
      <c r="MYZ35" s="16"/>
      <c r="MZA35" s="16"/>
      <c r="MZB35" s="16"/>
      <c r="MZC35" s="16"/>
      <c r="MZD35" s="16"/>
      <c r="MZE35" s="16"/>
      <c r="MZF35" s="16"/>
      <c r="MZG35" s="16"/>
      <c r="MZH35" s="16"/>
      <c r="MZI35" s="16"/>
      <c r="MZJ35" s="16"/>
      <c r="MZK35" s="16"/>
      <c r="MZL35" s="16"/>
      <c r="MZM35" s="16"/>
      <c r="MZN35" s="16"/>
      <c r="MZO35" s="16"/>
      <c r="MZP35" s="16"/>
      <c r="MZQ35" s="16"/>
      <c r="MZR35" s="16"/>
      <c r="MZS35" s="16"/>
      <c r="MZT35" s="16"/>
      <c r="MZU35" s="16"/>
      <c r="MZV35" s="16"/>
      <c r="MZW35" s="16"/>
      <c r="MZX35" s="16"/>
      <c r="MZY35" s="16"/>
      <c r="MZZ35" s="16"/>
      <c r="NAA35" s="16"/>
      <c r="NAB35" s="16"/>
      <c r="NAC35" s="16"/>
      <c r="NAD35" s="16"/>
      <c r="NAE35" s="16"/>
      <c r="NAF35" s="16"/>
      <c r="NAG35" s="16"/>
      <c r="NAH35" s="16"/>
      <c r="NAI35" s="16"/>
      <c r="NAJ35" s="16"/>
      <c r="NAK35" s="16"/>
      <c r="NAL35" s="16"/>
      <c r="NAM35" s="16"/>
      <c r="NAN35" s="16"/>
      <c r="NAO35" s="16"/>
      <c r="NAP35" s="16"/>
      <c r="NAQ35" s="16"/>
      <c r="NAR35" s="16"/>
      <c r="NAS35" s="16"/>
      <c r="NAT35" s="16"/>
      <c r="NAU35" s="16"/>
      <c r="NAV35" s="16"/>
      <c r="NAW35" s="16"/>
      <c r="NAX35" s="16"/>
      <c r="NAY35" s="16"/>
      <c r="NAZ35" s="16"/>
      <c r="NBA35" s="16"/>
      <c r="NBB35" s="16"/>
      <c r="NBC35" s="16"/>
      <c r="NBD35" s="16"/>
      <c r="NBE35" s="16"/>
      <c r="NBF35" s="16"/>
      <c r="NBG35" s="16"/>
      <c r="NBH35" s="16"/>
      <c r="NBI35" s="16"/>
      <c r="NBJ35" s="16"/>
      <c r="NBK35" s="16"/>
      <c r="NBL35" s="16"/>
      <c r="NBM35" s="16"/>
      <c r="NBN35" s="16"/>
      <c r="NBO35" s="16"/>
      <c r="NBP35" s="16"/>
      <c r="NBQ35" s="16"/>
      <c r="NBR35" s="16"/>
      <c r="NBS35" s="16"/>
      <c r="NBT35" s="16"/>
      <c r="NBU35" s="16"/>
      <c r="NBV35" s="16"/>
      <c r="NBW35" s="16"/>
      <c r="NBX35" s="16"/>
      <c r="NBY35" s="16"/>
      <c r="NBZ35" s="16"/>
      <c r="NCA35" s="16"/>
      <c r="NCB35" s="16"/>
      <c r="NCC35" s="16"/>
      <c r="NCD35" s="16"/>
      <c r="NCE35" s="16"/>
      <c r="NCF35" s="16"/>
      <c r="NCG35" s="16"/>
      <c r="NCH35" s="16"/>
      <c r="NCI35" s="16"/>
      <c r="NCJ35" s="16"/>
      <c r="NCK35" s="16"/>
      <c r="NCL35" s="16"/>
      <c r="NCM35" s="16"/>
      <c r="NCN35" s="16"/>
      <c r="NCO35" s="16"/>
      <c r="NCP35" s="16"/>
      <c r="NCQ35" s="16"/>
      <c r="NCR35" s="16"/>
      <c r="NCS35" s="16"/>
      <c r="NCT35" s="16"/>
      <c r="NCU35" s="16"/>
      <c r="NCV35" s="16"/>
      <c r="NCW35" s="16"/>
      <c r="NCX35" s="16"/>
      <c r="NCY35" s="16"/>
      <c r="NCZ35" s="16"/>
      <c r="NDA35" s="16"/>
      <c r="NDB35" s="16"/>
      <c r="NDC35" s="16"/>
      <c r="NDD35" s="16"/>
      <c r="NDE35" s="16"/>
      <c r="NDF35" s="16"/>
      <c r="NDG35" s="16"/>
      <c r="NDH35" s="16"/>
      <c r="NDI35" s="16"/>
      <c r="NDJ35" s="16"/>
      <c r="NDK35" s="16"/>
      <c r="NDL35" s="16"/>
      <c r="NDM35" s="16"/>
      <c r="NDN35" s="16"/>
      <c r="NDO35" s="16"/>
      <c r="NDP35" s="16"/>
      <c r="NDQ35" s="16"/>
      <c r="NDR35" s="16"/>
      <c r="NDS35" s="16"/>
      <c r="NDT35" s="16"/>
      <c r="NDU35" s="16"/>
      <c r="NDV35" s="16"/>
      <c r="NDW35" s="16"/>
      <c r="NDX35" s="16"/>
      <c r="NDY35" s="16"/>
      <c r="NDZ35" s="16"/>
      <c r="NEA35" s="16"/>
      <c r="NEB35" s="16"/>
      <c r="NEC35" s="16"/>
      <c r="NED35" s="16"/>
      <c r="NEE35" s="16"/>
      <c r="NEF35" s="16"/>
      <c r="NEG35" s="16"/>
      <c r="NEH35" s="16"/>
      <c r="NEI35" s="16"/>
      <c r="NEJ35" s="16"/>
      <c r="NEK35" s="16"/>
      <c r="NEL35" s="16"/>
      <c r="NEM35" s="16"/>
      <c r="NEN35" s="16"/>
      <c r="NEO35" s="16"/>
      <c r="NEP35" s="16"/>
      <c r="NEQ35" s="16"/>
      <c r="NER35" s="16"/>
      <c r="NES35" s="16"/>
      <c r="NET35" s="16"/>
      <c r="NEU35" s="16"/>
      <c r="NEV35" s="16"/>
      <c r="NEW35" s="16"/>
      <c r="NEX35" s="16"/>
      <c r="NEY35" s="16"/>
      <c r="NEZ35" s="16"/>
      <c r="NFA35" s="16"/>
      <c r="NFB35" s="16"/>
      <c r="NFC35" s="16"/>
      <c r="NFD35" s="16"/>
      <c r="NFE35" s="16"/>
      <c r="NFF35" s="16"/>
      <c r="NFG35" s="16"/>
      <c r="NFH35" s="16"/>
      <c r="NFI35" s="16"/>
      <c r="NFJ35" s="16"/>
      <c r="NFK35" s="16"/>
      <c r="NFL35" s="16"/>
      <c r="NFM35" s="16"/>
      <c r="NFN35" s="16"/>
      <c r="NFO35" s="16"/>
      <c r="NFP35" s="16"/>
      <c r="NFQ35" s="16"/>
      <c r="NFR35" s="16"/>
      <c r="NFS35" s="16"/>
      <c r="NFT35" s="16"/>
      <c r="NFU35" s="16"/>
      <c r="NFV35" s="16"/>
      <c r="NFW35" s="16"/>
      <c r="NFX35" s="16"/>
      <c r="NFY35" s="16"/>
      <c r="NFZ35" s="16"/>
      <c r="NGA35" s="16"/>
      <c r="NGB35" s="16"/>
      <c r="NGC35" s="16"/>
      <c r="NGD35" s="16"/>
      <c r="NGE35" s="16"/>
      <c r="NGF35" s="16"/>
      <c r="NGG35" s="16"/>
      <c r="NGH35" s="16"/>
      <c r="NGI35" s="16"/>
      <c r="NGJ35" s="16"/>
      <c r="NGK35" s="16"/>
      <c r="NGL35" s="16"/>
      <c r="NGM35" s="16"/>
      <c r="NGN35" s="16"/>
      <c r="NGO35" s="16"/>
      <c r="NGP35" s="16"/>
      <c r="NGQ35" s="16"/>
      <c r="NGR35" s="16"/>
      <c r="NGS35" s="16"/>
      <c r="NGT35" s="16"/>
      <c r="NGU35" s="16"/>
      <c r="NGV35" s="16"/>
      <c r="NGW35" s="16"/>
      <c r="NGX35" s="16"/>
      <c r="NGY35" s="16"/>
      <c r="NGZ35" s="16"/>
      <c r="NHA35" s="16"/>
      <c r="NHB35" s="16"/>
      <c r="NHC35" s="16"/>
      <c r="NHD35" s="16"/>
      <c r="NHE35" s="16"/>
      <c r="NHF35" s="16"/>
      <c r="NHG35" s="16"/>
      <c r="NHH35" s="16"/>
      <c r="NHI35" s="16"/>
      <c r="NHJ35" s="16"/>
      <c r="NHK35" s="16"/>
      <c r="NHL35" s="16"/>
      <c r="NHM35" s="16"/>
      <c r="NHN35" s="16"/>
      <c r="NHO35" s="16"/>
      <c r="NHP35" s="16"/>
      <c r="NHQ35" s="16"/>
      <c r="NHR35" s="16"/>
      <c r="NHS35" s="16"/>
      <c r="NHT35" s="16"/>
      <c r="NHU35" s="16"/>
      <c r="NHV35" s="16"/>
      <c r="NHW35" s="16"/>
      <c r="NHX35" s="16"/>
      <c r="NHY35" s="16"/>
      <c r="NHZ35" s="16"/>
      <c r="NIA35" s="16"/>
      <c r="NIB35" s="16"/>
      <c r="NIC35" s="16"/>
      <c r="NID35" s="16"/>
      <c r="NIE35" s="16"/>
      <c r="NIF35" s="16"/>
      <c r="NIG35" s="16"/>
      <c r="NIH35" s="16"/>
      <c r="NII35" s="16"/>
      <c r="NIJ35" s="16"/>
      <c r="NIK35" s="16"/>
      <c r="NIL35" s="16"/>
      <c r="NIM35" s="16"/>
      <c r="NIN35" s="16"/>
      <c r="NIO35" s="16"/>
      <c r="NIP35" s="16"/>
      <c r="NIQ35" s="16"/>
      <c r="NIR35" s="16"/>
      <c r="NIS35" s="16"/>
      <c r="NIT35" s="16"/>
      <c r="NIU35" s="16"/>
      <c r="NIV35" s="16"/>
      <c r="NIW35" s="16"/>
      <c r="NIX35" s="16"/>
      <c r="NIY35" s="16"/>
      <c r="NIZ35" s="16"/>
      <c r="NJA35" s="16"/>
      <c r="NJB35" s="16"/>
      <c r="NJC35" s="16"/>
      <c r="NJD35" s="16"/>
      <c r="NJE35" s="16"/>
      <c r="NJF35" s="16"/>
      <c r="NJG35" s="16"/>
      <c r="NJH35" s="16"/>
      <c r="NJI35" s="16"/>
      <c r="NJJ35" s="16"/>
      <c r="NJK35" s="16"/>
      <c r="NJL35" s="16"/>
      <c r="NJM35" s="16"/>
      <c r="NJN35" s="16"/>
      <c r="NJO35" s="16"/>
      <c r="NJP35" s="16"/>
      <c r="NJQ35" s="16"/>
      <c r="NJR35" s="16"/>
      <c r="NJS35" s="16"/>
      <c r="NJT35" s="16"/>
      <c r="NJU35" s="16"/>
      <c r="NJV35" s="16"/>
      <c r="NJW35" s="16"/>
      <c r="NJX35" s="16"/>
      <c r="NJY35" s="16"/>
      <c r="NJZ35" s="16"/>
      <c r="NKA35" s="16"/>
      <c r="NKB35" s="16"/>
      <c r="NKC35" s="16"/>
      <c r="NKD35" s="16"/>
      <c r="NKE35" s="16"/>
      <c r="NKF35" s="16"/>
      <c r="NKG35" s="16"/>
      <c r="NKH35" s="16"/>
      <c r="NKI35" s="16"/>
      <c r="NKJ35" s="16"/>
      <c r="NKK35" s="16"/>
      <c r="NKL35" s="16"/>
      <c r="NKM35" s="16"/>
      <c r="NKN35" s="16"/>
      <c r="NKO35" s="16"/>
      <c r="NKP35" s="16"/>
      <c r="NKQ35" s="16"/>
      <c r="NKR35" s="16"/>
      <c r="NKS35" s="16"/>
      <c r="NKT35" s="16"/>
      <c r="NKU35" s="16"/>
      <c r="NKV35" s="16"/>
      <c r="NKW35" s="16"/>
      <c r="NKX35" s="16"/>
      <c r="NKY35" s="16"/>
      <c r="NKZ35" s="16"/>
      <c r="NLA35" s="16"/>
      <c r="NLB35" s="16"/>
      <c r="NLC35" s="16"/>
      <c r="NLD35" s="16"/>
      <c r="NLE35" s="16"/>
      <c r="NLF35" s="16"/>
      <c r="NLG35" s="16"/>
      <c r="NLH35" s="16"/>
      <c r="NLI35" s="16"/>
      <c r="NLJ35" s="16"/>
      <c r="NLK35" s="16"/>
      <c r="NLL35" s="16"/>
      <c r="NLM35" s="16"/>
      <c r="NLN35" s="16"/>
      <c r="NLO35" s="16"/>
      <c r="NLP35" s="16"/>
      <c r="NLQ35" s="16"/>
      <c r="NLR35" s="16"/>
      <c r="NLS35" s="16"/>
      <c r="NLT35" s="16"/>
      <c r="NLU35" s="16"/>
      <c r="NLV35" s="16"/>
      <c r="NLW35" s="16"/>
      <c r="NLX35" s="16"/>
      <c r="NLY35" s="16"/>
      <c r="NLZ35" s="16"/>
      <c r="NMA35" s="16"/>
      <c r="NMB35" s="16"/>
      <c r="NMC35" s="16"/>
      <c r="NMD35" s="16"/>
      <c r="NME35" s="16"/>
      <c r="NMF35" s="16"/>
      <c r="NMG35" s="16"/>
      <c r="NMH35" s="16"/>
      <c r="NMI35" s="16"/>
      <c r="NMJ35" s="16"/>
      <c r="NMK35" s="16"/>
      <c r="NML35" s="16"/>
      <c r="NMM35" s="16"/>
      <c r="NMN35" s="16"/>
      <c r="NMO35" s="16"/>
      <c r="NMP35" s="16"/>
      <c r="NMQ35" s="16"/>
      <c r="NMR35" s="16"/>
      <c r="NMS35" s="16"/>
      <c r="NMT35" s="16"/>
      <c r="NMU35" s="16"/>
      <c r="NMV35" s="16"/>
      <c r="NMW35" s="16"/>
      <c r="NMX35" s="16"/>
      <c r="NMY35" s="16"/>
      <c r="NMZ35" s="16"/>
      <c r="NNA35" s="16"/>
      <c r="NNB35" s="16"/>
      <c r="NNC35" s="16"/>
      <c r="NND35" s="16"/>
      <c r="NNE35" s="16"/>
      <c r="NNF35" s="16"/>
      <c r="NNG35" s="16"/>
      <c r="NNH35" s="16"/>
      <c r="NNI35" s="16"/>
      <c r="NNJ35" s="16"/>
      <c r="NNK35" s="16"/>
      <c r="NNL35" s="16"/>
      <c r="NNM35" s="16"/>
      <c r="NNN35" s="16"/>
      <c r="NNO35" s="16"/>
      <c r="NNP35" s="16"/>
      <c r="NNQ35" s="16"/>
      <c r="NNR35" s="16"/>
      <c r="NNS35" s="16"/>
      <c r="NNT35" s="16"/>
      <c r="NNU35" s="16"/>
      <c r="NNV35" s="16"/>
      <c r="NNW35" s="16"/>
      <c r="NNX35" s="16"/>
      <c r="NNY35" s="16"/>
      <c r="NNZ35" s="16"/>
      <c r="NOA35" s="16"/>
      <c r="NOB35" s="16"/>
      <c r="NOC35" s="16"/>
      <c r="NOD35" s="16"/>
      <c r="NOE35" s="16"/>
      <c r="NOF35" s="16"/>
      <c r="NOG35" s="16"/>
      <c r="NOH35" s="16"/>
      <c r="NOI35" s="16"/>
      <c r="NOJ35" s="16"/>
      <c r="NOK35" s="16"/>
      <c r="NOL35" s="16"/>
      <c r="NOM35" s="16"/>
      <c r="NON35" s="16"/>
      <c r="NOO35" s="16"/>
      <c r="NOP35" s="16"/>
      <c r="NOQ35" s="16"/>
      <c r="NOR35" s="16"/>
      <c r="NOS35" s="16"/>
      <c r="NOT35" s="16"/>
      <c r="NOU35" s="16"/>
      <c r="NOV35" s="16"/>
      <c r="NOW35" s="16"/>
      <c r="NOX35" s="16"/>
      <c r="NOY35" s="16"/>
      <c r="NOZ35" s="16"/>
      <c r="NPA35" s="16"/>
      <c r="NPB35" s="16"/>
      <c r="NPC35" s="16"/>
      <c r="NPD35" s="16"/>
      <c r="NPE35" s="16"/>
      <c r="NPF35" s="16"/>
      <c r="NPG35" s="16"/>
      <c r="NPH35" s="16"/>
      <c r="NPI35" s="16"/>
      <c r="NPJ35" s="16"/>
      <c r="NPK35" s="16"/>
      <c r="NPL35" s="16"/>
      <c r="NPM35" s="16"/>
      <c r="NPN35" s="16"/>
      <c r="NPO35" s="16"/>
      <c r="NPP35" s="16"/>
      <c r="NPQ35" s="16"/>
      <c r="NPR35" s="16"/>
      <c r="NPS35" s="16"/>
      <c r="NPT35" s="16"/>
      <c r="NPU35" s="16"/>
      <c r="NPV35" s="16"/>
      <c r="NPW35" s="16"/>
      <c r="NPX35" s="16"/>
      <c r="NPY35" s="16"/>
      <c r="NPZ35" s="16"/>
      <c r="NQA35" s="16"/>
      <c r="NQB35" s="16"/>
      <c r="NQC35" s="16"/>
      <c r="NQD35" s="16"/>
      <c r="NQE35" s="16"/>
      <c r="NQF35" s="16"/>
      <c r="NQG35" s="16"/>
      <c r="NQH35" s="16"/>
      <c r="NQI35" s="16"/>
      <c r="NQJ35" s="16"/>
      <c r="NQK35" s="16"/>
      <c r="NQL35" s="16"/>
      <c r="NQM35" s="16"/>
      <c r="NQN35" s="16"/>
      <c r="NQO35" s="16"/>
      <c r="NQP35" s="16"/>
      <c r="NQQ35" s="16"/>
      <c r="NQR35" s="16"/>
      <c r="NQS35" s="16"/>
      <c r="NQT35" s="16"/>
      <c r="NQU35" s="16"/>
      <c r="NQV35" s="16"/>
      <c r="NQW35" s="16"/>
      <c r="NQX35" s="16"/>
      <c r="NQY35" s="16"/>
      <c r="NQZ35" s="16"/>
      <c r="NRA35" s="16"/>
      <c r="NRB35" s="16"/>
      <c r="NRC35" s="16"/>
      <c r="NRD35" s="16"/>
      <c r="NRE35" s="16"/>
      <c r="NRF35" s="16"/>
      <c r="NRG35" s="16"/>
      <c r="NRH35" s="16"/>
      <c r="NRI35" s="16"/>
      <c r="NRJ35" s="16"/>
      <c r="NRK35" s="16"/>
      <c r="NRL35" s="16"/>
      <c r="NRM35" s="16"/>
      <c r="NRN35" s="16"/>
      <c r="NRO35" s="16"/>
      <c r="NRP35" s="16"/>
      <c r="NRQ35" s="16"/>
      <c r="NRR35" s="16"/>
      <c r="NRS35" s="16"/>
      <c r="NRT35" s="16"/>
      <c r="NRU35" s="16"/>
      <c r="NRV35" s="16"/>
      <c r="NRW35" s="16"/>
      <c r="NRX35" s="16"/>
      <c r="NRY35" s="16"/>
      <c r="NRZ35" s="16"/>
      <c r="NSA35" s="16"/>
      <c r="NSB35" s="16"/>
      <c r="NSC35" s="16"/>
      <c r="NSD35" s="16"/>
      <c r="NSE35" s="16"/>
      <c r="NSF35" s="16"/>
      <c r="NSG35" s="16"/>
      <c r="NSH35" s="16"/>
      <c r="NSI35" s="16"/>
      <c r="NSJ35" s="16"/>
      <c r="NSK35" s="16"/>
      <c r="NSL35" s="16"/>
      <c r="NSM35" s="16"/>
      <c r="NSN35" s="16"/>
      <c r="NSO35" s="16"/>
      <c r="NSP35" s="16"/>
      <c r="NSQ35" s="16"/>
      <c r="NSR35" s="16"/>
      <c r="NSS35" s="16"/>
      <c r="NST35" s="16"/>
      <c r="NSU35" s="16"/>
      <c r="NSV35" s="16"/>
      <c r="NSW35" s="16"/>
      <c r="NSX35" s="16"/>
      <c r="NSY35" s="16"/>
      <c r="NSZ35" s="16"/>
      <c r="NTA35" s="16"/>
      <c r="NTB35" s="16"/>
      <c r="NTC35" s="16"/>
      <c r="NTD35" s="16"/>
      <c r="NTE35" s="16"/>
      <c r="NTF35" s="16"/>
      <c r="NTG35" s="16"/>
      <c r="NTH35" s="16"/>
      <c r="NTI35" s="16"/>
      <c r="NTJ35" s="16"/>
      <c r="NTK35" s="16"/>
      <c r="NTL35" s="16"/>
      <c r="NTM35" s="16"/>
      <c r="NTN35" s="16"/>
      <c r="NTO35" s="16"/>
      <c r="NTP35" s="16"/>
      <c r="NTQ35" s="16"/>
      <c r="NTR35" s="16"/>
      <c r="NTS35" s="16"/>
      <c r="NTT35" s="16"/>
      <c r="NTU35" s="16"/>
      <c r="NTV35" s="16"/>
      <c r="NTW35" s="16"/>
      <c r="NTX35" s="16"/>
      <c r="NTY35" s="16"/>
      <c r="NTZ35" s="16"/>
      <c r="NUA35" s="16"/>
      <c r="NUB35" s="16"/>
      <c r="NUC35" s="16"/>
      <c r="NUD35" s="16"/>
      <c r="NUE35" s="16"/>
      <c r="NUF35" s="16"/>
      <c r="NUG35" s="16"/>
      <c r="NUH35" s="16"/>
      <c r="NUI35" s="16"/>
      <c r="NUJ35" s="16"/>
      <c r="NUK35" s="16"/>
      <c r="NUL35" s="16"/>
      <c r="NUM35" s="16"/>
      <c r="NUN35" s="16"/>
      <c r="NUO35" s="16"/>
      <c r="NUP35" s="16"/>
      <c r="NUQ35" s="16"/>
      <c r="NUR35" s="16"/>
      <c r="NUS35" s="16"/>
      <c r="NUT35" s="16"/>
      <c r="NUU35" s="16"/>
      <c r="NUV35" s="16"/>
      <c r="NUW35" s="16"/>
      <c r="NUX35" s="16"/>
      <c r="NUY35" s="16"/>
      <c r="NUZ35" s="16"/>
      <c r="NVA35" s="16"/>
      <c r="NVB35" s="16"/>
      <c r="NVC35" s="16"/>
      <c r="NVD35" s="16"/>
      <c r="NVE35" s="16"/>
      <c r="NVF35" s="16"/>
      <c r="NVG35" s="16"/>
      <c r="NVH35" s="16"/>
      <c r="NVI35" s="16"/>
      <c r="NVJ35" s="16"/>
      <c r="NVK35" s="16"/>
      <c r="NVL35" s="16"/>
      <c r="NVM35" s="16"/>
      <c r="NVN35" s="16"/>
      <c r="NVO35" s="16"/>
      <c r="NVP35" s="16"/>
      <c r="NVQ35" s="16"/>
      <c r="NVR35" s="16"/>
      <c r="NVS35" s="16"/>
      <c r="NVT35" s="16"/>
      <c r="NVU35" s="16"/>
      <c r="NVV35" s="16"/>
      <c r="NVW35" s="16"/>
      <c r="NVX35" s="16"/>
      <c r="NVY35" s="16"/>
      <c r="NVZ35" s="16"/>
      <c r="NWA35" s="16"/>
      <c r="NWB35" s="16"/>
      <c r="NWC35" s="16"/>
      <c r="NWD35" s="16"/>
      <c r="NWE35" s="16"/>
      <c r="NWF35" s="16"/>
      <c r="NWG35" s="16"/>
      <c r="NWH35" s="16"/>
      <c r="NWI35" s="16"/>
      <c r="NWJ35" s="16"/>
      <c r="NWK35" s="16"/>
      <c r="NWL35" s="16"/>
      <c r="NWM35" s="16"/>
      <c r="NWN35" s="16"/>
      <c r="NWO35" s="16"/>
      <c r="NWP35" s="16"/>
      <c r="NWQ35" s="16"/>
      <c r="NWR35" s="16"/>
      <c r="NWS35" s="16"/>
      <c r="NWT35" s="16"/>
      <c r="NWU35" s="16"/>
      <c r="NWV35" s="16"/>
      <c r="NWW35" s="16"/>
      <c r="NWX35" s="16"/>
      <c r="NWY35" s="16"/>
      <c r="NWZ35" s="16"/>
      <c r="NXA35" s="16"/>
      <c r="NXB35" s="16"/>
      <c r="NXC35" s="16"/>
      <c r="NXD35" s="16"/>
      <c r="NXE35" s="16"/>
      <c r="NXF35" s="16"/>
      <c r="NXG35" s="16"/>
      <c r="NXH35" s="16"/>
      <c r="NXI35" s="16"/>
      <c r="NXJ35" s="16"/>
      <c r="NXK35" s="16"/>
      <c r="NXL35" s="16"/>
      <c r="NXM35" s="16"/>
      <c r="NXN35" s="16"/>
      <c r="NXO35" s="16"/>
      <c r="NXP35" s="16"/>
      <c r="NXQ35" s="16"/>
      <c r="NXR35" s="16"/>
      <c r="NXS35" s="16"/>
      <c r="NXT35" s="16"/>
      <c r="NXU35" s="16"/>
      <c r="NXV35" s="16"/>
      <c r="NXW35" s="16"/>
      <c r="NXX35" s="16"/>
      <c r="NXY35" s="16"/>
      <c r="NXZ35" s="16"/>
      <c r="NYA35" s="16"/>
      <c r="NYB35" s="16"/>
      <c r="NYC35" s="16"/>
      <c r="NYD35" s="16"/>
      <c r="NYE35" s="16"/>
      <c r="NYF35" s="16"/>
      <c r="NYG35" s="16"/>
      <c r="NYH35" s="16"/>
      <c r="NYI35" s="16"/>
      <c r="NYJ35" s="16"/>
      <c r="NYK35" s="16"/>
      <c r="NYL35" s="16"/>
      <c r="NYM35" s="16"/>
      <c r="NYN35" s="16"/>
      <c r="NYO35" s="16"/>
      <c r="NYP35" s="16"/>
      <c r="NYQ35" s="16"/>
      <c r="NYR35" s="16"/>
      <c r="NYS35" s="16"/>
      <c r="NYT35" s="16"/>
      <c r="NYU35" s="16"/>
      <c r="NYV35" s="16"/>
      <c r="NYW35" s="16"/>
      <c r="NYX35" s="16"/>
      <c r="NYY35" s="16"/>
      <c r="NYZ35" s="16"/>
      <c r="NZA35" s="16"/>
      <c r="NZB35" s="16"/>
      <c r="NZC35" s="16"/>
      <c r="NZD35" s="16"/>
      <c r="NZE35" s="16"/>
      <c r="NZF35" s="16"/>
      <c r="NZG35" s="16"/>
      <c r="NZH35" s="16"/>
      <c r="NZI35" s="16"/>
      <c r="NZJ35" s="16"/>
      <c r="NZK35" s="16"/>
      <c r="NZL35" s="16"/>
      <c r="NZM35" s="16"/>
      <c r="NZN35" s="16"/>
      <c r="NZO35" s="16"/>
      <c r="NZP35" s="16"/>
      <c r="NZQ35" s="16"/>
      <c r="NZR35" s="16"/>
      <c r="NZS35" s="16"/>
      <c r="NZT35" s="16"/>
      <c r="NZU35" s="16"/>
      <c r="NZV35" s="16"/>
      <c r="NZW35" s="16"/>
      <c r="NZX35" s="16"/>
      <c r="NZY35" s="16"/>
      <c r="NZZ35" s="16"/>
      <c r="OAA35" s="16"/>
      <c r="OAB35" s="16"/>
      <c r="OAC35" s="16"/>
      <c r="OAD35" s="16"/>
      <c r="OAE35" s="16"/>
      <c r="OAF35" s="16"/>
      <c r="OAG35" s="16"/>
      <c r="OAH35" s="16"/>
      <c r="OAI35" s="16"/>
      <c r="OAJ35" s="16"/>
      <c r="OAK35" s="16"/>
      <c r="OAL35" s="16"/>
      <c r="OAM35" s="16"/>
      <c r="OAN35" s="16"/>
      <c r="OAO35" s="16"/>
      <c r="OAP35" s="16"/>
      <c r="OAQ35" s="16"/>
      <c r="OAR35" s="16"/>
      <c r="OAS35" s="16"/>
      <c r="OAT35" s="16"/>
      <c r="OAU35" s="16"/>
      <c r="OAV35" s="16"/>
      <c r="OAW35" s="16"/>
      <c r="OAX35" s="16"/>
      <c r="OAY35" s="16"/>
      <c r="OAZ35" s="16"/>
      <c r="OBA35" s="16"/>
      <c r="OBB35" s="16"/>
      <c r="OBC35" s="16"/>
      <c r="OBD35" s="16"/>
      <c r="OBE35" s="16"/>
      <c r="OBF35" s="16"/>
      <c r="OBG35" s="16"/>
      <c r="OBH35" s="16"/>
      <c r="OBI35" s="16"/>
      <c r="OBJ35" s="16"/>
      <c r="OBK35" s="16"/>
      <c r="OBL35" s="16"/>
      <c r="OBM35" s="16"/>
      <c r="OBN35" s="16"/>
      <c r="OBO35" s="16"/>
      <c r="OBP35" s="16"/>
      <c r="OBQ35" s="16"/>
      <c r="OBR35" s="16"/>
      <c r="OBS35" s="16"/>
      <c r="OBT35" s="16"/>
      <c r="OBU35" s="16"/>
      <c r="OBV35" s="16"/>
      <c r="OBW35" s="16"/>
      <c r="OBX35" s="16"/>
      <c r="OBY35" s="16"/>
      <c r="OBZ35" s="16"/>
      <c r="OCA35" s="16"/>
      <c r="OCB35" s="16"/>
      <c r="OCC35" s="16"/>
      <c r="OCD35" s="16"/>
      <c r="OCE35" s="16"/>
      <c r="OCF35" s="16"/>
      <c r="OCG35" s="16"/>
      <c r="OCH35" s="16"/>
      <c r="OCI35" s="16"/>
      <c r="OCJ35" s="16"/>
      <c r="OCK35" s="16"/>
      <c r="OCL35" s="16"/>
      <c r="OCM35" s="16"/>
      <c r="OCN35" s="16"/>
      <c r="OCO35" s="16"/>
      <c r="OCP35" s="16"/>
      <c r="OCQ35" s="16"/>
      <c r="OCR35" s="16"/>
      <c r="OCS35" s="16"/>
      <c r="OCT35" s="16"/>
      <c r="OCU35" s="16"/>
      <c r="OCV35" s="16"/>
      <c r="OCW35" s="16"/>
      <c r="OCX35" s="16"/>
      <c r="OCY35" s="16"/>
      <c r="OCZ35" s="16"/>
      <c r="ODA35" s="16"/>
      <c r="ODB35" s="16"/>
      <c r="ODC35" s="16"/>
      <c r="ODD35" s="16"/>
      <c r="ODE35" s="16"/>
      <c r="ODF35" s="16"/>
      <c r="ODG35" s="16"/>
      <c r="ODH35" s="16"/>
      <c r="ODI35" s="16"/>
      <c r="ODJ35" s="16"/>
      <c r="ODK35" s="16"/>
      <c r="ODL35" s="16"/>
      <c r="ODM35" s="16"/>
      <c r="ODN35" s="16"/>
      <c r="ODO35" s="16"/>
      <c r="ODP35" s="16"/>
      <c r="ODQ35" s="16"/>
      <c r="ODR35" s="16"/>
      <c r="ODS35" s="16"/>
      <c r="ODT35" s="16"/>
      <c r="ODU35" s="16"/>
      <c r="ODV35" s="16"/>
      <c r="ODW35" s="16"/>
      <c r="ODX35" s="16"/>
      <c r="ODY35" s="16"/>
      <c r="ODZ35" s="16"/>
      <c r="OEA35" s="16"/>
      <c r="OEB35" s="16"/>
      <c r="OEC35" s="16"/>
      <c r="OED35" s="16"/>
      <c r="OEE35" s="16"/>
      <c r="OEF35" s="16"/>
      <c r="OEG35" s="16"/>
      <c r="OEH35" s="16"/>
      <c r="OEI35" s="16"/>
      <c r="OEJ35" s="16"/>
      <c r="OEK35" s="16"/>
      <c r="OEL35" s="16"/>
      <c r="OEM35" s="16"/>
      <c r="OEN35" s="16"/>
      <c r="OEO35" s="16"/>
      <c r="OEP35" s="16"/>
      <c r="OEQ35" s="16"/>
      <c r="OER35" s="16"/>
      <c r="OES35" s="16"/>
      <c r="OET35" s="16"/>
      <c r="OEU35" s="16"/>
      <c r="OEV35" s="16"/>
      <c r="OEW35" s="16"/>
      <c r="OEX35" s="16"/>
      <c r="OEY35" s="16"/>
      <c r="OEZ35" s="16"/>
      <c r="OFA35" s="16"/>
      <c r="OFB35" s="16"/>
      <c r="OFC35" s="16"/>
      <c r="OFD35" s="16"/>
      <c r="OFE35" s="16"/>
      <c r="OFF35" s="16"/>
      <c r="OFG35" s="16"/>
      <c r="OFH35" s="16"/>
      <c r="OFI35" s="16"/>
      <c r="OFJ35" s="16"/>
      <c r="OFK35" s="16"/>
      <c r="OFL35" s="16"/>
      <c r="OFM35" s="16"/>
      <c r="OFN35" s="16"/>
      <c r="OFO35" s="16"/>
      <c r="OFP35" s="16"/>
      <c r="OFQ35" s="16"/>
      <c r="OFR35" s="16"/>
      <c r="OFS35" s="16"/>
      <c r="OFT35" s="16"/>
      <c r="OFU35" s="16"/>
      <c r="OFV35" s="16"/>
      <c r="OFW35" s="16"/>
      <c r="OFX35" s="16"/>
      <c r="OFY35" s="16"/>
      <c r="OFZ35" s="16"/>
      <c r="OGA35" s="16"/>
      <c r="OGB35" s="16"/>
      <c r="OGC35" s="16"/>
      <c r="OGD35" s="16"/>
      <c r="OGE35" s="16"/>
      <c r="OGF35" s="16"/>
      <c r="OGG35" s="16"/>
      <c r="OGH35" s="16"/>
      <c r="OGI35" s="16"/>
      <c r="OGJ35" s="16"/>
      <c r="OGK35" s="16"/>
      <c r="OGL35" s="16"/>
      <c r="OGM35" s="16"/>
      <c r="OGN35" s="16"/>
      <c r="OGO35" s="16"/>
      <c r="OGP35" s="16"/>
      <c r="OGQ35" s="16"/>
      <c r="OGR35" s="16"/>
      <c r="OGS35" s="16"/>
      <c r="OGT35" s="16"/>
      <c r="OGU35" s="16"/>
      <c r="OGV35" s="16"/>
      <c r="OGW35" s="16"/>
      <c r="OGX35" s="16"/>
      <c r="OGY35" s="16"/>
      <c r="OGZ35" s="16"/>
      <c r="OHA35" s="16"/>
      <c r="OHB35" s="16"/>
      <c r="OHC35" s="16"/>
      <c r="OHD35" s="16"/>
      <c r="OHE35" s="16"/>
      <c r="OHF35" s="16"/>
      <c r="OHG35" s="16"/>
      <c r="OHH35" s="16"/>
      <c r="OHI35" s="16"/>
      <c r="OHJ35" s="16"/>
      <c r="OHK35" s="16"/>
      <c r="OHL35" s="16"/>
      <c r="OHM35" s="16"/>
      <c r="OHN35" s="16"/>
      <c r="OHO35" s="16"/>
      <c r="OHP35" s="16"/>
      <c r="OHQ35" s="16"/>
      <c r="OHR35" s="16"/>
      <c r="OHS35" s="16"/>
      <c r="OHT35" s="16"/>
      <c r="OHU35" s="16"/>
      <c r="OHV35" s="16"/>
      <c r="OHW35" s="16"/>
      <c r="OHX35" s="16"/>
      <c r="OHY35" s="16"/>
      <c r="OHZ35" s="16"/>
      <c r="OIA35" s="16"/>
      <c r="OIB35" s="16"/>
      <c r="OIC35" s="16"/>
      <c r="OID35" s="16"/>
      <c r="OIE35" s="16"/>
      <c r="OIF35" s="16"/>
      <c r="OIG35" s="16"/>
      <c r="OIH35" s="16"/>
      <c r="OII35" s="16"/>
      <c r="OIJ35" s="16"/>
      <c r="OIK35" s="16"/>
      <c r="OIL35" s="16"/>
      <c r="OIM35" s="16"/>
      <c r="OIN35" s="16"/>
      <c r="OIO35" s="16"/>
      <c r="OIP35" s="16"/>
      <c r="OIQ35" s="16"/>
      <c r="OIR35" s="16"/>
      <c r="OIS35" s="16"/>
      <c r="OIT35" s="16"/>
      <c r="OIU35" s="16"/>
      <c r="OIV35" s="16"/>
      <c r="OIW35" s="16"/>
      <c r="OIX35" s="16"/>
      <c r="OIY35" s="16"/>
      <c r="OIZ35" s="16"/>
      <c r="OJA35" s="16"/>
      <c r="OJB35" s="16"/>
      <c r="OJC35" s="16"/>
      <c r="OJD35" s="16"/>
      <c r="OJE35" s="16"/>
      <c r="OJF35" s="16"/>
      <c r="OJG35" s="16"/>
      <c r="OJH35" s="16"/>
      <c r="OJI35" s="16"/>
      <c r="OJJ35" s="16"/>
      <c r="OJK35" s="16"/>
      <c r="OJL35" s="16"/>
      <c r="OJM35" s="16"/>
      <c r="OJN35" s="16"/>
      <c r="OJO35" s="16"/>
      <c r="OJP35" s="16"/>
      <c r="OJQ35" s="16"/>
      <c r="OJR35" s="16"/>
      <c r="OJS35" s="16"/>
      <c r="OJT35" s="16"/>
      <c r="OJU35" s="16"/>
      <c r="OJV35" s="16"/>
      <c r="OJW35" s="16"/>
      <c r="OJX35" s="16"/>
      <c r="OJY35" s="16"/>
      <c r="OJZ35" s="16"/>
      <c r="OKA35" s="16"/>
      <c r="OKB35" s="16"/>
      <c r="OKC35" s="16"/>
      <c r="OKD35" s="16"/>
      <c r="OKE35" s="16"/>
      <c r="OKF35" s="16"/>
      <c r="OKG35" s="16"/>
      <c r="OKH35" s="16"/>
      <c r="OKI35" s="16"/>
      <c r="OKJ35" s="16"/>
      <c r="OKK35" s="16"/>
      <c r="OKL35" s="16"/>
      <c r="OKM35" s="16"/>
      <c r="OKN35" s="16"/>
      <c r="OKO35" s="16"/>
      <c r="OKP35" s="16"/>
      <c r="OKQ35" s="16"/>
      <c r="OKR35" s="16"/>
      <c r="OKS35" s="16"/>
      <c r="OKT35" s="16"/>
      <c r="OKU35" s="16"/>
      <c r="OKV35" s="16"/>
      <c r="OKW35" s="16"/>
      <c r="OKX35" s="16"/>
      <c r="OKY35" s="16"/>
      <c r="OKZ35" s="16"/>
      <c r="OLA35" s="16"/>
      <c r="OLB35" s="16"/>
      <c r="OLC35" s="16"/>
      <c r="OLD35" s="16"/>
      <c r="OLE35" s="16"/>
      <c r="OLF35" s="16"/>
      <c r="OLG35" s="16"/>
      <c r="OLH35" s="16"/>
      <c r="OLI35" s="16"/>
      <c r="OLJ35" s="16"/>
      <c r="OLK35" s="16"/>
      <c r="OLL35" s="16"/>
      <c r="OLM35" s="16"/>
      <c r="OLN35" s="16"/>
      <c r="OLO35" s="16"/>
      <c r="OLP35" s="16"/>
      <c r="OLQ35" s="16"/>
      <c r="OLR35" s="16"/>
      <c r="OLS35" s="16"/>
      <c r="OLT35" s="16"/>
      <c r="OLU35" s="16"/>
      <c r="OLV35" s="16"/>
      <c r="OLW35" s="16"/>
      <c r="OLX35" s="16"/>
      <c r="OLY35" s="16"/>
      <c r="OLZ35" s="16"/>
      <c r="OMA35" s="16"/>
      <c r="OMB35" s="16"/>
      <c r="OMC35" s="16"/>
      <c r="OMD35" s="16"/>
      <c r="OME35" s="16"/>
      <c r="OMF35" s="16"/>
      <c r="OMG35" s="16"/>
      <c r="OMH35" s="16"/>
      <c r="OMI35" s="16"/>
      <c r="OMJ35" s="16"/>
      <c r="OMK35" s="16"/>
      <c r="OML35" s="16"/>
      <c r="OMM35" s="16"/>
      <c r="OMN35" s="16"/>
      <c r="OMO35" s="16"/>
      <c r="OMP35" s="16"/>
      <c r="OMQ35" s="16"/>
      <c r="OMR35" s="16"/>
      <c r="OMS35" s="16"/>
      <c r="OMT35" s="16"/>
      <c r="OMU35" s="16"/>
      <c r="OMV35" s="16"/>
      <c r="OMW35" s="16"/>
      <c r="OMX35" s="16"/>
      <c r="OMY35" s="16"/>
      <c r="OMZ35" s="16"/>
      <c r="ONA35" s="16"/>
      <c r="ONB35" s="16"/>
      <c r="ONC35" s="16"/>
      <c r="OND35" s="16"/>
      <c r="ONE35" s="16"/>
      <c r="ONF35" s="16"/>
      <c r="ONG35" s="16"/>
      <c r="ONH35" s="16"/>
      <c r="ONI35" s="16"/>
      <c r="ONJ35" s="16"/>
      <c r="ONK35" s="16"/>
      <c r="ONL35" s="16"/>
      <c r="ONM35" s="16"/>
      <c r="ONN35" s="16"/>
      <c r="ONO35" s="16"/>
      <c r="ONP35" s="16"/>
      <c r="ONQ35" s="16"/>
      <c r="ONR35" s="16"/>
      <c r="ONS35" s="16"/>
      <c r="ONT35" s="16"/>
      <c r="ONU35" s="16"/>
      <c r="ONV35" s="16"/>
      <c r="ONW35" s="16"/>
      <c r="ONX35" s="16"/>
      <c r="ONY35" s="16"/>
      <c r="ONZ35" s="16"/>
      <c r="OOA35" s="16"/>
      <c r="OOB35" s="16"/>
      <c r="OOC35" s="16"/>
      <c r="OOD35" s="16"/>
      <c r="OOE35" s="16"/>
      <c r="OOF35" s="16"/>
      <c r="OOG35" s="16"/>
      <c r="OOH35" s="16"/>
      <c r="OOI35" s="16"/>
      <c r="OOJ35" s="16"/>
      <c r="OOK35" s="16"/>
      <c r="OOL35" s="16"/>
      <c r="OOM35" s="16"/>
      <c r="OON35" s="16"/>
      <c r="OOO35" s="16"/>
      <c r="OOP35" s="16"/>
      <c r="OOQ35" s="16"/>
      <c r="OOR35" s="16"/>
      <c r="OOS35" s="16"/>
      <c r="OOT35" s="16"/>
      <c r="OOU35" s="16"/>
      <c r="OOV35" s="16"/>
      <c r="OOW35" s="16"/>
      <c r="OOX35" s="16"/>
      <c r="OOY35" s="16"/>
      <c r="OOZ35" s="16"/>
      <c r="OPA35" s="16"/>
      <c r="OPB35" s="16"/>
      <c r="OPC35" s="16"/>
      <c r="OPD35" s="16"/>
      <c r="OPE35" s="16"/>
      <c r="OPF35" s="16"/>
      <c r="OPG35" s="16"/>
      <c r="OPH35" s="16"/>
      <c r="OPI35" s="16"/>
      <c r="OPJ35" s="16"/>
      <c r="OPK35" s="16"/>
      <c r="OPL35" s="16"/>
      <c r="OPM35" s="16"/>
      <c r="OPN35" s="16"/>
      <c r="OPO35" s="16"/>
      <c r="OPP35" s="16"/>
      <c r="OPQ35" s="16"/>
      <c r="OPR35" s="16"/>
      <c r="OPS35" s="16"/>
      <c r="OPT35" s="16"/>
      <c r="OPU35" s="16"/>
      <c r="OPV35" s="16"/>
      <c r="OPW35" s="16"/>
      <c r="OPX35" s="16"/>
      <c r="OPY35" s="16"/>
      <c r="OPZ35" s="16"/>
      <c r="OQA35" s="16"/>
      <c r="OQB35" s="16"/>
      <c r="OQC35" s="16"/>
      <c r="OQD35" s="16"/>
      <c r="OQE35" s="16"/>
      <c r="OQF35" s="16"/>
      <c r="OQG35" s="16"/>
      <c r="OQH35" s="16"/>
      <c r="OQI35" s="16"/>
      <c r="OQJ35" s="16"/>
      <c r="OQK35" s="16"/>
      <c r="OQL35" s="16"/>
      <c r="OQM35" s="16"/>
      <c r="OQN35" s="16"/>
      <c r="OQO35" s="16"/>
      <c r="OQP35" s="16"/>
      <c r="OQQ35" s="16"/>
      <c r="OQR35" s="16"/>
      <c r="OQS35" s="16"/>
      <c r="OQT35" s="16"/>
      <c r="OQU35" s="16"/>
      <c r="OQV35" s="16"/>
      <c r="OQW35" s="16"/>
      <c r="OQX35" s="16"/>
      <c r="OQY35" s="16"/>
      <c r="OQZ35" s="16"/>
      <c r="ORA35" s="16"/>
      <c r="ORB35" s="16"/>
      <c r="ORC35" s="16"/>
      <c r="ORD35" s="16"/>
      <c r="ORE35" s="16"/>
      <c r="ORF35" s="16"/>
      <c r="ORG35" s="16"/>
      <c r="ORH35" s="16"/>
      <c r="ORI35" s="16"/>
      <c r="ORJ35" s="16"/>
      <c r="ORK35" s="16"/>
      <c r="ORL35" s="16"/>
      <c r="ORM35" s="16"/>
      <c r="ORN35" s="16"/>
      <c r="ORO35" s="16"/>
      <c r="ORP35" s="16"/>
      <c r="ORQ35" s="16"/>
      <c r="ORR35" s="16"/>
      <c r="ORS35" s="16"/>
      <c r="ORT35" s="16"/>
      <c r="ORU35" s="16"/>
      <c r="ORV35" s="16"/>
      <c r="ORW35" s="16"/>
      <c r="ORX35" s="16"/>
      <c r="ORY35" s="16"/>
      <c r="ORZ35" s="16"/>
      <c r="OSA35" s="16"/>
      <c r="OSB35" s="16"/>
      <c r="OSC35" s="16"/>
      <c r="OSD35" s="16"/>
      <c r="OSE35" s="16"/>
      <c r="OSF35" s="16"/>
      <c r="OSG35" s="16"/>
      <c r="OSH35" s="16"/>
      <c r="OSI35" s="16"/>
      <c r="OSJ35" s="16"/>
      <c r="OSK35" s="16"/>
      <c r="OSL35" s="16"/>
      <c r="OSM35" s="16"/>
      <c r="OSN35" s="16"/>
      <c r="OSO35" s="16"/>
      <c r="OSP35" s="16"/>
      <c r="OSQ35" s="16"/>
      <c r="OSR35" s="16"/>
      <c r="OSS35" s="16"/>
      <c r="OST35" s="16"/>
      <c r="OSU35" s="16"/>
      <c r="OSV35" s="16"/>
      <c r="OSW35" s="16"/>
      <c r="OSX35" s="16"/>
      <c r="OSY35" s="16"/>
      <c r="OSZ35" s="16"/>
      <c r="OTA35" s="16"/>
      <c r="OTB35" s="16"/>
      <c r="OTC35" s="16"/>
      <c r="OTD35" s="16"/>
      <c r="OTE35" s="16"/>
      <c r="OTF35" s="16"/>
      <c r="OTG35" s="16"/>
      <c r="OTH35" s="16"/>
      <c r="OTI35" s="16"/>
      <c r="OTJ35" s="16"/>
      <c r="OTK35" s="16"/>
      <c r="OTL35" s="16"/>
      <c r="OTM35" s="16"/>
      <c r="OTN35" s="16"/>
      <c r="OTO35" s="16"/>
      <c r="OTP35" s="16"/>
      <c r="OTQ35" s="16"/>
      <c r="OTR35" s="16"/>
      <c r="OTS35" s="16"/>
      <c r="OTT35" s="16"/>
      <c r="OTU35" s="16"/>
      <c r="OTV35" s="16"/>
      <c r="OTW35" s="16"/>
      <c r="OTX35" s="16"/>
      <c r="OTY35" s="16"/>
      <c r="OTZ35" s="16"/>
      <c r="OUA35" s="16"/>
      <c r="OUB35" s="16"/>
      <c r="OUC35" s="16"/>
      <c r="OUD35" s="16"/>
      <c r="OUE35" s="16"/>
      <c r="OUF35" s="16"/>
      <c r="OUG35" s="16"/>
      <c r="OUH35" s="16"/>
      <c r="OUI35" s="16"/>
      <c r="OUJ35" s="16"/>
      <c r="OUK35" s="16"/>
      <c r="OUL35" s="16"/>
      <c r="OUM35" s="16"/>
      <c r="OUN35" s="16"/>
      <c r="OUO35" s="16"/>
      <c r="OUP35" s="16"/>
      <c r="OUQ35" s="16"/>
      <c r="OUR35" s="16"/>
      <c r="OUS35" s="16"/>
      <c r="OUT35" s="16"/>
      <c r="OUU35" s="16"/>
      <c r="OUV35" s="16"/>
      <c r="OUW35" s="16"/>
      <c r="OUX35" s="16"/>
      <c r="OUY35" s="16"/>
      <c r="OUZ35" s="16"/>
      <c r="OVA35" s="16"/>
      <c r="OVB35" s="16"/>
      <c r="OVC35" s="16"/>
      <c r="OVD35" s="16"/>
      <c r="OVE35" s="16"/>
      <c r="OVF35" s="16"/>
      <c r="OVG35" s="16"/>
      <c r="OVH35" s="16"/>
      <c r="OVI35" s="16"/>
      <c r="OVJ35" s="16"/>
      <c r="OVK35" s="16"/>
      <c r="OVL35" s="16"/>
      <c r="OVM35" s="16"/>
      <c r="OVN35" s="16"/>
      <c r="OVO35" s="16"/>
      <c r="OVP35" s="16"/>
      <c r="OVQ35" s="16"/>
      <c r="OVR35" s="16"/>
      <c r="OVS35" s="16"/>
      <c r="OVT35" s="16"/>
      <c r="OVU35" s="16"/>
      <c r="OVV35" s="16"/>
      <c r="OVW35" s="16"/>
      <c r="OVX35" s="16"/>
      <c r="OVY35" s="16"/>
      <c r="OVZ35" s="16"/>
      <c r="OWA35" s="16"/>
      <c r="OWB35" s="16"/>
      <c r="OWC35" s="16"/>
      <c r="OWD35" s="16"/>
      <c r="OWE35" s="16"/>
      <c r="OWF35" s="16"/>
      <c r="OWG35" s="16"/>
      <c r="OWH35" s="16"/>
      <c r="OWI35" s="16"/>
      <c r="OWJ35" s="16"/>
      <c r="OWK35" s="16"/>
      <c r="OWL35" s="16"/>
      <c r="OWM35" s="16"/>
      <c r="OWN35" s="16"/>
      <c r="OWO35" s="16"/>
      <c r="OWP35" s="16"/>
      <c r="OWQ35" s="16"/>
      <c r="OWR35" s="16"/>
      <c r="OWS35" s="16"/>
      <c r="OWT35" s="16"/>
      <c r="OWU35" s="16"/>
      <c r="OWV35" s="16"/>
      <c r="OWW35" s="16"/>
      <c r="OWX35" s="16"/>
      <c r="OWY35" s="16"/>
      <c r="OWZ35" s="16"/>
      <c r="OXA35" s="16"/>
      <c r="OXB35" s="16"/>
      <c r="OXC35" s="16"/>
      <c r="OXD35" s="16"/>
      <c r="OXE35" s="16"/>
      <c r="OXF35" s="16"/>
      <c r="OXG35" s="16"/>
      <c r="OXH35" s="16"/>
      <c r="OXI35" s="16"/>
      <c r="OXJ35" s="16"/>
      <c r="OXK35" s="16"/>
      <c r="OXL35" s="16"/>
      <c r="OXM35" s="16"/>
      <c r="OXN35" s="16"/>
      <c r="OXO35" s="16"/>
      <c r="OXP35" s="16"/>
      <c r="OXQ35" s="16"/>
      <c r="OXR35" s="16"/>
      <c r="OXS35" s="16"/>
      <c r="OXT35" s="16"/>
      <c r="OXU35" s="16"/>
      <c r="OXV35" s="16"/>
      <c r="OXW35" s="16"/>
      <c r="OXX35" s="16"/>
      <c r="OXY35" s="16"/>
      <c r="OXZ35" s="16"/>
      <c r="OYA35" s="16"/>
      <c r="OYB35" s="16"/>
      <c r="OYC35" s="16"/>
      <c r="OYD35" s="16"/>
      <c r="OYE35" s="16"/>
      <c r="OYF35" s="16"/>
      <c r="OYG35" s="16"/>
      <c r="OYH35" s="16"/>
      <c r="OYI35" s="16"/>
      <c r="OYJ35" s="16"/>
      <c r="OYK35" s="16"/>
      <c r="OYL35" s="16"/>
      <c r="OYM35" s="16"/>
      <c r="OYN35" s="16"/>
      <c r="OYO35" s="16"/>
      <c r="OYP35" s="16"/>
      <c r="OYQ35" s="16"/>
      <c r="OYR35" s="16"/>
      <c r="OYS35" s="16"/>
      <c r="OYT35" s="16"/>
      <c r="OYU35" s="16"/>
      <c r="OYV35" s="16"/>
      <c r="OYW35" s="16"/>
      <c r="OYX35" s="16"/>
      <c r="OYY35" s="16"/>
      <c r="OYZ35" s="16"/>
      <c r="OZA35" s="16"/>
      <c r="OZB35" s="16"/>
      <c r="OZC35" s="16"/>
      <c r="OZD35" s="16"/>
      <c r="OZE35" s="16"/>
      <c r="OZF35" s="16"/>
      <c r="OZG35" s="16"/>
      <c r="OZH35" s="16"/>
      <c r="OZI35" s="16"/>
      <c r="OZJ35" s="16"/>
      <c r="OZK35" s="16"/>
      <c r="OZL35" s="16"/>
      <c r="OZM35" s="16"/>
      <c r="OZN35" s="16"/>
      <c r="OZO35" s="16"/>
      <c r="OZP35" s="16"/>
      <c r="OZQ35" s="16"/>
      <c r="OZR35" s="16"/>
      <c r="OZS35" s="16"/>
      <c r="OZT35" s="16"/>
      <c r="OZU35" s="16"/>
      <c r="OZV35" s="16"/>
      <c r="OZW35" s="16"/>
      <c r="OZX35" s="16"/>
      <c r="OZY35" s="16"/>
      <c r="OZZ35" s="16"/>
      <c r="PAA35" s="16"/>
      <c r="PAB35" s="16"/>
      <c r="PAC35" s="16"/>
      <c r="PAD35" s="16"/>
      <c r="PAE35" s="16"/>
      <c r="PAF35" s="16"/>
      <c r="PAG35" s="16"/>
      <c r="PAH35" s="16"/>
      <c r="PAI35" s="16"/>
      <c r="PAJ35" s="16"/>
      <c r="PAK35" s="16"/>
      <c r="PAL35" s="16"/>
      <c r="PAM35" s="16"/>
      <c r="PAN35" s="16"/>
      <c r="PAO35" s="16"/>
      <c r="PAP35" s="16"/>
      <c r="PAQ35" s="16"/>
      <c r="PAR35" s="16"/>
      <c r="PAS35" s="16"/>
      <c r="PAT35" s="16"/>
      <c r="PAU35" s="16"/>
      <c r="PAV35" s="16"/>
      <c r="PAW35" s="16"/>
      <c r="PAX35" s="16"/>
      <c r="PAY35" s="16"/>
      <c r="PAZ35" s="16"/>
      <c r="PBA35" s="16"/>
      <c r="PBB35" s="16"/>
      <c r="PBC35" s="16"/>
      <c r="PBD35" s="16"/>
      <c r="PBE35" s="16"/>
      <c r="PBF35" s="16"/>
      <c r="PBG35" s="16"/>
      <c r="PBH35" s="16"/>
      <c r="PBI35" s="16"/>
      <c r="PBJ35" s="16"/>
      <c r="PBK35" s="16"/>
      <c r="PBL35" s="16"/>
      <c r="PBM35" s="16"/>
      <c r="PBN35" s="16"/>
      <c r="PBO35" s="16"/>
      <c r="PBP35" s="16"/>
      <c r="PBQ35" s="16"/>
      <c r="PBR35" s="16"/>
      <c r="PBS35" s="16"/>
      <c r="PBT35" s="16"/>
      <c r="PBU35" s="16"/>
      <c r="PBV35" s="16"/>
      <c r="PBW35" s="16"/>
      <c r="PBX35" s="16"/>
      <c r="PBY35" s="16"/>
      <c r="PBZ35" s="16"/>
      <c r="PCA35" s="16"/>
      <c r="PCB35" s="16"/>
      <c r="PCC35" s="16"/>
      <c r="PCD35" s="16"/>
      <c r="PCE35" s="16"/>
      <c r="PCF35" s="16"/>
      <c r="PCG35" s="16"/>
      <c r="PCH35" s="16"/>
      <c r="PCI35" s="16"/>
      <c r="PCJ35" s="16"/>
      <c r="PCK35" s="16"/>
      <c r="PCL35" s="16"/>
      <c r="PCM35" s="16"/>
      <c r="PCN35" s="16"/>
      <c r="PCO35" s="16"/>
      <c r="PCP35" s="16"/>
      <c r="PCQ35" s="16"/>
      <c r="PCR35" s="16"/>
      <c r="PCS35" s="16"/>
      <c r="PCT35" s="16"/>
      <c r="PCU35" s="16"/>
      <c r="PCV35" s="16"/>
      <c r="PCW35" s="16"/>
      <c r="PCX35" s="16"/>
      <c r="PCY35" s="16"/>
      <c r="PCZ35" s="16"/>
      <c r="PDA35" s="16"/>
      <c r="PDB35" s="16"/>
      <c r="PDC35" s="16"/>
      <c r="PDD35" s="16"/>
      <c r="PDE35" s="16"/>
      <c r="PDF35" s="16"/>
      <c r="PDG35" s="16"/>
      <c r="PDH35" s="16"/>
      <c r="PDI35" s="16"/>
      <c r="PDJ35" s="16"/>
      <c r="PDK35" s="16"/>
      <c r="PDL35" s="16"/>
      <c r="PDM35" s="16"/>
      <c r="PDN35" s="16"/>
      <c r="PDO35" s="16"/>
      <c r="PDP35" s="16"/>
      <c r="PDQ35" s="16"/>
      <c r="PDR35" s="16"/>
      <c r="PDS35" s="16"/>
      <c r="PDT35" s="16"/>
      <c r="PDU35" s="16"/>
      <c r="PDV35" s="16"/>
      <c r="PDW35" s="16"/>
      <c r="PDX35" s="16"/>
      <c r="PDY35" s="16"/>
      <c r="PDZ35" s="16"/>
      <c r="PEA35" s="16"/>
      <c r="PEB35" s="16"/>
      <c r="PEC35" s="16"/>
      <c r="PED35" s="16"/>
      <c r="PEE35" s="16"/>
      <c r="PEF35" s="16"/>
      <c r="PEG35" s="16"/>
      <c r="PEH35" s="16"/>
      <c r="PEI35" s="16"/>
      <c r="PEJ35" s="16"/>
      <c r="PEK35" s="16"/>
      <c r="PEL35" s="16"/>
      <c r="PEM35" s="16"/>
      <c r="PEN35" s="16"/>
      <c r="PEO35" s="16"/>
      <c r="PEP35" s="16"/>
      <c r="PEQ35" s="16"/>
      <c r="PER35" s="16"/>
      <c r="PES35" s="16"/>
      <c r="PET35" s="16"/>
      <c r="PEU35" s="16"/>
      <c r="PEV35" s="16"/>
      <c r="PEW35" s="16"/>
      <c r="PEX35" s="16"/>
      <c r="PEY35" s="16"/>
      <c r="PEZ35" s="16"/>
      <c r="PFA35" s="16"/>
      <c r="PFB35" s="16"/>
      <c r="PFC35" s="16"/>
      <c r="PFD35" s="16"/>
      <c r="PFE35" s="16"/>
      <c r="PFF35" s="16"/>
      <c r="PFG35" s="16"/>
      <c r="PFH35" s="16"/>
      <c r="PFI35" s="16"/>
      <c r="PFJ35" s="16"/>
      <c r="PFK35" s="16"/>
      <c r="PFL35" s="16"/>
      <c r="PFM35" s="16"/>
      <c r="PFN35" s="16"/>
      <c r="PFO35" s="16"/>
      <c r="PFP35" s="16"/>
      <c r="PFQ35" s="16"/>
      <c r="PFR35" s="16"/>
      <c r="PFS35" s="16"/>
      <c r="PFT35" s="16"/>
      <c r="PFU35" s="16"/>
      <c r="PFV35" s="16"/>
      <c r="PFW35" s="16"/>
      <c r="PFX35" s="16"/>
      <c r="PFY35" s="16"/>
      <c r="PFZ35" s="16"/>
      <c r="PGA35" s="16"/>
      <c r="PGB35" s="16"/>
      <c r="PGC35" s="16"/>
      <c r="PGD35" s="16"/>
      <c r="PGE35" s="16"/>
      <c r="PGF35" s="16"/>
      <c r="PGG35" s="16"/>
      <c r="PGH35" s="16"/>
      <c r="PGI35" s="16"/>
      <c r="PGJ35" s="16"/>
      <c r="PGK35" s="16"/>
      <c r="PGL35" s="16"/>
      <c r="PGM35" s="16"/>
      <c r="PGN35" s="16"/>
      <c r="PGO35" s="16"/>
      <c r="PGP35" s="16"/>
      <c r="PGQ35" s="16"/>
      <c r="PGR35" s="16"/>
      <c r="PGS35" s="16"/>
      <c r="PGT35" s="16"/>
      <c r="PGU35" s="16"/>
      <c r="PGV35" s="16"/>
      <c r="PGW35" s="16"/>
      <c r="PGX35" s="16"/>
      <c r="PGY35" s="16"/>
      <c r="PGZ35" s="16"/>
      <c r="PHA35" s="16"/>
      <c r="PHB35" s="16"/>
      <c r="PHC35" s="16"/>
      <c r="PHD35" s="16"/>
      <c r="PHE35" s="16"/>
      <c r="PHF35" s="16"/>
      <c r="PHG35" s="16"/>
      <c r="PHH35" s="16"/>
      <c r="PHI35" s="16"/>
      <c r="PHJ35" s="16"/>
      <c r="PHK35" s="16"/>
      <c r="PHL35" s="16"/>
      <c r="PHM35" s="16"/>
      <c r="PHN35" s="16"/>
      <c r="PHO35" s="16"/>
      <c r="PHP35" s="16"/>
      <c r="PHQ35" s="16"/>
      <c r="PHR35" s="16"/>
      <c r="PHS35" s="16"/>
      <c r="PHT35" s="16"/>
      <c r="PHU35" s="16"/>
      <c r="PHV35" s="16"/>
      <c r="PHW35" s="16"/>
      <c r="PHX35" s="16"/>
      <c r="PHY35" s="16"/>
      <c r="PHZ35" s="16"/>
      <c r="PIA35" s="16"/>
      <c r="PIB35" s="16"/>
      <c r="PIC35" s="16"/>
      <c r="PID35" s="16"/>
      <c r="PIE35" s="16"/>
      <c r="PIF35" s="16"/>
      <c r="PIG35" s="16"/>
      <c r="PIH35" s="16"/>
      <c r="PII35" s="16"/>
      <c r="PIJ35" s="16"/>
      <c r="PIK35" s="16"/>
      <c r="PIL35" s="16"/>
      <c r="PIM35" s="16"/>
      <c r="PIN35" s="16"/>
      <c r="PIO35" s="16"/>
      <c r="PIP35" s="16"/>
      <c r="PIQ35" s="16"/>
      <c r="PIR35" s="16"/>
      <c r="PIS35" s="16"/>
      <c r="PIT35" s="16"/>
      <c r="PIU35" s="16"/>
      <c r="PIV35" s="16"/>
      <c r="PIW35" s="16"/>
      <c r="PIX35" s="16"/>
      <c r="PIY35" s="16"/>
      <c r="PIZ35" s="16"/>
      <c r="PJA35" s="16"/>
      <c r="PJB35" s="16"/>
      <c r="PJC35" s="16"/>
      <c r="PJD35" s="16"/>
      <c r="PJE35" s="16"/>
      <c r="PJF35" s="16"/>
      <c r="PJG35" s="16"/>
      <c r="PJH35" s="16"/>
      <c r="PJI35" s="16"/>
      <c r="PJJ35" s="16"/>
      <c r="PJK35" s="16"/>
      <c r="PJL35" s="16"/>
      <c r="PJM35" s="16"/>
      <c r="PJN35" s="16"/>
      <c r="PJO35" s="16"/>
      <c r="PJP35" s="16"/>
      <c r="PJQ35" s="16"/>
      <c r="PJR35" s="16"/>
      <c r="PJS35" s="16"/>
      <c r="PJT35" s="16"/>
      <c r="PJU35" s="16"/>
      <c r="PJV35" s="16"/>
      <c r="PJW35" s="16"/>
      <c r="PJX35" s="16"/>
      <c r="PJY35" s="16"/>
      <c r="PJZ35" s="16"/>
      <c r="PKA35" s="16"/>
      <c r="PKB35" s="16"/>
      <c r="PKC35" s="16"/>
      <c r="PKD35" s="16"/>
      <c r="PKE35" s="16"/>
      <c r="PKF35" s="16"/>
      <c r="PKG35" s="16"/>
      <c r="PKH35" s="16"/>
      <c r="PKI35" s="16"/>
      <c r="PKJ35" s="16"/>
      <c r="PKK35" s="16"/>
      <c r="PKL35" s="16"/>
      <c r="PKM35" s="16"/>
      <c r="PKN35" s="16"/>
      <c r="PKO35" s="16"/>
      <c r="PKP35" s="16"/>
      <c r="PKQ35" s="16"/>
      <c r="PKR35" s="16"/>
      <c r="PKS35" s="16"/>
      <c r="PKT35" s="16"/>
      <c r="PKU35" s="16"/>
      <c r="PKV35" s="16"/>
      <c r="PKW35" s="16"/>
      <c r="PKX35" s="16"/>
      <c r="PKY35" s="16"/>
      <c r="PKZ35" s="16"/>
      <c r="PLA35" s="16"/>
      <c r="PLB35" s="16"/>
      <c r="PLC35" s="16"/>
      <c r="PLD35" s="16"/>
      <c r="PLE35" s="16"/>
      <c r="PLF35" s="16"/>
      <c r="PLG35" s="16"/>
      <c r="PLH35" s="16"/>
      <c r="PLI35" s="16"/>
      <c r="PLJ35" s="16"/>
      <c r="PLK35" s="16"/>
      <c r="PLL35" s="16"/>
      <c r="PLM35" s="16"/>
      <c r="PLN35" s="16"/>
      <c r="PLO35" s="16"/>
      <c r="PLP35" s="16"/>
      <c r="PLQ35" s="16"/>
      <c r="PLR35" s="16"/>
      <c r="PLS35" s="16"/>
      <c r="PLT35" s="16"/>
      <c r="PLU35" s="16"/>
      <c r="PLV35" s="16"/>
      <c r="PLW35" s="16"/>
      <c r="PLX35" s="16"/>
      <c r="PLY35" s="16"/>
      <c r="PLZ35" s="16"/>
      <c r="PMA35" s="16"/>
      <c r="PMB35" s="16"/>
      <c r="PMC35" s="16"/>
      <c r="PMD35" s="16"/>
      <c r="PME35" s="16"/>
      <c r="PMF35" s="16"/>
      <c r="PMG35" s="16"/>
      <c r="PMH35" s="16"/>
      <c r="PMI35" s="16"/>
      <c r="PMJ35" s="16"/>
      <c r="PMK35" s="16"/>
      <c r="PML35" s="16"/>
      <c r="PMM35" s="16"/>
      <c r="PMN35" s="16"/>
      <c r="PMO35" s="16"/>
      <c r="PMP35" s="16"/>
      <c r="PMQ35" s="16"/>
      <c r="PMR35" s="16"/>
      <c r="PMS35" s="16"/>
      <c r="PMT35" s="16"/>
      <c r="PMU35" s="16"/>
      <c r="PMV35" s="16"/>
      <c r="PMW35" s="16"/>
      <c r="PMX35" s="16"/>
      <c r="PMY35" s="16"/>
      <c r="PMZ35" s="16"/>
      <c r="PNA35" s="16"/>
      <c r="PNB35" s="16"/>
      <c r="PNC35" s="16"/>
      <c r="PND35" s="16"/>
      <c r="PNE35" s="16"/>
      <c r="PNF35" s="16"/>
      <c r="PNG35" s="16"/>
      <c r="PNH35" s="16"/>
      <c r="PNI35" s="16"/>
      <c r="PNJ35" s="16"/>
      <c r="PNK35" s="16"/>
      <c r="PNL35" s="16"/>
      <c r="PNM35" s="16"/>
      <c r="PNN35" s="16"/>
      <c r="PNO35" s="16"/>
      <c r="PNP35" s="16"/>
      <c r="PNQ35" s="16"/>
      <c r="PNR35" s="16"/>
      <c r="PNS35" s="16"/>
      <c r="PNT35" s="16"/>
      <c r="PNU35" s="16"/>
      <c r="PNV35" s="16"/>
      <c r="PNW35" s="16"/>
      <c r="PNX35" s="16"/>
      <c r="PNY35" s="16"/>
      <c r="PNZ35" s="16"/>
      <c r="POA35" s="16"/>
      <c r="POB35" s="16"/>
      <c r="POC35" s="16"/>
      <c r="POD35" s="16"/>
      <c r="POE35" s="16"/>
      <c r="POF35" s="16"/>
      <c r="POG35" s="16"/>
      <c r="POH35" s="16"/>
      <c r="POI35" s="16"/>
      <c r="POJ35" s="16"/>
      <c r="POK35" s="16"/>
      <c r="POL35" s="16"/>
      <c r="POM35" s="16"/>
      <c r="PON35" s="16"/>
      <c r="POO35" s="16"/>
      <c r="POP35" s="16"/>
      <c r="POQ35" s="16"/>
      <c r="POR35" s="16"/>
      <c r="POS35" s="16"/>
      <c r="POT35" s="16"/>
      <c r="POU35" s="16"/>
      <c r="POV35" s="16"/>
      <c r="POW35" s="16"/>
      <c r="POX35" s="16"/>
      <c r="POY35" s="16"/>
      <c r="POZ35" s="16"/>
      <c r="PPA35" s="16"/>
      <c r="PPB35" s="16"/>
      <c r="PPC35" s="16"/>
      <c r="PPD35" s="16"/>
      <c r="PPE35" s="16"/>
      <c r="PPF35" s="16"/>
      <c r="PPG35" s="16"/>
      <c r="PPH35" s="16"/>
      <c r="PPI35" s="16"/>
      <c r="PPJ35" s="16"/>
      <c r="PPK35" s="16"/>
      <c r="PPL35" s="16"/>
      <c r="PPM35" s="16"/>
      <c r="PPN35" s="16"/>
      <c r="PPO35" s="16"/>
      <c r="PPP35" s="16"/>
      <c r="PPQ35" s="16"/>
      <c r="PPR35" s="16"/>
      <c r="PPS35" s="16"/>
      <c r="PPT35" s="16"/>
      <c r="PPU35" s="16"/>
      <c r="PPV35" s="16"/>
      <c r="PPW35" s="16"/>
      <c r="PPX35" s="16"/>
      <c r="PPY35" s="16"/>
      <c r="PPZ35" s="16"/>
      <c r="PQA35" s="16"/>
      <c r="PQB35" s="16"/>
      <c r="PQC35" s="16"/>
      <c r="PQD35" s="16"/>
      <c r="PQE35" s="16"/>
      <c r="PQF35" s="16"/>
      <c r="PQG35" s="16"/>
      <c r="PQH35" s="16"/>
      <c r="PQI35" s="16"/>
      <c r="PQJ35" s="16"/>
      <c r="PQK35" s="16"/>
      <c r="PQL35" s="16"/>
      <c r="PQM35" s="16"/>
      <c r="PQN35" s="16"/>
      <c r="PQO35" s="16"/>
      <c r="PQP35" s="16"/>
      <c r="PQQ35" s="16"/>
      <c r="PQR35" s="16"/>
      <c r="PQS35" s="16"/>
      <c r="PQT35" s="16"/>
      <c r="PQU35" s="16"/>
      <c r="PQV35" s="16"/>
      <c r="PQW35" s="16"/>
      <c r="PQX35" s="16"/>
      <c r="PQY35" s="16"/>
      <c r="PQZ35" s="16"/>
      <c r="PRA35" s="16"/>
      <c r="PRB35" s="16"/>
      <c r="PRC35" s="16"/>
      <c r="PRD35" s="16"/>
      <c r="PRE35" s="16"/>
      <c r="PRF35" s="16"/>
      <c r="PRG35" s="16"/>
      <c r="PRH35" s="16"/>
      <c r="PRI35" s="16"/>
      <c r="PRJ35" s="16"/>
      <c r="PRK35" s="16"/>
      <c r="PRL35" s="16"/>
      <c r="PRM35" s="16"/>
      <c r="PRN35" s="16"/>
      <c r="PRO35" s="16"/>
      <c r="PRP35" s="16"/>
      <c r="PRQ35" s="16"/>
      <c r="PRR35" s="16"/>
      <c r="PRS35" s="16"/>
      <c r="PRT35" s="16"/>
      <c r="PRU35" s="16"/>
      <c r="PRV35" s="16"/>
      <c r="PRW35" s="16"/>
      <c r="PRX35" s="16"/>
      <c r="PRY35" s="16"/>
      <c r="PRZ35" s="16"/>
      <c r="PSA35" s="16"/>
      <c r="PSB35" s="16"/>
      <c r="PSC35" s="16"/>
      <c r="PSD35" s="16"/>
      <c r="PSE35" s="16"/>
      <c r="PSF35" s="16"/>
      <c r="PSG35" s="16"/>
      <c r="PSH35" s="16"/>
      <c r="PSI35" s="16"/>
      <c r="PSJ35" s="16"/>
      <c r="PSK35" s="16"/>
      <c r="PSL35" s="16"/>
      <c r="PSM35" s="16"/>
      <c r="PSN35" s="16"/>
      <c r="PSO35" s="16"/>
      <c r="PSP35" s="16"/>
      <c r="PSQ35" s="16"/>
      <c r="PSR35" s="16"/>
      <c r="PSS35" s="16"/>
      <c r="PST35" s="16"/>
      <c r="PSU35" s="16"/>
      <c r="PSV35" s="16"/>
      <c r="PSW35" s="16"/>
      <c r="PSX35" s="16"/>
      <c r="PSY35" s="16"/>
      <c r="PSZ35" s="16"/>
      <c r="PTA35" s="16"/>
      <c r="PTB35" s="16"/>
      <c r="PTC35" s="16"/>
      <c r="PTD35" s="16"/>
      <c r="PTE35" s="16"/>
      <c r="PTF35" s="16"/>
      <c r="PTG35" s="16"/>
      <c r="PTH35" s="16"/>
      <c r="PTI35" s="16"/>
      <c r="PTJ35" s="16"/>
      <c r="PTK35" s="16"/>
      <c r="PTL35" s="16"/>
      <c r="PTM35" s="16"/>
      <c r="PTN35" s="16"/>
      <c r="PTO35" s="16"/>
      <c r="PTP35" s="16"/>
      <c r="PTQ35" s="16"/>
      <c r="PTR35" s="16"/>
      <c r="PTS35" s="16"/>
      <c r="PTT35" s="16"/>
      <c r="PTU35" s="16"/>
      <c r="PTV35" s="16"/>
      <c r="PTW35" s="16"/>
      <c r="PTX35" s="16"/>
      <c r="PTY35" s="16"/>
      <c r="PTZ35" s="16"/>
      <c r="PUA35" s="16"/>
      <c r="PUB35" s="16"/>
      <c r="PUC35" s="16"/>
      <c r="PUD35" s="16"/>
      <c r="PUE35" s="16"/>
      <c r="PUF35" s="16"/>
      <c r="PUG35" s="16"/>
      <c r="PUH35" s="16"/>
      <c r="PUI35" s="16"/>
      <c r="PUJ35" s="16"/>
      <c r="PUK35" s="16"/>
      <c r="PUL35" s="16"/>
      <c r="PUM35" s="16"/>
      <c r="PUN35" s="16"/>
      <c r="PUO35" s="16"/>
      <c r="PUP35" s="16"/>
      <c r="PUQ35" s="16"/>
      <c r="PUR35" s="16"/>
      <c r="PUS35" s="16"/>
      <c r="PUT35" s="16"/>
      <c r="PUU35" s="16"/>
      <c r="PUV35" s="16"/>
      <c r="PUW35" s="16"/>
      <c r="PUX35" s="16"/>
      <c r="PUY35" s="16"/>
      <c r="PUZ35" s="16"/>
      <c r="PVA35" s="16"/>
      <c r="PVB35" s="16"/>
      <c r="PVC35" s="16"/>
      <c r="PVD35" s="16"/>
      <c r="PVE35" s="16"/>
      <c r="PVF35" s="16"/>
      <c r="PVG35" s="16"/>
      <c r="PVH35" s="16"/>
      <c r="PVI35" s="16"/>
      <c r="PVJ35" s="16"/>
      <c r="PVK35" s="16"/>
      <c r="PVL35" s="16"/>
      <c r="PVM35" s="16"/>
      <c r="PVN35" s="16"/>
      <c r="PVO35" s="16"/>
      <c r="PVP35" s="16"/>
      <c r="PVQ35" s="16"/>
      <c r="PVR35" s="16"/>
      <c r="PVS35" s="16"/>
      <c r="PVT35" s="16"/>
      <c r="PVU35" s="16"/>
      <c r="PVV35" s="16"/>
      <c r="PVW35" s="16"/>
      <c r="PVX35" s="16"/>
      <c r="PVY35" s="16"/>
      <c r="PVZ35" s="16"/>
      <c r="PWA35" s="16"/>
      <c r="PWB35" s="16"/>
      <c r="PWC35" s="16"/>
      <c r="PWD35" s="16"/>
      <c r="PWE35" s="16"/>
      <c r="PWF35" s="16"/>
      <c r="PWG35" s="16"/>
      <c r="PWH35" s="16"/>
      <c r="PWI35" s="16"/>
      <c r="PWJ35" s="16"/>
      <c r="PWK35" s="16"/>
      <c r="PWL35" s="16"/>
      <c r="PWM35" s="16"/>
      <c r="PWN35" s="16"/>
      <c r="PWO35" s="16"/>
      <c r="PWP35" s="16"/>
      <c r="PWQ35" s="16"/>
      <c r="PWR35" s="16"/>
      <c r="PWS35" s="16"/>
      <c r="PWT35" s="16"/>
      <c r="PWU35" s="16"/>
      <c r="PWV35" s="16"/>
      <c r="PWW35" s="16"/>
      <c r="PWX35" s="16"/>
      <c r="PWY35" s="16"/>
      <c r="PWZ35" s="16"/>
      <c r="PXA35" s="16"/>
      <c r="PXB35" s="16"/>
      <c r="PXC35" s="16"/>
      <c r="PXD35" s="16"/>
      <c r="PXE35" s="16"/>
      <c r="PXF35" s="16"/>
      <c r="PXG35" s="16"/>
      <c r="PXH35" s="16"/>
      <c r="PXI35" s="16"/>
      <c r="PXJ35" s="16"/>
      <c r="PXK35" s="16"/>
      <c r="PXL35" s="16"/>
      <c r="PXM35" s="16"/>
      <c r="PXN35" s="16"/>
      <c r="PXO35" s="16"/>
      <c r="PXP35" s="16"/>
      <c r="PXQ35" s="16"/>
      <c r="PXR35" s="16"/>
      <c r="PXS35" s="16"/>
      <c r="PXT35" s="16"/>
      <c r="PXU35" s="16"/>
      <c r="PXV35" s="16"/>
      <c r="PXW35" s="16"/>
      <c r="PXX35" s="16"/>
      <c r="PXY35" s="16"/>
      <c r="PXZ35" s="16"/>
      <c r="PYA35" s="16"/>
      <c r="PYB35" s="16"/>
      <c r="PYC35" s="16"/>
      <c r="PYD35" s="16"/>
      <c r="PYE35" s="16"/>
      <c r="PYF35" s="16"/>
      <c r="PYG35" s="16"/>
      <c r="PYH35" s="16"/>
      <c r="PYI35" s="16"/>
      <c r="PYJ35" s="16"/>
      <c r="PYK35" s="16"/>
      <c r="PYL35" s="16"/>
      <c r="PYM35" s="16"/>
      <c r="PYN35" s="16"/>
      <c r="PYO35" s="16"/>
      <c r="PYP35" s="16"/>
      <c r="PYQ35" s="16"/>
      <c r="PYR35" s="16"/>
      <c r="PYS35" s="16"/>
      <c r="PYT35" s="16"/>
      <c r="PYU35" s="16"/>
      <c r="PYV35" s="16"/>
      <c r="PYW35" s="16"/>
      <c r="PYX35" s="16"/>
      <c r="PYY35" s="16"/>
      <c r="PYZ35" s="16"/>
      <c r="PZA35" s="16"/>
      <c r="PZB35" s="16"/>
      <c r="PZC35" s="16"/>
      <c r="PZD35" s="16"/>
      <c r="PZE35" s="16"/>
      <c r="PZF35" s="16"/>
      <c r="PZG35" s="16"/>
      <c r="PZH35" s="16"/>
      <c r="PZI35" s="16"/>
      <c r="PZJ35" s="16"/>
      <c r="PZK35" s="16"/>
      <c r="PZL35" s="16"/>
      <c r="PZM35" s="16"/>
      <c r="PZN35" s="16"/>
      <c r="PZO35" s="16"/>
      <c r="PZP35" s="16"/>
      <c r="PZQ35" s="16"/>
      <c r="PZR35" s="16"/>
      <c r="PZS35" s="16"/>
      <c r="PZT35" s="16"/>
      <c r="PZU35" s="16"/>
      <c r="PZV35" s="16"/>
      <c r="PZW35" s="16"/>
      <c r="PZX35" s="16"/>
      <c r="PZY35" s="16"/>
      <c r="PZZ35" s="16"/>
      <c r="QAA35" s="16"/>
      <c r="QAB35" s="16"/>
      <c r="QAC35" s="16"/>
      <c r="QAD35" s="16"/>
      <c r="QAE35" s="16"/>
      <c r="QAF35" s="16"/>
      <c r="QAG35" s="16"/>
      <c r="QAH35" s="16"/>
      <c r="QAI35" s="16"/>
      <c r="QAJ35" s="16"/>
      <c r="QAK35" s="16"/>
      <c r="QAL35" s="16"/>
      <c r="QAM35" s="16"/>
      <c r="QAN35" s="16"/>
      <c r="QAO35" s="16"/>
      <c r="QAP35" s="16"/>
      <c r="QAQ35" s="16"/>
      <c r="QAR35" s="16"/>
      <c r="QAS35" s="16"/>
      <c r="QAT35" s="16"/>
      <c r="QAU35" s="16"/>
      <c r="QAV35" s="16"/>
      <c r="QAW35" s="16"/>
      <c r="QAX35" s="16"/>
      <c r="QAY35" s="16"/>
      <c r="QAZ35" s="16"/>
      <c r="QBA35" s="16"/>
      <c r="QBB35" s="16"/>
      <c r="QBC35" s="16"/>
      <c r="QBD35" s="16"/>
      <c r="QBE35" s="16"/>
      <c r="QBF35" s="16"/>
      <c r="QBG35" s="16"/>
      <c r="QBH35" s="16"/>
      <c r="QBI35" s="16"/>
      <c r="QBJ35" s="16"/>
      <c r="QBK35" s="16"/>
      <c r="QBL35" s="16"/>
      <c r="QBM35" s="16"/>
      <c r="QBN35" s="16"/>
      <c r="QBO35" s="16"/>
      <c r="QBP35" s="16"/>
      <c r="QBQ35" s="16"/>
      <c r="QBR35" s="16"/>
      <c r="QBS35" s="16"/>
      <c r="QBT35" s="16"/>
      <c r="QBU35" s="16"/>
      <c r="QBV35" s="16"/>
      <c r="QBW35" s="16"/>
      <c r="QBX35" s="16"/>
      <c r="QBY35" s="16"/>
      <c r="QBZ35" s="16"/>
      <c r="QCA35" s="16"/>
      <c r="QCB35" s="16"/>
      <c r="QCC35" s="16"/>
      <c r="QCD35" s="16"/>
      <c r="QCE35" s="16"/>
      <c r="QCF35" s="16"/>
      <c r="QCG35" s="16"/>
      <c r="QCH35" s="16"/>
      <c r="QCI35" s="16"/>
      <c r="QCJ35" s="16"/>
      <c r="QCK35" s="16"/>
      <c r="QCL35" s="16"/>
      <c r="QCM35" s="16"/>
      <c r="QCN35" s="16"/>
      <c r="QCO35" s="16"/>
      <c r="QCP35" s="16"/>
      <c r="QCQ35" s="16"/>
      <c r="QCR35" s="16"/>
      <c r="QCS35" s="16"/>
      <c r="QCT35" s="16"/>
      <c r="QCU35" s="16"/>
      <c r="QCV35" s="16"/>
      <c r="QCW35" s="16"/>
      <c r="QCX35" s="16"/>
      <c r="QCY35" s="16"/>
      <c r="QCZ35" s="16"/>
      <c r="QDA35" s="16"/>
      <c r="QDB35" s="16"/>
      <c r="QDC35" s="16"/>
      <c r="QDD35" s="16"/>
      <c r="QDE35" s="16"/>
      <c r="QDF35" s="16"/>
      <c r="QDG35" s="16"/>
      <c r="QDH35" s="16"/>
      <c r="QDI35" s="16"/>
      <c r="QDJ35" s="16"/>
      <c r="QDK35" s="16"/>
      <c r="QDL35" s="16"/>
      <c r="QDM35" s="16"/>
      <c r="QDN35" s="16"/>
      <c r="QDO35" s="16"/>
      <c r="QDP35" s="16"/>
      <c r="QDQ35" s="16"/>
      <c r="QDR35" s="16"/>
      <c r="QDS35" s="16"/>
      <c r="QDT35" s="16"/>
      <c r="QDU35" s="16"/>
      <c r="QDV35" s="16"/>
      <c r="QDW35" s="16"/>
      <c r="QDX35" s="16"/>
      <c r="QDY35" s="16"/>
      <c r="QDZ35" s="16"/>
      <c r="QEA35" s="16"/>
      <c r="QEB35" s="16"/>
      <c r="QEC35" s="16"/>
      <c r="QED35" s="16"/>
      <c r="QEE35" s="16"/>
      <c r="QEF35" s="16"/>
      <c r="QEG35" s="16"/>
      <c r="QEH35" s="16"/>
      <c r="QEI35" s="16"/>
      <c r="QEJ35" s="16"/>
      <c r="QEK35" s="16"/>
      <c r="QEL35" s="16"/>
      <c r="QEM35" s="16"/>
      <c r="QEN35" s="16"/>
      <c r="QEO35" s="16"/>
      <c r="QEP35" s="16"/>
      <c r="QEQ35" s="16"/>
      <c r="QER35" s="16"/>
      <c r="QES35" s="16"/>
      <c r="QET35" s="16"/>
      <c r="QEU35" s="16"/>
      <c r="QEV35" s="16"/>
      <c r="QEW35" s="16"/>
      <c r="QEX35" s="16"/>
      <c r="QEY35" s="16"/>
      <c r="QEZ35" s="16"/>
      <c r="QFA35" s="16"/>
      <c r="QFB35" s="16"/>
      <c r="QFC35" s="16"/>
      <c r="QFD35" s="16"/>
      <c r="QFE35" s="16"/>
      <c r="QFF35" s="16"/>
      <c r="QFG35" s="16"/>
      <c r="QFH35" s="16"/>
      <c r="QFI35" s="16"/>
      <c r="QFJ35" s="16"/>
      <c r="QFK35" s="16"/>
      <c r="QFL35" s="16"/>
      <c r="QFM35" s="16"/>
      <c r="QFN35" s="16"/>
      <c r="QFO35" s="16"/>
      <c r="QFP35" s="16"/>
      <c r="QFQ35" s="16"/>
      <c r="QFR35" s="16"/>
      <c r="QFS35" s="16"/>
      <c r="QFT35" s="16"/>
      <c r="QFU35" s="16"/>
      <c r="QFV35" s="16"/>
      <c r="QFW35" s="16"/>
      <c r="QFX35" s="16"/>
      <c r="QFY35" s="16"/>
      <c r="QFZ35" s="16"/>
      <c r="QGA35" s="16"/>
      <c r="QGB35" s="16"/>
      <c r="QGC35" s="16"/>
      <c r="QGD35" s="16"/>
      <c r="QGE35" s="16"/>
      <c r="QGF35" s="16"/>
      <c r="QGG35" s="16"/>
      <c r="QGH35" s="16"/>
      <c r="QGI35" s="16"/>
      <c r="QGJ35" s="16"/>
      <c r="QGK35" s="16"/>
      <c r="QGL35" s="16"/>
      <c r="QGM35" s="16"/>
      <c r="QGN35" s="16"/>
      <c r="QGO35" s="16"/>
      <c r="QGP35" s="16"/>
      <c r="QGQ35" s="16"/>
      <c r="QGR35" s="16"/>
      <c r="QGS35" s="16"/>
      <c r="QGT35" s="16"/>
      <c r="QGU35" s="16"/>
      <c r="QGV35" s="16"/>
      <c r="QGW35" s="16"/>
      <c r="QGX35" s="16"/>
      <c r="QGY35" s="16"/>
      <c r="QGZ35" s="16"/>
      <c r="QHA35" s="16"/>
      <c r="QHB35" s="16"/>
      <c r="QHC35" s="16"/>
      <c r="QHD35" s="16"/>
      <c r="QHE35" s="16"/>
      <c r="QHF35" s="16"/>
      <c r="QHG35" s="16"/>
      <c r="QHH35" s="16"/>
      <c r="QHI35" s="16"/>
      <c r="QHJ35" s="16"/>
      <c r="QHK35" s="16"/>
      <c r="QHL35" s="16"/>
      <c r="QHM35" s="16"/>
      <c r="QHN35" s="16"/>
      <c r="QHO35" s="16"/>
      <c r="QHP35" s="16"/>
      <c r="QHQ35" s="16"/>
      <c r="QHR35" s="16"/>
      <c r="QHS35" s="16"/>
      <c r="QHT35" s="16"/>
      <c r="QHU35" s="16"/>
      <c r="QHV35" s="16"/>
      <c r="QHW35" s="16"/>
      <c r="QHX35" s="16"/>
      <c r="QHY35" s="16"/>
      <c r="QHZ35" s="16"/>
      <c r="QIA35" s="16"/>
      <c r="QIB35" s="16"/>
      <c r="QIC35" s="16"/>
      <c r="QID35" s="16"/>
      <c r="QIE35" s="16"/>
      <c r="QIF35" s="16"/>
      <c r="QIG35" s="16"/>
      <c r="QIH35" s="16"/>
      <c r="QII35" s="16"/>
      <c r="QIJ35" s="16"/>
      <c r="QIK35" s="16"/>
      <c r="QIL35" s="16"/>
      <c r="QIM35" s="16"/>
      <c r="QIN35" s="16"/>
      <c r="QIO35" s="16"/>
      <c r="QIP35" s="16"/>
      <c r="QIQ35" s="16"/>
      <c r="QIR35" s="16"/>
      <c r="QIS35" s="16"/>
      <c r="QIT35" s="16"/>
      <c r="QIU35" s="16"/>
      <c r="QIV35" s="16"/>
      <c r="QIW35" s="16"/>
      <c r="QIX35" s="16"/>
      <c r="QIY35" s="16"/>
      <c r="QIZ35" s="16"/>
      <c r="QJA35" s="16"/>
      <c r="QJB35" s="16"/>
      <c r="QJC35" s="16"/>
      <c r="QJD35" s="16"/>
      <c r="QJE35" s="16"/>
      <c r="QJF35" s="16"/>
      <c r="QJG35" s="16"/>
      <c r="QJH35" s="16"/>
      <c r="QJI35" s="16"/>
      <c r="QJJ35" s="16"/>
      <c r="QJK35" s="16"/>
      <c r="QJL35" s="16"/>
      <c r="QJM35" s="16"/>
      <c r="QJN35" s="16"/>
      <c r="QJO35" s="16"/>
      <c r="QJP35" s="16"/>
      <c r="QJQ35" s="16"/>
      <c r="QJR35" s="16"/>
      <c r="QJS35" s="16"/>
      <c r="QJT35" s="16"/>
      <c r="QJU35" s="16"/>
      <c r="QJV35" s="16"/>
      <c r="QJW35" s="16"/>
      <c r="QJX35" s="16"/>
      <c r="QJY35" s="16"/>
      <c r="QJZ35" s="16"/>
      <c r="QKA35" s="16"/>
      <c r="QKB35" s="16"/>
      <c r="QKC35" s="16"/>
      <c r="QKD35" s="16"/>
      <c r="QKE35" s="16"/>
      <c r="QKF35" s="16"/>
      <c r="QKG35" s="16"/>
      <c r="QKH35" s="16"/>
      <c r="QKI35" s="16"/>
      <c r="QKJ35" s="16"/>
      <c r="QKK35" s="16"/>
      <c r="QKL35" s="16"/>
      <c r="QKM35" s="16"/>
      <c r="QKN35" s="16"/>
      <c r="QKO35" s="16"/>
      <c r="QKP35" s="16"/>
      <c r="QKQ35" s="16"/>
      <c r="QKR35" s="16"/>
      <c r="QKS35" s="16"/>
      <c r="QKT35" s="16"/>
      <c r="QKU35" s="16"/>
      <c r="QKV35" s="16"/>
      <c r="QKW35" s="16"/>
      <c r="QKX35" s="16"/>
      <c r="QKY35" s="16"/>
      <c r="QKZ35" s="16"/>
      <c r="QLA35" s="16"/>
      <c r="QLB35" s="16"/>
      <c r="QLC35" s="16"/>
      <c r="QLD35" s="16"/>
      <c r="QLE35" s="16"/>
      <c r="QLF35" s="16"/>
      <c r="QLG35" s="16"/>
      <c r="QLH35" s="16"/>
      <c r="QLI35" s="16"/>
      <c r="QLJ35" s="16"/>
      <c r="QLK35" s="16"/>
      <c r="QLL35" s="16"/>
      <c r="QLM35" s="16"/>
      <c r="QLN35" s="16"/>
      <c r="QLO35" s="16"/>
      <c r="QLP35" s="16"/>
      <c r="QLQ35" s="16"/>
      <c r="QLR35" s="16"/>
      <c r="QLS35" s="16"/>
      <c r="QLT35" s="16"/>
      <c r="QLU35" s="16"/>
      <c r="QLV35" s="16"/>
      <c r="QLW35" s="16"/>
      <c r="QLX35" s="16"/>
      <c r="QLY35" s="16"/>
      <c r="QLZ35" s="16"/>
      <c r="QMA35" s="16"/>
      <c r="QMB35" s="16"/>
      <c r="QMC35" s="16"/>
      <c r="QMD35" s="16"/>
      <c r="QME35" s="16"/>
      <c r="QMF35" s="16"/>
      <c r="QMG35" s="16"/>
      <c r="QMH35" s="16"/>
      <c r="QMI35" s="16"/>
      <c r="QMJ35" s="16"/>
      <c r="QMK35" s="16"/>
      <c r="QML35" s="16"/>
      <c r="QMM35" s="16"/>
      <c r="QMN35" s="16"/>
      <c r="QMO35" s="16"/>
      <c r="QMP35" s="16"/>
      <c r="QMQ35" s="16"/>
      <c r="QMR35" s="16"/>
      <c r="QMS35" s="16"/>
      <c r="QMT35" s="16"/>
      <c r="QMU35" s="16"/>
      <c r="QMV35" s="16"/>
      <c r="QMW35" s="16"/>
      <c r="QMX35" s="16"/>
      <c r="QMY35" s="16"/>
      <c r="QMZ35" s="16"/>
      <c r="QNA35" s="16"/>
      <c r="QNB35" s="16"/>
      <c r="QNC35" s="16"/>
      <c r="QND35" s="16"/>
      <c r="QNE35" s="16"/>
      <c r="QNF35" s="16"/>
      <c r="QNG35" s="16"/>
      <c r="QNH35" s="16"/>
      <c r="QNI35" s="16"/>
      <c r="QNJ35" s="16"/>
      <c r="QNK35" s="16"/>
      <c r="QNL35" s="16"/>
      <c r="QNM35" s="16"/>
      <c r="QNN35" s="16"/>
      <c r="QNO35" s="16"/>
      <c r="QNP35" s="16"/>
      <c r="QNQ35" s="16"/>
      <c r="QNR35" s="16"/>
      <c r="QNS35" s="16"/>
      <c r="QNT35" s="16"/>
      <c r="QNU35" s="16"/>
      <c r="QNV35" s="16"/>
      <c r="QNW35" s="16"/>
      <c r="QNX35" s="16"/>
      <c r="QNY35" s="16"/>
      <c r="QNZ35" s="16"/>
      <c r="QOA35" s="16"/>
      <c r="QOB35" s="16"/>
      <c r="QOC35" s="16"/>
      <c r="QOD35" s="16"/>
      <c r="QOE35" s="16"/>
      <c r="QOF35" s="16"/>
      <c r="QOG35" s="16"/>
      <c r="QOH35" s="16"/>
      <c r="QOI35" s="16"/>
      <c r="QOJ35" s="16"/>
      <c r="QOK35" s="16"/>
      <c r="QOL35" s="16"/>
      <c r="QOM35" s="16"/>
      <c r="QON35" s="16"/>
      <c r="QOO35" s="16"/>
      <c r="QOP35" s="16"/>
      <c r="QOQ35" s="16"/>
      <c r="QOR35" s="16"/>
      <c r="QOS35" s="16"/>
      <c r="QOT35" s="16"/>
      <c r="QOU35" s="16"/>
      <c r="QOV35" s="16"/>
      <c r="QOW35" s="16"/>
      <c r="QOX35" s="16"/>
      <c r="QOY35" s="16"/>
      <c r="QOZ35" s="16"/>
      <c r="QPA35" s="16"/>
      <c r="QPB35" s="16"/>
      <c r="QPC35" s="16"/>
      <c r="QPD35" s="16"/>
      <c r="QPE35" s="16"/>
      <c r="QPF35" s="16"/>
      <c r="QPG35" s="16"/>
      <c r="QPH35" s="16"/>
      <c r="QPI35" s="16"/>
      <c r="QPJ35" s="16"/>
      <c r="QPK35" s="16"/>
      <c r="QPL35" s="16"/>
      <c r="QPM35" s="16"/>
      <c r="QPN35" s="16"/>
      <c r="QPO35" s="16"/>
      <c r="QPP35" s="16"/>
      <c r="QPQ35" s="16"/>
      <c r="QPR35" s="16"/>
      <c r="QPS35" s="16"/>
      <c r="QPT35" s="16"/>
      <c r="QPU35" s="16"/>
      <c r="QPV35" s="16"/>
      <c r="QPW35" s="16"/>
      <c r="QPX35" s="16"/>
      <c r="QPY35" s="16"/>
      <c r="QPZ35" s="16"/>
      <c r="QQA35" s="16"/>
      <c r="QQB35" s="16"/>
      <c r="QQC35" s="16"/>
      <c r="QQD35" s="16"/>
      <c r="QQE35" s="16"/>
      <c r="QQF35" s="16"/>
      <c r="QQG35" s="16"/>
      <c r="QQH35" s="16"/>
      <c r="QQI35" s="16"/>
      <c r="QQJ35" s="16"/>
      <c r="QQK35" s="16"/>
      <c r="QQL35" s="16"/>
      <c r="QQM35" s="16"/>
      <c r="QQN35" s="16"/>
      <c r="QQO35" s="16"/>
      <c r="QQP35" s="16"/>
      <c r="QQQ35" s="16"/>
      <c r="QQR35" s="16"/>
      <c r="QQS35" s="16"/>
      <c r="QQT35" s="16"/>
      <c r="QQU35" s="16"/>
      <c r="QQV35" s="16"/>
      <c r="QQW35" s="16"/>
      <c r="QQX35" s="16"/>
      <c r="QQY35" s="16"/>
      <c r="QQZ35" s="16"/>
      <c r="QRA35" s="16"/>
      <c r="QRB35" s="16"/>
      <c r="QRC35" s="16"/>
      <c r="QRD35" s="16"/>
      <c r="QRE35" s="16"/>
      <c r="QRF35" s="16"/>
      <c r="QRG35" s="16"/>
      <c r="QRH35" s="16"/>
      <c r="QRI35" s="16"/>
      <c r="QRJ35" s="16"/>
      <c r="QRK35" s="16"/>
      <c r="QRL35" s="16"/>
      <c r="QRM35" s="16"/>
      <c r="QRN35" s="16"/>
      <c r="QRO35" s="16"/>
      <c r="QRP35" s="16"/>
      <c r="QRQ35" s="16"/>
      <c r="QRR35" s="16"/>
      <c r="QRS35" s="16"/>
      <c r="QRT35" s="16"/>
      <c r="QRU35" s="16"/>
      <c r="QRV35" s="16"/>
      <c r="QRW35" s="16"/>
      <c r="QRX35" s="16"/>
      <c r="QRY35" s="16"/>
      <c r="QRZ35" s="16"/>
      <c r="QSA35" s="16"/>
      <c r="QSB35" s="16"/>
      <c r="QSC35" s="16"/>
      <c r="QSD35" s="16"/>
      <c r="QSE35" s="16"/>
      <c r="QSF35" s="16"/>
      <c r="QSG35" s="16"/>
      <c r="QSH35" s="16"/>
      <c r="QSI35" s="16"/>
      <c r="QSJ35" s="16"/>
      <c r="QSK35" s="16"/>
      <c r="QSL35" s="16"/>
      <c r="QSM35" s="16"/>
      <c r="QSN35" s="16"/>
      <c r="QSO35" s="16"/>
      <c r="QSP35" s="16"/>
      <c r="QSQ35" s="16"/>
      <c r="QSR35" s="16"/>
      <c r="QSS35" s="16"/>
      <c r="QST35" s="16"/>
      <c r="QSU35" s="16"/>
      <c r="QSV35" s="16"/>
      <c r="QSW35" s="16"/>
      <c r="QSX35" s="16"/>
      <c r="QSY35" s="16"/>
      <c r="QSZ35" s="16"/>
      <c r="QTA35" s="16"/>
      <c r="QTB35" s="16"/>
      <c r="QTC35" s="16"/>
      <c r="QTD35" s="16"/>
      <c r="QTE35" s="16"/>
      <c r="QTF35" s="16"/>
      <c r="QTG35" s="16"/>
      <c r="QTH35" s="16"/>
      <c r="QTI35" s="16"/>
      <c r="QTJ35" s="16"/>
      <c r="QTK35" s="16"/>
      <c r="QTL35" s="16"/>
      <c r="QTM35" s="16"/>
      <c r="QTN35" s="16"/>
      <c r="QTO35" s="16"/>
      <c r="QTP35" s="16"/>
      <c r="QTQ35" s="16"/>
      <c r="QTR35" s="16"/>
      <c r="QTS35" s="16"/>
      <c r="QTT35" s="16"/>
      <c r="QTU35" s="16"/>
      <c r="QTV35" s="16"/>
      <c r="QTW35" s="16"/>
      <c r="QTX35" s="16"/>
      <c r="QTY35" s="16"/>
      <c r="QTZ35" s="16"/>
      <c r="QUA35" s="16"/>
      <c r="QUB35" s="16"/>
      <c r="QUC35" s="16"/>
      <c r="QUD35" s="16"/>
      <c r="QUE35" s="16"/>
      <c r="QUF35" s="16"/>
      <c r="QUG35" s="16"/>
      <c r="QUH35" s="16"/>
      <c r="QUI35" s="16"/>
      <c r="QUJ35" s="16"/>
      <c r="QUK35" s="16"/>
      <c r="QUL35" s="16"/>
      <c r="QUM35" s="16"/>
      <c r="QUN35" s="16"/>
      <c r="QUO35" s="16"/>
      <c r="QUP35" s="16"/>
      <c r="QUQ35" s="16"/>
      <c r="QUR35" s="16"/>
      <c r="QUS35" s="16"/>
      <c r="QUT35" s="16"/>
      <c r="QUU35" s="16"/>
      <c r="QUV35" s="16"/>
      <c r="QUW35" s="16"/>
      <c r="QUX35" s="16"/>
      <c r="QUY35" s="16"/>
      <c r="QUZ35" s="16"/>
      <c r="QVA35" s="16"/>
      <c r="QVB35" s="16"/>
      <c r="QVC35" s="16"/>
      <c r="QVD35" s="16"/>
      <c r="QVE35" s="16"/>
      <c r="QVF35" s="16"/>
      <c r="QVG35" s="16"/>
      <c r="QVH35" s="16"/>
      <c r="QVI35" s="16"/>
      <c r="QVJ35" s="16"/>
      <c r="QVK35" s="16"/>
      <c r="QVL35" s="16"/>
      <c r="QVM35" s="16"/>
      <c r="QVN35" s="16"/>
      <c r="QVO35" s="16"/>
      <c r="QVP35" s="16"/>
      <c r="QVQ35" s="16"/>
      <c r="QVR35" s="16"/>
      <c r="QVS35" s="16"/>
      <c r="QVT35" s="16"/>
      <c r="QVU35" s="16"/>
      <c r="QVV35" s="16"/>
      <c r="QVW35" s="16"/>
      <c r="QVX35" s="16"/>
      <c r="QVY35" s="16"/>
      <c r="QVZ35" s="16"/>
      <c r="QWA35" s="16"/>
      <c r="QWB35" s="16"/>
      <c r="QWC35" s="16"/>
      <c r="QWD35" s="16"/>
      <c r="QWE35" s="16"/>
      <c r="QWF35" s="16"/>
      <c r="QWG35" s="16"/>
      <c r="QWH35" s="16"/>
      <c r="QWI35" s="16"/>
      <c r="QWJ35" s="16"/>
      <c r="QWK35" s="16"/>
      <c r="QWL35" s="16"/>
      <c r="QWM35" s="16"/>
      <c r="QWN35" s="16"/>
      <c r="QWO35" s="16"/>
      <c r="QWP35" s="16"/>
      <c r="QWQ35" s="16"/>
      <c r="QWR35" s="16"/>
      <c r="QWS35" s="16"/>
      <c r="QWT35" s="16"/>
      <c r="QWU35" s="16"/>
      <c r="QWV35" s="16"/>
      <c r="QWW35" s="16"/>
      <c r="QWX35" s="16"/>
      <c r="QWY35" s="16"/>
      <c r="QWZ35" s="16"/>
      <c r="QXA35" s="16"/>
      <c r="QXB35" s="16"/>
      <c r="QXC35" s="16"/>
      <c r="QXD35" s="16"/>
      <c r="QXE35" s="16"/>
      <c r="QXF35" s="16"/>
      <c r="QXG35" s="16"/>
      <c r="QXH35" s="16"/>
      <c r="QXI35" s="16"/>
      <c r="QXJ35" s="16"/>
      <c r="QXK35" s="16"/>
      <c r="QXL35" s="16"/>
      <c r="QXM35" s="16"/>
      <c r="QXN35" s="16"/>
      <c r="QXO35" s="16"/>
      <c r="QXP35" s="16"/>
      <c r="QXQ35" s="16"/>
      <c r="QXR35" s="16"/>
      <c r="QXS35" s="16"/>
      <c r="QXT35" s="16"/>
      <c r="QXU35" s="16"/>
      <c r="QXV35" s="16"/>
      <c r="QXW35" s="16"/>
      <c r="QXX35" s="16"/>
      <c r="QXY35" s="16"/>
      <c r="QXZ35" s="16"/>
      <c r="QYA35" s="16"/>
      <c r="QYB35" s="16"/>
      <c r="QYC35" s="16"/>
      <c r="QYD35" s="16"/>
      <c r="QYE35" s="16"/>
      <c r="QYF35" s="16"/>
      <c r="QYG35" s="16"/>
      <c r="QYH35" s="16"/>
      <c r="QYI35" s="16"/>
      <c r="QYJ35" s="16"/>
      <c r="QYK35" s="16"/>
      <c r="QYL35" s="16"/>
      <c r="QYM35" s="16"/>
      <c r="QYN35" s="16"/>
      <c r="QYO35" s="16"/>
      <c r="QYP35" s="16"/>
      <c r="QYQ35" s="16"/>
      <c r="QYR35" s="16"/>
      <c r="QYS35" s="16"/>
      <c r="QYT35" s="16"/>
      <c r="QYU35" s="16"/>
      <c r="QYV35" s="16"/>
      <c r="QYW35" s="16"/>
      <c r="QYX35" s="16"/>
      <c r="QYY35" s="16"/>
      <c r="QYZ35" s="16"/>
      <c r="QZA35" s="16"/>
      <c r="QZB35" s="16"/>
      <c r="QZC35" s="16"/>
      <c r="QZD35" s="16"/>
      <c r="QZE35" s="16"/>
      <c r="QZF35" s="16"/>
      <c r="QZG35" s="16"/>
      <c r="QZH35" s="16"/>
      <c r="QZI35" s="16"/>
      <c r="QZJ35" s="16"/>
      <c r="QZK35" s="16"/>
      <c r="QZL35" s="16"/>
      <c r="QZM35" s="16"/>
      <c r="QZN35" s="16"/>
      <c r="QZO35" s="16"/>
      <c r="QZP35" s="16"/>
      <c r="QZQ35" s="16"/>
      <c r="QZR35" s="16"/>
      <c r="QZS35" s="16"/>
      <c r="QZT35" s="16"/>
      <c r="QZU35" s="16"/>
      <c r="QZV35" s="16"/>
      <c r="QZW35" s="16"/>
      <c r="QZX35" s="16"/>
      <c r="QZY35" s="16"/>
      <c r="QZZ35" s="16"/>
      <c r="RAA35" s="16"/>
      <c r="RAB35" s="16"/>
      <c r="RAC35" s="16"/>
      <c r="RAD35" s="16"/>
      <c r="RAE35" s="16"/>
      <c r="RAF35" s="16"/>
      <c r="RAG35" s="16"/>
      <c r="RAH35" s="16"/>
      <c r="RAI35" s="16"/>
      <c r="RAJ35" s="16"/>
      <c r="RAK35" s="16"/>
      <c r="RAL35" s="16"/>
      <c r="RAM35" s="16"/>
      <c r="RAN35" s="16"/>
      <c r="RAO35" s="16"/>
      <c r="RAP35" s="16"/>
      <c r="RAQ35" s="16"/>
      <c r="RAR35" s="16"/>
      <c r="RAS35" s="16"/>
      <c r="RAT35" s="16"/>
      <c r="RAU35" s="16"/>
      <c r="RAV35" s="16"/>
      <c r="RAW35" s="16"/>
      <c r="RAX35" s="16"/>
      <c r="RAY35" s="16"/>
      <c r="RAZ35" s="16"/>
      <c r="RBA35" s="16"/>
      <c r="RBB35" s="16"/>
      <c r="RBC35" s="16"/>
      <c r="RBD35" s="16"/>
      <c r="RBE35" s="16"/>
      <c r="RBF35" s="16"/>
      <c r="RBG35" s="16"/>
      <c r="RBH35" s="16"/>
      <c r="RBI35" s="16"/>
      <c r="RBJ35" s="16"/>
      <c r="RBK35" s="16"/>
      <c r="RBL35" s="16"/>
      <c r="RBM35" s="16"/>
      <c r="RBN35" s="16"/>
      <c r="RBO35" s="16"/>
      <c r="RBP35" s="16"/>
      <c r="RBQ35" s="16"/>
      <c r="RBR35" s="16"/>
      <c r="RBS35" s="16"/>
      <c r="RBT35" s="16"/>
      <c r="RBU35" s="16"/>
      <c r="RBV35" s="16"/>
      <c r="RBW35" s="16"/>
      <c r="RBX35" s="16"/>
      <c r="RBY35" s="16"/>
      <c r="RBZ35" s="16"/>
      <c r="RCA35" s="16"/>
      <c r="RCB35" s="16"/>
      <c r="RCC35" s="16"/>
      <c r="RCD35" s="16"/>
      <c r="RCE35" s="16"/>
      <c r="RCF35" s="16"/>
      <c r="RCG35" s="16"/>
      <c r="RCH35" s="16"/>
      <c r="RCI35" s="16"/>
      <c r="RCJ35" s="16"/>
      <c r="RCK35" s="16"/>
      <c r="RCL35" s="16"/>
      <c r="RCM35" s="16"/>
      <c r="RCN35" s="16"/>
      <c r="RCO35" s="16"/>
      <c r="RCP35" s="16"/>
      <c r="RCQ35" s="16"/>
      <c r="RCR35" s="16"/>
      <c r="RCS35" s="16"/>
      <c r="RCT35" s="16"/>
      <c r="RCU35" s="16"/>
      <c r="RCV35" s="16"/>
      <c r="RCW35" s="16"/>
      <c r="RCX35" s="16"/>
      <c r="RCY35" s="16"/>
      <c r="RCZ35" s="16"/>
      <c r="RDA35" s="16"/>
      <c r="RDB35" s="16"/>
      <c r="RDC35" s="16"/>
      <c r="RDD35" s="16"/>
      <c r="RDE35" s="16"/>
      <c r="RDF35" s="16"/>
      <c r="RDG35" s="16"/>
      <c r="RDH35" s="16"/>
      <c r="RDI35" s="16"/>
      <c r="RDJ35" s="16"/>
      <c r="RDK35" s="16"/>
      <c r="RDL35" s="16"/>
      <c r="RDM35" s="16"/>
      <c r="RDN35" s="16"/>
      <c r="RDO35" s="16"/>
      <c r="RDP35" s="16"/>
      <c r="RDQ35" s="16"/>
      <c r="RDR35" s="16"/>
      <c r="RDS35" s="16"/>
      <c r="RDT35" s="16"/>
      <c r="RDU35" s="16"/>
      <c r="RDV35" s="16"/>
      <c r="RDW35" s="16"/>
      <c r="RDX35" s="16"/>
      <c r="RDY35" s="16"/>
      <c r="RDZ35" s="16"/>
      <c r="REA35" s="16"/>
      <c r="REB35" s="16"/>
      <c r="REC35" s="16"/>
      <c r="RED35" s="16"/>
      <c r="REE35" s="16"/>
      <c r="REF35" s="16"/>
      <c r="REG35" s="16"/>
      <c r="REH35" s="16"/>
      <c r="REI35" s="16"/>
      <c r="REJ35" s="16"/>
      <c r="REK35" s="16"/>
      <c r="REL35" s="16"/>
      <c r="REM35" s="16"/>
      <c r="REN35" s="16"/>
      <c r="REO35" s="16"/>
      <c r="REP35" s="16"/>
      <c r="REQ35" s="16"/>
      <c r="RER35" s="16"/>
      <c r="RES35" s="16"/>
      <c r="RET35" s="16"/>
      <c r="REU35" s="16"/>
      <c r="REV35" s="16"/>
      <c r="REW35" s="16"/>
      <c r="REX35" s="16"/>
      <c r="REY35" s="16"/>
      <c r="REZ35" s="16"/>
      <c r="RFA35" s="16"/>
      <c r="RFB35" s="16"/>
      <c r="RFC35" s="16"/>
      <c r="RFD35" s="16"/>
      <c r="RFE35" s="16"/>
      <c r="RFF35" s="16"/>
      <c r="RFG35" s="16"/>
      <c r="RFH35" s="16"/>
      <c r="RFI35" s="16"/>
      <c r="RFJ35" s="16"/>
      <c r="RFK35" s="16"/>
      <c r="RFL35" s="16"/>
      <c r="RFM35" s="16"/>
      <c r="RFN35" s="16"/>
      <c r="RFO35" s="16"/>
      <c r="RFP35" s="16"/>
      <c r="RFQ35" s="16"/>
      <c r="RFR35" s="16"/>
      <c r="RFS35" s="16"/>
      <c r="RFT35" s="16"/>
      <c r="RFU35" s="16"/>
      <c r="RFV35" s="16"/>
      <c r="RFW35" s="16"/>
      <c r="RFX35" s="16"/>
      <c r="RFY35" s="16"/>
      <c r="RFZ35" s="16"/>
      <c r="RGA35" s="16"/>
      <c r="RGB35" s="16"/>
      <c r="RGC35" s="16"/>
      <c r="RGD35" s="16"/>
      <c r="RGE35" s="16"/>
      <c r="RGF35" s="16"/>
      <c r="RGG35" s="16"/>
      <c r="RGH35" s="16"/>
      <c r="RGI35" s="16"/>
      <c r="RGJ35" s="16"/>
      <c r="RGK35" s="16"/>
      <c r="RGL35" s="16"/>
      <c r="RGM35" s="16"/>
      <c r="RGN35" s="16"/>
      <c r="RGO35" s="16"/>
      <c r="RGP35" s="16"/>
      <c r="RGQ35" s="16"/>
      <c r="RGR35" s="16"/>
      <c r="RGS35" s="16"/>
      <c r="RGT35" s="16"/>
      <c r="RGU35" s="16"/>
      <c r="RGV35" s="16"/>
      <c r="RGW35" s="16"/>
      <c r="RGX35" s="16"/>
      <c r="RGY35" s="16"/>
      <c r="RGZ35" s="16"/>
      <c r="RHA35" s="16"/>
      <c r="RHB35" s="16"/>
      <c r="RHC35" s="16"/>
      <c r="RHD35" s="16"/>
      <c r="RHE35" s="16"/>
      <c r="RHF35" s="16"/>
      <c r="RHG35" s="16"/>
      <c r="RHH35" s="16"/>
      <c r="RHI35" s="16"/>
      <c r="RHJ35" s="16"/>
      <c r="RHK35" s="16"/>
      <c r="RHL35" s="16"/>
      <c r="RHM35" s="16"/>
      <c r="RHN35" s="16"/>
      <c r="RHO35" s="16"/>
      <c r="RHP35" s="16"/>
      <c r="RHQ35" s="16"/>
      <c r="RHR35" s="16"/>
      <c r="RHS35" s="16"/>
      <c r="RHT35" s="16"/>
      <c r="RHU35" s="16"/>
      <c r="RHV35" s="16"/>
      <c r="RHW35" s="16"/>
      <c r="RHX35" s="16"/>
      <c r="RHY35" s="16"/>
      <c r="RHZ35" s="16"/>
      <c r="RIA35" s="16"/>
      <c r="RIB35" s="16"/>
      <c r="RIC35" s="16"/>
      <c r="RID35" s="16"/>
      <c r="RIE35" s="16"/>
      <c r="RIF35" s="16"/>
      <c r="RIG35" s="16"/>
      <c r="RIH35" s="16"/>
      <c r="RII35" s="16"/>
      <c r="RIJ35" s="16"/>
      <c r="RIK35" s="16"/>
      <c r="RIL35" s="16"/>
      <c r="RIM35" s="16"/>
      <c r="RIN35" s="16"/>
      <c r="RIO35" s="16"/>
      <c r="RIP35" s="16"/>
      <c r="RIQ35" s="16"/>
      <c r="RIR35" s="16"/>
      <c r="RIS35" s="16"/>
      <c r="RIT35" s="16"/>
      <c r="RIU35" s="16"/>
      <c r="RIV35" s="16"/>
      <c r="RIW35" s="16"/>
      <c r="RIX35" s="16"/>
      <c r="RIY35" s="16"/>
      <c r="RIZ35" s="16"/>
      <c r="RJA35" s="16"/>
      <c r="RJB35" s="16"/>
      <c r="RJC35" s="16"/>
      <c r="RJD35" s="16"/>
      <c r="RJE35" s="16"/>
      <c r="RJF35" s="16"/>
      <c r="RJG35" s="16"/>
      <c r="RJH35" s="16"/>
      <c r="RJI35" s="16"/>
      <c r="RJJ35" s="16"/>
      <c r="RJK35" s="16"/>
      <c r="RJL35" s="16"/>
      <c r="RJM35" s="16"/>
      <c r="RJN35" s="16"/>
      <c r="RJO35" s="16"/>
      <c r="RJP35" s="16"/>
      <c r="RJQ35" s="16"/>
      <c r="RJR35" s="16"/>
      <c r="RJS35" s="16"/>
      <c r="RJT35" s="16"/>
      <c r="RJU35" s="16"/>
      <c r="RJV35" s="16"/>
      <c r="RJW35" s="16"/>
      <c r="RJX35" s="16"/>
      <c r="RJY35" s="16"/>
      <c r="RJZ35" s="16"/>
      <c r="RKA35" s="16"/>
      <c r="RKB35" s="16"/>
      <c r="RKC35" s="16"/>
      <c r="RKD35" s="16"/>
      <c r="RKE35" s="16"/>
      <c r="RKF35" s="16"/>
      <c r="RKG35" s="16"/>
      <c r="RKH35" s="16"/>
      <c r="RKI35" s="16"/>
      <c r="RKJ35" s="16"/>
      <c r="RKK35" s="16"/>
      <c r="RKL35" s="16"/>
      <c r="RKM35" s="16"/>
      <c r="RKN35" s="16"/>
      <c r="RKO35" s="16"/>
      <c r="RKP35" s="16"/>
      <c r="RKQ35" s="16"/>
      <c r="RKR35" s="16"/>
      <c r="RKS35" s="16"/>
      <c r="RKT35" s="16"/>
      <c r="RKU35" s="16"/>
      <c r="RKV35" s="16"/>
      <c r="RKW35" s="16"/>
      <c r="RKX35" s="16"/>
      <c r="RKY35" s="16"/>
      <c r="RKZ35" s="16"/>
      <c r="RLA35" s="16"/>
      <c r="RLB35" s="16"/>
      <c r="RLC35" s="16"/>
      <c r="RLD35" s="16"/>
      <c r="RLE35" s="16"/>
      <c r="RLF35" s="16"/>
      <c r="RLG35" s="16"/>
      <c r="RLH35" s="16"/>
      <c r="RLI35" s="16"/>
      <c r="RLJ35" s="16"/>
      <c r="RLK35" s="16"/>
      <c r="RLL35" s="16"/>
      <c r="RLM35" s="16"/>
      <c r="RLN35" s="16"/>
      <c r="RLO35" s="16"/>
      <c r="RLP35" s="16"/>
      <c r="RLQ35" s="16"/>
      <c r="RLR35" s="16"/>
      <c r="RLS35" s="16"/>
      <c r="RLT35" s="16"/>
      <c r="RLU35" s="16"/>
      <c r="RLV35" s="16"/>
      <c r="RLW35" s="16"/>
      <c r="RLX35" s="16"/>
      <c r="RLY35" s="16"/>
      <c r="RLZ35" s="16"/>
      <c r="RMA35" s="16"/>
      <c r="RMB35" s="16"/>
      <c r="RMC35" s="16"/>
      <c r="RMD35" s="16"/>
      <c r="RME35" s="16"/>
      <c r="RMF35" s="16"/>
      <c r="RMG35" s="16"/>
      <c r="RMH35" s="16"/>
      <c r="RMI35" s="16"/>
      <c r="RMJ35" s="16"/>
      <c r="RMK35" s="16"/>
      <c r="RML35" s="16"/>
      <c r="RMM35" s="16"/>
      <c r="RMN35" s="16"/>
      <c r="RMO35" s="16"/>
      <c r="RMP35" s="16"/>
      <c r="RMQ35" s="16"/>
      <c r="RMR35" s="16"/>
      <c r="RMS35" s="16"/>
      <c r="RMT35" s="16"/>
      <c r="RMU35" s="16"/>
      <c r="RMV35" s="16"/>
      <c r="RMW35" s="16"/>
      <c r="RMX35" s="16"/>
      <c r="RMY35" s="16"/>
      <c r="RMZ35" s="16"/>
      <c r="RNA35" s="16"/>
      <c r="RNB35" s="16"/>
      <c r="RNC35" s="16"/>
      <c r="RND35" s="16"/>
      <c r="RNE35" s="16"/>
      <c r="RNF35" s="16"/>
      <c r="RNG35" s="16"/>
      <c r="RNH35" s="16"/>
      <c r="RNI35" s="16"/>
      <c r="RNJ35" s="16"/>
      <c r="RNK35" s="16"/>
      <c r="RNL35" s="16"/>
      <c r="RNM35" s="16"/>
      <c r="RNN35" s="16"/>
      <c r="RNO35" s="16"/>
      <c r="RNP35" s="16"/>
      <c r="RNQ35" s="16"/>
      <c r="RNR35" s="16"/>
      <c r="RNS35" s="16"/>
      <c r="RNT35" s="16"/>
      <c r="RNU35" s="16"/>
      <c r="RNV35" s="16"/>
      <c r="RNW35" s="16"/>
      <c r="RNX35" s="16"/>
      <c r="RNY35" s="16"/>
      <c r="RNZ35" s="16"/>
      <c r="ROA35" s="16"/>
      <c r="ROB35" s="16"/>
      <c r="ROC35" s="16"/>
      <c r="ROD35" s="16"/>
      <c r="ROE35" s="16"/>
      <c r="ROF35" s="16"/>
      <c r="ROG35" s="16"/>
      <c r="ROH35" s="16"/>
      <c r="ROI35" s="16"/>
      <c r="ROJ35" s="16"/>
      <c r="ROK35" s="16"/>
      <c r="ROL35" s="16"/>
      <c r="ROM35" s="16"/>
      <c r="RON35" s="16"/>
      <c r="ROO35" s="16"/>
      <c r="ROP35" s="16"/>
      <c r="ROQ35" s="16"/>
      <c r="ROR35" s="16"/>
      <c r="ROS35" s="16"/>
      <c r="ROT35" s="16"/>
      <c r="ROU35" s="16"/>
      <c r="ROV35" s="16"/>
      <c r="ROW35" s="16"/>
      <c r="ROX35" s="16"/>
      <c r="ROY35" s="16"/>
      <c r="ROZ35" s="16"/>
      <c r="RPA35" s="16"/>
      <c r="RPB35" s="16"/>
      <c r="RPC35" s="16"/>
      <c r="RPD35" s="16"/>
      <c r="RPE35" s="16"/>
      <c r="RPF35" s="16"/>
      <c r="RPG35" s="16"/>
      <c r="RPH35" s="16"/>
      <c r="RPI35" s="16"/>
      <c r="RPJ35" s="16"/>
      <c r="RPK35" s="16"/>
      <c r="RPL35" s="16"/>
      <c r="RPM35" s="16"/>
      <c r="RPN35" s="16"/>
      <c r="RPO35" s="16"/>
      <c r="RPP35" s="16"/>
      <c r="RPQ35" s="16"/>
      <c r="RPR35" s="16"/>
      <c r="RPS35" s="16"/>
      <c r="RPT35" s="16"/>
      <c r="RPU35" s="16"/>
      <c r="RPV35" s="16"/>
      <c r="RPW35" s="16"/>
      <c r="RPX35" s="16"/>
      <c r="RPY35" s="16"/>
      <c r="RPZ35" s="16"/>
      <c r="RQA35" s="16"/>
      <c r="RQB35" s="16"/>
      <c r="RQC35" s="16"/>
      <c r="RQD35" s="16"/>
      <c r="RQE35" s="16"/>
      <c r="RQF35" s="16"/>
      <c r="RQG35" s="16"/>
      <c r="RQH35" s="16"/>
      <c r="RQI35" s="16"/>
      <c r="RQJ35" s="16"/>
      <c r="RQK35" s="16"/>
      <c r="RQL35" s="16"/>
      <c r="RQM35" s="16"/>
      <c r="RQN35" s="16"/>
      <c r="RQO35" s="16"/>
      <c r="RQP35" s="16"/>
      <c r="RQQ35" s="16"/>
      <c r="RQR35" s="16"/>
      <c r="RQS35" s="16"/>
      <c r="RQT35" s="16"/>
      <c r="RQU35" s="16"/>
      <c r="RQV35" s="16"/>
      <c r="RQW35" s="16"/>
      <c r="RQX35" s="16"/>
      <c r="RQY35" s="16"/>
      <c r="RQZ35" s="16"/>
      <c r="RRA35" s="16"/>
      <c r="RRB35" s="16"/>
      <c r="RRC35" s="16"/>
      <c r="RRD35" s="16"/>
      <c r="RRE35" s="16"/>
      <c r="RRF35" s="16"/>
      <c r="RRG35" s="16"/>
      <c r="RRH35" s="16"/>
      <c r="RRI35" s="16"/>
      <c r="RRJ35" s="16"/>
      <c r="RRK35" s="16"/>
      <c r="RRL35" s="16"/>
      <c r="RRM35" s="16"/>
      <c r="RRN35" s="16"/>
      <c r="RRO35" s="16"/>
      <c r="RRP35" s="16"/>
      <c r="RRQ35" s="16"/>
      <c r="RRR35" s="16"/>
      <c r="RRS35" s="16"/>
      <c r="RRT35" s="16"/>
      <c r="RRU35" s="16"/>
      <c r="RRV35" s="16"/>
      <c r="RRW35" s="16"/>
      <c r="RRX35" s="16"/>
      <c r="RRY35" s="16"/>
      <c r="RRZ35" s="16"/>
      <c r="RSA35" s="16"/>
      <c r="RSB35" s="16"/>
      <c r="RSC35" s="16"/>
      <c r="RSD35" s="16"/>
      <c r="RSE35" s="16"/>
      <c r="RSF35" s="16"/>
      <c r="RSG35" s="16"/>
      <c r="RSH35" s="16"/>
      <c r="RSI35" s="16"/>
      <c r="RSJ35" s="16"/>
      <c r="RSK35" s="16"/>
      <c r="RSL35" s="16"/>
      <c r="RSM35" s="16"/>
      <c r="RSN35" s="16"/>
      <c r="RSO35" s="16"/>
      <c r="RSP35" s="16"/>
      <c r="RSQ35" s="16"/>
      <c r="RSR35" s="16"/>
      <c r="RSS35" s="16"/>
      <c r="RST35" s="16"/>
      <c r="RSU35" s="16"/>
      <c r="RSV35" s="16"/>
      <c r="RSW35" s="16"/>
      <c r="RSX35" s="16"/>
      <c r="RSY35" s="16"/>
      <c r="RSZ35" s="16"/>
      <c r="RTA35" s="16"/>
      <c r="RTB35" s="16"/>
      <c r="RTC35" s="16"/>
      <c r="RTD35" s="16"/>
      <c r="RTE35" s="16"/>
      <c r="RTF35" s="16"/>
      <c r="RTG35" s="16"/>
      <c r="RTH35" s="16"/>
      <c r="RTI35" s="16"/>
      <c r="RTJ35" s="16"/>
      <c r="RTK35" s="16"/>
      <c r="RTL35" s="16"/>
      <c r="RTM35" s="16"/>
      <c r="RTN35" s="16"/>
      <c r="RTO35" s="16"/>
      <c r="RTP35" s="16"/>
      <c r="RTQ35" s="16"/>
      <c r="RTR35" s="16"/>
      <c r="RTS35" s="16"/>
      <c r="RTT35" s="16"/>
      <c r="RTU35" s="16"/>
      <c r="RTV35" s="16"/>
      <c r="RTW35" s="16"/>
      <c r="RTX35" s="16"/>
      <c r="RTY35" s="16"/>
      <c r="RTZ35" s="16"/>
      <c r="RUA35" s="16"/>
      <c r="RUB35" s="16"/>
      <c r="RUC35" s="16"/>
      <c r="RUD35" s="16"/>
      <c r="RUE35" s="16"/>
      <c r="RUF35" s="16"/>
      <c r="RUG35" s="16"/>
      <c r="RUH35" s="16"/>
      <c r="RUI35" s="16"/>
      <c r="RUJ35" s="16"/>
      <c r="RUK35" s="16"/>
      <c r="RUL35" s="16"/>
      <c r="RUM35" s="16"/>
      <c r="RUN35" s="16"/>
      <c r="RUO35" s="16"/>
      <c r="RUP35" s="16"/>
      <c r="RUQ35" s="16"/>
      <c r="RUR35" s="16"/>
      <c r="RUS35" s="16"/>
      <c r="RUT35" s="16"/>
      <c r="RUU35" s="16"/>
      <c r="RUV35" s="16"/>
      <c r="RUW35" s="16"/>
      <c r="RUX35" s="16"/>
      <c r="RUY35" s="16"/>
      <c r="RUZ35" s="16"/>
      <c r="RVA35" s="16"/>
      <c r="RVB35" s="16"/>
      <c r="RVC35" s="16"/>
      <c r="RVD35" s="16"/>
      <c r="RVE35" s="16"/>
      <c r="RVF35" s="16"/>
      <c r="RVG35" s="16"/>
      <c r="RVH35" s="16"/>
      <c r="RVI35" s="16"/>
      <c r="RVJ35" s="16"/>
      <c r="RVK35" s="16"/>
      <c r="RVL35" s="16"/>
      <c r="RVM35" s="16"/>
      <c r="RVN35" s="16"/>
      <c r="RVO35" s="16"/>
      <c r="RVP35" s="16"/>
      <c r="RVQ35" s="16"/>
      <c r="RVR35" s="16"/>
      <c r="RVS35" s="16"/>
      <c r="RVT35" s="16"/>
      <c r="RVU35" s="16"/>
      <c r="RVV35" s="16"/>
      <c r="RVW35" s="16"/>
      <c r="RVX35" s="16"/>
      <c r="RVY35" s="16"/>
      <c r="RVZ35" s="16"/>
      <c r="RWA35" s="16"/>
      <c r="RWB35" s="16"/>
      <c r="RWC35" s="16"/>
      <c r="RWD35" s="16"/>
      <c r="RWE35" s="16"/>
      <c r="RWF35" s="16"/>
      <c r="RWG35" s="16"/>
      <c r="RWH35" s="16"/>
      <c r="RWI35" s="16"/>
      <c r="RWJ35" s="16"/>
      <c r="RWK35" s="16"/>
      <c r="RWL35" s="16"/>
      <c r="RWM35" s="16"/>
      <c r="RWN35" s="16"/>
      <c r="RWO35" s="16"/>
      <c r="RWP35" s="16"/>
      <c r="RWQ35" s="16"/>
      <c r="RWR35" s="16"/>
      <c r="RWS35" s="16"/>
      <c r="RWT35" s="16"/>
      <c r="RWU35" s="16"/>
      <c r="RWV35" s="16"/>
      <c r="RWW35" s="16"/>
      <c r="RWX35" s="16"/>
      <c r="RWY35" s="16"/>
      <c r="RWZ35" s="16"/>
      <c r="RXA35" s="16"/>
      <c r="RXB35" s="16"/>
      <c r="RXC35" s="16"/>
      <c r="RXD35" s="16"/>
      <c r="RXE35" s="16"/>
      <c r="RXF35" s="16"/>
      <c r="RXG35" s="16"/>
      <c r="RXH35" s="16"/>
      <c r="RXI35" s="16"/>
      <c r="RXJ35" s="16"/>
      <c r="RXK35" s="16"/>
      <c r="RXL35" s="16"/>
      <c r="RXM35" s="16"/>
      <c r="RXN35" s="16"/>
      <c r="RXO35" s="16"/>
      <c r="RXP35" s="16"/>
      <c r="RXQ35" s="16"/>
      <c r="RXR35" s="16"/>
      <c r="RXS35" s="16"/>
      <c r="RXT35" s="16"/>
      <c r="RXU35" s="16"/>
      <c r="RXV35" s="16"/>
      <c r="RXW35" s="16"/>
      <c r="RXX35" s="16"/>
      <c r="RXY35" s="16"/>
      <c r="RXZ35" s="16"/>
      <c r="RYA35" s="16"/>
      <c r="RYB35" s="16"/>
      <c r="RYC35" s="16"/>
      <c r="RYD35" s="16"/>
      <c r="RYE35" s="16"/>
      <c r="RYF35" s="16"/>
      <c r="RYG35" s="16"/>
      <c r="RYH35" s="16"/>
      <c r="RYI35" s="16"/>
      <c r="RYJ35" s="16"/>
      <c r="RYK35" s="16"/>
      <c r="RYL35" s="16"/>
      <c r="RYM35" s="16"/>
      <c r="RYN35" s="16"/>
      <c r="RYO35" s="16"/>
      <c r="RYP35" s="16"/>
      <c r="RYQ35" s="16"/>
      <c r="RYR35" s="16"/>
      <c r="RYS35" s="16"/>
      <c r="RYT35" s="16"/>
      <c r="RYU35" s="16"/>
      <c r="RYV35" s="16"/>
      <c r="RYW35" s="16"/>
      <c r="RYX35" s="16"/>
      <c r="RYY35" s="16"/>
      <c r="RYZ35" s="16"/>
      <c r="RZA35" s="16"/>
      <c r="RZB35" s="16"/>
      <c r="RZC35" s="16"/>
      <c r="RZD35" s="16"/>
      <c r="RZE35" s="16"/>
      <c r="RZF35" s="16"/>
      <c r="RZG35" s="16"/>
      <c r="RZH35" s="16"/>
      <c r="RZI35" s="16"/>
      <c r="RZJ35" s="16"/>
      <c r="RZK35" s="16"/>
      <c r="RZL35" s="16"/>
      <c r="RZM35" s="16"/>
      <c r="RZN35" s="16"/>
      <c r="RZO35" s="16"/>
      <c r="RZP35" s="16"/>
      <c r="RZQ35" s="16"/>
      <c r="RZR35" s="16"/>
      <c r="RZS35" s="16"/>
      <c r="RZT35" s="16"/>
      <c r="RZU35" s="16"/>
      <c r="RZV35" s="16"/>
      <c r="RZW35" s="16"/>
      <c r="RZX35" s="16"/>
      <c r="RZY35" s="16"/>
      <c r="RZZ35" s="16"/>
      <c r="SAA35" s="16"/>
      <c r="SAB35" s="16"/>
      <c r="SAC35" s="16"/>
      <c r="SAD35" s="16"/>
      <c r="SAE35" s="16"/>
      <c r="SAF35" s="16"/>
      <c r="SAG35" s="16"/>
      <c r="SAH35" s="16"/>
      <c r="SAI35" s="16"/>
      <c r="SAJ35" s="16"/>
      <c r="SAK35" s="16"/>
      <c r="SAL35" s="16"/>
      <c r="SAM35" s="16"/>
      <c r="SAN35" s="16"/>
      <c r="SAO35" s="16"/>
      <c r="SAP35" s="16"/>
      <c r="SAQ35" s="16"/>
      <c r="SAR35" s="16"/>
      <c r="SAS35" s="16"/>
      <c r="SAT35" s="16"/>
      <c r="SAU35" s="16"/>
      <c r="SAV35" s="16"/>
      <c r="SAW35" s="16"/>
      <c r="SAX35" s="16"/>
      <c r="SAY35" s="16"/>
      <c r="SAZ35" s="16"/>
      <c r="SBA35" s="16"/>
      <c r="SBB35" s="16"/>
      <c r="SBC35" s="16"/>
      <c r="SBD35" s="16"/>
      <c r="SBE35" s="16"/>
      <c r="SBF35" s="16"/>
      <c r="SBG35" s="16"/>
      <c r="SBH35" s="16"/>
      <c r="SBI35" s="16"/>
      <c r="SBJ35" s="16"/>
      <c r="SBK35" s="16"/>
      <c r="SBL35" s="16"/>
      <c r="SBM35" s="16"/>
      <c r="SBN35" s="16"/>
      <c r="SBO35" s="16"/>
      <c r="SBP35" s="16"/>
      <c r="SBQ35" s="16"/>
      <c r="SBR35" s="16"/>
      <c r="SBS35" s="16"/>
      <c r="SBT35" s="16"/>
      <c r="SBU35" s="16"/>
      <c r="SBV35" s="16"/>
      <c r="SBW35" s="16"/>
      <c r="SBX35" s="16"/>
      <c r="SBY35" s="16"/>
      <c r="SBZ35" s="16"/>
      <c r="SCA35" s="16"/>
      <c r="SCB35" s="16"/>
      <c r="SCC35" s="16"/>
      <c r="SCD35" s="16"/>
      <c r="SCE35" s="16"/>
      <c r="SCF35" s="16"/>
      <c r="SCG35" s="16"/>
      <c r="SCH35" s="16"/>
      <c r="SCI35" s="16"/>
      <c r="SCJ35" s="16"/>
      <c r="SCK35" s="16"/>
      <c r="SCL35" s="16"/>
      <c r="SCM35" s="16"/>
      <c r="SCN35" s="16"/>
      <c r="SCO35" s="16"/>
      <c r="SCP35" s="16"/>
      <c r="SCQ35" s="16"/>
      <c r="SCR35" s="16"/>
      <c r="SCS35" s="16"/>
      <c r="SCT35" s="16"/>
      <c r="SCU35" s="16"/>
      <c r="SCV35" s="16"/>
      <c r="SCW35" s="16"/>
      <c r="SCX35" s="16"/>
      <c r="SCY35" s="16"/>
      <c r="SCZ35" s="16"/>
      <c r="SDA35" s="16"/>
      <c r="SDB35" s="16"/>
      <c r="SDC35" s="16"/>
      <c r="SDD35" s="16"/>
      <c r="SDE35" s="16"/>
      <c r="SDF35" s="16"/>
      <c r="SDG35" s="16"/>
      <c r="SDH35" s="16"/>
      <c r="SDI35" s="16"/>
      <c r="SDJ35" s="16"/>
      <c r="SDK35" s="16"/>
      <c r="SDL35" s="16"/>
      <c r="SDM35" s="16"/>
      <c r="SDN35" s="16"/>
      <c r="SDO35" s="16"/>
      <c r="SDP35" s="16"/>
      <c r="SDQ35" s="16"/>
      <c r="SDR35" s="16"/>
      <c r="SDS35" s="16"/>
      <c r="SDT35" s="16"/>
      <c r="SDU35" s="16"/>
      <c r="SDV35" s="16"/>
      <c r="SDW35" s="16"/>
      <c r="SDX35" s="16"/>
      <c r="SDY35" s="16"/>
      <c r="SDZ35" s="16"/>
      <c r="SEA35" s="16"/>
      <c r="SEB35" s="16"/>
      <c r="SEC35" s="16"/>
      <c r="SED35" s="16"/>
      <c r="SEE35" s="16"/>
      <c r="SEF35" s="16"/>
      <c r="SEG35" s="16"/>
      <c r="SEH35" s="16"/>
      <c r="SEI35" s="16"/>
      <c r="SEJ35" s="16"/>
      <c r="SEK35" s="16"/>
      <c r="SEL35" s="16"/>
      <c r="SEM35" s="16"/>
      <c r="SEN35" s="16"/>
      <c r="SEO35" s="16"/>
      <c r="SEP35" s="16"/>
      <c r="SEQ35" s="16"/>
      <c r="SER35" s="16"/>
      <c r="SES35" s="16"/>
      <c r="SET35" s="16"/>
      <c r="SEU35" s="16"/>
      <c r="SEV35" s="16"/>
      <c r="SEW35" s="16"/>
      <c r="SEX35" s="16"/>
      <c r="SEY35" s="16"/>
      <c r="SEZ35" s="16"/>
      <c r="SFA35" s="16"/>
      <c r="SFB35" s="16"/>
      <c r="SFC35" s="16"/>
      <c r="SFD35" s="16"/>
      <c r="SFE35" s="16"/>
      <c r="SFF35" s="16"/>
      <c r="SFG35" s="16"/>
      <c r="SFH35" s="16"/>
      <c r="SFI35" s="16"/>
      <c r="SFJ35" s="16"/>
      <c r="SFK35" s="16"/>
      <c r="SFL35" s="16"/>
      <c r="SFM35" s="16"/>
      <c r="SFN35" s="16"/>
      <c r="SFO35" s="16"/>
      <c r="SFP35" s="16"/>
      <c r="SFQ35" s="16"/>
      <c r="SFR35" s="16"/>
      <c r="SFS35" s="16"/>
      <c r="SFT35" s="16"/>
      <c r="SFU35" s="16"/>
      <c r="SFV35" s="16"/>
      <c r="SFW35" s="16"/>
      <c r="SFX35" s="16"/>
      <c r="SFY35" s="16"/>
      <c r="SFZ35" s="16"/>
      <c r="SGA35" s="16"/>
      <c r="SGB35" s="16"/>
      <c r="SGC35" s="16"/>
      <c r="SGD35" s="16"/>
      <c r="SGE35" s="16"/>
      <c r="SGF35" s="16"/>
      <c r="SGG35" s="16"/>
      <c r="SGH35" s="16"/>
      <c r="SGI35" s="16"/>
      <c r="SGJ35" s="16"/>
      <c r="SGK35" s="16"/>
      <c r="SGL35" s="16"/>
      <c r="SGM35" s="16"/>
      <c r="SGN35" s="16"/>
      <c r="SGO35" s="16"/>
      <c r="SGP35" s="16"/>
      <c r="SGQ35" s="16"/>
      <c r="SGR35" s="16"/>
      <c r="SGS35" s="16"/>
      <c r="SGT35" s="16"/>
      <c r="SGU35" s="16"/>
      <c r="SGV35" s="16"/>
      <c r="SGW35" s="16"/>
      <c r="SGX35" s="16"/>
      <c r="SGY35" s="16"/>
      <c r="SGZ35" s="16"/>
      <c r="SHA35" s="16"/>
      <c r="SHB35" s="16"/>
      <c r="SHC35" s="16"/>
      <c r="SHD35" s="16"/>
      <c r="SHE35" s="16"/>
      <c r="SHF35" s="16"/>
      <c r="SHG35" s="16"/>
      <c r="SHH35" s="16"/>
      <c r="SHI35" s="16"/>
      <c r="SHJ35" s="16"/>
      <c r="SHK35" s="16"/>
      <c r="SHL35" s="16"/>
      <c r="SHM35" s="16"/>
      <c r="SHN35" s="16"/>
      <c r="SHO35" s="16"/>
      <c r="SHP35" s="16"/>
      <c r="SHQ35" s="16"/>
      <c r="SHR35" s="16"/>
      <c r="SHS35" s="16"/>
      <c r="SHT35" s="16"/>
      <c r="SHU35" s="16"/>
      <c r="SHV35" s="16"/>
      <c r="SHW35" s="16"/>
      <c r="SHX35" s="16"/>
      <c r="SHY35" s="16"/>
      <c r="SHZ35" s="16"/>
      <c r="SIA35" s="16"/>
      <c r="SIB35" s="16"/>
      <c r="SIC35" s="16"/>
      <c r="SID35" s="16"/>
      <c r="SIE35" s="16"/>
      <c r="SIF35" s="16"/>
      <c r="SIG35" s="16"/>
      <c r="SIH35" s="16"/>
      <c r="SII35" s="16"/>
      <c r="SIJ35" s="16"/>
      <c r="SIK35" s="16"/>
      <c r="SIL35" s="16"/>
      <c r="SIM35" s="16"/>
      <c r="SIN35" s="16"/>
      <c r="SIO35" s="16"/>
      <c r="SIP35" s="16"/>
      <c r="SIQ35" s="16"/>
      <c r="SIR35" s="16"/>
      <c r="SIS35" s="16"/>
      <c r="SIT35" s="16"/>
      <c r="SIU35" s="16"/>
      <c r="SIV35" s="16"/>
      <c r="SIW35" s="16"/>
      <c r="SIX35" s="16"/>
      <c r="SIY35" s="16"/>
      <c r="SIZ35" s="16"/>
      <c r="SJA35" s="16"/>
      <c r="SJB35" s="16"/>
      <c r="SJC35" s="16"/>
      <c r="SJD35" s="16"/>
      <c r="SJE35" s="16"/>
      <c r="SJF35" s="16"/>
      <c r="SJG35" s="16"/>
      <c r="SJH35" s="16"/>
      <c r="SJI35" s="16"/>
      <c r="SJJ35" s="16"/>
      <c r="SJK35" s="16"/>
      <c r="SJL35" s="16"/>
      <c r="SJM35" s="16"/>
      <c r="SJN35" s="16"/>
      <c r="SJO35" s="16"/>
      <c r="SJP35" s="16"/>
      <c r="SJQ35" s="16"/>
      <c r="SJR35" s="16"/>
      <c r="SJS35" s="16"/>
      <c r="SJT35" s="16"/>
      <c r="SJU35" s="16"/>
      <c r="SJV35" s="16"/>
      <c r="SJW35" s="16"/>
      <c r="SJX35" s="16"/>
      <c r="SJY35" s="16"/>
      <c r="SJZ35" s="16"/>
      <c r="SKA35" s="16"/>
      <c r="SKB35" s="16"/>
      <c r="SKC35" s="16"/>
      <c r="SKD35" s="16"/>
      <c r="SKE35" s="16"/>
      <c r="SKF35" s="16"/>
      <c r="SKG35" s="16"/>
      <c r="SKH35" s="16"/>
      <c r="SKI35" s="16"/>
      <c r="SKJ35" s="16"/>
      <c r="SKK35" s="16"/>
      <c r="SKL35" s="16"/>
      <c r="SKM35" s="16"/>
      <c r="SKN35" s="16"/>
      <c r="SKO35" s="16"/>
      <c r="SKP35" s="16"/>
      <c r="SKQ35" s="16"/>
      <c r="SKR35" s="16"/>
      <c r="SKS35" s="16"/>
      <c r="SKT35" s="16"/>
      <c r="SKU35" s="16"/>
      <c r="SKV35" s="16"/>
      <c r="SKW35" s="16"/>
      <c r="SKX35" s="16"/>
      <c r="SKY35" s="16"/>
      <c r="SKZ35" s="16"/>
      <c r="SLA35" s="16"/>
      <c r="SLB35" s="16"/>
      <c r="SLC35" s="16"/>
      <c r="SLD35" s="16"/>
      <c r="SLE35" s="16"/>
      <c r="SLF35" s="16"/>
      <c r="SLG35" s="16"/>
      <c r="SLH35" s="16"/>
      <c r="SLI35" s="16"/>
      <c r="SLJ35" s="16"/>
      <c r="SLK35" s="16"/>
      <c r="SLL35" s="16"/>
      <c r="SLM35" s="16"/>
      <c r="SLN35" s="16"/>
      <c r="SLO35" s="16"/>
      <c r="SLP35" s="16"/>
      <c r="SLQ35" s="16"/>
      <c r="SLR35" s="16"/>
      <c r="SLS35" s="16"/>
      <c r="SLT35" s="16"/>
      <c r="SLU35" s="16"/>
      <c r="SLV35" s="16"/>
      <c r="SLW35" s="16"/>
      <c r="SLX35" s="16"/>
      <c r="SLY35" s="16"/>
      <c r="SLZ35" s="16"/>
      <c r="SMA35" s="16"/>
      <c r="SMB35" s="16"/>
      <c r="SMC35" s="16"/>
      <c r="SMD35" s="16"/>
      <c r="SME35" s="16"/>
      <c r="SMF35" s="16"/>
      <c r="SMG35" s="16"/>
      <c r="SMH35" s="16"/>
      <c r="SMI35" s="16"/>
      <c r="SMJ35" s="16"/>
      <c r="SMK35" s="16"/>
      <c r="SML35" s="16"/>
      <c r="SMM35" s="16"/>
      <c r="SMN35" s="16"/>
      <c r="SMO35" s="16"/>
      <c r="SMP35" s="16"/>
      <c r="SMQ35" s="16"/>
      <c r="SMR35" s="16"/>
      <c r="SMS35" s="16"/>
      <c r="SMT35" s="16"/>
      <c r="SMU35" s="16"/>
      <c r="SMV35" s="16"/>
      <c r="SMW35" s="16"/>
      <c r="SMX35" s="16"/>
      <c r="SMY35" s="16"/>
      <c r="SMZ35" s="16"/>
      <c r="SNA35" s="16"/>
      <c r="SNB35" s="16"/>
      <c r="SNC35" s="16"/>
      <c r="SND35" s="16"/>
      <c r="SNE35" s="16"/>
      <c r="SNF35" s="16"/>
      <c r="SNG35" s="16"/>
      <c r="SNH35" s="16"/>
      <c r="SNI35" s="16"/>
      <c r="SNJ35" s="16"/>
      <c r="SNK35" s="16"/>
      <c r="SNL35" s="16"/>
      <c r="SNM35" s="16"/>
      <c r="SNN35" s="16"/>
      <c r="SNO35" s="16"/>
      <c r="SNP35" s="16"/>
      <c r="SNQ35" s="16"/>
      <c r="SNR35" s="16"/>
      <c r="SNS35" s="16"/>
      <c r="SNT35" s="16"/>
      <c r="SNU35" s="16"/>
      <c r="SNV35" s="16"/>
      <c r="SNW35" s="16"/>
      <c r="SNX35" s="16"/>
      <c r="SNY35" s="16"/>
      <c r="SNZ35" s="16"/>
      <c r="SOA35" s="16"/>
      <c r="SOB35" s="16"/>
      <c r="SOC35" s="16"/>
      <c r="SOD35" s="16"/>
      <c r="SOE35" s="16"/>
      <c r="SOF35" s="16"/>
      <c r="SOG35" s="16"/>
      <c r="SOH35" s="16"/>
      <c r="SOI35" s="16"/>
      <c r="SOJ35" s="16"/>
      <c r="SOK35" s="16"/>
      <c r="SOL35" s="16"/>
      <c r="SOM35" s="16"/>
      <c r="SON35" s="16"/>
      <c r="SOO35" s="16"/>
      <c r="SOP35" s="16"/>
      <c r="SOQ35" s="16"/>
      <c r="SOR35" s="16"/>
      <c r="SOS35" s="16"/>
      <c r="SOT35" s="16"/>
      <c r="SOU35" s="16"/>
      <c r="SOV35" s="16"/>
      <c r="SOW35" s="16"/>
      <c r="SOX35" s="16"/>
      <c r="SOY35" s="16"/>
      <c r="SOZ35" s="16"/>
      <c r="SPA35" s="16"/>
      <c r="SPB35" s="16"/>
      <c r="SPC35" s="16"/>
      <c r="SPD35" s="16"/>
      <c r="SPE35" s="16"/>
      <c r="SPF35" s="16"/>
      <c r="SPG35" s="16"/>
      <c r="SPH35" s="16"/>
      <c r="SPI35" s="16"/>
      <c r="SPJ35" s="16"/>
      <c r="SPK35" s="16"/>
      <c r="SPL35" s="16"/>
      <c r="SPM35" s="16"/>
      <c r="SPN35" s="16"/>
      <c r="SPO35" s="16"/>
      <c r="SPP35" s="16"/>
      <c r="SPQ35" s="16"/>
      <c r="SPR35" s="16"/>
      <c r="SPS35" s="16"/>
      <c r="SPT35" s="16"/>
      <c r="SPU35" s="16"/>
      <c r="SPV35" s="16"/>
      <c r="SPW35" s="16"/>
      <c r="SPX35" s="16"/>
      <c r="SPY35" s="16"/>
      <c r="SPZ35" s="16"/>
      <c r="SQA35" s="16"/>
      <c r="SQB35" s="16"/>
      <c r="SQC35" s="16"/>
      <c r="SQD35" s="16"/>
      <c r="SQE35" s="16"/>
      <c r="SQF35" s="16"/>
      <c r="SQG35" s="16"/>
      <c r="SQH35" s="16"/>
      <c r="SQI35" s="16"/>
      <c r="SQJ35" s="16"/>
      <c r="SQK35" s="16"/>
      <c r="SQL35" s="16"/>
      <c r="SQM35" s="16"/>
      <c r="SQN35" s="16"/>
      <c r="SQO35" s="16"/>
      <c r="SQP35" s="16"/>
      <c r="SQQ35" s="16"/>
      <c r="SQR35" s="16"/>
      <c r="SQS35" s="16"/>
      <c r="SQT35" s="16"/>
      <c r="SQU35" s="16"/>
      <c r="SQV35" s="16"/>
      <c r="SQW35" s="16"/>
      <c r="SQX35" s="16"/>
      <c r="SQY35" s="16"/>
      <c r="SQZ35" s="16"/>
      <c r="SRA35" s="16"/>
      <c r="SRB35" s="16"/>
      <c r="SRC35" s="16"/>
      <c r="SRD35" s="16"/>
      <c r="SRE35" s="16"/>
      <c r="SRF35" s="16"/>
      <c r="SRG35" s="16"/>
      <c r="SRH35" s="16"/>
      <c r="SRI35" s="16"/>
      <c r="SRJ35" s="16"/>
      <c r="SRK35" s="16"/>
      <c r="SRL35" s="16"/>
      <c r="SRM35" s="16"/>
      <c r="SRN35" s="16"/>
      <c r="SRO35" s="16"/>
      <c r="SRP35" s="16"/>
      <c r="SRQ35" s="16"/>
      <c r="SRR35" s="16"/>
      <c r="SRS35" s="16"/>
      <c r="SRT35" s="16"/>
      <c r="SRU35" s="16"/>
      <c r="SRV35" s="16"/>
      <c r="SRW35" s="16"/>
      <c r="SRX35" s="16"/>
      <c r="SRY35" s="16"/>
      <c r="SRZ35" s="16"/>
      <c r="SSA35" s="16"/>
      <c r="SSB35" s="16"/>
      <c r="SSC35" s="16"/>
      <c r="SSD35" s="16"/>
      <c r="SSE35" s="16"/>
      <c r="SSF35" s="16"/>
      <c r="SSG35" s="16"/>
      <c r="SSH35" s="16"/>
      <c r="SSI35" s="16"/>
      <c r="SSJ35" s="16"/>
      <c r="SSK35" s="16"/>
      <c r="SSL35" s="16"/>
      <c r="SSM35" s="16"/>
      <c r="SSN35" s="16"/>
      <c r="SSO35" s="16"/>
      <c r="SSP35" s="16"/>
      <c r="SSQ35" s="16"/>
      <c r="SSR35" s="16"/>
      <c r="SSS35" s="16"/>
      <c r="SST35" s="16"/>
      <c r="SSU35" s="16"/>
      <c r="SSV35" s="16"/>
      <c r="SSW35" s="16"/>
      <c r="SSX35" s="16"/>
      <c r="SSY35" s="16"/>
      <c r="SSZ35" s="16"/>
      <c r="STA35" s="16"/>
      <c r="STB35" s="16"/>
      <c r="STC35" s="16"/>
      <c r="STD35" s="16"/>
      <c r="STE35" s="16"/>
      <c r="STF35" s="16"/>
      <c r="STG35" s="16"/>
      <c r="STH35" s="16"/>
      <c r="STI35" s="16"/>
      <c r="STJ35" s="16"/>
      <c r="STK35" s="16"/>
      <c r="STL35" s="16"/>
      <c r="STM35" s="16"/>
      <c r="STN35" s="16"/>
      <c r="STO35" s="16"/>
      <c r="STP35" s="16"/>
      <c r="STQ35" s="16"/>
      <c r="STR35" s="16"/>
      <c r="STS35" s="16"/>
      <c r="STT35" s="16"/>
      <c r="STU35" s="16"/>
      <c r="STV35" s="16"/>
      <c r="STW35" s="16"/>
      <c r="STX35" s="16"/>
      <c r="STY35" s="16"/>
      <c r="STZ35" s="16"/>
      <c r="SUA35" s="16"/>
      <c r="SUB35" s="16"/>
      <c r="SUC35" s="16"/>
      <c r="SUD35" s="16"/>
      <c r="SUE35" s="16"/>
      <c r="SUF35" s="16"/>
      <c r="SUG35" s="16"/>
      <c r="SUH35" s="16"/>
      <c r="SUI35" s="16"/>
      <c r="SUJ35" s="16"/>
      <c r="SUK35" s="16"/>
      <c r="SUL35" s="16"/>
      <c r="SUM35" s="16"/>
      <c r="SUN35" s="16"/>
      <c r="SUO35" s="16"/>
      <c r="SUP35" s="16"/>
      <c r="SUQ35" s="16"/>
      <c r="SUR35" s="16"/>
      <c r="SUS35" s="16"/>
      <c r="SUT35" s="16"/>
      <c r="SUU35" s="16"/>
      <c r="SUV35" s="16"/>
      <c r="SUW35" s="16"/>
      <c r="SUX35" s="16"/>
      <c r="SUY35" s="16"/>
      <c r="SUZ35" s="16"/>
      <c r="SVA35" s="16"/>
      <c r="SVB35" s="16"/>
      <c r="SVC35" s="16"/>
      <c r="SVD35" s="16"/>
      <c r="SVE35" s="16"/>
      <c r="SVF35" s="16"/>
      <c r="SVG35" s="16"/>
      <c r="SVH35" s="16"/>
      <c r="SVI35" s="16"/>
      <c r="SVJ35" s="16"/>
      <c r="SVK35" s="16"/>
      <c r="SVL35" s="16"/>
      <c r="SVM35" s="16"/>
      <c r="SVN35" s="16"/>
      <c r="SVO35" s="16"/>
      <c r="SVP35" s="16"/>
      <c r="SVQ35" s="16"/>
      <c r="SVR35" s="16"/>
      <c r="SVS35" s="16"/>
      <c r="SVT35" s="16"/>
      <c r="SVU35" s="16"/>
      <c r="SVV35" s="16"/>
      <c r="SVW35" s="16"/>
      <c r="SVX35" s="16"/>
      <c r="SVY35" s="16"/>
      <c r="SVZ35" s="16"/>
      <c r="SWA35" s="16"/>
      <c r="SWB35" s="16"/>
      <c r="SWC35" s="16"/>
      <c r="SWD35" s="16"/>
      <c r="SWE35" s="16"/>
      <c r="SWF35" s="16"/>
      <c r="SWG35" s="16"/>
      <c r="SWH35" s="16"/>
      <c r="SWI35" s="16"/>
      <c r="SWJ35" s="16"/>
      <c r="SWK35" s="16"/>
      <c r="SWL35" s="16"/>
      <c r="SWM35" s="16"/>
      <c r="SWN35" s="16"/>
      <c r="SWO35" s="16"/>
      <c r="SWP35" s="16"/>
      <c r="SWQ35" s="16"/>
      <c r="SWR35" s="16"/>
      <c r="SWS35" s="16"/>
      <c r="SWT35" s="16"/>
      <c r="SWU35" s="16"/>
      <c r="SWV35" s="16"/>
      <c r="SWW35" s="16"/>
      <c r="SWX35" s="16"/>
      <c r="SWY35" s="16"/>
      <c r="SWZ35" s="16"/>
      <c r="SXA35" s="16"/>
      <c r="SXB35" s="16"/>
      <c r="SXC35" s="16"/>
      <c r="SXD35" s="16"/>
      <c r="SXE35" s="16"/>
      <c r="SXF35" s="16"/>
      <c r="SXG35" s="16"/>
      <c r="SXH35" s="16"/>
      <c r="SXI35" s="16"/>
      <c r="SXJ35" s="16"/>
      <c r="SXK35" s="16"/>
      <c r="SXL35" s="16"/>
      <c r="SXM35" s="16"/>
      <c r="SXN35" s="16"/>
      <c r="SXO35" s="16"/>
      <c r="SXP35" s="16"/>
      <c r="SXQ35" s="16"/>
      <c r="SXR35" s="16"/>
      <c r="SXS35" s="16"/>
      <c r="SXT35" s="16"/>
      <c r="SXU35" s="16"/>
      <c r="SXV35" s="16"/>
      <c r="SXW35" s="16"/>
      <c r="SXX35" s="16"/>
      <c r="SXY35" s="16"/>
      <c r="SXZ35" s="16"/>
      <c r="SYA35" s="16"/>
      <c r="SYB35" s="16"/>
      <c r="SYC35" s="16"/>
      <c r="SYD35" s="16"/>
      <c r="SYE35" s="16"/>
      <c r="SYF35" s="16"/>
      <c r="SYG35" s="16"/>
      <c r="SYH35" s="16"/>
      <c r="SYI35" s="16"/>
      <c r="SYJ35" s="16"/>
      <c r="SYK35" s="16"/>
      <c r="SYL35" s="16"/>
      <c r="SYM35" s="16"/>
      <c r="SYN35" s="16"/>
      <c r="SYO35" s="16"/>
      <c r="SYP35" s="16"/>
      <c r="SYQ35" s="16"/>
      <c r="SYR35" s="16"/>
      <c r="SYS35" s="16"/>
      <c r="SYT35" s="16"/>
      <c r="SYU35" s="16"/>
      <c r="SYV35" s="16"/>
      <c r="SYW35" s="16"/>
      <c r="SYX35" s="16"/>
      <c r="SYY35" s="16"/>
      <c r="SYZ35" s="16"/>
      <c r="SZA35" s="16"/>
      <c r="SZB35" s="16"/>
      <c r="SZC35" s="16"/>
      <c r="SZD35" s="16"/>
      <c r="SZE35" s="16"/>
      <c r="SZF35" s="16"/>
      <c r="SZG35" s="16"/>
      <c r="SZH35" s="16"/>
      <c r="SZI35" s="16"/>
      <c r="SZJ35" s="16"/>
      <c r="SZK35" s="16"/>
      <c r="SZL35" s="16"/>
      <c r="SZM35" s="16"/>
      <c r="SZN35" s="16"/>
      <c r="SZO35" s="16"/>
      <c r="SZP35" s="16"/>
      <c r="SZQ35" s="16"/>
      <c r="SZR35" s="16"/>
      <c r="SZS35" s="16"/>
      <c r="SZT35" s="16"/>
      <c r="SZU35" s="16"/>
      <c r="SZV35" s="16"/>
      <c r="SZW35" s="16"/>
      <c r="SZX35" s="16"/>
      <c r="SZY35" s="16"/>
      <c r="SZZ35" s="16"/>
      <c r="TAA35" s="16"/>
      <c r="TAB35" s="16"/>
      <c r="TAC35" s="16"/>
      <c r="TAD35" s="16"/>
      <c r="TAE35" s="16"/>
      <c r="TAF35" s="16"/>
      <c r="TAG35" s="16"/>
      <c r="TAH35" s="16"/>
      <c r="TAI35" s="16"/>
      <c r="TAJ35" s="16"/>
      <c r="TAK35" s="16"/>
      <c r="TAL35" s="16"/>
      <c r="TAM35" s="16"/>
      <c r="TAN35" s="16"/>
      <c r="TAO35" s="16"/>
      <c r="TAP35" s="16"/>
      <c r="TAQ35" s="16"/>
      <c r="TAR35" s="16"/>
      <c r="TAS35" s="16"/>
      <c r="TAT35" s="16"/>
      <c r="TAU35" s="16"/>
      <c r="TAV35" s="16"/>
      <c r="TAW35" s="16"/>
      <c r="TAX35" s="16"/>
      <c r="TAY35" s="16"/>
      <c r="TAZ35" s="16"/>
      <c r="TBA35" s="16"/>
      <c r="TBB35" s="16"/>
      <c r="TBC35" s="16"/>
      <c r="TBD35" s="16"/>
      <c r="TBE35" s="16"/>
      <c r="TBF35" s="16"/>
      <c r="TBG35" s="16"/>
      <c r="TBH35" s="16"/>
      <c r="TBI35" s="16"/>
      <c r="TBJ35" s="16"/>
      <c r="TBK35" s="16"/>
      <c r="TBL35" s="16"/>
      <c r="TBM35" s="16"/>
      <c r="TBN35" s="16"/>
      <c r="TBO35" s="16"/>
      <c r="TBP35" s="16"/>
      <c r="TBQ35" s="16"/>
      <c r="TBR35" s="16"/>
      <c r="TBS35" s="16"/>
      <c r="TBT35" s="16"/>
      <c r="TBU35" s="16"/>
      <c r="TBV35" s="16"/>
      <c r="TBW35" s="16"/>
      <c r="TBX35" s="16"/>
      <c r="TBY35" s="16"/>
      <c r="TBZ35" s="16"/>
      <c r="TCA35" s="16"/>
      <c r="TCB35" s="16"/>
      <c r="TCC35" s="16"/>
      <c r="TCD35" s="16"/>
      <c r="TCE35" s="16"/>
      <c r="TCF35" s="16"/>
      <c r="TCG35" s="16"/>
      <c r="TCH35" s="16"/>
      <c r="TCI35" s="16"/>
      <c r="TCJ35" s="16"/>
      <c r="TCK35" s="16"/>
      <c r="TCL35" s="16"/>
      <c r="TCM35" s="16"/>
      <c r="TCN35" s="16"/>
      <c r="TCO35" s="16"/>
      <c r="TCP35" s="16"/>
      <c r="TCQ35" s="16"/>
      <c r="TCR35" s="16"/>
      <c r="TCS35" s="16"/>
      <c r="TCT35" s="16"/>
      <c r="TCU35" s="16"/>
      <c r="TCV35" s="16"/>
      <c r="TCW35" s="16"/>
      <c r="TCX35" s="16"/>
      <c r="TCY35" s="16"/>
      <c r="TCZ35" s="16"/>
      <c r="TDA35" s="16"/>
      <c r="TDB35" s="16"/>
      <c r="TDC35" s="16"/>
      <c r="TDD35" s="16"/>
      <c r="TDE35" s="16"/>
      <c r="TDF35" s="16"/>
      <c r="TDG35" s="16"/>
      <c r="TDH35" s="16"/>
      <c r="TDI35" s="16"/>
      <c r="TDJ35" s="16"/>
      <c r="TDK35" s="16"/>
      <c r="TDL35" s="16"/>
      <c r="TDM35" s="16"/>
      <c r="TDN35" s="16"/>
      <c r="TDO35" s="16"/>
      <c r="TDP35" s="16"/>
      <c r="TDQ35" s="16"/>
      <c r="TDR35" s="16"/>
      <c r="TDS35" s="16"/>
      <c r="TDT35" s="16"/>
      <c r="TDU35" s="16"/>
      <c r="TDV35" s="16"/>
      <c r="TDW35" s="16"/>
      <c r="TDX35" s="16"/>
      <c r="TDY35" s="16"/>
      <c r="TDZ35" s="16"/>
      <c r="TEA35" s="16"/>
      <c r="TEB35" s="16"/>
      <c r="TEC35" s="16"/>
      <c r="TED35" s="16"/>
      <c r="TEE35" s="16"/>
      <c r="TEF35" s="16"/>
      <c r="TEG35" s="16"/>
      <c r="TEH35" s="16"/>
      <c r="TEI35" s="16"/>
      <c r="TEJ35" s="16"/>
      <c r="TEK35" s="16"/>
      <c r="TEL35" s="16"/>
      <c r="TEM35" s="16"/>
      <c r="TEN35" s="16"/>
      <c r="TEO35" s="16"/>
      <c r="TEP35" s="16"/>
      <c r="TEQ35" s="16"/>
      <c r="TER35" s="16"/>
      <c r="TES35" s="16"/>
      <c r="TET35" s="16"/>
      <c r="TEU35" s="16"/>
      <c r="TEV35" s="16"/>
      <c r="TEW35" s="16"/>
      <c r="TEX35" s="16"/>
      <c r="TEY35" s="16"/>
      <c r="TEZ35" s="16"/>
      <c r="TFA35" s="16"/>
      <c r="TFB35" s="16"/>
      <c r="TFC35" s="16"/>
      <c r="TFD35" s="16"/>
      <c r="TFE35" s="16"/>
      <c r="TFF35" s="16"/>
      <c r="TFG35" s="16"/>
      <c r="TFH35" s="16"/>
      <c r="TFI35" s="16"/>
      <c r="TFJ35" s="16"/>
      <c r="TFK35" s="16"/>
      <c r="TFL35" s="16"/>
      <c r="TFM35" s="16"/>
      <c r="TFN35" s="16"/>
      <c r="TFO35" s="16"/>
      <c r="TFP35" s="16"/>
      <c r="TFQ35" s="16"/>
      <c r="TFR35" s="16"/>
      <c r="TFS35" s="16"/>
      <c r="TFT35" s="16"/>
      <c r="TFU35" s="16"/>
      <c r="TFV35" s="16"/>
      <c r="TFW35" s="16"/>
      <c r="TFX35" s="16"/>
      <c r="TFY35" s="16"/>
      <c r="TFZ35" s="16"/>
      <c r="TGA35" s="16"/>
      <c r="TGB35" s="16"/>
      <c r="TGC35" s="16"/>
      <c r="TGD35" s="16"/>
      <c r="TGE35" s="16"/>
      <c r="TGF35" s="16"/>
      <c r="TGG35" s="16"/>
      <c r="TGH35" s="16"/>
      <c r="TGI35" s="16"/>
      <c r="TGJ35" s="16"/>
      <c r="TGK35" s="16"/>
      <c r="TGL35" s="16"/>
      <c r="TGM35" s="16"/>
      <c r="TGN35" s="16"/>
      <c r="TGO35" s="16"/>
      <c r="TGP35" s="16"/>
      <c r="TGQ35" s="16"/>
      <c r="TGR35" s="16"/>
      <c r="TGS35" s="16"/>
      <c r="TGT35" s="16"/>
      <c r="TGU35" s="16"/>
      <c r="TGV35" s="16"/>
      <c r="TGW35" s="16"/>
      <c r="TGX35" s="16"/>
      <c r="TGY35" s="16"/>
      <c r="TGZ35" s="16"/>
      <c r="THA35" s="16"/>
      <c r="THB35" s="16"/>
      <c r="THC35" s="16"/>
      <c r="THD35" s="16"/>
      <c r="THE35" s="16"/>
      <c r="THF35" s="16"/>
      <c r="THG35" s="16"/>
      <c r="THH35" s="16"/>
      <c r="THI35" s="16"/>
      <c r="THJ35" s="16"/>
      <c r="THK35" s="16"/>
      <c r="THL35" s="16"/>
      <c r="THM35" s="16"/>
      <c r="THN35" s="16"/>
      <c r="THO35" s="16"/>
      <c r="THP35" s="16"/>
      <c r="THQ35" s="16"/>
      <c r="THR35" s="16"/>
      <c r="THS35" s="16"/>
      <c r="THT35" s="16"/>
      <c r="THU35" s="16"/>
      <c r="THV35" s="16"/>
      <c r="THW35" s="16"/>
      <c r="THX35" s="16"/>
      <c r="THY35" s="16"/>
      <c r="THZ35" s="16"/>
      <c r="TIA35" s="16"/>
      <c r="TIB35" s="16"/>
      <c r="TIC35" s="16"/>
      <c r="TID35" s="16"/>
      <c r="TIE35" s="16"/>
      <c r="TIF35" s="16"/>
      <c r="TIG35" s="16"/>
      <c r="TIH35" s="16"/>
      <c r="TII35" s="16"/>
      <c r="TIJ35" s="16"/>
      <c r="TIK35" s="16"/>
      <c r="TIL35" s="16"/>
      <c r="TIM35" s="16"/>
      <c r="TIN35" s="16"/>
      <c r="TIO35" s="16"/>
      <c r="TIP35" s="16"/>
      <c r="TIQ35" s="16"/>
      <c r="TIR35" s="16"/>
      <c r="TIS35" s="16"/>
      <c r="TIT35" s="16"/>
      <c r="TIU35" s="16"/>
      <c r="TIV35" s="16"/>
      <c r="TIW35" s="16"/>
      <c r="TIX35" s="16"/>
      <c r="TIY35" s="16"/>
      <c r="TIZ35" s="16"/>
      <c r="TJA35" s="16"/>
      <c r="TJB35" s="16"/>
      <c r="TJC35" s="16"/>
      <c r="TJD35" s="16"/>
      <c r="TJE35" s="16"/>
      <c r="TJF35" s="16"/>
      <c r="TJG35" s="16"/>
      <c r="TJH35" s="16"/>
      <c r="TJI35" s="16"/>
      <c r="TJJ35" s="16"/>
      <c r="TJK35" s="16"/>
      <c r="TJL35" s="16"/>
      <c r="TJM35" s="16"/>
      <c r="TJN35" s="16"/>
      <c r="TJO35" s="16"/>
      <c r="TJP35" s="16"/>
      <c r="TJQ35" s="16"/>
      <c r="TJR35" s="16"/>
      <c r="TJS35" s="16"/>
      <c r="TJT35" s="16"/>
      <c r="TJU35" s="16"/>
      <c r="TJV35" s="16"/>
      <c r="TJW35" s="16"/>
      <c r="TJX35" s="16"/>
      <c r="TJY35" s="16"/>
      <c r="TJZ35" s="16"/>
      <c r="TKA35" s="16"/>
      <c r="TKB35" s="16"/>
      <c r="TKC35" s="16"/>
      <c r="TKD35" s="16"/>
      <c r="TKE35" s="16"/>
      <c r="TKF35" s="16"/>
      <c r="TKG35" s="16"/>
      <c r="TKH35" s="16"/>
      <c r="TKI35" s="16"/>
      <c r="TKJ35" s="16"/>
      <c r="TKK35" s="16"/>
      <c r="TKL35" s="16"/>
      <c r="TKM35" s="16"/>
      <c r="TKN35" s="16"/>
      <c r="TKO35" s="16"/>
      <c r="TKP35" s="16"/>
      <c r="TKQ35" s="16"/>
      <c r="TKR35" s="16"/>
      <c r="TKS35" s="16"/>
      <c r="TKT35" s="16"/>
      <c r="TKU35" s="16"/>
      <c r="TKV35" s="16"/>
      <c r="TKW35" s="16"/>
      <c r="TKX35" s="16"/>
      <c r="TKY35" s="16"/>
      <c r="TKZ35" s="16"/>
      <c r="TLA35" s="16"/>
      <c r="TLB35" s="16"/>
      <c r="TLC35" s="16"/>
      <c r="TLD35" s="16"/>
      <c r="TLE35" s="16"/>
      <c r="TLF35" s="16"/>
      <c r="TLG35" s="16"/>
      <c r="TLH35" s="16"/>
      <c r="TLI35" s="16"/>
      <c r="TLJ35" s="16"/>
      <c r="TLK35" s="16"/>
      <c r="TLL35" s="16"/>
      <c r="TLM35" s="16"/>
      <c r="TLN35" s="16"/>
      <c r="TLO35" s="16"/>
      <c r="TLP35" s="16"/>
      <c r="TLQ35" s="16"/>
      <c r="TLR35" s="16"/>
      <c r="TLS35" s="16"/>
      <c r="TLT35" s="16"/>
      <c r="TLU35" s="16"/>
      <c r="TLV35" s="16"/>
      <c r="TLW35" s="16"/>
      <c r="TLX35" s="16"/>
      <c r="TLY35" s="16"/>
      <c r="TLZ35" s="16"/>
      <c r="TMA35" s="16"/>
      <c r="TMB35" s="16"/>
      <c r="TMC35" s="16"/>
      <c r="TMD35" s="16"/>
      <c r="TME35" s="16"/>
      <c r="TMF35" s="16"/>
      <c r="TMG35" s="16"/>
      <c r="TMH35" s="16"/>
      <c r="TMI35" s="16"/>
      <c r="TMJ35" s="16"/>
      <c r="TMK35" s="16"/>
      <c r="TML35" s="16"/>
      <c r="TMM35" s="16"/>
      <c r="TMN35" s="16"/>
      <c r="TMO35" s="16"/>
      <c r="TMP35" s="16"/>
      <c r="TMQ35" s="16"/>
      <c r="TMR35" s="16"/>
      <c r="TMS35" s="16"/>
      <c r="TMT35" s="16"/>
      <c r="TMU35" s="16"/>
      <c r="TMV35" s="16"/>
      <c r="TMW35" s="16"/>
      <c r="TMX35" s="16"/>
      <c r="TMY35" s="16"/>
      <c r="TMZ35" s="16"/>
      <c r="TNA35" s="16"/>
      <c r="TNB35" s="16"/>
      <c r="TNC35" s="16"/>
      <c r="TND35" s="16"/>
      <c r="TNE35" s="16"/>
      <c r="TNF35" s="16"/>
      <c r="TNG35" s="16"/>
      <c r="TNH35" s="16"/>
      <c r="TNI35" s="16"/>
      <c r="TNJ35" s="16"/>
      <c r="TNK35" s="16"/>
      <c r="TNL35" s="16"/>
      <c r="TNM35" s="16"/>
      <c r="TNN35" s="16"/>
      <c r="TNO35" s="16"/>
      <c r="TNP35" s="16"/>
      <c r="TNQ35" s="16"/>
      <c r="TNR35" s="16"/>
      <c r="TNS35" s="16"/>
      <c r="TNT35" s="16"/>
      <c r="TNU35" s="16"/>
      <c r="TNV35" s="16"/>
      <c r="TNW35" s="16"/>
      <c r="TNX35" s="16"/>
      <c r="TNY35" s="16"/>
      <c r="TNZ35" s="16"/>
      <c r="TOA35" s="16"/>
      <c r="TOB35" s="16"/>
      <c r="TOC35" s="16"/>
      <c r="TOD35" s="16"/>
      <c r="TOE35" s="16"/>
      <c r="TOF35" s="16"/>
      <c r="TOG35" s="16"/>
      <c r="TOH35" s="16"/>
      <c r="TOI35" s="16"/>
      <c r="TOJ35" s="16"/>
      <c r="TOK35" s="16"/>
      <c r="TOL35" s="16"/>
      <c r="TOM35" s="16"/>
      <c r="TON35" s="16"/>
      <c r="TOO35" s="16"/>
      <c r="TOP35" s="16"/>
      <c r="TOQ35" s="16"/>
      <c r="TOR35" s="16"/>
      <c r="TOS35" s="16"/>
      <c r="TOT35" s="16"/>
      <c r="TOU35" s="16"/>
      <c r="TOV35" s="16"/>
      <c r="TOW35" s="16"/>
      <c r="TOX35" s="16"/>
      <c r="TOY35" s="16"/>
      <c r="TOZ35" s="16"/>
      <c r="TPA35" s="16"/>
      <c r="TPB35" s="16"/>
      <c r="TPC35" s="16"/>
      <c r="TPD35" s="16"/>
      <c r="TPE35" s="16"/>
      <c r="TPF35" s="16"/>
      <c r="TPG35" s="16"/>
      <c r="TPH35" s="16"/>
      <c r="TPI35" s="16"/>
      <c r="TPJ35" s="16"/>
      <c r="TPK35" s="16"/>
      <c r="TPL35" s="16"/>
      <c r="TPM35" s="16"/>
      <c r="TPN35" s="16"/>
      <c r="TPO35" s="16"/>
      <c r="TPP35" s="16"/>
      <c r="TPQ35" s="16"/>
      <c r="TPR35" s="16"/>
      <c r="TPS35" s="16"/>
      <c r="TPT35" s="16"/>
      <c r="TPU35" s="16"/>
      <c r="TPV35" s="16"/>
      <c r="TPW35" s="16"/>
      <c r="TPX35" s="16"/>
      <c r="TPY35" s="16"/>
      <c r="TPZ35" s="16"/>
      <c r="TQA35" s="16"/>
      <c r="TQB35" s="16"/>
      <c r="TQC35" s="16"/>
      <c r="TQD35" s="16"/>
      <c r="TQE35" s="16"/>
      <c r="TQF35" s="16"/>
      <c r="TQG35" s="16"/>
      <c r="TQH35" s="16"/>
      <c r="TQI35" s="16"/>
      <c r="TQJ35" s="16"/>
      <c r="TQK35" s="16"/>
      <c r="TQL35" s="16"/>
      <c r="TQM35" s="16"/>
      <c r="TQN35" s="16"/>
      <c r="TQO35" s="16"/>
      <c r="TQP35" s="16"/>
      <c r="TQQ35" s="16"/>
      <c r="TQR35" s="16"/>
      <c r="TQS35" s="16"/>
      <c r="TQT35" s="16"/>
      <c r="TQU35" s="16"/>
      <c r="TQV35" s="16"/>
      <c r="TQW35" s="16"/>
      <c r="TQX35" s="16"/>
      <c r="TQY35" s="16"/>
      <c r="TQZ35" s="16"/>
      <c r="TRA35" s="16"/>
      <c r="TRB35" s="16"/>
      <c r="TRC35" s="16"/>
      <c r="TRD35" s="16"/>
      <c r="TRE35" s="16"/>
      <c r="TRF35" s="16"/>
      <c r="TRG35" s="16"/>
      <c r="TRH35" s="16"/>
      <c r="TRI35" s="16"/>
      <c r="TRJ35" s="16"/>
      <c r="TRK35" s="16"/>
      <c r="TRL35" s="16"/>
      <c r="TRM35" s="16"/>
      <c r="TRN35" s="16"/>
      <c r="TRO35" s="16"/>
      <c r="TRP35" s="16"/>
      <c r="TRQ35" s="16"/>
      <c r="TRR35" s="16"/>
      <c r="TRS35" s="16"/>
      <c r="TRT35" s="16"/>
      <c r="TRU35" s="16"/>
      <c r="TRV35" s="16"/>
      <c r="TRW35" s="16"/>
      <c r="TRX35" s="16"/>
      <c r="TRY35" s="16"/>
      <c r="TRZ35" s="16"/>
      <c r="TSA35" s="16"/>
      <c r="TSB35" s="16"/>
      <c r="TSC35" s="16"/>
      <c r="TSD35" s="16"/>
      <c r="TSE35" s="16"/>
      <c r="TSF35" s="16"/>
      <c r="TSG35" s="16"/>
      <c r="TSH35" s="16"/>
      <c r="TSI35" s="16"/>
      <c r="TSJ35" s="16"/>
      <c r="TSK35" s="16"/>
      <c r="TSL35" s="16"/>
      <c r="TSM35" s="16"/>
      <c r="TSN35" s="16"/>
      <c r="TSO35" s="16"/>
      <c r="TSP35" s="16"/>
      <c r="TSQ35" s="16"/>
      <c r="TSR35" s="16"/>
      <c r="TSS35" s="16"/>
      <c r="TST35" s="16"/>
      <c r="TSU35" s="16"/>
      <c r="TSV35" s="16"/>
      <c r="TSW35" s="16"/>
      <c r="TSX35" s="16"/>
      <c r="TSY35" s="16"/>
      <c r="TSZ35" s="16"/>
      <c r="TTA35" s="16"/>
      <c r="TTB35" s="16"/>
      <c r="TTC35" s="16"/>
      <c r="TTD35" s="16"/>
      <c r="TTE35" s="16"/>
      <c r="TTF35" s="16"/>
      <c r="TTG35" s="16"/>
      <c r="TTH35" s="16"/>
      <c r="TTI35" s="16"/>
      <c r="TTJ35" s="16"/>
      <c r="TTK35" s="16"/>
      <c r="TTL35" s="16"/>
      <c r="TTM35" s="16"/>
      <c r="TTN35" s="16"/>
      <c r="TTO35" s="16"/>
      <c r="TTP35" s="16"/>
      <c r="TTQ35" s="16"/>
      <c r="TTR35" s="16"/>
      <c r="TTS35" s="16"/>
      <c r="TTT35" s="16"/>
      <c r="TTU35" s="16"/>
      <c r="TTV35" s="16"/>
      <c r="TTW35" s="16"/>
      <c r="TTX35" s="16"/>
      <c r="TTY35" s="16"/>
      <c r="TTZ35" s="16"/>
      <c r="TUA35" s="16"/>
      <c r="TUB35" s="16"/>
      <c r="TUC35" s="16"/>
      <c r="TUD35" s="16"/>
      <c r="TUE35" s="16"/>
      <c r="TUF35" s="16"/>
      <c r="TUG35" s="16"/>
      <c r="TUH35" s="16"/>
      <c r="TUI35" s="16"/>
      <c r="TUJ35" s="16"/>
      <c r="TUK35" s="16"/>
      <c r="TUL35" s="16"/>
      <c r="TUM35" s="16"/>
      <c r="TUN35" s="16"/>
      <c r="TUO35" s="16"/>
      <c r="TUP35" s="16"/>
      <c r="TUQ35" s="16"/>
      <c r="TUR35" s="16"/>
      <c r="TUS35" s="16"/>
      <c r="TUT35" s="16"/>
      <c r="TUU35" s="16"/>
      <c r="TUV35" s="16"/>
      <c r="TUW35" s="16"/>
      <c r="TUX35" s="16"/>
      <c r="TUY35" s="16"/>
      <c r="TUZ35" s="16"/>
      <c r="TVA35" s="16"/>
      <c r="TVB35" s="16"/>
      <c r="TVC35" s="16"/>
      <c r="TVD35" s="16"/>
      <c r="TVE35" s="16"/>
      <c r="TVF35" s="16"/>
      <c r="TVG35" s="16"/>
      <c r="TVH35" s="16"/>
      <c r="TVI35" s="16"/>
      <c r="TVJ35" s="16"/>
      <c r="TVK35" s="16"/>
      <c r="TVL35" s="16"/>
      <c r="TVM35" s="16"/>
      <c r="TVN35" s="16"/>
      <c r="TVO35" s="16"/>
      <c r="TVP35" s="16"/>
      <c r="TVQ35" s="16"/>
      <c r="TVR35" s="16"/>
      <c r="TVS35" s="16"/>
      <c r="TVT35" s="16"/>
      <c r="TVU35" s="16"/>
      <c r="TVV35" s="16"/>
      <c r="TVW35" s="16"/>
      <c r="TVX35" s="16"/>
      <c r="TVY35" s="16"/>
      <c r="TVZ35" s="16"/>
      <c r="TWA35" s="16"/>
      <c r="TWB35" s="16"/>
      <c r="TWC35" s="16"/>
      <c r="TWD35" s="16"/>
      <c r="TWE35" s="16"/>
      <c r="TWF35" s="16"/>
      <c r="TWG35" s="16"/>
      <c r="TWH35" s="16"/>
      <c r="TWI35" s="16"/>
      <c r="TWJ35" s="16"/>
      <c r="TWK35" s="16"/>
      <c r="TWL35" s="16"/>
      <c r="TWM35" s="16"/>
      <c r="TWN35" s="16"/>
      <c r="TWO35" s="16"/>
      <c r="TWP35" s="16"/>
      <c r="TWQ35" s="16"/>
      <c r="TWR35" s="16"/>
      <c r="TWS35" s="16"/>
      <c r="TWT35" s="16"/>
      <c r="TWU35" s="16"/>
      <c r="TWV35" s="16"/>
      <c r="TWW35" s="16"/>
      <c r="TWX35" s="16"/>
      <c r="TWY35" s="16"/>
      <c r="TWZ35" s="16"/>
      <c r="TXA35" s="16"/>
      <c r="TXB35" s="16"/>
      <c r="TXC35" s="16"/>
      <c r="TXD35" s="16"/>
      <c r="TXE35" s="16"/>
      <c r="TXF35" s="16"/>
      <c r="TXG35" s="16"/>
      <c r="TXH35" s="16"/>
      <c r="TXI35" s="16"/>
      <c r="TXJ35" s="16"/>
      <c r="TXK35" s="16"/>
      <c r="TXL35" s="16"/>
      <c r="TXM35" s="16"/>
      <c r="TXN35" s="16"/>
      <c r="TXO35" s="16"/>
      <c r="TXP35" s="16"/>
      <c r="TXQ35" s="16"/>
      <c r="TXR35" s="16"/>
      <c r="TXS35" s="16"/>
      <c r="TXT35" s="16"/>
      <c r="TXU35" s="16"/>
      <c r="TXV35" s="16"/>
      <c r="TXW35" s="16"/>
      <c r="TXX35" s="16"/>
      <c r="TXY35" s="16"/>
      <c r="TXZ35" s="16"/>
      <c r="TYA35" s="16"/>
      <c r="TYB35" s="16"/>
      <c r="TYC35" s="16"/>
      <c r="TYD35" s="16"/>
      <c r="TYE35" s="16"/>
      <c r="TYF35" s="16"/>
      <c r="TYG35" s="16"/>
      <c r="TYH35" s="16"/>
      <c r="TYI35" s="16"/>
      <c r="TYJ35" s="16"/>
      <c r="TYK35" s="16"/>
      <c r="TYL35" s="16"/>
      <c r="TYM35" s="16"/>
      <c r="TYN35" s="16"/>
      <c r="TYO35" s="16"/>
      <c r="TYP35" s="16"/>
      <c r="TYQ35" s="16"/>
      <c r="TYR35" s="16"/>
      <c r="TYS35" s="16"/>
      <c r="TYT35" s="16"/>
      <c r="TYU35" s="16"/>
      <c r="TYV35" s="16"/>
      <c r="TYW35" s="16"/>
      <c r="TYX35" s="16"/>
      <c r="TYY35" s="16"/>
      <c r="TYZ35" s="16"/>
      <c r="TZA35" s="16"/>
      <c r="TZB35" s="16"/>
      <c r="TZC35" s="16"/>
      <c r="TZD35" s="16"/>
      <c r="TZE35" s="16"/>
      <c r="TZF35" s="16"/>
      <c r="TZG35" s="16"/>
      <c r="TZH35" s="16"/>
      <c r="TZI35" s="16"/>
      <c r="TZJ35" s="16"/>
      <c r="TZK35" s="16"/>
      <c r="TZL35" s="16"/>
      <c r="TZM35" s="16"/>
      <c r="TZN35" s="16"/>
      <c r="TZO35" s="16"/>
      <c r="TZP35" s="16"/>
      <c r="TZQ35" s="16"/>
      <c r="TZR35" s="16"/>
      <c r="TZS35" s="16"/>
      <c r="TZT35" s="16"/>
      <c r="TZU35" s="16"/>
      <c r="TZV35" s="16"/>
      <c r="TZW35" s="16"/>
      <c r="TZX35" s="16"/>
      <c r="TZY35" s="16"/>
      <c r="TZZ35" s="16"/>
      <c r="UAA35" s="16"/>
      <c r="UAB35" s="16"/>
      <c r="UAC35" s="16"/>
      <c r="UAD35" s="16"/>
      <c r="UAE35" s="16"/>
      <c r="UAF35" s="16"/>
      <c r="UAG35" s="16"/>
      <c r="UAH35" s="16"/>
      <c r="UAI35" s="16"/>
      <c r="UAJ35" s="16"/>
      <c r="UAK35" s="16"/>
      <c r="UAL35" s="16"/>
      <c r="UAM35" s="16"/>
      <c r="UAN35" s="16"/>
      <c r="UAO35" s="16"/>
      <c r="UAP35" s="16"/>
      <c r="UAQ35" s="16"/>
      <c r="UAR35" s="16"/>
      <c r="UAS35" s="16"/>
      <c r="UAT35" s="16"/>
      <c r="UAU35" s="16"/>
      <c r="UAV35" s="16"/>
      <c r="UAW35" s="16"/>
      <c r="UAX35" s="16"/>
      <c r="UAY35" s="16"/>
      <c r="UAZ35" s="16"/>
      <c r="UBA35" s="16"/>
      <c r="UBB35" s="16"/>
      <c r="UBC35" s="16"/>
      <c r="UBD35" s="16"/>
      <c r="UBE35" s="16"/>
      <c r="UBF35" s="16"/>
      <c r="UBG35" s="16"/>
      <c r="UBH35" s="16"/>
      <c r="UBI35" s="16"/>
      <c r="UBJ35" s="16"/>
      <c r="UBK35" s="16"/>
      <c r="UBL35" s="16"/>
      <c r="UBM35" s="16"/>
      <c r="UBN35" s="16"/>
      <c r="UBO35" s="16"/>
      <c r="UBP35" s="16"/>
      <c r="UBQ35" s="16"/>
      <c r="UBR35" s="16"/>
      <c r="UBS35" s="16"/>
      <c r="UBT35" s="16"/>
      <c r="UBU35" s="16"/>
      <c r="UBV35" s="16"/>
      <c r="UBW35" s="16"/>
      <c r="UBX35" s="16"/>
      <c r="UBY35" s="16"/>
      <c r="UBZ35" s="16"/>
      <c r="UCA35" s="16"/>
      <c r="UCB35" s="16"/>
      <c r="UCC35" s="16"/>
      <c r="UCD35" s="16"/>
      <c r="UCE35" s="16"/>
      <c r="UCF35" s="16"/>
      <c r="UCG35" s="16"/>
      <c r="UCH35" s="16"/>
      <c r="UCI35" s="16"/>
      <c r="UCJ35" s="16"/>
      <c r="UCK35" s="16"/>
      <c r="UCL35" s="16"/>
      <c r="UCM35" s="16"/>
      <c r="UCN35" s="16"/>
      <c r="UCO35" s="16"/>
      <c r="UCP35" s="16"/>
      <c r="UCQ35" s="16"/>
      <c r="UCR35" s="16"/>
      <c r="UCS35" s="16"/>
      <c r="UCT35" s="16"/>
      <c r="UCU35" s="16"/>
      <c r="UCV35" s="16"/>
      <c r="UCW35" s="16"/>
      <c r="UCX35" s="16"/>
      <c r="UCY35" s="16"/>
      <c r="UCZ35" s="16"/>
      <c r="UDA35" s="16"/>
      <c r="UDB35" s="16"/>
      <c r="UDC35" s="16"/>
      <c r="UDD35" s="16"/>
      <c r="UDE35" s="16"/>
      <c r="UDF35" s="16"/>
      <c r="UDG35" s="16"/>
      <c r="UDH35" s="16"/>
      <c r="UDI35" s="16"/>
      <c r="UDJ35" s="16"/>
      <c r="UDK35" s="16"/>
      <c r="UDL35" s="16"/>
      <c r="UDM35" s="16"/>
      <c r="UDN35" s="16"/>
      <c r="UDO35" s="16"/>
      <c r="UDP35" s="16"/>
      <c r="UDQ35" s="16"/>
      <c r="UDR35" s="16"/>
      <c r="UDS35" s="16"/>
      <c r="UDT35" s="16"/>
      <c r="UDU35" s="16"/>
      <c r="UDV35" s="16"/>
      <c r="UDW35" s="16"/>
      <c r="UDX35" s="16"/>
      <c r="UDY35" s="16"/>
      <c r="UDZ35" s="16"/>
      <c r="UEA35" s="16"/>
      <c r="UEB35" s="16"/>
      <c r="UEC35" s="16"/>
      <c r="UED35" s="16"/>
      <c r="UEE35" s="16"/>
      <c r="UEF35" s="16"/>
      <c r="UEG35" s="16"/>
      <c r="UEH35" s="16"/>
      <c r="UEI35" s="16"/>
      <c r="UEJ35" s="16"/>
      <c r="UEK35" s="16"/>
      <c r="UEL35" s="16"/>
      <c r="UEM35" s="16"/>
      <c r="UEN35" s="16"/>
      <c r="UEO35" s="16"/>
      <c r="UEP35" s="16"/>
      <c r="UEQ35" s="16"/>
      <c r="UER35" s="16"/>
      <c r="UES35" s="16"/>
      <c r="UET35" s="16"/>
      <c r="UEU35" s="16"/>
      <c r="UEV35" s="16"/>
      <c r="UEW35" s="16"/>
      <c r="UEX35" s="16"/>
      <c r="UEY35" s="16"/>
      <c r="UEZ35" s="16"/>
      <c r="UFA35" s="16"/>
      <c r="UFB35" s="16"/>
      <c r="UFC35" s="16"/>
      <c r="UFD35" s="16"/>
      <c r="UFE35" s="16"/>
      <c r="UFF35" s="16"/>
      <c r="UFG35" s="16"/>
      <c r="UFH35" s="16"/>
      <c r="UFI35" s="16"/>
      <c r="UFJ35" s="16"/>
      <c r="UFK35" s="16"/>
      <c r="UFL35" s="16"/>
      <c r="UFM35" s="16"/>
      <c r="UFN35" s="16"/>
      <c r="UFO35" s="16"/>
      <c r="UFP35" s="16"/>
      <c r="UFQ35" s="16"/>
      <c r="UFR35" s="16"/>
      <c r="UFS35" s="16"/>
      <c r="UFT35" s="16"/>
      <c r="UFU35" s="16"/>
      <c r="UFV35" s="16"/>
      <c r="UFW35" s="16"/>
      <c r="UFX35" s="16"/>
      <c r="UFY35" s="16"/>
      <c r="UFZ35" s="16"/>
      <c r="UGA35" s="16"/>
      <c r="UGB35" s="16"/>
      <c r="UGC35" s="16"/>
      <c r="UGD35" s="16"/>
      <c r="UGE35" s="16"/>
      <c r="UGF35" s="16"/>
      <c r="UGG35" s="16"/>
      <c r="UGH35" s="16"/>
      <c r="UGI35" s="16"/>
      <c r="UGJ35" s="16"/>
      <c r="UGK35" s="16"/>
      <c r="UGL35" s="16"/>
      <c r="UGM35" s="16"/>
      <c r="UGN35" s="16"/>
      <c r="UGO35" s="16"/>
      <c r="UGP35" s="16"/>
      <c r="UGQ35" s="16"/>
      <c r="UGR35" s="16"/>
      <c r="UGS35" s="16"/>
      <c r="UGT35" s="16"/>
      <c r="UGU35" s="16"/>
      <c r="UGV35" s="16"/>
      <c r="UGW35" s="16"/>
      <c r="UGX35" s="16"/>
      <c r="UGY35" s="16"/>
      <c r="UGZ35" s="16"/>
      <c r="UHA35" s="16"/>
      <c r="UHB35" s="16"/>
      <c r="UHC35" s="16"/>
      <c r="UHD35" s="16"/>
      <c r="UHE35" s="16"/>
      <c r="UHF35" s="16"/>
      <c r="UHG35" s="16"/>
      <c r="UHH35" s="16"/>
      <c r="UHI35" s="16"/>
      <c r="UHJ35" s="16"/>
      <c r="UHK35" s="16"/>
      <c r="UHL35" s="16"/>
      <c r="UHM35" s="16"/>
      <c r="UHN35" s="16"/>
      <c r="UHO35" s="16"/>
      <c r="UHP35" s="16"/>
      <c r="UHQ35" s="16"/>
      <c r="UHR35" s="16"/>
      <c r="UHS35" s="16"/>
      <c r="UHT35" s="16"/>
      <c r="UHU35" s="16"/>
      <c r="UHV35" s="16"/>
      <c r="UHW35" s="16"/>
      <c r="UHX35" s="16"/>
      <c r="UHY35" s="16"/>
      <c r="UHZ35" s="16"/>
      <c r="UIA35" s="16"/>
      <c r="UIB35" s="16"/>
      <c r="UIC35" s="16"/>
      <c r="UID35" s="16"/>
      <c r="UIE35" s="16"/>
      <c r="UIF35" s="16"/>
      <c r="UIG35" s="16"/>
      <c r="UIH35" s="16"/>
      <c r="UII35" s="16"/>
      <c r="UIJ35" s="16"/>
      <c r="UIK35" s="16"/>
      <c r="UIL35" s="16"/>
      <c r="UIM35" s="16"/>
      <c r="UIN35" s="16"/>
      <c r="UIO35" s="16"/>
      <c r="UIP35" s="16"/>
      <c r="UIQ35" s="16"/>
      <c r="UIR35" s="16"/>
      <c r="UIS35" s="16"/>
      <c r="UIT35" s="16"/>
      <c r="UIU35" s="16"/>
      <c r="UIV35" s="16"/>
      <c r="UIW35" s="16"/>
      <c r="UIX35" s="16"/>
      <c r="UIY35" s="16"/>
      <c r="UIZ35" s="16"/>
      <c r="UJA35" s="16"/>
      <c r="UJB35" s="16"/>
      <c r="UJC35" s="16"/>
      <c r="UJD35" s="16"/>
      <c r="UJE35" s="16"/>
      <c r="UJF35" s="16"/>
      <c r="UJG35" s="16"/>
      <c r="UJH35" s="16"/>
      <c r="UJI35" s="16"/>
      <c r="UJJ35" s="16"/>
      <c r="UJK35" s="16"/>
      <c r="UJL35" s="16"/>
      <c r="UJM35" s="16"/>
      <c r="UJN35" s="16"/>
      <c r="UJO35" s="16"/>
      <c r="UJP35" s="16"/>
      <c r="UJQ35" s="16"/>
      <c r="UJR35" s="16"/>
      <c r="UJS35" s="16"/>
      <c r="UJT35" s="16"/>
      <c r="UJU35" s="16"/>
      <c r="UJV35" s="16"/>
      <c r="UJW35" s="16"/>
      <c r="UJX35" s="16"/>
      <c r="UJY35" s="16"/>
      <c r="UJZ35" s="16"/>
      <c r="UKA35" s="16"/>
      <c r="UKB35" s="16"/>
      <c r="UKC35" s="16"/>
      <c r="UKD35" s="16"/>
      <c r="UKE35" s="16"/>
      <c r="UKF35" s="16"/>
      <c r="UKG35" s="16"/>
      <c r="UKH35" s="16"/>
      <c r="UKI35" s="16"/>
      <c r="UKJ35" s="16"/>
      <c r="UKK35" s="16"/>
      <c r="UKL35" s="16"/>
      <c r="UKM35" s="16"/>
      <c r="UKN35" s="16"/>
      <c r="UKO35" s="16"/>
      <c r="UKP35" s="16"/>
      <c r="UKQ35" s="16"/>
      <c r="UKR35" s="16"/>
      <c r="UKS35" s="16"/>
      <c r="UKT35" s="16"/>
      <c r="UKU35" s="16"/>
      <c r="UKV35" s="16"/>
      <c r="UKW35" s="16"/>
      <c r="UKX35" s="16"/>
      <c r="UKY35" s="16"/>
      <c r="UKZ35" s="16"/>
      <c r="ULA35" s="16"/>
      <c r="ULB35" s="16"/>
      <c r="ULC35" s="16"/>
      <c r="ULD35" s="16"/>
      <c r="ULE35" s="16"/>
      <c r="ULF35" s="16"/>
      <c r="ULG35" s="16"/>
      <c r="ULH35" s="16"/>
      <c r="ULI35" s="16"/>
      <c r="ULJ35" s="16"/>
      <c r="ULK35" s="16"/>
      <c r="ULL35" s="16"/>
      <c r="ULM35" s="16"/>
      <c r="ULN35" s="16"/>
      <c r="ULO35" s="16"/>
      <c r="ULP35" s="16"/>
      <c r="ULQ35" s="16"/>
      <c r="ULR35" s="16"/>
      <c r="ULS35" s="16"/>
      <c r="ULT35" s="16"/>
      <c r="ULU35" s="16"/>
      <c r="ULV35" s="16"/>
      <c r="ULW35" s="16"/>
      <c r="ULX35" s="16"/>
      <c r="ULY35" s="16"/>
      <c r="ULZ35" s="16"/>
      <c r="UMA35" s="16"/>
      <c r="UMB35" s="16"/>
      <c r="UMC35" s="16"/>
      <c r="UMD35" s="16"/>
      <c r="UME35" s="16"/>
      <c r="UMF35" s="16"/>
      <c r="UMG35" s="16"/>
      <c r="UMH35" s="16"/>
      <c r="UMI35" s="16"/>
      <c r="UMJ35" s="16"/>
      <c r="UMK35" s="16"/>
      <c r="UML35" s="16"/>
      <c r="UMM35" s="16"/>
      <c r="UMN35" s="16"/>
      <c r="UMO35" s="16"/>
      <c r="UMP35" s="16"/>
      <c r="UMQ35" s="16"/>
      <c r="UMR35" s="16"/>
      <c r="UMS35" s="16"/>
      <c r="UMT35" s="16"/>
      <c r="UMU35" s="16"/>
      <c r="UMV35" s="16"/>
      <c r="UMW35" s="16"/>
      <c r="UMX35" s="16"/>
      <c r="UMY35" s="16"/>
      <c r="UMZ35" s="16"/>
      <c r="UNA35" s="16"/>
      <c r="UNB35" s="16"/>
      <c r="UNC35" s="16"/>
      <c r="UND35" s="16"/>
      <c r="UNE35" s="16"/>
      <c r="UNF35" s="16"/>
      <c r="UNG35" s="16"/>
      <c r="UNH35" s="16"/>
      <c r="UNI35" s="16"/>
      <c r="UNJ35" s="16"/>
      <c r="UNK35" s="16"/>
      <c r="UNL35" s="16"/>
      <c r="UNM35" s="16"/>
      <c r="UNN35" s="16"/>
      <c r="UNO35" s="16"/>
      <c r="UNP35" s="16"/>
      <c r="UNQ35" s="16"/>
      <c r="UNR35" s="16"/>
      <c r="UNS35" s="16"/>
      <c r="UNT35" s="16"/>
      <c r="UNU35" s="16"/>
      <c r="UNV35" s="16"/>
      <c r="UNW35" s="16"/>
      <c r="UNX35" s="16"/>
      <c r="UNY35" s="16"/>
      <c r="UNZ35" s="16"/>
      <c r="UOA35" s="16"/>
      <c r="UOB35" s="16"/>
      <c r="UOC35" s="16"/>
      <c r="UOD35" s="16"/>
      <c r="UOE35" s="16"/>
      <c r="UOF35" s="16"/>
      <c r="UOG35" s="16"/>
      <c r="UOH35" s="16"/>
      <c r="UOI35" s="16"/>
      <c r="UOJ35" s="16"/>
      <c r="UOK35" s="16"/>
      <c r="UOL35" s="16"/>
      <c r="UOM35" s="16"/>
      <c r="UON35" s="16"/>
      <c r="UOO35" s="16"/>
      <c r="UOP35" s="16"/>
      <c r="UOQ35" s="16"/>
      <c r="UOR35" s="16"/>
      <c r="UOS35" s="16"/>
      <c r="UOT35" s="16"/>
      <c r="UOU35" s="16"/>
      <c r="UOV35" s="16"/>
      <c r="UOW35" s="16"/>
      <c r="UOX35" s="16"/>
      <c r="UOY35" s="16"/>
      <c r="UOZ35" s="16"/>
      <c r="UPA35" s="16"/>
      <c r="UPB35" s="16"/>
      <c r="UPC35" s="16"/>
      <c r="UPD35" s="16"/>
      <c r="UPE35" s="16"/>
      <c r="UPF35" s="16"/>
      <c r="UPG35" s="16"/>
      <c r="UPH35" s="16"/>
      <c r="UPI35" s="16"/>
      <c r="UPJ35" s="16"/>
      <c r="UPK35" s="16"/>
      <c r="UPL35" s="16"/>
      <c r="UPM35" s="16"/>
      <c r="UPN35" s="16"/>
      <c r="UPO35" s="16"/>
      <c r="UPP35" s="16"/>
      <c r="UPQ35" s="16"/>
      <c r="UPR35" s="16"/>
      <c r="UPS35" s="16"/>
      <c r="UPT35" s="16"/>
      <c r="UPU35" s="16"/>
      <c r="UPV35" s="16"/>
      <c r="UPW35" s="16"/>
      <c r="UPX35" s="16"/>
      <c r="UPY35" s="16"/>
      <c r="UPZ35" s="16"/>
      <c r="UQA35" s="16"/>
      <c r="UQB35" s="16"/>
      <c r="UQC35" s="16"/>
      <c r="UQD35" s="16"/>
      <c r="UQE35" s="16"/>
      <c r="UQF35" s="16"/>
      <c r="UQG35" s="16"/>
      <c r="UQH35" s="16"/>
      <c r="UQI35" s="16"/>
      <c r="UQJ35" s="16"/>
      <c r="UQK35" s="16"/>
      <c r="UQL35" s="16"/>
      <c r="UQM35" s="16"/>
      <c r="UQN35" s="16"/>
      <c r="UQO35" s="16"/>
      <c r="UQP35" s="16"/>
      <c r="UQQ35" s="16"/>
      <c r="UQR35" s="16"/>
      <c r="UQS35" s="16"/>
      <c r="UQT35" s="16"/>
      <c r="UQU35" s="16"/>
      <c r="UQV35" s="16"/>
      <c r="UQW35" s="16"/>
      <c r="UQX35" s="16"/>
      <c r="UQY35" s="16"/>
      <c r="UQZ35" s="16"/>
      <c r="URA35" s="16"/>
      <c r="URB35" s="16"/>
      <c r="URC35" s="16"/>
      <c r="URD35" s="16"/>
      <c r="URE35" s="16"/>
      <c r="URF35" s="16"/>
      <c r="URG35" s="16"/>
      <c r="URH35" s="16"/>
      <c r="URI35" s="16"/>
      <c r="URJ35" s="16"/>
      <c r="URK35" s="16"/>
      <c r="URL35" s="16"/>
      <c r="URM35" s="16"/>
      <c r="URN35" s="16"/>
      <c r="URO35" s="16"/>
      <c r="URP35" s="16"/>
      <c r="URQ35" s="16"/>
      <c r="URR35" s="16"/>
      <c r="URS35" s="16"/>
      <c r="URT35" s="16"/>
      <c r="URU35" s="16"/>
      <c r="URV35" s="16"/>
      <c r="URW35" s="16"/>
      <c r="URX35" s="16"/>
      <c r="URY35" s="16"/>
      <c r="URZ35" s="16"/>
      <c r="USA35" s="16"/>
      <c r="USB35" s="16"/>
      <c r="USC35" s="16"/>
      <c r="USD35" s="16"/>
      <c r="USE35" s="16"/>
      <c r="USF35" s="16"/>
      <c r="USG35" s="16"/>
      <c r="USH35" s="16"/>
      <c r="USI35" s="16"/>
      <c r="USJ35" s="16"/>
      <c r="USK35" s="16"/>
      <c r="USL35" s="16"/>
      <c r="USM35" s="16"/>
      <c r="USN35" s="16"/>
      <c r="USO35" s="16"/>
      <c r="USP35" s="16"/>
      <c r="USQ35" s="16"/>
      <c r="USR35" s="16"/>
      <c r="USS35" s="16"/>
      <c r="UST35" s="16"/>
      <c r="USU35" s="16"/>
      <c r="USV35" s="16"/>
      <c r="USW35" s="16"/>
      <c r="USX35" s="16"/>
      <c r="USY35" s="16"/>
      <c r="USZ35" s="16"/>
      <c r="UTA35" s="16"/>
      <c r="UTB35" s="16"/>
      <c r="UTC35" s="16"/>
      <c r="UTD35" s="16"/>
      <c r="UTE35" s="16"/>
      <c r="UTF35" s="16"/>
      <c r="UTG35" s="16"/>
      <c r="UTH35" s="16"/>
      <c r="UTI35" s="16"/>
      <c r="UTJ35" s="16"/>
      <c r="UTK35" s="16"/>
      <c r="UTL35" s="16"/>
      <c r="UTM35" s="16"/>
      <c r="UTN35" s="16"/>
      <c r="UTO35" s="16"/>
      <c r="UTP35" s="16"/>
      <c r="UTQ35" s="16"/>
      <c r="UTR35" s="16"/>
      <c r="UTS35" s="16"/>
      <c r="UTT35" s="16"/>
      <c r="UTU35" s="16"/>
      <c r="UTV35" s="16"/>
      <c r="UTW35" s="16"/>
      <c r="UTX35" s="16"/>
      <c r="UTY35" s="16"/>
      <c r="UTZ35" s="16"/>
      <c r="UUA35" s="16"/>
      <c r="UUB35" s="16"/>
      <c r="UUC35" s="16"/>
      <c r="UUD35" s="16"/>
      <c r="UUE35" s="16"/>
      <c r="UUF35" s="16"/>
      <c r="UUG35" s="16"/>
      <c r="UUH35" s="16"/>
      <c r="UUI35" s="16"/>
      <c r="UUJ35" s="16"/>
      <c r="UUK35" s="16"/>
      <c r="UUL35" s="16"/>
      <c r="UUM35" s="16"/>
      <c r="UUN35" s="16"/>
      <c r="UUO35" s="16"/>
      <c r="UUP35" s="16"/>
      <c r="UUQ35" s="16"/>
      <c r="UUR35" s="16"/>
      <c r="UUS35" s="16"/>
      <c r="UUT35" s="16"/>
      <c r="UUU35" s="16"/>
      <c r="UUV35" s="16"/>
      <c r="UUW35" s="16"/>
      <c r="UUX35" s="16"/>
      <c r="UUY35" s="16"/>
      <c r="UUZ35" s="16"/>
      <c r="UVA35" s="16"/>
      <c r="UVB35" s="16"/>
      <c r="UVC35" s="16"/>
      <c r="UVD35" s="16"/>
      <c r="UVE35" s="16"/>
      <c r="UVF35" s="16"/>
      <c r="UVG35" s="16"/>
      <c r="UVH35" s="16"/>
      <c r="UVI35" s="16"/>
      <c r="UVJ35" s="16"/>
      <c r="UVK35" s="16"/>
      <c r="UVL35" s="16"/>
      <c r="UVM35" s="16"/>
      <c r="UVN35" s="16"/>
      <c r="UVO35" s="16"/>
      <c r="UVP35" s="16"/>
      <c r="UVQ35" s="16"/>
      <c r="UVR35" s="16"/>
      <c r="UVS35" s="16"/>
      <c r="UVT35" s="16"/>
      <c r="UVU35" s="16"/>
      <c r="UVV35" s="16"/>
      <c r="UVW35" s="16"/>
      <c r="UVX35" s="16"/>
      <c r="UVY35" s="16"/>
      <c r="UVZ35" s="16"/>
      <c r="UWA35" s="16"/>
      <c r="UWB35" s="16"/>
      <c r="UWC35" s="16"/>
      <c r="UWD35" s="16"/>
      <c r="UWE35" s="16"/>
      <c r="UWF35" s="16"/>
      <c r="UWG35" s="16"/>
      <c r="UWH35" s="16"/>
      <c r="UWI35" s="16"/>
      <c r="UWJ35" s="16"/>
      <c r="UWK35" s="16"/>
      <c r="UWL35" s="16"/>
      <c r="UWM35" s="16"/>
      <c r="UWN35" s="16"/>
      <c r="UWO35" s="16"/>
      <c r="UWP35" s="16"/>
      <c r="UWQ35" s="16"/>
      <c r="UWR35" s="16"/>
      <c r="UWS35" s="16"/>
      <c r="UWT35" s="16"/>
      <c r="UWU35" s="16"/>
      <c r="UWV35" s="16"/>
      <c r="UWW35" s="16"/>
      <c r="UWX35" s="16"/>
      <c r="UWY35" s="16"/>
      <c r="UWZ35" s="16"/>
      <c r="UXA35" s="16"/>
      <c r="UXB35" s="16"/>
      <c r="UXC35" s="16"/>
      <c r="UXD35" s="16"/>
      <c r="UXE35" s="16"/>
      <c r="UXF35" s="16"/>
      <c r="UXG35" s="16"/>
      <c r="UXH35" s="16"/>
      <c r="UXI35" s="16"/>
      <c r="UXJ35" s="16"/>
      <c r="UXK35" s="16"/>
      <c r="UXL35" s="16"/>
      <c r="UXM35" s="16"/>
      <c r="UXN35" s="16"/>
      <c r="UXO35" s="16"/>
      <c r="UXP35" s="16"/>
      <c r="UXQ35" s="16"/>
      <c r="UXR35" s="16"/>
      <c r="UXS35" s="16"/>
      <c r="UXT35" s="16"/>
      <c r="UXU35" s="16"/>
      <c r="UXV35" s="16"/>
      <c r="UXW35" s="16"/>
      <c r="UXX35" s="16"/>
      <c r="UXY35" s="16"/>
      <c r="UXZ35" s="16"/>
      <c r="UYA35" s="16"/>
      <c r="UYB35" s="16"/>
      <c r="UYC35" s="16"/>
      <c r="UYD35" s="16"/>
      <c r="UYE35" s="16"/>
      <c r="UYF35" s="16"/>
      <c r="UYG35" s="16"/>
      <c r="UYH35" s="16"/>
      <c r="UYI35" s="16"/>
      <c r="UYJ35" s="16"/>
      <c r="UYK35" s="16"/>
      <c r="UYL35" s="16"/>
      <c r="UYM35" s="16"/>
      <c r="UYN35" s="16"/>
      <c r="UYO35" s="16"/>
      <c r="UYP35" s="16"/>
      <c r="UYQ35" s="16"/>
      <c r="UYR35" s="16"/>
      <c r="UYS35" s="16"/>
      <c r="UYT35" s="16"/>
      <c r="UYU35" s="16"/>
      <c r="UYV35" s="16"/>
      <c r="UYW35" s="16"/>
      <c r="UYX35" s="16"/>
      <c r="UYY35" s="16"/>
      <c r="UYZ35" s="16"/>
      <c r="UZA35" s="16"/>
      <c r="UZB35" s="16"/>
      <c r="UZC35" s="16"/>
      <c r="UZD35" s="16"/>
      <c r="UZE35" s="16"/>
      <c r="UZF35" s="16"/>
      <c r="UZG35" s="16"/>
      <c r="UZH35" s="16"/>
      <c r="UZI35" s="16"/>
      <c r="UZJ35" s="16"/>
      <c r="UZK35" s="16"/>
      <c r="UZL35" s="16"/>
      <c r="UZM35" s="16"/>
      <c r="UZN35" s="16"/>
      <c r="UZO35" s="16"/>
      <c r="UZP35" s="16"/>
      <c r="UZQ35" s="16"/>
      <c r="UZR35" s="16"/>
      <c r="UZS35" s="16"/>
      <c r="UZT35" s="16"/>
      <c r="UZU35" s="16"/>
      <c r="UZV35" s="16"/>
      <c r="UZW35" s="16"/>
      <c r="UZX35" s="16"/>
      <c r="UZY35" s="16"/>
      <c r="UZZ35" s="16"/>
      <c r="VAA35" s="16"/>
      <c r="VAB35" s="16"/>
      <c r="VAC35" s="16"/>
      <c r="VAD35" s="16"/>
      <c r="VAE35" s="16"/>
      <c r="VAF35" s="16"/>
      <c r="VAG35" s="16"/>
      <c r="VAH35" s="16"/>
      <c r="VAI35" s="16"/>
      <c r="VAJ35" s="16"/>
      <c r="VAK35" s="16"/>
      <c r="VAL35" s="16"/>
      <c r="VAM35" s="16"/>
      <c r="VAN35" s="16"/>
      <c r="VAO35" s="16"/>
      <c r="VAP35" s="16"/>
      <c r="VAQ35" s="16"/>
      <c r="VAR35" s="16"/>
      <c r="VAS35" s="16"/>
      <c r="VAT35" s="16"/>
      <c r="VAU35" s="16"/>
      <c r="VAV35" s="16"/>
      <c r="VAW35" s="16"/>
      <c r="VAX35" s="16"/>
      <c r="VAY35" s="16"/>
      <c r="VAZ35" s="16"/>
      <c r="VBA35" s="16"/>
      <c r="VBB35" s="16"/>
      <c r="VBC35" s="16"/>
      <c r="VBD35" s="16"/>
      <c r="VBE35" s="16"/>
      <c r="VBF35" s="16"/>
      <c r="VBG35" s="16"/>
      <c r="VBH35" s="16"/>
      <c r="VBI35" s="16"/>
      <c r="VBJ35" s="16"/>
      <c r="VBK35" s="16"/>
      <c r="VBL35" s="16"/>
      <c r="VBM35" s="16"/>
      <c r="VBN35" s="16"/>
      <c r="VBO35" s="16"/>
      <c r="VBP35" s="16"/>
      <c r="VBQ35" s="16"/>
      <c r="VBR35" s="16"/>
      <c r="VBS35" s="16"/>
      <c r="VBT35" s="16"/>
      <c r="VBU35" s="16"/>
      <c r="VBV35" s="16"/>
      <c r="VBW35" s="16"/>
      <c r="VBX35" s="16"/>
      <c r="VBY35" s="16"/>
      <c r="VBZ35" s="16"/>
      <c r="VCA35" s="16"/>
      <c r="VCB35" s="16"/>
      <c r="VCC35" s="16"/>
      <c r="VCD35" s="16"/>
      <c r="VCE35" s="16"/>
      <c r="VCF35" s="16"/>
      <c r="VCG35" s="16"/>
      <c r="VCH35" s="16"/>
      <c r="VCI35" s="16"/>
      <c r="VCJ35" s="16"/>
      <c r="VCK35" s="16"/>
      <c r="VCL35" s="16"/>
      <c r="VCM35" s="16"/>
      <c r="VCN35" s="16"/>
      <c r="VCO35" s="16"/>
      <c r="VCP35" s="16"/>
      <c r="VCQ35" s="16"/>
      <c r="VCR35" s="16"/>
      <c r="VCS35" s="16"/>
      <c r="VCT35" s="16"/>
      <c r="VCU35" s="16"/>
      <c r="VCV35" s="16"/>
      <c r="VCW35" s="16"/>
      <c r="VCX35" s="16"/>
      <c r="VCY35" s="16"/>
      <c r="VCZ35" s="16"/>
      <c r="VDA35" s="16"/>
      <c r="VDB35" s="16"/>
      <c r="VDC35" s="16"/>
      <c r="VDD35" s="16"/>
      <c r="VDE35" s="16"/>
      <c r="VDF35" s="16"/>
      <c r="VDG35" s="16"/>
      <c r="VDH35" s="16"/>
      <c r="VDI35" s="16"/>
      <c r="VDJ35" s="16"/>
      <c r="VDK35" s="16"/>
      <c r="VDL35" s="16"/>
      <c r="VDM35" s="16"/>
      <c r="VDN35" s="16"/>
      <c r="VDO35" s="16"/>
      <c r="VDP35" s="16"/>
      <c r="VDQ35" s="16"/>
      <c r="VDR35" s="16"/>
      <c r="VDS35" s="16"/>
      <c r="VDT35" s="16"/>
      <c r="VDU35" s="16"/>
      <c r="VDV35" s="16"/>
      <c r="VDW35" s="16"/>
      <c r="VDX35" s="16"/>
      <c r="VDY35" s="16"/>
      <c r="VDZ35" s="16"/>
      <c r="VEA35" s="16"/>
      <c r="VEB35" s="16"/>
      <c r="VEC35" s="16"/>
      <c r="VED35" s="16"/>
      <c r="VEE35" s="16"/>
      <c r="VEF35" s="16"/>
      <c r="VEG35" s="16"/>
      <c r="VEH35" s="16"/>
      <c r="VEI35" s="16"/>
      <c r="VEJ35" s="16"/>
      <c r="VEK35" s="16"/>
      <c r="VEL35" s="16"/>
      <c r="VEM35" s="16"/>
      <c r="VEN35" s="16"/>
      <c r="VEO35" s="16"/>
      <c r="VEP35" s="16"/>
      <c r="VEQ35" s="16"/>
      <c r="VER35" s="16"/>
      <c r="VES35" s="16"/>
      <c r="VET35" s="16"/>
      <c r="VEU35" s="16"/>
      <c r="VEV35" s="16"/>
      <c r="VEW35" s="16"/>
      <c r="VEX35" s="16"/>
      <c r="VEY35" s="16"/>
      <c r="VEZ35" s="16"/>
      <c r="VFA35" s="16"/>
      <c r="VFB35" s="16"/>
      <c r="VFC35" s="16"/>
      <c r="VFD35" s="16"/>
      <c r="VFE35" s="16"/>
      <c r="VFF35" s="16"/>
      <c r="VFG35" s="16"/>
      <c r="VFH35" s="16"/>
      <c r="VFI35" s="16"/>
      <c r="VFJ35" s="16"/>
      <c r="VFK35" s="16"/>
      <c r="VFL35" s="16"/>
      <c r="VFM35" s="16"/>
      <c r="VFN35" s="16"/>
      <c r="VFO35" s="16"/>
      <c r="VFP35" s="16"/>
      <c r="VFQ35" s="16"/>
      <c r="VFR35" s="16"/>
      <c r="VFS35" s="16"/>
      <c r="VFT35" s="16"/>
      <c r="VFU35" s="16"/>
      <c r="VFV35" s="16"/>
      <c r="VFW35" s="16"/>
      <c r="VFX35" s="16"/>
      <c r="VFY35" s="16"/>
      <c r="VFZ35" s="16"/>
      <c r="VGA35" s="16"/>
      <c r="VGB35" s="16"/>
      <c r="VGC35" s="16"/>
      <c r="VGD35" s="16"/>
      <c r="VGE35" s="16"/>
      <c r="VGF35" s="16"/>
      <c r="VGG35" s="16"/>
      <c r="VGH35" s="16"/>
      <c r="VGI35" s="16"/>
      <c r="VGJ35" s="16"/>
      <c r="VGK35" s="16"/>
      <c r="VGL35" s="16"/>
      <c r="VGM35" s="16"/>
      <c r="VGN35" s="16"/>
      <c r="VGO35" s="16"/>
      <c r="VGP35" s="16"/>
      <c r="VGQ35" s="16"/>
      <c r="VGR35" s="16"/>
      <c r="VGS35" s="16"/>
      <c r="VGT35" s="16"/>
      <c r="VGU35" s="16"/>
      <c r="VGV35" s="16"/>
      <c r="VGW35" s="16"/>
      <c r="VGX35" s="16"/>
      <c r="VGY35" s="16"/>
      <c r="VGZ35" s="16"/>
      <c r="VHA35" s="16"/>
      <c r="VHB35" s="16"/>
      <c r="VHC35" s="16"/>
      <c r="VHD35" s="16"/>
      <c r="VHE35" s="16"/>
      <c r="VHF35" s="16"/>
      <c r="VHG35" s="16"/>
      <c r="VHH35" s="16"/>
      <c r="VHI35" s="16"/>
      <c r="VHJ35" s="16"/>
      <c r="VHK35" s="16"/>
      <c r="VHL35" s="16"/>
      <c r="VHM35" s="16"/>
      <c r="VHN35" s="16"/>
      <c r="VHO35" s="16"/>
      <c r="VHP35" s="16"/>
      <c r="VHQ35" s="16"/>
      <c r="VHR35" s="16"/>
      <c r="VHS35" s="16"/>
      <c r="VHT35" s="16"/>
      <c r="VHU35" s="16"/>
      <c r="VHV35" s="16"/>
      <c r="VHW35" s="16"/>
      <c r="VHX35" s="16"/>
      <c r="VHY35" s="16"/>
      <c r="VHZ35" s="16"/>
      <c r="VIA35" s="16"/>
      <c r="VIB35" s="16"/>
      <c r="VIC35" s="16"/>
      <c r="VID35" s="16"/>
      <c r="VIE35" s="16"/>
      <c r="VIF35" s="16"/>
      <c r="VIG35" s="16"/>
      <c r="VIH35" s="16"/>
      <c r="VII35" s="16"/>
      <c r="VIJ35" s="16"/>
      <c r="VIK35" s="16"/>
      <c r="VIL35" s="16"/>
      <c r="VIM35" s="16"/>
      <c r="VIN35" s="16"/>
      <c r="VIO35" s="16"/>
      <c r="VIP35" s="16"/>
      <c r="VIQ35" s="16"/>
      <c r="VIR35" s="16"/>
      <c r="VIS35" s="16"/>
      <c r="VIT35" s="16"/>
      <c r="VIU35" s="16"/>
      <c r="VIV35" s="16"/>
      <c r="VIW35" s="16"/>
      <c r="VIX35" s="16"/>
      <c r="VIY35" s="16"/>
      <c r="VIZ35" s="16"/>
      <c r="VJA35" s="16"/>
      <c r="VJB35" s="16"/>
      <c r="VJC35" s="16"/>
      <c r="VJD35" s="16"/>
      <c r="VJE35" s="16"/>
      <c r="VJF35" s="16"/>
      <c r="VJG35" s="16"/>
      <c r="VJH35" s="16"/>
      <c r="VJI35" s="16"/>
      <c r="VJJ35" s="16"/>
      <c r="VJK35" s="16"/>
      <c r="VJL35" s="16"/>
      <c r="VJM35" s="16"/>
      <c r="VJN35" s="16"/>
      <c r="VJO35" s="16"/>
      <c r="VJP35" s="16"/>
      <c r="VJQ35" s="16"/>
      <c r="VJR35" s="16"/>
      <c r="VJS35" s="16"/>
      <c r="VJT35" s="16"/>
      <c r="VJU35" s="16"/>
      <c r="VJV35" s="16"/>
      <c r="VJW35" s="16"/>
      <c r="VJX35" s="16"/>
      <c r="VJY35" s="16"/>
      <c r="VJZ35" s="16"/>
      <c r="VKA35" s="16"/>
      <c r="VKB35" s="16"/>
      <c r="VKC35" s="16"/>
      <c r="VKD35" s="16"/>
      <c r="VKE35" s="16"/>
      <c r="VKF35" s="16"/>
      <c r="VKG35" s="16"/>
      <c r="VKH35" s="16"/>
      <c r="VKI35" s="16"/>
      <c r="VKJ35" s="16"/>
      <c r="VKK35" s="16"/>
      <c r="VKL35" s="16"/>
      <c r="VKM35" s="16"/>
      <c r="VKN35" s="16"/>
      <c r="VKO35" s="16"/>
      <c r="VKP35" s="16"/>
      <c r="VKQ35" s="16"/>
      <c r="VKR35" s="16"/>
      <c r="VKS35" s="16"/>
      <c r="VKT35" s="16"/>
      <c r="VKU35" s="16"/>
      <c r="VKV35" s="16"/>
      <c r="VKW35" s="16"/>
      <c r="VKX35" s="16"/>
      <c r="VKY35" s="16"/>
      <c r="VKZ35" s="16"/>
      <c r="VLA35" s="16"/>
      <c r="VLB35" s="16"/>
      <c r="VLC35" s="16"/>
      <c r="VLD35" s="16"/>
      <c r="VLE35" s="16"/>
      <c r="VLF35" s="16"/>
      <c r="VLG35" s="16"/>
      <c r="VLH35" s="16"/>
      <c r="VLI35" s="16"/>
      <c r="VLJ35" s="16"/>
      <c r="VLK35" s="16"/>
      <c r="VLL35" s="16"/>
      <c r="VLM35" s="16"/>
      <c r="VLN35" s="16"/>
      <c r="VLO35" s="16"/>
      <c r="VLP35" s="16"/>
      <c r="VLQ35" s="16"/>
      <c r="VLR35" s="16"/>
      <c r="VLS35" s="16"/>
      <c r="VLT35" s="16"/>
      <c r="VLU35" s="16"/>
      <c r="VLV35" s="16"/>
      <c r="VLW35" s="16"/>
      <c r="VLX35" s="16"/>
      <c r="VLY35" s="16"/>
      <c r="VLZ35" s="16"/>
      <c r="VMA35" s="16"/>
      <c r="VMB35" s="16"/>
      <c r="VMC35" s="16"/>
      <c r="VMD35" s="16"/>
      <c r="VME35" s="16"/>
      <c r="VMF35" s="16"/>
      <c r="VMG35" s="16"/>
      <c r="VMH35" s="16"/>
      <c r="VMI35" s="16"/>
      <c r="VMJ35" s="16"/>
      <c r="VMK35" s="16"/>
      <c r="VML35" s="16"/>
      <c r="VMM35" s="16"/>
      <c r="VMN35" s="16"/>
      <c r="VMO35" s="16"/>
      <c r="VMP35" s="16"/>
      <c r="VMQ35" s="16"/>
      <c r="VMR35" s="16"/>
      <c r="VMS35" s="16"/>
      <c r="VMT35" s="16"/>
      <c r="VMU35" s="16"/>
      <c r="VMV35" s="16"/>
      <c r="VMW35" s="16"/>
      <c r="VMX35" s="16"/>
      <c r="VMY35" s="16"/>
      <c r="VMZ35" s="16"/>
      <c r="VNA35" s="16"/>
      <c r="VNB35" s="16"/>
      <c r="VNC35" s="16"/>
      <c r="VND35" s="16"/>
      <c r="VNE35" s="16"/>
      <c r="VNF35" s="16"/>
      <c r="VNG35" s="16"/>
      <c r="VNH35" s="16"/>
      <c r="VNI35" s="16"/>
      <c r="VNJ35" s="16"/>
      <c r="VNK35" s="16"/>
      <c r="VNL35" s="16"/>
      <c r="VNM35" s="16"/>
      <c r="VNN35" s="16"/>
      <c r="VNO35" s="16"/>
      <c r="VNP35" s="16"/>
      <c r="VNQ35" s="16"/>
      <c r="VNR35" s="16"/>
      <c r="VNS35" s="16"/>
      <c r="VNT35" s="16"/>
      <c r="VNU35" s="16"/>
      <c r="VNV35" s="16"/>
      <c r="VNW35" s="16"/>
      <c r="VNX35" s="16"/>
      <c r="VNY35" s="16"/>
      <c r="VNZ35" s="16"/>
      <c r="VOA35" s="16"/>
      <c r="VOB35" s="16"/>
      <c r="VOC35" s="16"/>
      <c r="VOD35" s="16"/>
      <c r="VOE35" s="16"/>
      <c r="VOF35" s="16"/>
      <c r="VOG35" s="16"/>
      <c r="VOH35" s="16"/>
      <c r="VOI35" s="16"/>
      <c r="VOJ35" s="16"/>
      <c r="VOK35" s="16"/>
      <c r="VOL35" s="16"/>
      <c r="VOM35" s="16"/>
      <c r="VON35" s="16"/>
      <c r="VOO35" s="16"/>
      <c r="VOP35" s="16"/>
      <c r="VOQ35" s="16"/>
      <c r="VOR35" s="16"/>
      <c r="VOS35" s="16"/>
      <c r="VOT35" s="16"/>
      <c r="VOU35" s="16"/>
      <c r="VOV35" s="16"/>
      <c r="VOW35" s="16"/>
      <c r="VOX35" s="16"/>
      <c r="VOY35" s="16"/>
      <c r="VOZ35" s="16"/>
      <c r="VPA35" s="16"/>
      <c r="VPB35" s="16"/>
      <c r="VPC35" s="16"/>
      <c r="VPD35" s="16"/>
      <c r="VPE35" s="16"/>
      <c r="VPF35" s="16"/>
      <c r="VPG35" s="16"/>
      <c r="VPH35" s="16"/>
      <c r="VPI35" s="16"/>
      <c r="VPJ35" s="16"/>
      <c r="VPK35" s="16"/>
      <c r="VPL35" s="16"/>
      <c r="VPM35" s="16"/>
      <c r="VPN35" s="16"/>
      <c r="VPO35" s="16"/>
      <c r="VPP35" s="16"/>
      <c r="VPQ35" s="16"/>
      <c r="VPR35" s="16"/>
      <c r="VPS35" s="16"/>
      <c r="VPT35" s="16"/>
      <c r="VPU35" s="16"/>
      <c r="VPV35" s="16"/>
      <c r="VPW35" s="16"/>
      <c r="VPX35" s="16"/>
      <c r="VPY35" s="16"/>
      <c r="VPZ35" s="16"/>
      <c r="VQA35" s="16"/>
      <c r="VQB35" s="16"/>
      <c r="VQC35" s="16"/>
      <c r="VQD35" s="16"/>
      <c r="VQE35" s="16"/>
      <c r="VQF35" s="16"/>
      <c r="VQG35" s="16"/>
      <c r="VQH35" s="16"/>
      <c r="VQI35" s="16"/>
      <c r="VQJ35" s="16"/>
      <c r="VQK35" s="16"/>
      <c r="VQL35" s="16"/>
      <c r="VQM35" s="16"/>
      <c r="VQN35" s="16"/>
      <c r="VQO35" s="16"/>
      <c r="VQP35" s="16"/>
      <c r="VQQ35" s="16"/>
      <c r="VQR35" s="16"/>
      <c r="VQS35" s="16"/>
      <c r="VQT35" s="16"/>
      <c r="VQU35" s="16"/>
      <c r="VQV35" s="16"/>
      <c r="VQW35" s="16"/>
      <c r="VQX35" s="16"/>
      <c r="VQY35" s="16"/>
      <c r="VQZ35" s="16"/>
      <c r="VRA35" s="16"/>
      <c r="VRB35" s="16"/>
      <c r="VRC35" s="16"/>
      <c r="VRD35" s="16"/>
      <c r="VRE35" s="16"/>
      <c r="VRF35" s="16"/>
      <c r="VRG35" s="16"/>
      <c r="VRH35" s="16"/>
      <c r="VRI35" s="16"/>
      <c r="VRJ35" s="16"/>
      <c r="VRK35" s="16"/>
      <c r="VRL35" s="16"/>
      <c r="VRM35" s="16"/>
      <c r="VRN35" s="16"/>
      <c r="VRO35" s="16"/>
      <c r="VRP35" s="16"/>
      <c r="VRQ35" s="16"/>
      <c r="VRR35" s="16"/>
      <c r="VRS35" s="16"/>
      <c r="VRT35" s="16"/>
      <c r="VRU35" s="16"/>
      <c r="VRV35" s="16"/>
      <c r="VRW35" s="16"/>
      <c r="VRX35" s="16"/>
      <c r="VRY35" s="16"/>
      <c r="VRZ35" s="16"/>
      <c r="VSA35" s="16"/>
      <c r="VSB35" s="16"/>
      <c r="VSC35" s="16"/>
      <c r="VSD35" s="16"/>
      <c r="VSE35" s="16"/>
      <c r="VSF35" s="16"/>
      <c r="VSG35" s="16"/>
      <c r="VSH35" s="16"/>
      <c r="VSI35" s="16"/>
      <c r="VSJ35" s="16"/>
      <c r="VSK35" s="16"/>
      <c r="VSL35" s="16"/>
      <c r="VSM35" s="16"/>
      <c r="VSN35" s="16"/>
      <c r="VSO35" s="16"/>
      <c r="VSP35" s="16"/>
      <c r="VSQ35" s="16"/>
      <c r="VSR35" s="16"/>
      <c r="VSS35" s="16"/>
      <c r="VST35" s="16"/>
      <c r="VSU35" s="16"/>
      <c r="VSV35" s="16"/>
      <c r="VSW35" s="16"/>
      <c r="VSX35" s="16"/>
      <c r="VSY35" s="16"/>
      <c r="VSZ35" s="16"/>
      <c r="VTA35" s="16"/>
      <c r="VTB35" s="16"/>
      <c r="VTC35" s="16"/>
      <c r="VTD35" s="16"/>
      <c r="VTE35" s="16"/>
      <c r="VTF35" s="16"/>
      <c r="VTG35" s="16"/>
      <c r="VTH35" s="16"/>
      <c r="VTI35" s="16"/>
      <c r="VTJ35" s="16"/>
      <c r="VTK35" s="16"/>
      <c r="VTL35" s="16"/>
      <c r="VTM35" s="16"/>
      <c r="VTN35" s="16"/>
      <c r="VTO35" s="16"/>
      <c r="VTP35" s="16"/>
      <c r="VTQ35" s="16"/>
      <c r="VTR35" s="16"/>
      <c r="VTS35" s="16"/>
      <c r="VTT35" s="16"/>
      <c r="VTU35" s="16"/>
      <c r="VTV35" s="16"/>
      <c r="VTW35" s="16"/>
      <c r="VTX35" s="16"/>
      <c r="VTY35" s="16"/>
      <c r="VTZ35" s="16"/>
      <c r="VUA35" s="16"/>
      <c r="VUB35" s="16"/>
      <c r="VUC35" s="16"/>
      <c r="VUD35" s="16"/>
      <c r="VUE35" s="16"/>
      <c r="VUF35" s="16"/>
      <c r="VUG35" s="16"/>
      <c r="VUH35" s="16"/>
      <c r="VUI35" s="16"/>
      <c r="VUJ35" s="16"/>
      <c r="VUK35" s="16"/>
      <c r="VUL35" s="16"/>
      <c r="VUM35" s="16"/>
      <c r="VUN35" s="16"/>
      <c r="VUO35" s="16"/>
      <c r="VUP35" s="16"/>
      <c r="VUQ35" s="16"/>
      <c r="VUR35" s="16"/>
      <c r="VUS35" s="16"/>
      <c r="VUT35" s="16"/>
      <c r="VUU35" s="16"/>
      <c r="VUV35" s="16"/>
      <c r="VUW35" s="16"/>
      <c r="VUX35" s="16"/>
      <c r="VUY35" s="16"/>
      <c r="VUZ35" s="16"/>
      <c r="VVA35" s="16"/>
      <c r="VVB35" s="16"/>
      <c r="VVC35" s="16"/>
      <c r="VVD35" s="16"/>
      <c r="VVE35" s="16"/>
      <c r="VVF35" s="16"/>
      <c r="VVG35" s="16"/>
      <c r="VVH35" s="16"/>
      <c r="VVI35" s="16"/>
      <c r="VVJ35" s="16"/>
      <c r="VVK35" s="16"/>
      <c r="VVL35" s="16"/>
      <c r="VVM35" s="16"/>
      <c r="VVN35" s="16"/>
      <c r="VVO35" s="16"/>
      <c r="VVP35" s="16"/>
      <c r="VVQ35" s="16"/>
      <c r="VVR35" s="16"/>
      <c r="VVS35" s="16"/>
      <c r="VVT35" s="16"/>
      <c r="VVU35" s="16"/>
      <c r="VVV35" s="16"/>
      <c r="VVW35" s="16"/>
      <c r="VVX35" s="16"/>
      <c r="VVY35" s="16"/>
      <c r="VVZ35" s="16"/>
      <c r="VWA35" s="16"/>
      <c r="VWB35" s="16"/>
      <c r="VWC35" s="16"/>
      <c r="VWD35" s="16"/>
      <c r="VWE35" s="16"/>
      <c r="VWF35" s="16"/>
      <c r="VWG35" s="16"/>
      <c r="VWH35" s="16"/>
      <c r="VWI35" s="16"/>
      <c r="VWJ35" s="16"/>
      <c r="VWK35" s="16"/>
      <c r="VWL35" s="16"/>
      <c r="VWM35" s="16"/>
      <c r="VWN35" s="16"/>
      <c r="VWO35" s="16"/>
      <c r="VWP35" s="16"/>
      <c r="VWQ35" s="16"/>
      <c r="VWR35" s="16"/>
      <c r="VWS35" s="16"/>
      <c r="VWT35" s="16"/>
      <c r="VWU35" s="16"/>
      <c r="VWV35" s="16"/>
      <c r="VWW35" s="16"/>
      <c r="VWX35" s="16"/>
      <c r="VWY35" s="16"/>
      <c r="VWZ35" s="16"/>
      <c r="VXA35" s="16"/>
      <c r="VXB35" s="16"/>
      <c r="VXC35" s="16"/>
      <c r="VXD35" s="16"/>
      <c r="VXE35" s="16"/>
      <c r="VXF35" s="16"/>
      <c r="VXG35" s="16"/>
      <c r="VXH35" s="16"/>
      <c r="VXI35" s="16"/>
      <c r="VXJ35" s="16"/>
      <c r="VXK35" s="16"/>
      <c r="VXL35" s="16"/>
      <c r="VXM35" s="16"/>
      <c r="VXN35" s="16"/>
      <c r="VXO35" s="16"/>
      <c r="VXP35" s="16"/>
      <c r="VXQ35" s="16"/>
      <c r="VXR35" s="16"/>
      <c r="VXS35" s="16"/>
      <c r="VXT35" s="16"/>
      <c r="VXU35" s="16"/>
      <c r="VXV35" s="16"/>
      <c r="VXW35" s="16"/>
      <c r="VXX35" s="16"/>
      <c r="VXY35" s="16"/>
      <c r="VXZ35" s="16"/>
      <c r="VYA35" s="16"/>
      <c r="VYB35" s="16"/>
      <c r="VYC35" s="16"/>
      <c r="VYD35" s="16"/>
      <c r="VYE35" s="16"/>
      <c r="VYF35" s="16"/>
      <c r="VYG35" s="16"/>
      <c r="VYH35" s="16"/>
      <c r="VYI35" s="16"/>
      <c r="VYJ35" s="16"/>
      <c r="VYK35" s="16"/>
      <c r="VYL35" s="16"/>
      <c r="VYM35" s="16"/>
      <c r="VYN35" s="16"/>
      <c r="VYO35" s="16"/>
      <c r="VYP35" s="16"/>
      <c r="VYQ35" s="16"/>
      <c r="VYR35" s="16"/>
      <c r="VYS35" s="16"/>
      <c r="VYT35" s="16"/>
      <c r="VYU35" s="16"/>
      <c r="VYV35" s="16"/>
      <c r="VYW35" s="16"/>
      <c r="VYX35" s="16"/>
      <c r="VYY35" s="16"/>
      <c r="VYZ35" s="16"/>
      <c r="VZA35" s="16"/>
      <c r="VZB35" s="16"/>
      <c r="VZC35" s="16"/>
      <c r="VZD35" s="16"/>
      <c r="VZE35" s="16"/>
      <c r="VZF35" s="16"/>
      <c r="VZG35" s="16"/>
      <c r="VZH35" s="16"/>
      <c r="VZI35" s="16"/>
      <c r="VZJ35" s="16"/>
      <c r="VZK35" s="16"/>
      <c r="VZL35" s="16"/>
      <c r="VZM35" s="16"/>
      <c r="VZN35" s="16"/>
      <c r="VZO35" s="16"/>
      <c r="VZP35" s="16"/>
      <c r="VZQ35" s="16"/>
      <c r="VZR35" s="16"/>
      <c r="VZS35" s="16"/>
      <c r="VZT35" s="16"/>
      <c r="VZU35" s="16"/>
      <c r="VZV35" s="16"/>
      <c r="VZW35" s="16"/>
      <c r="VZX35" s="16"/>
      <c r="VZY35" s="16"/>
      <c r="VZZ35" s="16"/>
      <c r="WAA35" s="16"/>
      <c r="WAB35" s="16"/>
      <c r="WAC35" s="16"/>
      <c r="WAD35" s="16"/>
      <c r="WAE35" s="16"/>
      <c r="WAF35" s="16"/>
      <c r="WAG35" s="16"/>
      <c r="WAH35" s="16"/>
      <c r="WAI35" s="16"/>
      <c r="WAJ35" s="16"/>
      <c r="WAK35" s="16"/>
      <c r="WAL35" s="16"/>
      <c r="WAM35" s="16"/>
      <c r="WAN35" s="16"/>
      <c r="WAO35" s="16"/>
      <c r="WAP35" s="16"/>
      <c r="WAQ35" s="16"/>
      <c r="WAR35" s="16"/>
      <c r="WAS35" s="16"/>
      <c r="WAT35" s="16"/>
      <c r="WAU35" s="16"/>
      <c r="WAV35" s="16"/>
      <c r="WAW35" s="16"/>
      <c r="WAX35" s="16"/>
      <c r="WAY35" s="16"/>
      <c r="WAZ35" s="16"/>
      <c r="WBA35" s="16"/>
      <c r="WBB35" s="16"/>
      <c r="WBC35" s="16"/>
      <c r="WBD35" s="16"/>
      <c r="WBE35" s="16"/>
      <c r="WBF35" s="16"/>
      <c r="WBG35" s="16"/>
      <c r="WBH35" s="16"/>
      <c r="WBI35" s="16"/>
      <c r="WBJ35" s="16"/>
      <c r="WBK35" s="16"/>
      <c r="WBL35" s="16"/>
      <c r="WBM35" s="16"/>
      <c r="WBN35" s="16"/>
      <c r="WBO35" s="16"/>
      <c r="WBP35" s="16"/>
      <c r="WBQ35" s="16"/>
      <c r="WBR35" s="16"/>
      <c r="WBS35" s="16"/>
      <c r="WBT35" s="16"/>
      <c r="WBU35" s="16"/>
      <c r="WBV35" s="16"/>
      <c r="WBW35" s="16"/>
      <c r="WBX35" s="16"/>
      <c r="WBY35" s="16"/>
      <c r="WBZ35" s="16"/>
      <c r="WCA35" s="16"/>
      <c r="WCB35" s="16"/>
      <c r="WCC35" s="16"/>
      <c r="WCD35" s="16"/>
      <c r="WCE35" s="16"/>
      <c r="WCF35" s="16"/>
      <c r="WCG35" s="16"/>
      <c r="WCH35" s="16"/>
      <c r="WCI35" s="16"/>
      <c r="WCJ35" s="16"/>
      <c r="WCK35" s="16"/>
      <c r="WCL35" s="16"/>
      <c r="WCM35" s="16"/>
      <c r="WCN35" s="16"/>
      <c r="WCO35" s="16"/>
      <c r="WCP35" s="16"/>
      <c r="WCQ35" s="16"/>
      <c r="WCR35" s="16"/>
      <c r="WCS35" s="16"/>
      <c r="WCT35" s="16"/>
      <c r="WCU35" s="16"/>
      <c r="WCV35" s="16"/>
      <c r="WCW35" s="16"/>
      <c r="WCX35" s="16"/>
      <c r="WCY35" s="16"/>
      <c r="WCZ35" s="16"/>
      <c r="WDA35" s="16"/>
      <c r="WDB35" s="16"/>
      <c r="WDC35" s="16"/>
      <c r="WDD35" s="16"/>
      <c r="WDE35" s="16"/>
      <c r="WDF35" s="16"/>
      <c r="WDG35" s="16"/>
      <c r="WDH35" s="16"/>
      <c r="WDI35" s="16"/>
      <c r="WDJ35" s="16"/>
      <c r="WDK35" s="16"/>
      <c r="WDL35" s="16"/>
      <c r="WDM35" s="16"/>
      <c r="WDN35" s="16"/>
      <c r="WDO35" s="16"/>
      <c r="WDP35" s="16"/>
      <c r="WDQ35" s="16"/>
      <c r="WDR35" s="16"/>
      <c r="WDS35" s="16"/>
      <c r="WDT35" s="16"/>
      <c r="WDU35" s="16"/>
      <c r="WDV35" s="16"/>
      <c r="WDW35" s="16"/>
      <c r="WDX35" s="16"/>
      <c r="WDY35" s="16"/>
      <c r="WDZ35" s="16"/>
      <c r="WEA35" s="16"/>
      <c r="WEB35" s="16"/>
      <c r="WEC35" s="16"/>
      <c r="WED35" s="16"/>
      <c r="WEE35" s="16"/>
      <c r="WEF35" s="16"/>
      <c r="WEG35" s="16"/>
      <c r="WEH35" s="16"/>
      <c r="WEI35" s="16"/>
      <c r="WEJ35" s="16"/>
      <c r="WEK35" s="16"/>
      <c r="WEL35" s="16"/>
      <c r="WEM35" s="16"/>
      <c r="WEN35" s="16"/>
      <c r="WEO35" s="16"/>
      <c r="WEP35" s="16"/>
      <c r="WEQ35" s="16"/>
      <c r="WER35" s="16"/>
      <c r="WES35" s="16"/>
      <c r="WET35" s="16"/>
      <c r="WEU35" s="16"/>
      <c r="WEV35" s="16"/>
      <c r="WEW35" s="16"/>
      <c r="WEX35" s="16"/>
      <c r="WEY35" s="16"/>
      <c r="WEZ35" s="16"/>
      <c r="WFA35" s="16"/>
      <c r="WFB35" s="16"/>
      <c r="WFC35" s="16"/>
      <c r="WFD35" s="16"/>
      <c r="WFE35" s="16"/>
      <c r="WFF35" s="16"/>
      <c r="WFG35" s="16"/>
      <c r="WFH35" s="16"/>
      <c r="WFI35" s="16"/>
      <c r="WFJ35" s="16"/>
      <c r="WFK35" s="16"/>
      <c r="WFL35" s="16"/>
      <c r="WFM35" s="16"/>
      <c r="WFN35" s="16"/>
      <c r="WFO35" s="16"/>
      <c r="WFP35" s="16"/>
      <c r="WFQ35" s="16"/>
      <c r="WFR35" s="16"/>
      <c r="WFS35" s="16"/>
      <c r="WFT35" s="16"/>
      <c r="WFU35" s="16"/>
      <c r="WFV35" s="16"/>
      <c r="WFW35" s="16"/>
      <c r="WFX35" s="16"/>
      <c r="WFY35" s="16"/>
      <c r="WFZ35" s="16"/>
      <c r="WGA35" s="16"/>
      <c r="WGB35" s="16"/>
      <c r="WGC35" s="16"/>
      <c r="WGD35" s="16"/>
      <c r="WGE35" s="16"/>
      <c r="WGF35" s="16"/>
      <c r="WGG35" s="16"/>
      <c r="WGH35" s="16"/>
      <c r="WGI35" s="16"/>
      <c r="WGJ35" s="16"/>
      <c r="WGK35" s="16"/>
      <c r="WGL35" s="16"/>
      <c r="WGM35" s="16"/>
      <c r="WGN35" s="16"/>
      <c r="WGO35" s="16"/>
      <c r="WGP35" s="16"/>
      <c r="WGQ35" s="16"/>
      <c r="WGR35" s="16"/>
      <c r="WGS35" s="16"/>
      <c r="WGT35" s="16"/>
      <c r="WGU35" s="16"/>
      <c r="WGV35" s="16"/>
      <c r="WGW35" s="16"/>
      <c r="WGX35" s="16"/>
      <c r="WGY35" s="16"/>
      <c r="WGZ35" s="16"/>
      <c r="WHA35" s="16"/>
      <c r="WHB35" s="16"/>
      <c r="WHC35" s="16"/>
      <c r="WHD35" s="16"/>
      <c r="WHE35" s="16"/>
      <c r="WHF35" s="16"/>
      <c r="WHG35" s="16"/>
      <c r="WHH35" s="16"/>
      <c r="WHI35" s="16"/>
      <c r="WHJ35" s="16"/>
      <c r="WHK35" s="16"/>
      <c r="WHL35" s="16"/>
      <c r="WHM35" s="16"/>
      <c r="WHN35" s="16"/>
      <c r="WHO35" s="16"/>
      <c r="WHP35" s="16"/>
      <c r="WHQ35" s="16"/>
      <c r="WHR35" s="16"/>
      <c r="WHS35" s="16"/>
      <c r="WHT35" s="16"/>
      <c r="WHU35" s="16"/>
      <c r="WHV35" s="16"/>
      <c r="WHW35" s="16"/>
      <c r="WHX35" s="16"/>
      <c r="WHY35" s="16"/>
      <c r="WHZ35" s="16"/>
      <c r="WIA35" s="16"/>
      <c r="WIB35" s="16"/>
      <c r="WIC35" s="16"/>
      <c r="WID35" s="16"/>
      <c r="WIE35" s="16"/>
      <c r="WIF35" s="16"/>
      <c r="WIG35" s="16"/>
      <c r="WIH35" s="16"/>
      <c r="WII35" s="16"/>
      <c r="WIJ35" s="16"/>
      <c r="WIK35" s="16"/>
      <c r="WIL35" s="16"/>
      <c r="WIM35" s="16"/>
      <c r="WIN35" s="16"/>
      <c r="WIO35" s="16"/>
      <c r="WIP35" s="16"/>
      <c r="WIQ35" s="16"/>
      <c r="WIR35" s="16"/>
      <c r="WIS35" s="16"/>
      <c r="WIT35" s="16"/>
      <c r="WIU35" s="16"/>
      <c r="WIV35" s="16"/>
      <c r="WIW35" s="16"/>
      <c r="WIX35" s="16"/>
      <c r="WIY35" s="16"/>
      <c r="WIZ35" s="16"/>
      <c r="WJA35" s="16"/>
      <c r="WJB35" s="16"/>
      <c r="WJC35" s="16"/>
      <c r="WJD35" s="16"/>
      <c r="WJE35" s="16"/>
      <c r="WJF35" s="16"/>
      <c r="WJG35" s="16"/>
      <c r="WJH35" s="16"/>
      <c r="WJI35" s="16"/>
      <c r="WJJ35" s="16"/>
      <c r="WJK35" s="16"/>
      <c r="WJL35" s="16"/>
      <c r="WJM35" s="16"/>
      <c r="WJN35" s="16"/>
      <c r="WJO35" s="16"/>
      <c r="WJP35" s="16"/>
      <c r="WJQ35" s="16"/>
      <c r="WJR35" s="16"/>
      <c r="WJS35" s="16"/>
      <c r="WJT35" s="16"/>
      <c r="WJU35" s="16"/>
      <c r="WJV35" s="16"/>
      <c r="WJW35" s="16"/>
      <c r="WJX35" s="16"/>
      <c r="WJY35" s="16"/>
      <c r="WJZ35" s="16"/>
      <c r="WKA35" s="16"/>
      <c r="WKB35" s="16"/>
      <c r="WKC35" s="16"/>
      <c r="WKD35" s="16"/>
      <c r="WKE35" s="16"/>
      <c r="WKF35" s="16"/>
      <c r="WKG35" s="16"/>
      <c r="WKH35" s="16"/>
      <c r="WKI35" s="16"/>
      <c r="WKJ35" s="16"/>
      <c r="WKK35" s="16"/>
      <c r="WKL35" s="16"/>
      <c r="WKM35" s="16"/>
      <c r="WKN35" s="16"/>
      <c r="WKO35" s="16"/>
      <c r="WKP35" s="16"/>
      <c r="WKQ35" s="16"/>
      <c r="WKR35" s="16"/>
      <c r="WKS35" s="16"/>
      <c r="WKT35" s="16"/>
      <c r="WKU35" s="16"/>
      <c r="WKV35" s="16"/>
      <c r="WKW35" s="16"/>
      <c r="WKX35" s="16"/>
      <c r="WKY35" s="16"/>
      <c r="WKZ35" s="16"/>
      <c r="WLA35" s="16"/>
      <c r="WLB35" s="16"/>
      <c r="WLC35" s="16"/>
      <c r="WLD35" s="16"/>
      <c r="WLE35" s="16"/>
      <c r="WLF35" s="16"/>
      <c r="WLG35" s="16"/>
      <c r="WLH35" s="16"/>
      <c r="WLI35" s="16"/>
      <c r="WLJ35" s="16"/>
      <c r="WLK35" s="16"/>
      <c r="WLL35" s="16"/>
      <c r="WLM35" s="16"/>
      <c r="WLN35" s="16"/>
      <c r="WLO35" s="16"/>
      <c r="WLP35" s="16"/>
      <c r="WLQ35" s="16"/>
      <c r="WLR35" s="16"/>
      <c r="WLS35" s="16"/>
      <c r="WLT35" s="16"/>
      <c r="WLU35" s="16"/>
      <c r="WLV35" s="16"/>
      <c r="WLW35" s="16"/>
      <c r="WLX35" s="16"/>
      <c r="WLY35" s="16"/>
      <c r="WLZ35" s="16"/>
      <c r="WMA35" s="16"/>
      <c r="WMB35" s="16"/>
      <c r="WMC35" s="16"/>
      <c r="WMD35" s="16"/>
      <c r="WME35" s="16"/>
      <c r="WMF35" s="16"/>
      <c r="WMG35" s="16"/>
      <c r="WMH35" s="16"/>
      <c r="WMI35" s="16"/>
      <c r="WMJ35" s="16"/>
      <c r="WMK35" s="16"/>
      <c r="WML35" s="16"/>
      <c r="WMM35" s="16"/>
      <c r="WMN35" s="16"/>
      <c r="WMO35" s="16"/>
      <c r="WMP35" s="16"/>
      <c r="WMQ35" s="16"/>
      <c r="WMR35" s="16"/>
      <c r="WMS35" s="16"/>
      <c r="WMT35" s="16"/>
      <c r="WMU35" s="16"/>
      <c r="WMV35" s="16"/>
      <c r="WMW35" s="16"/>
      <c r="WMX35" s="16"/>
      <c r="WMY35" s="16"/>
      <c r="WMZ35" s="16"/>
      <c r="WNA35" s="16"/>
      <c r="WNB35" s="16"/>
      <c r="WNC35" s="16"/>
      <c r="WND35" s="16"/>
      <c r="WNE35" s="16"/>
      <c r="WNF35" s="16"/>
      <c r="WNG35" s="16"/>
      <c r="WNH35" s="16"/>
      <c r="WNI35" s="16"/>
      <c r="WNJ35" s="16"/>
      <c r="WNK35" s="16"/>
      <c r="WNL35" s="16"/>
      <c r="WNM35" s="16"/>
      <c r="WNN35" s="16"/>
      <c r="WNO35" s="16"/>
      <c r="WNP35" s="16"/>
      <c r="WNQ35" s="16"/>
      <c r="WNR35" s="16"/>
      <c r="WNS35" s="16"/>
      <c r="WNT35" s="16"/>
      <c r="WNU35" s="16"/>
      <c r="WNV35" s="16"/>
      <c r="WNW35" s="16"/>
      <c r="WNX35" s="16"/>
      <c r="WNY35" s="16"/>
      <c r="WNZ35" s="16"/>
      <c r="WOA35" s="16"/>
      <c r="WOB35" s="16"/>
      <c r="WOC35" s="16"/>
      <c r="WOD35" s="16"/>
      <c r="WOE35" s="16"/>
      <c r="WOF35" s="16"/>
      <c r="WOG35" s="16"/>
      <c r="WOH35" s="16"/>
      <c r="WOI35" s="16"/>
      <c r="WOJ35" s="16"/>
      <c r="WOK35" s="16"/>
      <c r="WOL35" s="16"/>
      <c r="WOM35" s="16"/>
      <c r="WON35" s="16"/>
      <c r="WOO35" s="16"/>
      <c r="WOP35" s="16"/>
      <c r="WOQ35" s="16"/>
      <c r="WOR35" s="16"/>
      <c r="WOS35" s="16"/>
      <c r="WOT35" s="16"/>
      <c r="WOU35" s="16"/>
      <c r="WOV35" s="16"/>
      <c r="WOW35" s="16"/>
      <c r="WOX35" s="16"/>
      <c r="WOY35" s="16"/>
      <c r="WOZ35" s="16"/>
      <c r="WPA35" s="16"/>
      <c r="WPB35" s="16"/>
      <c r="WPC35" s="16"/>
      <c r="WPD35" s="16"/>
      <c r="WPE35" s="16"/>
      <c r="WPF35" s="16"/>
      <c r="WPG35" s="16"/>
      <c r="WPH35" s="16"/>
      <c r="WPI35" s="16"/>
      <c r="WPJ35" s="16"/>
      <c r="WPK35" s="16"/>
      <c r="WPL35" s="16"/>
      <c r="WPM35" s="16"/>
      <c r="WPN35" s="16"/>
      <c r="WPO35" s="16"/>
      <c r="WPP35" s="16"/>
      <c r="WPQ35" s="16"/>
      <c r="WPR35" s="16"/>
      <c r="WPS35" s="16"/>
      <c r="WPT35" s="16"/>
      <c r="WPU35" s="16"/>
      <c r="WPV35" s="16"/>
      <c r="WPW35" s="16"/>
      <c r="WPX35" s="16"/>
      <c r="WPY35" s="16"/>
      <c r="WPZ35" s="16"/>
      <c r="WQA35" s="16"/>
      <c r="WQB35" s="16"/>
      <c r="WQC35" s="16"/>
      <c r="WQD35" s="16"/>
      <c r="WQE35" s="16"/>
      <c r="WQF35" s="16"/>
      <c r="WQG35" s="16"/>
      <c r="WQH35" s="16"/>
      <c r="WQI35" s="16"/>
      <c r="WQJ35" s="16"/>
      <c r="WQK35" s="16"/>
      <c r="WQL35" s="16"/>
      <c r="WQM35" s="16"/>
      <c r="WQN35" s="16"/>
      <c r="WQO35" s="16"/>
      <c r="WQP35" s="16"/>
      <c r="WQQ35" s="16"/>
      <c r="WQR35" s="16"/>
      <c r="WQS35" s="16"/>
      <c r="WQT35" s="16"/>
      <c r="WQU35" s="16"/>
      <c r="WQV35" s="16"/>
      <c r="WQW35" s="16"/>
      <c r="WQX35" s="16"/>
      <c r="WQY35" s="16"/>
      <c r="WQZ35" s="16"/>
      <c r="WRA35" s="16"/>
      <c r="WRB35" s="16"/>
      <c r="WRC35" s="16"/>
      <c r="WRD35" s="16"/>
      <c r="WRE35" s="16"/>
      <c r="WRF35" s="16"/>
      <c r="WRG35" s="16"/>
      <c r="WRH35" s="16"/>
      <c r="WRI35" s="16"/>
      <c r="WRJ35" s="16"/>
      <c r="WRK35" s="16"/>
      <c r="WRL35" s="16"/>
      <c r="WRM35" s="16"/>
      <c r="WRN35" s="16"/>
      <c r="WRO35" s="16"/>
      <c r="WRP35" s="16"/>
      <c r="WRQ35" s="16"/>
      <c r="WRR35" s="16"/>
      <c r="WRS35" s="16"/>
      <c r="WRT35" s="16"/>
      <c r="WRU35" s="16"/>
      <c r="WRV35" s="16"/>
      <c r="WRW35" s="16"/>
      <c r="WRX35" s="16"/>
      <c r="WRY35" s="16"/>
      <c r="WRZ35" s="16"/>
      <c r="WSA35" s="16"/>
      <c r="WSB35" s="16"/>
      <c r="WSC35" s="16"/>
      <c r="WSD35" s="16"/>
      <c r="WSE35" s="16"/>
      <c r="WSF35" s="16"/>
      <c r="WSG35" s="16"/>
      <c r="WSH35" s="16"/>
      <c r="WSI35" s="16"/>
      <c r="WSJ35" s="16"/>
      <c r="WSK35" s="16"/>
      <c r="WSL35" s="16"/>
      <c r="WSM35" s="16"/>
      <c r="WSN35" s="16"/>
      <c r="WSO35" s="16"/>
      <c r="WSP35" s="16"/>
      <c r="WSQ35" s="16"/>
      <c r="WSR35" s="16"/>
      <c r="WSS35" s="16"/>
      <c r="WST35" s="16"/>
      <c r="WSU35" s="16"/>
      <c r="WSV35" s="16"/>
      <c r="WSW35" s="16"/>
      <c r="WSX35" s="16"/>
      <c r="WSY35" s="16"/>
      <c r="WSZ35" s="16"/>
      <c r="WTA35" s="16"/>
      <c r="WTB35" s="16"/>
      <c r="WTC35" s="16"/>
      <c r="WTD35" s="16"/>
      <c r="WTE35" s="16"/>
      <c r="WTF35" s="16"/>
      <c r="WTG35" s="16"/>
      <c r="WTH35" s="16"/>
      <c r="WTI35" s="16"/>
      <c r="WTJ35" s="16"/>
      <c r="WTK35" s="16"/>
      <c r="WTL35" s="16"/>
      <c r="WTM35" s="16"/>
      <c r="WTN35" s="16"/>
      <c r="WTO35" s="16"/>
      <c r="WTP35" s="16"/>
      <c r="WTQ35" s="16"/>
      <c r="WTR35" s="16"/>
      <c r="WTS35" s="16"/>
      <c r="WTT35" s="16"/>
      <c r="WTU35" s="16"/>
      <c r="WTV35" s="16"/>
      <c r="WTW35" s="16"/>
      <c r="WTX35" s="16"/>
      <c r="WTY35" s="16"/>
      <c r="WTZ35" s="16"/>
      <c r="WUA35" s="16"/>
      <c r="WUB35" s="16"/>
      <c r="WUC35" s="16"/>
      <c r="WUD35" s="16"/>
      <c r="WUE35" s="16"/>
      <c r="WUF35" s="16"/>
      <c r="WUG35" s="16"/>
      <c r="WUH35" s="16"/>
      <c r="WUI35" s="16"/>
      <c r="WUJ35" s="16"/>
      <c r="WUK35" s="16"/>
      <c r="WUL35" s="16"/>
      <c r="WUM35" s="16"/>
      <c r="WUN35" s="16"/>
      <c r="WUO35" s="16"/>
      <c r="WUP35" s="16"/>
      <c r="WUQ35" s="16"/>
      <c r="WUR35" s="16"/>
      <c r="WUS35" s="16"/>
      <c r="WUT35" s="16"/>
      <c r="WUU35" s="16"/>
      <c r="WUV35" s="16"/>
      <c r="WUW35" s="16"/>
      <c r="WUX35" s="16"/>
      <c r="WUY35" s="16"/>
      <c r="WUZ35" s="16"/>
      <c r="WVA35" s="16"/>
      <c r="WVB35" s="16"/>
      <c r="WVC35" s="16"/>
      <c r="WVD35" s="16"/>
      <c r="WVE35" s="16"/>
      <c r="WVF35" s="16"/>
      <c r="WVG35" s="16"/>
      <c r="WVH35" s="16"/>
      <c r="WVI35" s="16"/>
      <c r="WVJ35" s="16"/>
      <c r="WVK35" s="16"/>
      <c r="WVL35" s="16"/>
      <c r="WVM35" s="16"/>
      <c r="WVN35" s="16"/>
      <c r="WVO35" s="16"/>
      <c r="WVP35" s="16"/>
      <c r="WVQ35" s="16"/>
      <c r="WVR35" s="16"/>
      <c r="WVS35" s="16"/>
      <c r="WVT35" s="16"/>
      <c r="WVU35" s="16"/>
      <c r="WVV35" s="16"/>
      <c r="WVW35" s="16"/>
      <c r="WVX35" s="16"/>
      <c r="WVY35" s="16"/>
      <c r="WVZ35" s="16"/>
      <c r="WWA35" s="16"/>
      <c r="WWB35" s="16"/>
      <c r="WWC35" s="16"/>
      <c r="WWD35" s="16"/>
      <c r="WWE35" s="16"/>
      <c r="WWF35" s="16"/>
      <c r="WWG35" s="16"/>
      <c r="WWH35" s="16"/>
      <c r="WWI35" s="16"/>
      <c r="WWJ35" s="16"/>
      <c r="WWK35" s="16"/>
      <c r="WWL35" s="16"/>
      <c r="WWM35" s="16"/>
      <c r="WWN35" s="16"/>
      <c r="WWO35" s="16"/>
      <c r="WWP35" s="16"/>
      <c r="WWQ35" s="16"/>
      <c r="WWR35" s="16"/>
      <c r="WWS35" s="16"/>
      <c r="WWT35" s="16"/>
      <c r="WWU35" s="16"/>
      <c r="WWV35" s="16"/>
      <c r="WWW35" s="16"/>
      <c r="WWX35" s="16"/>
      <c r="WWY35" s="16"/>
      <c r="WWZ35" s="16"/>
      <c r="WXA35" s="16"/>
      <c r="WXB35" s="16"/>
      <c r="WXC35" s="16"/>
      <c r="WXD35" s="16"/>
      <c r="WXE35" s="16"/>
      <c r="WXF35" s="16"/>
      <c r="WXG35" s="16"/>
      <c r="WXH35" s="16"/>
      <c r="WXI35" s="16"/>
      <c r="WXJ35" s="16"/>
      <c r="WXK35" s="16"/>
      <c r="WXL35" s="16"/>
      <c r="WXM35" s="16"/>
      <c r="WXN35" s="16"/>
      <c r="WXO35" s="16"/>
      <c r="WXP35" s="16"/>
      <c r="WXQ35" s="16"/>
      <c r="WXR35" s="16"/>
      <c r="WXS35" s="16"/>
      <c r="WXT35" s="16"/>
      <c r="WXU35" s="16"/>
      <c r="WXV35" s="16"/>
      <c r="WXW35" s="16"/>
      <c r="WXX35" s="16"/>
      <c r="WXY35" s="16"/>
      <c r="WXZ35" s="16"/>
      <c r="WYA35" s="16"/>
      <c r="WYB35" s="16"/>
      <c r="WYC35" s="16"/>
      <c r="WYD35" s="16"/>
      <c r="WYE35" s="16"/>
      <c r="WYF35" s="16"/>
      <c r="WYG35" s="16"/>
      <c r="WYH35" s="16"/>
      <c r="WYI35" s="16"/>
      <c r="WYJ35" s="16"/>
      <c r="WYK35" s="16"/>
      <c r="WYL35" s="16"/>
      <c r="WYM35" s="16"/>
      <c r="WYN35" s="16"/>
      <c r="WYO35" s="16"/>
      <c r="WYP35" s="16"/>
      <c r="WYQ35" s="16"/>
      <c r="WYR35" s="16"/>
      <c r="WYS35" s="16"/>
      <c r="WYT35" s="16"/>
      <c r="WYU35" s="16"/>
      <c r="WYV35" s="16"/>
      <c r="WYW35" s="16"/>
      <c r="WYX35" s="16"/>
      <c r="WYY35" s="16"/>
      <c r="WYZ35" s="16"/>
      <c r="WZA35" s="16"/>
      <c r="WZB35" s="16"/>
      <c r="WZC35" s="16"/>
      <c r="WZD35" s="16"/>
      <c r="WZE35" s="16"/>
      <c r="WZF35" s="16"/>
      <c r="WZG35" s="16"/>
      <c r="WZH35" s="16"/>
      <c r="WZI35" s="16"/>
      <c r="WZJ35" s="16"/>
      <c r="WZK35" s="16"/>
      <c r="WZL35" s="16"/>
      <c r="WZM35" s="16"/>
      <c r="WZN35" s="16"/>
      <c r="WZO35" s="16"/>
      <c r="WZP35" s="16"/>
      <c r="WZQ35" s="16"/>
      <c r="WZR35" s="16"/>
      <c r="WZS35" s="16"/>
      <c r="WZT35" s="16"/>
      <c r="WZU35" s="16"/>
      <c r="WZV35" s="16"/>
      <c r="WZW35" s="16"/>
      <c r="WZX35" s="16"/>
      <c r="WZY35" s="16"/>
      <c r="WZZ35" s="16"/>
      <c r="XAA35" s="16"/>
      <c r="XAB35" s="16"/>
      <c r="XAC35" s="16"/>
      <c r="XAD35" s="16"/>
      <c r="XAE35" s="16"/>
      <c r="XAF35" s="16"/>
      <c r="XAG35" s="16"/>
      <c r="XAH35" s="16"/>
      <c r="XAI35" s="16"/>
      <c r="XAJ35" s="16"/>
      <c r="XAK35" s="16"/>
      <c r="XAL35" s="16"/>
      <c r="XAM35" s="16"/>
      <c r="XAN35" s="16"/>
      <c r="XAO35" s="16"/>
      <c r="XAP35" s="16"/>
      <c r="XAQ35" s="16"/>
      <c r="XAR35" s="16"/>
      <c r="XAS35" s="16"/>
      <c r="XAT35" s="16"/>
      <c r="XAU35" s="16"/>
      <c r="XAV35" s="16"/>
      <c r="XAW35" s="16"/>
      <c r="XAX35" s="16"/>
      <c r="XAY35" s="16"/>
      <c r="XAZ35" s="16"/>
      <c r="XBA35" s="16"/>
      <c r="XBB35" s="16"/>
      <c r="XBC35" s="16"/>
      <c r="XBD35" s="16"/>
      <c r="XBE35" s="16"/>
      <c r="XBF35" s="16"/>
      <c r="XBG35" s="16"/>
      <c r="XBH35" s="16"/>
      <c r="XBI35" s="16"/>
      <c r="XBJ35" s="16"/>
      <c r="XBK35" s="16"/>
      <c r="XBL35" s="16"/>
      <c r="XBM35" s="16"/>
      <c r="XBN35" s="16"/>
      <c r="XBO35" s="16"/>
      <c r="XBP35" s="16"/>
      <c r="XBQ35" s="16"/>
      <c r="XBR35" s="16"/>
      <c r="XBS35" s="16"/>
      <c r="XBT35" s="16"/>
      <c r="XBU35" s="16"/>
      <c r="XBV35" s="16"/>
      <c r="XBW35" s="16"/>
      <c r="XBX35" s="16"/>
      <c r="XBY35" s="16"/>
      <c r="XBZ35" s="16"/>
      <c r="XCA35" s="16"/>
      <c r="XCB35" s="16"/>
      <c r="XCC35" s="16"/>
      <c r="XCD35" s="16"/>
      <c r="XCE35" s="16"/>
      <c r="XCF35" s="16"/>
      <c r="XCG35" s="16"/>
      <c r="XCH35" s="16"/>
      <c r="XCI35" s="16"/>
      <c r="XCJ35" s="16"/>
      <c r="XCK35" s="16"/>
      <c r="XCL35" s="16"/>
      <c r="XCM35" s="16"/>
      <c r="XCN35" s="16"/>
      <c r="XCO35" s="16"/>
      <c r="XCP35" s="16"/>
      <c r="XCQ35" s="16"/>
      <c r="XCR35" s="16"/>
      <c r="XCS35" s="16"/>
      <c r="XCT35" s="16"/>
      <c r="XCU35" s="16"/>
      <c r="XCV35" s="16"/>
      <c r="XCW35" s="16"/>
      <c r="XCX35" s="16"/>
      <c r="XCY35" s="16"/>
      <c r="XCZ35" s="16"/>
      <c r="XDA35" s="16"/>
      <c r="XDB35" s="16"/>
      <c r="XDC35" s="16"/>
      <c r="XDD35" s="16"/>
      <c r="XDE35" s="16"/>
      <c r="XDF35" s="16"/>
      <c r="XDG35" s="16"/>
      <c r="XDH35" s="16"/>
      <c r="XDI35" s="16"/>
      <c r="XDJ35" s="16"/>
      <c r="XDK35" s="16"/>
      <c r="XDL35" s="16"/>
      <c r="XDM35" s="16"/>
      <c r="XDN35" s="16"/>
      <c r="XDO35" s="16"/>
      <c r="XDP35" s="16"/>
      <c r="XDQ35" s="16"/>
      <c r="XDR35" s="16"/>
      <c r="XDS35" s="16"/>
      <c r="XDT35" s="16"/>
      <c r="XDU35" s="16"/>
      <c r="XDV35" s="16"/>
      <c r="XDW35" s="16"/>
      <c r="XDX35" s="16"/>
      <c r="XDY35" s="16"/>
      <c r="XDZ35" s="16"/>
      <c r="XEA35" s="16"/>
      <c r="XEB35" s="16"/>
      <c r="XEC35" s="16"/>
      <c r="XED35" s="16"/>
      <c r="XEE35" s="16"/>
      <c r="XEF35" s="16"/>
      <c r="XEG35" s="16"/>
      <c r="XEH35" s="16"/>
      <c r="XEI35" s="16"/>
      <c r="XEJ35" s="16"/>
      <c r="XEK35" s="16"/>
      <c r="XEL35" s="16"/>
      <c r="XEM35" s="16"/>
      <c r="XEN35" s="16"/>
      <c r="XEO35" s="16"/>
      <c r="XEP35" s="16"/>
      <c r="XEQ35" s="16"/>
      <c r="XER35" s="16"/>
      <c r="XES35" s="16"/>
      <c r="XET35" s="16"/>
      <c r="XEU35" s="16"/>
      <c r="XEV35" s="16"/>
      <c r="XEW35" s="16"/>
      <c r="XEX35" s="16"/>
      <c r="XEY35" s="16"/>
      <c r="XEZ35" s="16"/>
      <c r="XFA35" s="16"/>
      <c r="XFB35" s="16"/>
      <c r="XFC35" s="16"/>
      <c r="XFD35" s="16"/>
    </row>
    <row r="36" spans="1:16384" ht="15.75" customHeight="1">
      <c r="A36" s="1">
        <v>65</v>
      </c>
      <c r="B36" s="619" t="s">
        <v>2063</v>
      </c>
      <c r="C36" s="148" t="s">
        <v>2064</v>
      </c>
      <c r="D36" s="9" t="s">
        <v>2065</v>
      </c>
      <c r="E36" s="619">
        <v>1</v>
      </c>
      <c r="F36" s="1248">
        <v>1000000</v>
      </c>
      <c r="G36" s="1248">
        <f t="shared" si="1"/>
        <v>1000000</v>
      </c>
      <c r="H36" s="9" t="s">
        <v>2066</v>
      </c>
      <c r="I36" s="1">
        <v>65</v>
      </c>
      <c r="J36" s="619" t="s">
        <v>2063</v>
      </c>
      <c r="K36" s="148" t="s">
        <v>2064</v>
      </c>
      <c r="L36" s="9" t="s">
        <v>2065</v>
      </c>
      <c r="M36" s="619">
        <v>1</v>
      </c>
      <c r="N36" s="4">
        <v>1000000</v>
      </c>
      <c r="O36" s="4">
        <f>N36*M36</f>
        <v>1000000</v>
      </c>
      <c r="P36" s="9" t="s">
        <v>2066</v>
      </c>
      <c r="Q36" s="1">
        <v>65</v>
      </c>
      <c r="R36" s="619" t="s">
        <v>2063</v>
      </c>
      <c r="S36" s="148" t="s">
        <v>2064</v>
      </c>
      <c r="T36" s="9" t="s">
        <v>2065</v>
      </c>
      <c r="U36" s="619">
        <v>1</v>
      </c>
      <c r="V36" s="4">
        <v>1000000</v>
      </c>
      <c r="W36" s="4">
        <f>V36*U36</f>
        <v>1000000</v>
      </c>
      <c r="X36" s="9" t="s">
        <v>2066</v>
      </c>
      <c r="Y36" s="1">
        <v>65</v>
      </c>
      <c r="Z36" s="619" t="s">
        <v>2063</v>
      </c>
      <c r="AA36" s="148" t="s">
        <v>2064</v>
      </c>
      <c r="AB36" s="9" t="s">
        <v>2065</v>
      </c>
      <c r="AC36" s="619">
        <v>1</v>
      </c>
      <c r="AD36" s="4">
        <v>1000000</v>
      </c>
      <c r="AE36" s="4">
        <f>AD36*AC36</f>
        <v>1000000</v>
      </c>
      <c r="AF36" s="9" t="s">
        <v>2066</v>
      </c>
      <c r="AG36" s="1">
        <v>65</v>
      </c>
      <c r="AH36" s="619" t="s">
        <v>2063</v>
      </c>
      <c r="AI36" s="148" t="s">
        <v>2064</v>
      </c>
      <c r="AJ36" s="9" t="s">
        <v>2065</v>
      </c>
      <c r="AK36" s="619">
        <v>1</v>
      </c>
      <c r="AL36" s="4">
        <v>1000000</v>
      </c>
      <c r="AM36" s="4">
        <f>AL36*AK36</f>
        <v>1000000</v>
      </c>
      <c r="AN36" s="9" t="s">
        <v>2066</v>
      </c>
      <c r="AO36" s="1">
        <v>65</v>
      </c>
      <c r="AP36" s="619" t="s">
        <v>2063</v>
      </c>
      <c r="AQ36" s="148" t="s">
        <v>2064</v>
      </c>
      <c r="AR36" s="9" t="s">
        <v>2065</v>
      </c>
      <c r="AS36" s="619">
        <v>1</v>
      </c>
      <c r="AT36" s="4">
        <v>1000000</v>
      </c>
      <c r="AU36" s="4">
        <f>AT36*AS36</f>
        <v>1000000</v>
      </c>
      <c r="AV36" s="9" t="s">
        <v>2066</v>
      </c>
      <c r="AW36" s="1">
        <v>65</v>
      </c>
      <c r="AX36" s="619" t="s">
        <v>2063</v>
      </c>
      <c r="AY36" s="148" t="s">
        <v>2064</v>
      </c>
      <c r="AZ36" s="9" t="s">
        <v>2065</v>
      </c>
      <c r="BA36" s="619">
        <v>1</v>
      </c>
      <c r="BB36" s="4">
        <v>1000000</v>
      </c>
      <c r="BC36" s="4">
        <f>BB36*BA36</f>
        <v>1000000</v>
      </c>
      <c r="BD36" s="9" t="s">
        <v>2066</v>
      </c>
      <c r="BE36" s="1">
        <v>65</v>
      </c>
      <c r="BF36" s="619" t="s">
        <v>2063</v>
      </c>
      <c r="BG36" s="148" t="s">
        <v>2064</v>
      </c>
      <c r="BH36" s="9" t="s">
        <v>2065</v>
      </c>
      <c r="BI36" s="619">
        <v>1</v>
      </c>
      <c r="BJ36" s="4">
        <v>1000000</v>
      </c>
      <c r="BK36" s="4">
        <f>BJ36*BI36</f>
        <v>1000000</v>
      </c>
      <c r="BL36" s="9" t="s">
        <v>2066</v>
      </c>
      <c r="BM36" s="1">
        <v>65</v>
      </c>
      <c r="BN36" s="619" t="s">
        <v>2063</v>
      </c>
      <c r="BO36" s="148" t="s">
        <v>2064</v>
      </c>
      <c r="BP36" s="9" t="s">
        <v>2065</v>
      </c>
      <c r="BQ36" s="619">
        <v>1</v>
      </c>
      <c r="BR36" s="4">
        <v>1000000</v>
      </c>
      <c r="BS36" s="4">
        <f>BR36*BQ36</f>
        <v>1000000</v>
      </c>
      <c r="BT36" s="9" t="s">
        <v>2066</v>
      </c>
      <c r="BU36" s="1">
        <v>65</v>
      </c>
      <c r="BV36" s="619" t="s">
        <v>2063</v>
      </c>
      <c r="BW36" s="148" t="s">
        <v>2064</v>
      </c>
      <c r="BX36" s="9" t="s">
        <v>2065</v>
      </c>
      <c r="BY36" s="619">
        <v>1</v>
      </c>
      <c r="BZ36" s="4">
        <v>1000000</v>
      </c>
      <c r="CA36" s="4">
        <f>BZ36*BY36</f>
        <v>1000000</v>
      </c>
      <c r="CB36" s="9" t="s">
        <v>2066</v>
      </c>
      <c r="CC36" s="1">
        <v>65</v>
      </c>
      <c r="CD36" s="619" t="s">
        <v>2063</v>
      </c>
      <c r="CE36" s="148" t="s">
        <v>2064</v>
      </c>
      <c r="CF36" s="9" t="s">
        <v>2065</v>
      </c>
      <c r="CG36" s="619">
        <v>1</v>
      </c>
      <c r="CH36" s="4">
        <v>1000000</v>
      </c>
      <c r="CI36" s="4">
        <f>CH36*CG36</f>
        <v>1000000</v>
      </c>
      <c r="CJ36" s="9" t="s">
        <v>2066</v>
      </c>
      <c r="CK36" s="1">
        <v>65</v>
      </c>
      <c r="CL36" s="619" t="s">
        <v>2063</v>
      </c>
      <c r="CM36" s="148" t="s">
        <v>2064</v>
      </c>
      <c r="CN36" s="9" t="s">
        <v>2065</v>
      </c>
      <c r="CO36" s="619">
        <v>1</v>
      </c>
      <c r="CP36" s="4">
        <v>1000000</v>
      </c>
      <c r="CQ36" s="4">
        <f>CP36*CO36</f>
        <v>1000000</v>
      </c>
      <c r="CR36" s="9" t="s">
        <v>2066</v>
      </c>
      <c r="CS36" s="1">
        <v>65</v>
      </c>
      <c r="CT36" s="619" t="s">
        <v>2063</v>
      </c>
      <c r="CU36" s="148" t="s">
        <v>2064</v>
      </c>
      <c r="CV36" s="9" t="s">
        <v>2065</v>
      </c>
      <c r="CW36" s="619">
        <v>1</v>
      </c>
      <c r="CX36" s="4">
        <v>1000000</v>
      </c>
      <c r="CY36" s="4">
        <f>CX36*CW36</f>
        <v>1000000</v>
      </c>
      <c r="CZ36" s="9" t="s">
        <v>2066</v>
      </c>
      <c r="DA36" s="1">
        <v>65</v>
      </c>
      <c r="DB36" s="619" t="s">
        <v>2063</v>
      </c>
      <c r="DC36" s="148" t="s">
        <v>2064</v>
      </c>
      <c r="DD36" s="9" t="s">
        <v>2065</v>
      </c>
      <c r="DE36" s="619">
        <v>1</v>
      </c>
      <c r="DF36" s="4">
        <v>1000000</v>
      </c>
      <c r="DG36" s="4">
        <f>DF36*DE36</f>
        <v>1000000</v>
      </c>
      <c r="DH36" s="9" t="s">
        <v>2066</v>
      </c>
      <c r="DI36" s="1">
        <v>65</v>
      </c>
      <c r="DJ36" s="619" t="s">
        <v>2063</v>
      </c>
      <c r="DK36" s="148" t="s">
        <v>2064</v>
      </c>
      <c r="DL36" s="9" t="s">
        <v>2065</v>
      </c>
      <c r="DM36" s="619">
        <v>1</v>
      </c>
      <c r="DN36" s="4">
        <v>1000000</v>
      </c>
      <c r="DO36" s="4">
        <f>DN36*DM36</f>
        <v>1000000</v>
      </c>
      <c r="DP36" s="9" t="s">
        <v>2066</v>
      </c>
      <c r="DQ36" s="1">
        <v>65</v>
      </c>
      <c r="DR36" s="619" t="s">
        <v>2063</v>
      </c>
      <c r="DS36" s="148" t="s">
        <v>2064</v>
      </c>
      <c r="DT36" s="9" t="s">
        <v>2065</v>
      </c>
      <c r="DU36" s="619">
        <v>1</v>
      </c>
      <c r="DV36" s="4">
        <v>1000000</v>
      </c>
      <c r="DW36" s="4">
        <f>DV36*DU36</f>
        <v>1000000</v>
      </c>
      <c r="DX36" s="9" t="s">
        <v>2066</v>
      </c>
      <c r="DY36" s="1">
        <v>65</v>
      </c>
      <c r="DZ36" s="619" t="s">
        <v>2063</v>
      </c>
      <c r="EA36" s="148" t="s">
        <v>2064</v>
      </c>
      <c r="EB36" s="9" t="s">
        <v>2065</v>
      </c>
      <c r="EC36" s="619">
        <v>1</v>
      </c>
      <c r="ED36" s="4">
        <v>1000000</v>
      </c>
      <c r="EE36" s="4">
        <f>ED36*EC36</f>
        <v>1000000</v>
      </c>
      <c r="EF36" s="9" t="s">
        <v>2066</v>
      </c>
      <c r="EG36" s="1">
        <v>65</v>
      </c>
      <c r="EH36" s="619" t="s">
        <v>2063</v>
      </c>
      <c r="EI36" s="148" t="s">
        <v>2064</v>
      </c>
      <c r="EJ36" s="9" t="s">
        <v>2065</v>
      </c>
      <c r="EK36" s="619">
        <v>1</v>
      </c>
      <c r="EL36" s="4">
        <v>1000000</v>
      </c>
      <c r="EM36" s="4">
        <f>EL36*EK36</f>
        <v>1000000</v>
      </c>
      <c r="EN36" s="9" t="s">
        <v>2066</v>
      </c>
      <c r="EO36" s="1">
        <v>65</v>
      </c>
      <c r="EP36" s="619" t="s">
        <v>2063</v>
      </c>
      <c r="EQ36" s="148" t="s">
        <v>2064</v>
      </c>
      <c r="ER36" s="9" t="s">
        <v>2065</v>
      </c>
      <c r="ES36" s="619">
        <v>1</v>
      </c>
      <c r="ET36" s="4">
        <v>1000000</v>
      </c>
      <c r="EU36" s="4">
        <f>ET36*ES36</f>
        <v>1000000</v>
      </c>
      <c r="EV36" s="9" t="s">
        <v>2066</v>
      </c>
      <c r="EW36" s="1">
        <v>65</v>
      </c>
      <c r="EX36" s="619" t="s">
        <v>2063</v>
      </c>
      <c r="EY36" s="148" t="s">
        <v>2064</v>
      </c>
      <c r="EZ36" s="9" t="s">
        <v>2065</v>
      </c>
      <c r="FA36" s="619">
        <v>1</v>
      </c>
      <c r="FB36" s="4">
        <v>1000000</v>
      </c>
      <c r="FC36" s="4">
        <f>FB36*FA36</f>
        <v>1000000</v>
      </c>
      <c r="FD36" s="9" t="s">
        <v>2066</v>
      </c>
      <c r="FE36" s="1">
        <v>65</v>
      </c>
      <c r="FF36" s="619" t="s">
        <v>2063</v>
      </c>
      <c r="FG36" s="148" t="s">
        <v>2064</v>
      </c>
      <c r="FH36" s="9" t="s">
        <v>2065</v>
      </c>
      <c r="FI36" s="619">
        <v>1</v>
      </c>
      <c r="FJ36" s="4">
        <v>1000000</v>
      </c>
      <c r="FK36" s="4">
        <f>FJ36*FI36</f>
        <v>1000000</v>
      </c>
      <c r="FL36" s="9" t="s">
        <v>2066</v>
      </c>
      <c r="FM36" s="1">
        <v>65</v>
      </c>
      <c r="FN36" s="619" t="s">
        <v>2063</v>
      </c>
      <c r="FO36" s="148" t="s">
        <v>2064</v>
      </c>
      <c r="FP36" s="9" t="s">
        <v>2065</v>
      </c>
      <c r="FQ36" s="619">
        <v>1</v>
      </c>
      <c r="FR36" s="4">
        <v>1000000</v>
      </c>
      <c r="FS36" s="4">
        <f>FR36*FQ36</f>
        <v>1000000</v>
      </c>
      <c r="FT36" s="9" t="s">
        <v>2066</v>
      </c>
      <c r="FU36" s="1">
        <v>65</v>
      </c>
      <c r="FV36" s="619" t="s">
        <v>2063</v>
      </c>
      <c r="FW36" s="148" t="s">
        <v>2064</v>
      </c>
      <c r="FX36" s="9" t="s">
        <v>2065</v>
      </c>
      <c r="FY36" s="619">
        <v>1</v>
      </c>
      <c r="FZ36" s="4">
        <v>1000000</v>
      </c>
      <c r="GA36" s="4">
        <f>FZ36*FY36</f>
        <v>1000000</v>
      </c>
      <c r="GB36" s="9" t="s">
        <v>2066</v>
      </c>
      <c r="GC36" s="1">
        <v>65</v>
      </c>
      <c r="GD36" s="619" t="s">
        <v>2063</v>
      </c>
      <c r="GE36" s="148" t="s">
        <v>2064</v>
      </c>
      <c r="GF36" s="9" t="s">
        <v>2065</v>
      </c>
      <c r="GG36" s="619">
        <v>1</v>
      </c>
      <c r="GH36" s="4">
        <v>1000000</v>
      </c>
      <c r="GI36" s="4">
        <f>GH36*GG36</f>
        <v>1000000</v>
      </c>
      <c r="GJ36" s="9" t="s">
        <v>2066</v>
      </c>
      <c r="GK36" s="1">
        <v>65</v>
      </c>
      <c r="GL36" s="619" t="s">
        <v>2063</v>
      </c>
      <c r="GM36" s="148" t="s">
        <v>2064</v>
      </c>
      <c r="GN36" s="9" t="s">
        <v>2065</v>
      </c>
      <c r="GO36" s="619">
        <v>1</v>
      </c>
      <c r="GP36" s="4">
        <v>1000000</v>
      </c>
      <c r="GQ36" s="4">
        <f>GP36*GO36</f>
        <v>1000000</v>
      </c>
      <c r="GR36" s="9" t="s">
        <v>2066</v>
      </c>
      <c r="GS36" s="1">
        <v>65</v>
      </c>
      <c r="GT36" s="619" t="s">
        <v>2063</v>
      </c>
      <c r="GU36" s="148" t="s">
        <v>2064</v>
      </c>
      <c r="GV36" s="9" t="s">
        <v>2065</v>
      </c>
      <c r="GW36" s="619">
        <v>1</v>
      </c>
      <c r="GX36" s="4">
        <v>1000000</v>
      </c>
      <c r="GY36" s="4">
        <f>GX36*GW36</f>
        <v>1000000</v>
      </c>
      <c r="GZ36" s="9" t="s">
        <v>2066</v>
      </c>
      <c r="HA36" s="1">
        <v>65</v>
      </c>
      <c r="HB36" s="619" t="s">
        <v>2063</v>
      </c>
      <c r="HC36" s="148" t="s">
        <v>2064</v>
      </c>
      <c r="HD36" s="9" t="s">
        <v>2065</v>
      </c>
      <c r="HE36" s="619">
        <v>1</v>
      </c>
      <c r="HF36" s="4">
        <v>1000000</v>
      </c>
      <c r="HG36" s="4">
        <f>HF36*HE36</f>
        <v>1000000</v>
      </c>
      <c r="HH36" s="9" t="s">
        <v>2066</v>
      </c>
      <c r="HI36" s="1">
        <v>65</v>
      </c>
      <c r="HJ36" s="619" t="s">
        <v>2063</v>
      </c>
      <c r="HK36" s="148" t="s">
        <v>2064</v>
      </c>
      <c r="HL36" s="9" t="s">
        <v>2065</v>
      </c>
      <c r="HM36" s="619">
        <v>1</v>
      </c>
      <c r="HN36" s="4">
        <v>1000000</v>
      </c>
      <c r="HO36" s="4">
        <f>HN36*HM36</f>
        <v>1000000</v>
      </c>
      <c r="HP36" s="9" t="s">
        <v>2066</v>
      </c>
      <c r="HQ36" s="1">
        <v>65</v>
      </c>
      <c r="HR36" s="619" t="s">
        <v>2063</v>
      </c>
      <c r="HS36" s="148" t="s">
        <v>2064</v>
      </c>
      <c r="HT36" s="9" t="s">
        <v>2065</v>
      </c>
      <c r="HU36" s="619">
        <v>1</v>
      </c>
      <c r="HV36" s="4">
        <v>1000000</v>
      </c>
      <c r="HW36" s="4">
        <f>HV36*HU36</f>
        <v>1000000</v>
      </c>
      <c r="HX36" s="9" t="s">
        <v>2066</v>
      </c>
      <c r="HY36" s="1">
        <v>65</v>
      </c>
      <c r="HZ36" s="619" t="s">
        <v>2063</v>
      </c>
      <c r="IA36" s="148" t="s">
        <v>2064</v>
      </c>
      <c r="IB36" s="9" t="s">
        <v>2065</v>
      </c>
      <c r="IC36" s="619">
        <v>1</v>
      </c>
      <c r="ID36" s="4">
        <v>1000000</v>
      </c>
      <c r="IE36" s="4">
        <f>ID36*IC36</f>
        <v>1000000</v>
      </c>
      <c r="IF36" s="9" t="s">
        <v>2066</v>
      </c>
      <c r="IG36" s="1">
        <v>65</v>
      </c>
      <c r="IH36" s="619" t="s">
        <v>2063</v>
      </c>
      <c r="II36" s="148" t="s">
        <v>2064</v>
      </c>
      <c r="IJ36" s="9" t="s">
        <v>2065</v>
      </c>
      <c r="IK36" s="619">
        <v>1</v>
      </c>
      <c r="IL36" s="4">
        <v>1000000</v>
      </c>
      <c r="IM36" s="4">
        <f>IL36*IK36</f>
        <v>1000000</v>
      </c>
      <c r="IN36" s="9" t="s">
        <v>2066</v>
      </c>
      <c r="IO36" s="1">
        <v>65</v>
      </c>
      <c r="IP36" s="619" t="s">
        <v>2063</v>
      </c>
      <c r="IQ36" s="148" t="s">
        <v>2064</v>
      </c>
      <c r="IR36" s="9" t="s">
        <v>2065</v>
      </c>
      <c r="IS36" s="619">
        <v>1</v>
      </c>
      <c r="IT36" s="4">
        <v>1000000</v>
      </c>
      <c r="IU36" s="4">
        <f>IT36*IS36</f>
        <v>1000000</v>
      </c>
      <c r="IV36" s="9" t="s">
        <v>2066</v>
      </c>
      <c r="IW36" s="1">
        <v>65</v>
      </c>
      <c r="IX36" s="619" t="s">
        <v>2063</v>
      </c>
      <c r="IY36" s="148" t="s">
        <v>2064</v>
      </c>
      <c r="IZ36" s="9" t="s">
        <v>2065</v>
      </c>
      <c r="JA36" s="619">
        <v>1</v>
      </c>
      <c r="JB36" s="4">
        <v>1000000</v>
      </c>
      <c r="JC36" s="4">
        <f>JB36*JA36</f>
        <v>1000000</v>
      </c>
      <c r="JD36" s="9" t="s">
        <v>2066</v>
      </c>
      <c r="JE36" s="1">
        <v>65</v>
      </c>
      <c r="JF36" s="619" t="s">
        <v>2063</v>
      </c>
      <c r="JG36" s="148" t="s">
        <v>2064</v>
      </c>
      <c r="JH36" s="9" t="s">
        <v>2065</v>
      </c>
      <c r="JI36" s="619">
        <v>1</v>
      </c>
      <c r="JJ36" s="4">
        <v>1000000</v>
      </c>
      <c r="JK36" s="4">
        <f>JJ36*JI36</f>
        <v>1000000</v>
      </c>
      <c r="JL36" s="9" t="s">
        <v>2066</v>
      </c>
      <c r="JM36" s="1">
        <v>65</v>
      </c>
      <c r="JN36" s="619" t="s">
        <v>2063</v>
      </c>
      <c r="JO36" s="148" t="s">
        <v>2064</v>
      </c>
      <c r="JP36" s="9" t="s">
        <v>2065</v>
      </c>
      <c r="JQ36" s="619">
        <v>1</v>
      </c>
      <c r="JR36" s="4">
        <v>1000000</v>
      </c>
      <c r="JS36" s="4">
        <f>JR36*JQ36</f>
        <v>1000000</v>
      </c>
      <c r="JT36" s="9" t="s">
        <v>2066</v>
      </c>
      <c r="JU36" s="1">
        <v>65</v>
      </c>
      <c r="JV36" s="619" t="s">
        <v>2063</v>
      </c>
      <c r="JW36" s="148" t="s">
        <v>2064</v>
      </c>
      <c r="JX36" s="9" t="s">
        <v>2065</v>
      </c>
      <c r="JY36" s="619">
        <v>1</v>
      </c>
      <c r="JZ36" s="4">
        <v>1000000</v>
      </c>
      <c r="KA36" s="4">
        <f>JZ36*JY36</f>
        <v>1000000</v>
      </c>
      <c r="KB36" s="9" t="s">
        <v>2066</v>
      </c>
      <c r="KC36" s="1">
        <v>65</v>
      </c>
      <c r="KD36" s="619" t="s">
        <v>2063</v>
      </c>
      <c r="KE36" s="148" t="s">
        <v>2064</v>
      </c>
      <c r="KF36" s="9" t="s">
        <v>2065</v>
      </c>
      <c r="KG36" s="619">
        <v>1</v>
      </c>
      <c r="KH36" s="4">
        <v>1000000</v>
      </c>
      <c r="KI36" s="4">
        <f>KH36*KG36</f>
        <v>1000000</v>
      </c>
      <c r="KJ36" s="9" t="s">
        <v>2066</v>
      </c>
      <c r="KK36" s="1">
        <v>65</v>
      </c>
      <c r="KL36" s="619" t="s">
        <v>2063</v>
      </c>
      <c r="KM36" s="148" t="s">
        <v>2064</v>
      </c>
      <c r="KN36" s="9" t="s">
        <v>2065</v>
      </c>
      <c r="KO36" s="619">
        <v>1</v>
      </c>
      <c r="KP36" s="4">
        <v>1000000</v>
      </c>
      <c r="KQ36" s="4">
        <f>KP36*KO36</f>
        <v>1000000</v>
      </c>
      <c r="KR36" s="9" t="s">
        <v>2066</v>
      </c>
      <c r="KS36" s="1">
        <v>65</v>
      </c>
      <c r="KT36" s="619" t="s">
        <v>2063</v>
      </c>
      <c r="KU36" s="148" t="s">
        <v>2064</v>
      </c>
      <c r="KV36" s="9" t="s">
        <v>2065</v>
      </c>
      <c r="KW36" s="619">
        <v>1</v>
      </c>
      <c r="KX36" s="4">
        <v>1000000</v>
      </c>
      <c r="KY36" s="4">
        <f>KX36*KW36</f>
        <v>1000000</v>
      </c>
      <c r="KZ36" s="9" t="s">
        <v>2066</v>
      </c>
      <c r="LA36" s="1">
        <v>65</v>
      </c>
      <c r="LB36" s="619" t="s">
        <v>2063</v>
      </c>
      <c r="LC36" s="148" t="s">
        <v>2064</v>
      </c>
      <c r="LD36" s="9" t="s">
        <v>2065</v>
      </c>
      <c r="LE36" s="619">
        <v>1</v>
      </c>
      <c r="LF36" s="4">
        <v>1000000</v>
      </c>
      <c r="LG36" s="4">
        <f>LF36*LE36</f>
        <v>1000000</v>
      </c>
      <c r="LH36" s="9" t="s">
        <v>2066</v>
      </c>
      <c r="LI36" s="1">
        <v>65</v>
      </c>
      <c r="LJ36" s="619" t="s">
        <v>2063</v>
      </c>
      <c r="LK36" s="148" t="s">
        <v>2064</v>
      </c>
      <c r="LL36" s="9" t="s">
        <v>2065</v>
      </c>
      <c r="LM36" s="619">
        <v>1</v>
      </c>
      <c r="LN36" s="4">
        <v>1000000</v>
      </c>
      <c r="LO36" s="4">
        <f>LN36*LM36</f>
        <v>1000000</v>
      </c>
      <c r="LP36" s="9" t="s">
        <v>2066</v>
      </c>
      <c r="LQ36" s="1">
        <v>65</v>
      </c>
      <c r="LR36" s="619" t="s">
        <v>2063</v>
      </c>
      <c r="LS36" s="148" t="s">
        <v>2064</v>
      </c>
      <c r="LT36" s="9" t="s">
        <v>2065</v>
      </c>
      <c r="LU36" s="619">
        <v>1</v>
      </c>
      <c r="LV36" s="4">
        <v>1000000</v>
      </c>
      <c r="LW36" s="4">
        <f>LV36*LU36</f>
        <v>1000000</v>
      </c>
      <c r="LX36" s="9" t="s">
        <v>2066</v>
      </c>
      <c r="LY36" s="1">
        <v>65</v>
      </c>
      <c r="LZ36" s="619" t="s">
        <v>2063</v>
      </c>
      <c r="MA36" s="148" t="s">
        <v>2064</v>
      </c>
      <c r="MB36" s="9" t="s">
        <v>2065</v>
      </c>
      <c r="MC36" s="619">
        <v>1</v>
      </c>
      <c r="MD36" s="4">
        <v>1000000</v>
      </c>
      <c r="ME36" s="4">
        <f>MD36*MC36</f>
        <v>1000000</v>
      </c>
      <c r="MF36" s="9" t="s">
        <v>2066</v>
      </c>
      <c r="MG36" s="1">
        <v>65</v>
      </c>
      <c r="MH36" s="619" t="s">
        <v>2063</v>
      </c>
      <c r="MI36" s="148" t="s">
        <v>2064</v>
      </c>
      <c r="MJ36" s="9" t="s">
        <v>2065</v>
      </c>
      <c r="MK36" s="619">
        <v>1</v>
      </c>
      <c r="ML36" s="4">
        <v>1000000</v>
      </c>
      <c r="MM36" s="4">
        <f>ML36*MK36</f>
        <v>1000000</v>
      </c>
      <c r="MN36" s="9" t="s">
        <v>2066</v>
      </c>
      <c r="MO36" s="1">
        <v>65</v>
      </c>
      <c r="MP36" s="619" t="s">
        <v>2063</v>
      </c>
      <c r="MQ36" s="148" t="s">
        <v>2064</v>
      </c>
      <c r="MR36" s="9" t="s">
        <v>2065</v>
      </c>
      <c r="MS36" s="619">
        <v>1</v>
      </c>
      <c r="MT36" s="4">
        <v>1000000</v>
      </c>
      <c r="MU36" s="4">
        <f>MT36*MS36</f>
        <v>1000000</v>
      </c>
      <c r="MV36" s="9" t="s">
        <v>2066</v>
      </c>
      <c r="MW36" s="1">
        <v>65</v>
      </c>
      <c r="MX36" s="619" t="s">
        <v>2063</v>
      </c>
      <c r="MY36" s="148" t="s">
        <v>2064</v>
      </c>
      <c r="MZ36" s="9" t="s">
        <v>2065</v>
      </c>
      <c r="NA36" s="619">
        <v>1</v>
      </c>
      <c r="NB36" s="4">
        <v>1000000</v>
      </c>
      <c r="NC36" s="4">
        <f>NB36*NA36</f>
        <v>1000000</v>
      </c>
      <c r="ND36" s="9" t="s">
        <v>2066</v>
      </c>
      <c r="NE36" s="1">
        <v>65</v>
      </c>
      <c r="NF36" s="619" t="s">
        <v>2063</v>
      </c>
      <c r="NG36" s="148" t="s">
        <v>2064</v>
      </c>
      <c r="NH36" s="9" t="s">
        <v>2065</v>
      </c>
      <c r="NI36" s="619">
        <v>1</v>
      </c>
      <c r="NJ36" s="4">
        <v>1000000</v>
      </c>
      <c r="NK36" s="4">
        <f>NJ36*NI36</f>
        <v>1000000</v>
      </c>
      <c r="NL36" s="9" t="s">
        <v>2066</v>
      </c>
      <c r="NM36" s="1">
        <v>65</v>
      </c>
      <c r="NN36" s="619" t="s">
        <v>2063</v>
      </c>
      <c r="NO36" s="148" t="s">
        <v>2064</v>
      </c>
      <c r="NP36" s="9" t="s">
        <v>2065</v>
      </c>
      <c r="NQ36" s="619">
        <v>1</v>
      </c>
      <c r="NR36" s="4">
        <v>1000000</v>
      </c>
      <c r="NS36" s="4">
        <f>NR36*NQ36</f>
        <v>1000000</v>
      </c>
      <c r="NT36" s="9" t="s">
        <v>2066</v>
      </c>
      <c r="NU36" s="1">
        <v>65</v>
      </c>
      <c r="NV36" s="619" t="s">
        <v>2063</v>
      </c>
      <c r="NW36" s="148" t="s">
        <v>2064</v>
      </c>
      <c r="NX36" s="9" t="s">
        <v>2065</v>
      </c>
      <c r="NY36" s="619">
        <v>1</v>
      </c>
      <c r="NZ36" s="4">
        <v>1000000</v>
      </c>
      <c r="OA36" s="4">
        <f>NZ36*NY36</f>
        <v>1000000</v>
      </c>
      <c r="OB36" s="9" t="s">
        <v>2066</v>
      </c>
      <c r="OC36" s="1">
        <v>65</v>
      </c>
      <c r="OD36" s="619" t="s">
        <v>2063</v>
      </c>
      <c r="OE36" s="148" t="s">
        <v>2064</v>
      </c>
      <c r="OF36" s="9" t="s">
        <v>2065</v>
      </c>
      <c r="OG36" s="619">
        <v>1</v>
      </c>
      <c r="OH36" s="4">
        <v>1000000</v>
      </c>
      <c r="OI36" s="4">
        <f>OH36*OG36</f>
        <v>1000000</v>
      </c>
      <c r="OJ36" s="9" t="s">
        <v>2066</v>
      </c>
      <c r="OK36" s="1">
        <v>65</v>
      </c>
      <c r="OL36" s="619" t="s">
        <v>2063</v>
      </c>
      <c r="OM36" s="148" t="s">
        <v>2064</v>
      </c>
      <c r="ON36" s="9" t="s">
        <v>2065</v>
      </c>
      <c r="OO36" s="619">
        <v>1</v>
      </c>
      <c r="OP36" s="4">
        <v>1000000</v>
      </c>
      <c r="OQ36" s="4">
        <f>OP36*OO36</f>
        <v>1000000</v>
      </c>
      <c r="OR36" s="9" t="s">
        <v>2066</v>
      </c>
      <c r="OS36" s="1">
        <v>65</v>
      </c>
      <c r="OT36" s="619" t="s">
        <v>2063</v>
      </c>
      <c r="OU36" s="148" t="s">
        <v>2064</v>
      </c>
      <c r="OV36" s="9" t="s">
        <v>2065</v>
      </c>
      <c r="OW36" s="619">
        <v>1</v>
      </c>
      <c r="OX36" s="4">
        <v>1000000</v>
      </c>
      <c r="OY36" s="4">
        <f>OX36*OW36</f>
        <v>1000000</v>
      </c>
      <c r="OZ36" s="9" t="s">
        <v>2066</v>
      </c>
      <c r="PA36" s="1">
        <v>65</v>
      </c>
      <c r="PB36" s="619" t="s">
        <v>2063</v>
      </c>
      <c r="PC36" s="148" t="s">
        <v>2064</v>
      </c>
      <c r="PD36" s="9" t="s">
        <v>2065</v>
      </c>
      <c r="PE36" s="619">
        <v>1</v>
      </c>
      <c r="PF36" s="4">
        <v>1000000</v>
      </c>
      <c r="PG36" s="4">
        <f>PF36*PE36</f>
        <v>1000000</v>
      </c>
      <c r="PH36" s="9" t="s">
        <v>2066</v>
      </c>
      <c r="PI36" s="1">
        <v>65</v>
      </c>
      <c r="PJ36" s="619" t="s">
        <v>2063</v>
      </c>
      <c r="PK36" s="148" t="s">
        <v>2064</v>
      </c>
      <c r="PL36" s="9" t="s">
        <v>2065</v>
      </c>
      <c r="PM36" s="619">
        <v>1</v>
      </c>
      <c r="PN36" s="4">
        <v>1000000</v>
      </c>
      <c r="PO36" s="4">
        <f>PN36*PM36</f>
        <v>1000000</v>
      </c>
      <c r="PP36" s="9" t="s">
        <v>2066</v>
      </c>
      <c r="PQ36" s="1">
        <v>65</v>
      </c>
      <c r="PR36" s="619" t="s">
        <v>2063</v>
      </c>
      <c r="PS36" s="148" t="s">
        <v>2064</v>
      </c>
      <c r="PT36" s="9" t="s">
        <v>2065</v>
      </c>
      <c r="PU36" s="619">
        <v>1</v>
      </c>
      <c r="PV36" s="4">
        <v>1000000</v>
      </c>
      <c r="PW36" s="4">
        <f>PV36*PU36</f>
        <v>1000000</v>
      </c>
      <c r="PX36" s="9" t="s">
        <v>2066</v>
      </c>
      <c r="PY36" s="1">
        <v>65</v>
      </c>
      <c r="PZ36" s="619" t="s">
        <v>2063</v>
      </c>
      <c r="QA36" s="148" t="s">
        <v>2064</v>
      </c>
      <c r="QB36" s="9" t="s">
        <v>2065</v>
      </c>
      <c r="QC36" s="619">
        <v>1</v>
      </c>
      <c r="QD36" s="4">
        <v>1000000</v>
      </c>
      <c r="QE36" s="4">
        <f>QD36*QC36</f>
        <v>1000000</v>
      </c>
      <c r="QF36" s="9" t="s">
        <v>2066</v>
      </c>
      <c r="QG36" s="1">
        <v>65</v>
      </c>
      <c r="QH36" s="619" t="s">
        <v>2063</v>
      </c>
      <c r="QI36" s="148" t="s">
        <v>2064</v>
      </c>
      <c r="QJ36" s="9" t="s">
        <v>2065</v>
      </c>
      <c r="QK36" s="619">
        <v>1</v>
      </c>
      <c r="QL36" s="4">
        <v>1000000</v>
      </c>
      <c r="QM36" s="4">
        <f>QL36*QK36</f>
        <v>1000000</v>
      </c>
      <c r="QN36" s="9" t="s">
        <v>2066</v>
      </c>
      <c r="QO36" s="1">
        <v>65</v>
      </c>
      <c r="QP36" s="619" t="s">
        <v>2063</v>
      </c>
      <c r="QQ36" s="148" t="s">
        <v>2064</v>
      </c>
      <c r="QR36" s="9" t="s">
        <v>2065</v>
      </c>
      <c r="QS36" s="619">
        <v>1</v>
      </c>
      <c r="QT36" s="4">
        <v>1000000</v>
      </c>
      <c r="QU36" s="4">
        <f>QT36*QS36</f>
        <v>1000000</v>
      </c>
      <c r="QV36" s="9" t="s">
        <v>2066</v>
      </c>
      <c r="QW36" s="1">
        <v>65</v>
      </c>
      <c r="QX36" s="619" t="s">
        <v>2063</v>
      </c>
      <c r="QY36" s="148" t="s">
        <v>2064</v>
      </c>
      <c r="QZ36" s="9" t="s">
        <v>2065</v>
      </c>
      <c r="RA36" s="619">
        <v>1</v>
      </c>
      <c r="RB36" s="4">
        <v>1000000</v>
      </c>
      <c r="RC36" s="4">
        <f>RB36*RA36</f>
        <v>1000000</v>
      </c>
      <c r="RD36" s="9" t="s">
        <v>2066</v>
      </c>
      <c r="RE36" s="1">
        <v>65</v>
      </c>
      <c r="RF36" s="619" t="s">
        <v>2063</v>
      </c>
      <c r="RG36" s="148" t="s">
        <v>2064</v>
      </c>
      <c r="RH36" s="9" t="s">
        <v>2065</v>
      </c>
      <c r="RI36" s="619">
        <v>1</v>
      </c>
      <c r="RJ36" s="4">
        <v>1000000</v>
      </c>
      <c r="RK36" s="4">
        <f>RJ36*RI36</f>
        <v>1000000</v>
      </c>
      <c r="RL36" s="9" t="s">
        <v>2066</v>
      </c>
      <c r="RM36" s="1">
        <v>65</v>
      </c>
      <c r="RN36" s="619" t="s">
        <v>2063</v>
      </c>
      <c r="RO36" s="148" t="s">
        <v>2064</v>
      </c>
      <c r="RP36" s="9" t="s">
        <v>2065</v>
      </c>
      <c r="RQ36" s="619">
        <v>1</v>
      </c>
      <c r="RR36" s="4">
        <v>1000000</v>
      </c>
      <c r="RS36" s="4">
        <f>RR36*RQ36</f>
        <v>1000000</v>
      </c>
      <c r="RT36" s="9" t="s">
        <v>2066</v>
      </c>
      <c r="RU36" s="1">
        <v>65</v>
      </c>
      <c r="RV36" s="619" t="s">
        <v>2063</v>
      </c>
      <c r="RW36" s="148" t="s">
        <v>2064</v>
      </c>
      <c r="RX36" s="9" t="s">
        <v>2065</v>
      </c>
      <c r="RY36" s="619">
        <v>1</v>
      </c>
      <c r="RZ36" s="4">
        <v>1000000</v>
      </c>
      <c r="SA36" s="4">
        <f>RZ36*RY36</f>
        <v>1000000</v>
      </c>
      <c r="SB36" s="9" t="s">
        <v>2066</v>
      </c>
      <c r="SC36" s="1">
        <v>65</v>
      </c>
      <c r="SD36" s="619" t="s">
        <v>2063</v>
      </c>
      <c r="SE36" s="148" t="s">
        <v>2064</v>
      </c>
      <c r="SF36" s="9" t="s">
        <v>2065</v>
      </c>
      <c r="SG36" s="619">
        <v>1</v>
      </c>
      <c r="SH36" s="4">
        <v>1000000</v>
      </c>
      <c r="SI36" s="4">
        <f>SH36*SG36</f>
        <v>1000000</v>
      </c>
      <c r="SJ36" s="9" t="s">
        <v>2066</v>
      </c>
      <c r="SK36" s="1">
        <v>65</v>
      </c>
      <c r="SL36" s="619" t="s">
        <v>2063</v>
      </c>
      <c r="SM36" s="148" t="s">
        <v>2064</v>
      </c>
      <c r="SN36" s="9" t="s">
        <v>2065</v>
      </c>
      <c r="SO36" s="619">
        <v>1</v>
      </c>
      <c r="SP36" s="4">
        <v>1000000</v>
      </c>
      <c r="SQ36" s="4">
        <f>SP36*SO36</f>
        <v>1000000</v>
      </c>
      <c r="SR36" s="9" t="s">
        <v>2066</v>
      </c>
      <c r="SS36" s="1">
        <v>65</v>
      </c>
      <c r="ST36" s="619" t="s">
        <v>2063</v>
      </c>
      <c r="SU36" s="148" t="s">
        <v>2064</v>
      </c>
      <c r="SV36" s="9" t="s">
        <v>2065</v>
      </c>
      <c r="SW36" s="619">
        <v>1</v>
      </c>
      <c r="SX36" s="4">
        <v>1000000</v>
      </c>
      <c r="SY36" s="4">
        <f>SX36*SW36</f>
        <v>1000000</v>
      </c>
      <c r="SZ36" s="9" t="s">
        <v>2066</v>
      </c>
      <c r="TA36" s="1">
        <v>65</v>
      </c>
      <c r="TB36" s="619" t="s">
        <v>2063</v>
      </c>
      <c r="TC36" s="148" t="s">
        <v>2064</v>
      </c>
      <c r="TD36" s="9" t="s">
        <v>2065</v>
      </c>
      <c r="TE36" s="619">
        <v>1</v>
      </c>
      <c r="TF36" s="4">
        <v>1000000</v>
      </c>
      <c r="TG36" s="4">
        <f>TF36*TE36</f>
        <v>1000000</v>
      </c>
      <c r="TH36" s="9" t="s">
        <v>2066</v>
      </c>
      <c r="TI36" s="1">
        <v>65</v>
      </c>
      <c r="TJ36" s="619" t="s">
        <v>2063</v>
      </c>
      <c r="TK36" s="148" t="s">
        <v>2064</v>
      </c>
      <c r="TL36" s="9" t="s">
        <v>2065</v>
      </c>
      <c r="TM36" s="619">
        <v>1</v>
      </c>
      <c r="TN36" s="4">
        <v>1000000</v>
      </c>
      <c r="TO36" s="4">
        <f>TN36*TM36</f>
        <v>1000000</v>
      </c>
      <c r="TP36" s="9" t="s">
        <v>2066</v>
      </c>
      <c r="TQ36" s="1">
        <v>65</v>
      </c>
      <c r="TR36" s="619" t="s">
        <v>2063</v>
      </c>
      <c r="TS36" s="148" t="s">
        <v>2064</v>
      </c>
      <c r="TT36" s="9" t="s">
        <v>2065</v>
      </c>
      <c r="TU36" s="619">
        <v>1</v>
      </c>
      <c r="TV36" s="4">
        <v>1000000</v>
      </c>
      <c r="TW36" s="4">
        <f>TV36*TU36</f>
        <v>1000000</v>
      </c>
      <c r="TX36" s="9" t="s">
        <v>2066</v>
      </c>
      <c r="TY36" s="1">
        <v>65</v>
      </c>
      <c r="TZ36" s="619" t="s">
        <v>2063</v>
      </c>
      <c r="UA36" s="148" t="s">
        <v>2064</v>
      </c>
      <c r="UB36" s="9" t="s">
        <v>2065</v>
      </c>
      <c r="UC36" s="619">
        <v>1</v>
      </c>
      <c r="UD36" s="4">
        <v>1000000</v>
      </c>
      <c r="UE36" s="4">
        <f>UD36*UC36</f>
        <v>1000000</v>
      </c>
      <c r="UF36" s="9" t="s">
        <v>2066</v>
      </c>
      <c r="UG36" s="1">
        <v>65</v>
      </c>
      <c r="UH36" s="619" t="s">
        <v>2063</v>
      </c>
      <c r="UI36" s="148" t="s">
        <v>2064</v>
      </c>
      <c r="UJ36" s="9" t="s">
        <v>2065</v>
      </c>
      <c r="UK36" s="619">
        <v>1</v>
      </c>
      <c r="UL36" s="4">
        <v>1000000</v>
      </c>
      <c r="UM36" s="4">
        <f>UL36*UK36</f>
        <v>1000000</v>
      </c>
      <c r="UN36" s="9" t="s">
        <v>2066</v>
      </c>
      <c r="UO36" s="1">
        <v>65</v>
      </c>
      <c r="UP36" s="619" t="s">
        <v>2063</v>
      </c>
      <c r="UQ36" s="148" t="s">
        <v>2064</v>
      </c>
      <c r="UR36" s="9" t="s">
        <v>2065</v>
      </c>
      <c r="US36" s="619">
        <v>1</v>
      </c>
      <c r="UT36" s="4">
        <v>1000000</v>
      </c>
      <c r="UU36" s="4">
        <f>UT36*US36</f>
        <v>1000000</v>
      </c>
      <c r="UV36" s="9" t="s">
        <v>2066</v>
      </c>
      <c r="UW36" s="1">
        <v>65</v>
      </c>
      <c r="UX36" s="619" t="s">
        <v>2063</v>
      </c>
      <c r="UY36" s="148" t="s">
        <v>2064</v>
      </c>
      <c r="UZ36" s="9" t="s">
        <v>2065</v>
      </c>
      <c r="VA36" s="619">
        <v>1</v>
      </c>
      <c r="VB36" s="4">
        <v>1000000</v>
      </c>
      <c r="VC36" s="4">
        <f>VB36*VA36</f>
        <v>1000000</v>
      </c>
      <c r="VD36" s="9" t="s">
        <v>2066</v>
      </c>
      <c r="VE36" s="1">
        <v>65</v>
      </c>
      <c r="VF36" s="619" t="s">
        <v>2063</v>
      </c>
      <c r="VG36" s="148" t="s">
        <v>2064</v>
      </c>
      <c r="VH36" s="9" t="s">
        <v>2065</v>
      </c>
      <c r="VI36" s="619">
        <v>1</v>
      </c>
      <c r="VJ36" s="4">
        <v>1000000</v>
      </c>
      <c r="VK36" s="4">
        <f>VJ36*VI36</f>
        <v>1000000</v>
      </c>
      <c r="VL36" s="9" t="s">
        <v>2066</v>
      </c>
      <c r="VM36" s="1">
        <v>65</v>
      </c>
      <c r="VN36" s="619" t="s">
        <v>2063</v>
      </c>
      <c r="VO36" s="148" t="s">
        <v>2064</v>
      </c>
      <c r="VP36" s="9" t="s">
        <v>2065</v>
      </c>
      <c r="VQ36" s="619">
        <v>1</v>
      </c>
      <c r="VR36" s="4">
        <v>1000000</v>
      </c>
      <c r="VS36" s="4">
        <f>VR36*VQ36</f>
        <v>1000000</v>
      </c>
      <c r="VT36" s="9" t="s">
        <v>2066</v>
      </c>
      <c r="VU36" s="1">
        <v>65</v>
      </c>
      <c r="VV36" s="619" t="s">
        <v>2063</v>
      </c>
      <c r="VW36" s="148" t="s">
        <v>2064</v>
      </c>
      <c r="VX36" s="9" t="s">
        <v>2065</v>
      </c>
      <c r="VY36" s="619">
        <v>1</v>
      </c>
      <c r="VZ36" s="4">
        <v>1000000</v>
      </c>
      <c r="WA36" s="4">
        <f>VZ36*VY36</f>
        <v>1000000</v>
      </c>
      <c r="WB36" s="9" t="s">
        <v>2066</v>
      </c>
      <c r="WC36" s="1">
        <v>65</v>
      </c>
      <c r="WD36" s="619" t="s">
        <v>2063</v>
      </c>
      <c r="WE36" s="148" t="s">
        <v>2064</v>
      </c>
      <c r="WF36" s="9" t="s">
        <v>2065</v>
      </c>
      <c r="WG36" s="619">
        <v>1</v>
      </c>
      <c r="WH36" s="4">
        <v>1000000</v>
      </c>
      <c r="WI36" s="4">
        <f>WH36*WG36</f>
        <v>1000000</v>
      </c>
      <c r="WJ36" s="9" t="s">
        <v>2066</v>
      </c>
      <c r="WK36" s="1">
        <v>65</v>
      </c>
      <c r="WL36" s="619" t="s">
        <v>2063</v>
      </c>
      <c r="WM36" s="148" t="s">
        <v>2064</v>
      </c>
      <c r="WN36" s="9" t="s">
        <v>2065</v>
      </c>
      <c r="WO36" s="619">
        <v>1</v>
      </c>
      <c r="WP36" s="4">
        <v>1000000</v>
      </c>
      <c r="WQ36" s="4">
        <f>WP36*WO36</f>
        <v>1000000</v>
      </c>
      <c r="WR36" s="9" t="s">
        <v>2066</v>
      </c>
      <c r="WS36" s="1">
        <v>65</v>
      </c>
      <c r="WT36" s="619" t="s">
        <v>2063</v>
      </c>
      <c r="WU36" s="148" t="s">
        <v>2064</v>
      </c>
      <c r="WV36" s="9" t="s">
        <v>2065</v>
      </c>
      <c r="WW36" s="619">
        <v>1</v>
      </c>
      <c r="WX36" s="4">
        <v>1000000</v>
      </c>
      <c r="WY36" s="4">
        <f>WX36*WW36</f>
        <v>1000000</v>
      </c>
      <c r="WZ36" s="9" t="s">
        <v>2066</v>
      </c>
      <c r="XA36" s="1">
        <v>65</v>
      </c>
      <c r="XB36" s="619" t="s">
        <v>2063</v>
      </c>
      <c r="XC36" s="148" t="s">
        <v>2064</v>
      </c>
      <c r="XD36" s="9" t="s">
        <v>2065</v>
      </c>
      <c r="XE36" s="619">
        <v>1</v>
      </c>
      <c r="XF36" s="4">
        <v>1000000</v>
      </c>
      <c r="XG36" s="4">
        <f>XF36*XE36</f>
        <v>1000000</v>
      </c>
      <c r="XH36" s="9" t="s">
        <v>2066</v>
      </c>
      <c r="XI36" s="1">
        <v>65</v>
      </c>
      <c r="XJ36" s="619" t="s">
        <v>2063</v>
      </c>
      <c r="XK36" s="148" t="s">
        <v>2064</v>
      </c>
      <c r="XL36" s="9" t="s">
        <v>2065</v>
      </c>
      <c r="XM36" s="619">
        <v>1</v>
      </c>
      <c r="XN36" s="4">
        <v>1000000</v>
      </c>
      <c r="XO36" s="4">
        <f>XN36*XM36</f>
        <v>1000000</v>
      </c>
      <c r="XP36" s="9" t="s">
        <v>2066</v>
      </c>
      <c r="XQ36" s="1">
        <v>65</v>
      </c>
      <c r="XR36" s="619" t="s">
        <v>2063</v>
      </c>
      <c r="XS36" s="148" t="s">
        <v>2064</v>
      </c>
      <c r="XT36" s="9" t="s">
        <v>2065</v>
      </c>
      <c r="XU36" s="619">
        <v>1</v>
      </c>
      <c r="XV36" s="4">
        <v>1000000</v>
      </c>
      <c r="XW36" s="4">
        <f>XV36*XU36</f>
        <v>1000000</v>
      </c>
      <c r="XX36" s="9" t="s">
        <v>2066</v>
      </c>
      <c r="XY36" s="1">
        <v>65</v>
      </c>
      <c r="XZ36" s="619" t="s">
        <v>2063</v>
      </c>
      <c r="YA36" s="148" t="s">
        <v>2064</v>
      </c>
      <c r="YB36" s="9" t="s">
        <v>2065</v>
      </c>
      <c r="YC36" s="619">
        <v>1</v>
      </c>
      <c r="YD36" s="4">
        <v>1000000</v>
      </c>
      <c r="YE36" s="4">
        <f>YD36*YC36</f>
        <v>1000000</v>
      </c>
      <c r="YF36" s="9" t="s">
        <v>2066</v>
      </c>
      <c r="YG36" s="1">
        <v>65</v>
      </c>
      <c r="YH36" s="619" t="s">
        <v>2063</v>
      </c>
      <c r="YI36" s="148" t="s">
        <v>2064</v>
      </c>
      <c r="YJ36" s="9" t="s">
        <v>2065</v>
      </c>
      <c r="YK36" s="619">
        <v>1</v>
      </c>
      <c r="YL36" s="4">
        <v>1000000</v>
      </c>
      <c r="YM36" s="4">
        <f>YL36*YK36</f>
        <v>1000000</v>
      </c>
      <c r="YN36" s="9" t="s">
        <v>2066</v>
      </c>
      <c r="YO36" s="1">
        <v>65</v>
      </c>
      <c r="YP36" s="619" t="s">
        <v>2063</v>
      </c>
      <c r="YQ36" s="148" t="s">
        <v>2064</v>
      </c>
      <c r="YR36" s="9" t="s">
        <v>2065</v>
      </c>
      <c r="YS36" s="619">
        <v>1</v>
      </c>
      <c r="YT36" s="4">
        <v>1000000</v>
      </c>
      <c r="YU36" s="4">
        <f>YT36*YS36</f>
        <v>1000000</v>
      </c>
      <c r="YV36" s="9" t="s">
        <v>2066</v>
      </c>
      <c r="YW36" s="1">
        <v>65</v>
      </c>
      <c r="YX36" s="619" t="s">
        <v>2063</v>
      </c>
      <c r="YY36" s="148" t="s">
        <v>2064</v>
      </c>
      <c r="YZ36" s="9" t="s">
        <v>2065</v>
      </c>
      <c r="ZA36" s="619">
        <v>1</v>
      </c>
      <c r="ZB36" s="4">
        <v>1000000</v>
      </c>
      <c r="ZC36" s="4">
        <f>ZB36*ZA36</f>
        <v>1000000</v>
      </c>
      <c r="ZD36" s="9" t="s">
        <v>2066</v>
      </c>
      <c r="ZE36" s="1">
        <v>65</v>
      </c>
      <c r="ZF36" s="619" t="s">
        <v>2063</v>
      </c>
      <c r="ZG36" s="148" t="s">
        <v>2064</v>
      </c>
      <c r="ZH36" s="9" t="s">
        <v>2065</v>
      </c>
      <c r="ZI36" s="619">
        <v>1</v>
      </c>
      <c r="ZJ36" s="4">
        <v>1000000</v>
      </c>
      <c r="ZK36" s="4">
        <f>ZJ36*ZI36</f>
        <v>1000000</v>
      </c>
      <c r="ZL36" s="9" t="s">
        <v>2066</v>
      </c>
      <c r="ZM36" s="1">
        <v>65</v>
      </c>
      <c r="ZN36" s="619" t="s">
        <v>2063</v>
      </c>
      <c r="ZO36" s="148" t="s">
        <v>2064</v>
      </c>
      <c r="ZP36" s="9" t="s">
        <v>2065</v>
      </c>
      <c r="ZQ36" s="619">
        <v>1</v>
      </c>
      <c r="ZR36" s="4">
        <v>1000000</v>
      </c>
      <c r="ZS36" s="4">
        <f>ZR36*ZQ36</f>
        <v>1000000</v>
      </c>
      <c r="ZT36" s="9" t="s">
        <v>2066</v>
      </c>
      <c r="ZU36" s="1">
        <v>65</v>
      </c>
      <c r="ZV36" s="619" t="s">
        <v>2063</v>
      </c>
      <c r="ZW36" s="148" t="s">
        <v>2064</v>
      </c>
      <c r="ZX36" s="9" t="s">
        <v>2065</v>
      </c>
      <c r="ZY36" s="619">
        <v>1</v>
      </c>
      <c r="ZZ36" s="4">
        <v>1000000</v>
      </c>
      <c r="AAA36" s="4">
        <f>ZZ36*ZY36</f>
        <v>1000000</v>
      </c>
      <c r="AAB36" s="9" t="s">
        <v>2066</v>
      </c>
      <c r="AAC36" s="1">
        <v>65</v>
      </c>
      <c r="AAD36" s="619" t="s">
        <v>2063</v>
      </c>
      <c r="AAE36" s="148" t="s">
        <v>2064</v>
      </c>
      <c r="AAF36" s="9" t="s">
        <v>2065</v>
      </c>
      <c r="AAG36" s="619">
        <v>1</v>
      </c>
      <c r="AAH36" s="4">
        <v>1000000</v>
      </c>
      <c r="AAI36" s="4">
        <f>AAH36*AAG36</f>
        <v>1000000</v>
      </c>
      <c r="AAJ36" s="9" t="s">
        <v>2066</v>
      </c>
      <c r="AAK36" s="1">
        <v>65</v>
      </c>
      <c r="AAL36" s="619" t="s">
        <v>2063</v>
      </c>
      <c r="AAM36" s="148" t="s">
        <v>2064</v>
      </c>
      <c r="AAN36" s="9" t="s">
        <v>2065</v>
      </c>
      <c r="AAO36" s="619">
        <v>1</v>
      </c>
      <c r="AAP36" s="4">
        <v>1000000</v>
      </c>
      <c r="AAQ36" s="4">
        <f>AAP36*AAO36</f>
        <v>1000000</v>
      </c>
      <c r="AAR36" s="9" t="s">
        <v>2066</v>
      </c>
      <c r="AAS36" s="1">
        <v>65</v>
      </c>
      <c r="AAT36" s="619" t="s">
        <v>2063</v>
      </c>
      <c r="AAU36" s="148" t="s">
        <v>2064</v>
      </c>
      <c r="AAV36" s="9" t="s">
        <v>2065</v>
      </c>
      <c r="AAW36" s="619">
        <v>1</v>
      </c>
      <c r="AAX36" s="4">
        <v>1000000</v>
      </c>
      <c r="AAY36" s="4">
        <f>AAX36*AAW36</f>
        <v>1000000</v>
      </c>
      <c r="AAZ36" s="9" t="s">
        <v>2066</v>
      </c>
      <c r="ABA36" s="1">
        <v>65</v>
      </c>
      <c r="ABB36" s="619" t="s">
        <v>2063</v>
      </c>
      <c r="ABC36" s="148" t="s">
        <v>2064</v>
      </c>
      <c r="ABD36" s="9" t="s">
        <v>2065</v>
      </c>
      <c r="ABE36" s="619">
        <v>1</v>
      </c>
      <c r="ABF36" s="4">
        <v>1000000</v>
      </c>
      <c r="ABG36" s="4">
        <f>ABF36*ABE36</f>
        <v>1000000</v>
      </c>
      <c r="ABH36" s="9" t="s">
        <v>2066</v>
      </c>
      <c r="ABI36" s="1">
        <v>65</v>
      </c>
      <c r="ABJ36" s="619" t="s">
        <v>2063</v>
      </c>
      <c r="ABK36" s="148" t="s">
        <v>2064</v>
      </c>
      <c r="ABL36" s="9" t="s">
        <v>2065</v>
      </c>
      <c r="ABM36" s="619">
        <v>1</v>
      </c>
      <c r="ABN36" s="4">
        <v>1000000</v>
      </c>
      <c r="ABO36" s="4">
        <f>ABN36*ABM36</f>
        <v>1000000</v>
      </c>
      <c r="ABP36" s="9" t="s">
        <v>2066</v>
      </c>
      <c r="ABQ36" s="1">
        <v>65</v>
      </c>
      <c r="ABR36" s="619" t="s">
        <v>2063</v>
      </c>
      <c r="ABS36" s="148" t="s">
        <v>2064</v>
      </c>
      <c r="ABT36" s="9" t="s">
        <v>2065</v>
      </c>
      <c r="ABU36" s="619">
        <v>1</v>
      </c>
      <c r="ABV36" s="4">
        <v>1000000</v>
      </c>
      <c r="ABW36" s="4">
        <f>ABV36*ABU36</f>
        <v>1000000</v>
      </c>
      <c r="ABX36" s="9" t="s">
        <v>2066</v>
      </c>
      <c r="ABY36" s="1">
        <v>65</v>
      </c>
      <c r="ABZ36" s="619" t="s">
        <v>2063</v>
      </c>
      <c r="ACA36" s="148" t="s">
        <v>2064</v>
      </c>
      <c r="ACB36" s="9" t="s">
        <v>2065</v>
      </c>
      <c r="ACC36" s="619">
        <v>1</v>
      </c>
      <c r="ACD36" s="4">
        <v>1000000</v>
      </c>
      <c r="ACE36" s="4">
        <f>ACD36*ACC36</f>
        <v>1000000</v>
      </c>
      <c r="ACF36" s="9" t="s">
        <v>2066</v>
      </c>
      <c r="ACG36" s="1">
        <v>65</v>
      </c>
      <c r="ACH36" s="619" t="s">
        <v>2063</v>
      </c>
      <c r="ACI36" s="148" t="s">
        <v>2064</v>
      </c>
      <c r="ACJ36" s="9" t="s">
        <v>2065</v>
      </c>
      <c r="ACK36" s="619">
        <v>1</v>
      </c>
      <c r="ACL36" s="4">
        <v>1000000</v>
      </c>
      <c r="ACM36" s="4">
        <f>ACL36*ACK36</f>
        <v>1000000</v>
      </c>
      <c r="ACN36" s="9" t="s">
        <v>2066</v>
      </c>
      <c r="ACO36" s="1">
        <v>65</v>
      </c>
      <c r="ACP36" s="619" t="s">
        <v>2063</v>
      </c>
      <c r="ACQ36" s="148" t="s">
        <v>2064</v>
      </c>
      <c r="ACR36" s="9" t="s">
        <v>2065</v>
      </c>
      <c r="ACS36" s="619">
        <v>1</v>
      </c>
      <c r="ACT36" s="4">
        <v>1000000</v>
      </c>
      <c r="ACU36" s="4">
        <f>ACT36*ACS36</f>
        <v>1000000</v>
      </c>
      <c r="ACV36" s="9" t="s">
        <v>2066</v>
      </c>
      <c r="ACW36" s="1">
        <v>65</v>
      </c>
      <c r="ACX36" s="619" t="s">
        <v>2063</v>
      </c>
      <c r="ACY36" s="148" t="s">
        <v>2064</v>
      </c>
      <c r="ACZ36" s="9" t="s">
        <v>2065</v>
      </c>
      <c r="ADA36" s="619">
        <v>1</v>
      </c>
      <c r="ADB36" s="4">
        <v>1000000</v>
      </c>
      <c r="ADC36" s="4">
        <f>ADB36*ADA36</f>
        <v>1000000</v>
      </c>
      <c r="ADD36" s="9" t="s">
        <v>2066</v>
      </c>
      <c r="ADE36" s="1">
        <v>65</v>
      </c>
      <c r="ADF36" s="619" t="s">
        <v>2063</v>
      </c>
      <c r="ADG36" s="148" t="s">
        <v>2064</v>
      </c>
      <c r="ADH36" s="9" t="s">
        <v>2065</v>
      </c>
      <c r="ADI36" s="619">
        <v>1</v>
      </c>
      <c r="ADJ36" s="4">
        <v>1000000</v>
      </c>
      <c r="ADK36" s="4">
        <f>ADJ36*ADI36</f>
        <v>1000000</v>
      </c>
      <c r="ADL36" s="9" t="s">
        <v>2066</v>
      </c>
      <c r="ADM36" s="1">
        <v>65</v>
      </c>
      <c r="ADN36" s="619" t="s">
        <v>2063</v>
      </c>
      <c r="ADO36" s="148" t="s">
        <v>2064</v>
      </c>
      <c r="ADP36" s="9" t="s">
        <v>2065</v>
      </c>
      <c r="ADQ36" s="619">
        <v>1</v>
      </c>
      <c r="ADR36" s="4">
        <v>1000000</v>
      </c>
      <c r="ADS36" s="4">
        <f>ADR36*ADQ36</f>
        <v>1000000</v>
      </c>
      <c r="ADT36" s="9" t="s">
        <v>2066</v>
      </c>
      <c r="ADU36" s="1">
        <v>65</v>
      </c>
      <c r="ADV36" s="619" t="s">
        <v>2063</v>
      </c>
      <c r="ADW36" s="148" t="s">
        <v>2064</v>
      </c>
      <c r="ADX36" s="9" t="s">
        <v>2065</v>
      </c>
      <c r="ADY36" s="619">
        <v>1</v>
      </c>
      <c r="ADZ36" s="4">
        <v>1000000</v>
      </c>
      <c r="AEA36" s="4">
        <f>ADZ36*ADY36</f>
        <v>1000000</v>
      </c>
      <c r="AEB36" s="9" t="s">
        <v>2066</v>
      </c>
      <c r="AEC36" s="1">
        <v>65</v>
      </c>
      <c r="AED36" s="619" t="s">
        <v>2063</v>
      </c>
      <c r="AEE36" s="148" t="s">
        <v>2064</v>
      </c>
      <c r="AEF36" s="9" t="s">
        <v>2065</v>
      </c>
      <c r="AEG36" s="619">
        <v>1</v>
      </c>
      <c r="AEH36" s="4">
        <v>1000000</v>
      </c>
      <c r="AEI36" s="4">
        <f>AEH36*AEG36</f>
        <v>1000000</v>
      </c>
      <c r="AEJ36" s="9" t="s">
        <v>2066</v>
      </c>
      <c r="AEK36" s="1">
        <v>65</v>
      </c>
      <c r="AEL36" s="619" t="s">
        <v>2063</v>
      </c>
      <c r="AEM36" s="148" t="s">
        <v>2064</v>
      </c>
      <c r="AEN36" s="9" t="s">
        <v>2065</v>
      </c>
      <c r="AEO36" s="619">
        <v>1</v>
      </c>
      <c r="AEP36" s="4">
        <v>1000000</v>
      </c>
      <c r="AEQ36" s="4">
        <f>AEP36*AEO36</f>
        <v>1000000</v>
      </c>
      <c r="AER36" s="9" t="s">
        <v>2066</v>
      </c>
      <c r="AES36" s="1">
        <v>65</v>
      </c>
      <c r="AET36" s="619" t="s">
        <v>2063</v>
      </c>
      <c r="AEU36" s="148" t="s">
        <v>2064</v>
      </c>
      <c r="AEV36" s="9" t="s">
        <v>2065</v>
      </c>
      <c r="AEW36" s="619">
        <v>1</v>
      </c>
      <c r="AEX36" s="4">
        <v>1000000</v>
      </c>
      <c r="AEY36" s="4">
        <f>AEX36*AEW36</f>
        <v>1000000</v>
      </c>
      <c r="AEZ36" s="9" t="s">
        <v>2066</v>
      </c>
      <c r="AFA36" s="1">
        <v>65</v>
      </c>
      <c r="AFB36" s="619" t="s">
        <v>2063</v>
      </c>
      <c r="AFC36" s="148" t="s">
        <v>2064</v>
      </c>
      <c r="AFD36" s="9" t="s">
        <v>2065</v>
      </c>
      <c r="AFE36" s="619">
        <v>1</v>
      </c>
      <c r="AFF36" s="4">
        <v>1000000</v>
      </c>
      <c r="AFG36" s="4">
        <f>AFF36*AFE36</f>
        <v>1000000</v>
      </c>
      <c r="AFH36" s="9" t="s">
        <v>2066</v>
      </c>
      <c r="AFI36" s="1">
        <v>65</v>
      </c>
      <c r="AFJ36" s="619" t="s">
        <v>2063</v>
      </c>
      <c r="AFK36" s="148" t="s">
        <v>2064</v>
      </c>
      <c r="AFL36" s="9" t="s">
        <v>2065</v>
      </c>
      <c r="AFM36" s="619">
        <v>1</v>
      </c>
      <c r="AFN36" s="4">
        <v>1000000</v>
      </c>
      <c r="AFO36" s="4">
        <f>AFN36*AFM36</f>
        <v>1000000</v>
      </c>
      <c r="AFP36" s="9" t="s">
        <v>2066</v>
      </c>
      <c r="AFQ36" s="1">
        <v>65</v>
      </c>
      <c r="AFR36" s="619" t="s">
        <v>2063</v>
      </c>
      <c r="AFS36" s="148" t="s">
        <v>2064</v>
      </c>
      <c r="AFT36" s="9" t="s">
        <v>2065</v>
      </c>
      <c r="AFU36" s="619">
        <v>1</v>
      </c>
      <c r="AFV36" s="4">
        <v>1000000</v>
      </c>
      <c r="AFW36" s="4">
        <f>AFV36*AFU36</f>
        <v>1000000</v>
      </c>
      <c r="AFX36" s="9" t="s">
        <v>2066</v>
      </c>
      <c r="AFY36" s="1">
        <v>65</v>
      </c>
      <c r="AFZ36" s="619" t="s">
        <v>2063</v>
      </c>
      <c r="AGA36" s="148" t="s">
        <v>2064</v>
      </c>
      <c r="AGB36" s="9" t="s">
        <v>2065</v>
      </c>
      <c r="AGC36" s="619">
        <v>1</v>
      </c>
      <c r="AGD36" s="4">
        <v>1000000</v>
      </c>
      <c r="AGE36" s="4">
        <f>AGD36*AGC36</f>
        <v>1000000</v>
      </c>
      <c r="AGF36" s="9" t="s">
        <v>2066</v>
      </c>
      <c r="AGG36" s="1">
        <v>65</v>
      </c>
      <c r="AGH36" s="619" t="s">
        <v>2063</v>
      </c>
      <c r="AGI36" s="148" t="s">
        <v>2064</v>
      </c>
      <c r="AGJ36" s="9" t="s">
        <v>2065</v>
      </c>
      <c r="AGK36" s="619">
        <v>1</v>
      </c>
      <c r="AGL36" s="4">
        <v>1000000</v>
      </c>
      <c r="AGM36" s="4">
        <f>AGL36*AGK36</f>
        <v>1000000</v>
      </c>
      <c r="AGN36" s="9" t="s">
        <v>2066</v>
      </c>
      <c r="AGO36" s="1">
        <v>65</v>
      </c>
      <c r="AGP36" s="619" t="s">
        <v>2063</v>
      </c>
      <c r="AGQ36" s="148" t="s">
        <v>2064</v>
      </c>
      <c r="AGR36" s="9" t="s">
        <v>2065</v>
      </c>
      <c r="AGS36" s="619">
        <v>1</v>
      </c>
      <c r="AGT36" s="4">
        <v>1000000</v>
      </c>
      <c r="AGU36" s="4">
        <f>AGT36*AGS36</f>
        <v>1000000</v>
      </c>
      <c r="AGV36" s="9" t="s">
        <v>2066</v>
      </c>
      <c r="AGW36" s="1">
        <v>65</v>
      </c>
      <c r="AGX36" s="619" t="s">
        <v>2063</v>
      </c>
      <c r="AGY36" s="148" t="s">
        <v>2064</v>
      </c>
      <c r="AGZ36" s="9" t="s">
        <v>2065</v>
      </c>
      <c r="AHA36" s="619">
        <v>1</v>
      </c>
      <c r="AHB36" s="4">
        <v>1000000</v>
      </c>
      <c r="AHC36" s="4">
        <f>AHB36*AHA36</f>
        <v>1000000</v>
      </c>
      <c r="AHD36" s="9" t="s">
        <v>2066</v>
      </c>
      <c r="AHE36" s="1">
        <v>65</v>
      </c>
      <c r="AHF36" s="619" t="s">
        <v>2063</v>
      </c>
      <c r="AHG36" s="148" t="s">
        <v>2064</v>
      </c>
      <c r="AHH36" s="9" t="s">
        <v>2065</v>
      </c>
      <c r="AHI36" s="619">
        <v>1</v>
      </c>
      <c r="AHJ36" s="4">
        <v>1000000</v>
      </c>
      <c r="AHK36" s="4">
        <f>AHJ36*AHI36</f>
        <v>1000000</v>
      </c>
      <c r="AHL36" s="9" t="s">
        <v>2066</v>
      </c>
      <c r="AHM36" s="1">
        <v>65</v>
      </c>
      <c r="AHN36" s="619" t="s">
        <v>2063</v>
      </c>
      <c r="AHO36" s="148" t="s">
        <v>2064</v>
      </c>
      <c r="AHP36" s="9" t="s">
        <v>2065</v>
      </c>
      <c r="AHQ36" s="619">
        <v>1</v>
      </c>
      <c r="AHR36" s="4">
        <v>1000000</v>
      </c>
      <c r="AHS36" s="4">
        <f>AHR36*AHQ36</f>
        <v>1000000</v>
      </c>
      <c r="AHT36" s="9" t="s">
        <v>2066</v>
      </c>
      <c r="AHU36" s="1">
        <v>65</v>
      </c>
      <c r="AHV36" s="619" t="s">
        <v>2063</v>
      </c>
      <c r="AHW36" s="148" t="s">
        <v>2064</v>
      </c>
      <c r="AHX36" s="9" t="s">
        <v>2065</v>
      </c>
      <c r="AHY36" s="619">
        <v>1</v>
      </c>
      <c r="AHZ36" s="4">
        <v>1000000</v>
      </c>
      <c r="AIA36" s="4">
        <f>AHZ36*AHY36</f>
        <v>1000000</v>
      </c>
      <c r="AIB36" s="9" t="s">
        <v>2066</v>
      </c>
      <c r="AIC36" s="1">
        <v>65</v>
      </c>
      <c r="AID36" s="619" t="s">
        <v>2063</v>
      </c>
      <c r="AIE36" s="148" t="s">
        <v>2064</v>
      </c>
      <c r="AIF36" s="9" t="s">
        <v>2065</v>
      </c>
      <c r="AIG36" s="619">
        <v>1</v>
      </c>
      <c r="AIH36" s="4">
        <v>1000000</v>
      </c>
      <c r="AII36" s="4">
        <f>AIH36*AIG36</f>
        <v>1000000</v>
      </c>
      <c r="AIJ36" s="9" t="s">
        <v>2066</v>
      </c>
      <c r="AIK36" s="1">
        <v>65</v>
      </c>
      <c r="AIL36" s="619" t="s">
        <v>2063</v>
      </c>
      <c r="AIM36" s="148" t="s">
        <v>2064</v>
      </c>
      <c r="AIN36" s="9" t="s">
        <v>2065</v>
      </c>
      <c r="AIO36" s="619">
        <v>1</v>
      </c>
      <c r="AIP36" s="4">
        <v>1000000</v>
      </c>
      <c r="AIQ36" s="4">
        <f>AIP36*AIO36</f>
        <v>1000000</v>
      </c>
      <c r="AIR36" s="9" t="s">
        <v>2066</v>
      </c>
      <c r="AIS36" s="1">
        <v>65</v>
      </c>
      <c r="AIT36" s="619" t="s">
        <v>2063</v>
      </c>
      <c r="AIU36" s="148" t="s">
        <v>2064</v>
      </c>
      <c r="AIV36" s="9" t="s">
        <v>2065</v>
      </c>
      <c r="AIW36" s="619">
        <v>1</v>
      </c>
      <c r="AIX36" s="4">
        <v>1000000</v>
      </c>
      <c r="AIY36" s="4">
        <f>AIX36*AIW36</f>
        <v>1000000</v>
      </c>
      <c r="AIZ36" s="9" t="s">
        <v>2066</v>
      </c>
      <c r="AJA36" s="1">
        <v>65</v>
      </c>
      <c r="AJB36" s="619" t="s">
        <v>2063</v>
      </c>
      <c r="AJC36" s="148" t="s">
        <v>2064</v>
      </c>
      <c r="AJD36" s="9" t="s">
        <v>2065</v>
      </c>
      <c r="AJE36" s="619">
        <v>1</v>
      </c>
      <c r="AJF36" s="4">
        <v>1000000</v>
      </c>
      <c r="AJG36" s="4">
        <f>AJF36*AJE36</f>
        <v>1000000</v>
      </c>
      <c r="AJH36" s="9" t="s">
        <v>2066</v>
      </c>
      <c r="AJI36" s="1">
        <v>65</v>
      </c>
      <c r="AJJ36" s="619" t="s">
        <v>2063</v>
      </c>
      <c r="AJK36" s="148" t="s">
        <v>2064</v>
      </c>
      <c r="AJL36" s="9" t="s">
        <v>2065</v>
      </c>
      <c r="AJM36" s="619">
        <v>1</v>
      </c>
      <c r="AJN36" s="4">
        <v>1000000</v>
      </c>
      <c r="AJO36" s="4">
        <f>AJN36*AJM36</f>
        <v>1000000</v>
      </c>
      <c r="AJP36" s="9" t="s">
        <v>2066</v>
      </c>
      <c r="AJQ36" s="1">
        <v>65</v>
      </c>
      <c r="AJR36" s="619" t="s">
        <v>2063</v>
      </c>
      <c r="AJS36" s="148" t="s">
        <v>2064</v>
      </c>
      <c r="AJT36" s="9" t="s">
        <v>2065</v>
      </c>
      <c r="AJU36" s="619">
        <v>1</v>
      </c>
      <c r="AJV36" s="4">
        <v>1000000</v>
      </c>
      <c r="AJW36" s="4">
        <f>AJV36*AJU36</f>
        <v>1000000</v>
      </c>
      <c r="AJX36" s="9" t="s">
        <v>2066</v>
      </c>
      <c r="AJY36" s="1">
        <v>65</v>
      </c>
      <c r="AJZ36" s="619" t="s">
        <v>2063</v>
      </c>
      <c r="AKA36" s="148" t="s">
        <v>2064</v>
      </c>
      <c r="AKB36" s="9" t="s">
        <v>2065</v>
      </c>
      <c r="AKC36" s="619">
        <v>1</v>
      </c>
      <c r="AKD36" s="4">
        <v>1000000</v>
      </c>
      <c r="AKE36" s="4">
        <f>AKD36*AKC36</f>
        <v>1000000</v>
      </c>
      <c r="AKF36" s="9" t="s">
        <v>2066</v>
      </c>
      <c r="AKG36" s="1">
        <v>65</v>
      </c>
      <c r="AKH36" s="619" t="s">
        <v>2063</v>
      </c>
      <c r="AKI36" s="148" t="s">
        <v>2064</v>
      </c>
      <c r="AKJ36" s="9" t="s">
        <v>2065</v>
      </c>
      <c r="AKK36" s="619">
        <v>1</v>
      </c>
      <c r="AKL36" s="4">
        <v>1000000</v>
      </c>
      <c r="AKM36" s="4">
        <f>AKL36*AKK36</f>
        <v>1000000</v>
      </c>
      <c r="AKN36" s="9" t="s">
        <v>2066</v>
      </c>
      <c r="AKO36" s="1">
        <v>65</v>
      </c>
      <c r="AKP36" s="619" t="s">
        <v>2063</v>
      </c>
      <c r="AKQ36" s="148" t="s">
        <v>2064</v>
      </c>
      <c r="AKR36" s="9" t="s">
        <v>2065</v>
      </c>
      <c r="AKS36" s="619">
        <v>1</v>
      </c>
      <c r="AKT36" s="4">
        <v>1000000</v>
      </c>
      <c r="AKU36" s="4">
        <f>AKT36*AKS36</f>
        <v>1000000</v>
      </c>
      <c r="AKV36" s="9" t="s">
        <v>2066</v>
      </c>
      <c r="AKW36" s="1">
        <v>65</v>
      </c>
      <c r="AKX36" s="619" t="s">
        <v>2063</v>
      </c>
      <c r="AKY36" s="148" t="s">
        <v>2064</v>
      </c>
      <c r="AKZ36" s="9" t="s">
        <v>2065</v>
      </c>
      <c r="ALA36" s="619">
        <v>1</v>
      </c>
      <c r="ALB36" s="4">
        <v>1000000</v>
      </c>
      <c r="ALC36" s="4">
        <f>ALB36*ALA36</f>
        <v>1000000</v>
      </c>
      <c r="ALD36" s="9" t="s">
        <v>2066</v>
      </c>
      <c r="ALE36" s="1">
        <v>65</v>
      </c>
      <c r="ALF36" s="619" t="s">
        <v>2063</v>
      </c>
      <c r="ALG36" s="148" t="s">
        <v>2064</v>
      </c>
      <c r="ALH36" s="9" t="s">
        <v>2065</v>
      </c>
      <c r="ALI36" s="619">
        <v>1</v>
      </c>
      <c r="ALJ36" s="4">
        <v>1000000</v>
      </c>
      <c r="ALK36" s="4">
        <f>ALJ36*ALI36</f>
        <v>1000000</v>
      </c>
      <c r="ALL36" s="9" t="s">
        <v>2066</v>
      </c>
      <c r="ALM36" s="1">
        <v>65</v>
      </c>
      <c r="ALN36" s="619" t="s">
        <v>2063</v>
      </c>
      <c r="ALO36" s="148" t="s">
        <v>2064</v>
      </c>
      <c r="ALP36" s="9" t="s">
        <v>2065</v>
      </c>
      <c r="ALQ36" s="619">
        <v>1</v>
      </c>
      <c r="ALR36" s="4">
        <v>1000000</v>
      </c>
      <c r="ALS36" s="4">
        <f>ALR36*ALQ36</f>
        <v>1000000</v>
      </c>
      <c r="ALT36" s="9" t="s">
        <v>2066</v>
      </c>
      <c r="ALU36" s="1">
        <v>65</v>
      </c>
      <c r="ALV36" s="619" t="s">
        <v>2063</v>
      </c>
      <c r="ALW36" s="148" t="s">
        <v>2064</v>
      </c>
      <c r="ALX36" s="9" t="s">
        <v>2065</v>
      </c>
      <c r="ALY36" s="619">
        <v>1</v>
      </c>
      <c r="ALZ36" s="4">
        <v>1000000</v>
      </c>
      <c r="AMA36" s="4">
        <f>ALZ36*ALY36</f>
        <v>1000000</v>
      </c>
      <c r="AMB36" s="9" t="s">
        <v>2066</v>
      </c>
      <c r="AMC36" s="1">
        <v>65</v>
      </c>
      <c r="AMD36" s="619" t="s">
        <v>2063</v>
      </c>
      <c r="AME36" s="148" t="s">
        <v>2064</v>
      </c>
      <c r="AMF36" s="9" t="s">
        <v>2065</v>
      </c>
      <c r="AMG36" s="619">
        <v>1</v>
      </c>
      <c r="AMH36" s="4">
        <v>1000000</v>
      </c>
      <c r="AMI36" s="4">
        <f>AMH36*AMG36</f>
        <v>1000000</v>
      </c>
      <c r="AMJ36" s="9" t="s">
        <v>2066</v>
      </c>
      <c r="AMK36" s="1">
        <v>65</v>
      </c>
      <c r="AML36" s="619" t="s">
        <v>2063</v>
      </c>
      <c r="AMM36" s="148" t="s">
        <v>2064</v>
      </c>
      <c r="AMN36" s="9" t="s">
        <v>2065</v>
      </c>
      <c r="AMO36" s="619">
        <v>1</v>
      </c>
      <c r="AMP36" s="4">
        <v>1000000</v>
      </c>
      <c r="AMQ36" s="4">
        <f>AMP36*AMO36</f>
        <v>1000000</v>
      </c>
      <c r="AMR36" s="9" t="s">
        <v>2066</v>
      </c>
      <c r="AMS36" s="1">
        <v>65</v>
      </c>
      <c r="AMT36" s="619" t="s">
        <v>2063</v>
      </c>
      <c r="AMU36" s="148" t="s">
        <v>2064</v>
      </c>
      <c r="AMV36" s="9" t="s">
        <v>2065</v>
      </c>
      <c r="AMW36" s="619">
        <v>1</v>
      </c>
      <c r="AMX36" s="4">
        <v>1000000</v>
      </c>
      <c r="AMY36" s="4">
        <f>AMX36*AMW36</f>
        <v>1000000</v>
      </c>
      <c r="AMZ36" s="9" t="s">
        <v>2066</v>
      </c>
      <c r="ANA36" s="1">
        <v>65</v>
      </c>
      <c r="ANB36" s="619" t="s">
        <v>2063</v>
      </c>
      <c r="ANC36" s="148" t="s">
        <v>2064</v>
      </c>
      <c r="AND36" s="9" t="s">
        <v>2065</v>
      </c>
      <c r="ANE36" s="619">
        <v>1</v>
      </c>
      <c r="ANF36" s="4">
        <v>1000000</v>
      </c>
      <c r="ANG36" s="4">
        <f>ANF36*ANE36</f>
        <v>1000000</v>
      </c>
      <c r="ANH36" s="9" t="s">
        <v>2066</v>
      </c>
      <c r="ANI36" s="1">
        <v>65</v>
      </c>
      <c r="ANJ36" s="619" t="s">
        <v>2063</v>
      </c>
      <c r="ANK36" s="148" t="s">
        <v>2064</v>
      </c>
      <c r="ANL36" s="9" t="s">
        <v>2065</v>
      </c>
      <c r="ANM36" s="619">
        <v>1</v>
      </c>
      <c r="ANN36" s="4">
        <v>1000000</v>
      </c>
      <c r="ANO36" s="4">
        <f>ANN36*ANM36</f>
        <v>1000000</v>
      </c>
      <c r="ANP36" s="9" t="s">
        <v>2066</v>
      </c>
      <c r="ANQ36" s="1">
        <v>65</v>
      </c>
      <c r="ANR36" s="619" t="s">
        <v>2063</v>
      </c>
      <c r="ANS36" s="148" t="s">
        <v>2064</v>
      </c>
      <c r="ANT36" s="9" t="s">
        <v>2065</v>
      </c>
      <c r="ANU36" s="619">
        <v>1</v>
      </c>
      <c r="ANV36" s="4">
        <v>1000000</v>
      </c>
      <c r="ANW36" s="4">
        <f>ANV36*ANU36</f>
        <v>1000000</v>
      </c>
      <c r="ANX36" s="9" t="s">
        <v>2066</v>
      </c>
      <c r="ANY36" s="1">
        <v>65</v>
      </c>
      <c r="ANZ36" s="619" t="s">
        <v>2063</v>
      </c>
      <c r="AOA36" s="148" t="s">
        <v>2064</v>
      </c>
      <c r="AOB36" s="9" t="s">
        <v>2065</v>
      </c>
      <c r="AOC36" s="619">
        <v>1</v>
      </c>
      <c r="AOD36" s="4">
        <v>1000000</v>
      </c>
      <c r="AOE36" s="4">
        <f>AOD36*AOC36</f>
        <v>1000000</v>
      </c>
      <c r="AOF36" s="9" t="s">
        <v>2066</v>
      </c>
      <c r="AOG36" s="1">
        <v>65</v>
      </c>
      <c r="AOH36" s="619" t="s">
        <v>2063</v>
      </c>
      <c r="AOI36" s="148" t="s">
        <v>2064</v>
      </c>
      <c r="AOJ36" s="9" t="s">
        <v>2065</v>
      </c>
      <c r="AOK36" s="619">
        <v>1</v>
      </c>
      <c r="AOL36" s="4">
        <v>1000000</v>
      </c>
      <c r="AOM36" s="4">
        <f>AOL36*AOK36</f>
        <v>1000000</v>
      </c>
      <c r="AON36" s="9" t="s">
        <v>2066</v>
      </c>
      <c r="AOO36" s="1">
        <v>65</v>
      </c>
      <c r="AOP36" s="619" t="s">
        <v>2063</v>
      </c>
      <c r="AOQ36" s="148" t="s">
        <v>2064</v>
      </c>
      <c r="AOR36" s="9" t="s">
        <v>2065</v>
      </c>
      <c r="AOS36" s="619">
        <v>1</v>
      </c>
      <c r="AOT36" s="4">
        <v>1000000</v>
      </c>
      <c r="AOU36" s="4">
        <f>AOT36*AOS36</f>
        <v>1000000</v>
      </c>
      <c r="AOV36" s="9" t="s">
        <v>2066</v>
      </c>
      <c r="AOW36" s="1">
        <v>65</v>
      </c>
      <c r="AOX36" s="619" t="s">
        <v>2063</v>
      </c>
      <c r="AOY36" s="148" t="s">
        <v>2064</v>
      </c>
      <c r="AOZ36" s="9" t="s">
        <v>2065</v>
      </c>
      <c r="APA36" s="619">
        <v>1</v>
      </c>
      <c r="APB36" s="4">
        <v>1000000</v>
      </c>
      <c r="APC36" s="4">
        <f>APB36*APA36</f>
        <v>1000000</v>
      </c>
      <c r="APD36" s="9" t="s">
        <v>2066</v>
      </c>
      <c r="APE36" s="1">
        <v>65</v>
      </c>
      <c r="APF36" s="619" t="s">
        <v>2063</v>
      </c>
      <c r="APG36" s="148" t="s">
        <v>2064</v>
      </c>
      <c r="APH36" s="9" t="s">
        <v>2065</v>
      </c>
      <c r="API36" s="619">
        <v>1</v>
      </c>
      <c r="APJ36" s="4">
        <v>1000000</v>
      </c>
      <c r="APK36" s="4">
        <f>APJ36*API36</f>
        <v>1000000</v>
      </c>
      <c r="APL36" s="9" t="s">
        <v>2066</v>
      </c>
      <c r="APM36" s="1">
        <v>65</v>
      </c>
      <c r="APN36" s="619" t="s">
        <v>2063</v>
      </c>
      <c r="APO36" s="148" t="s">
        <v>2064</v>
      </c>
      <c r="APP36" s="9" t="s">
        <v>2065</v>
      </c>
      <c r="APQ36" s="619">
        <v>1</v>
      </c>
      <c r="APR36" s="4">
        <v>1000000</v>
      </c>
      <c r="APS36" s="4">
        <f>APR36*APQ36</f>
        <v>1000000</v>
      </c>
      <c r="APT36" s="9" t="s">
        <v>2066</v>
      </c>
      <c r="APU36" s="1">
        <v>65</v>
      </c>
      <c r="APV36" s="619" t="s">
        <v>2063</v>
      </c>
      <c r="APW36" s="148" t="s">
        <v>2064</v>
      </c>
      <c r="APX36" s="9" t="s">
        <v>2065</v>
      </c>
      <c r="APY36" s="619">
        <v>1</v>
      </c>
      <c r="APZ36" s="4">
        <v>1000000</v>
      </c>
      <c r="AQA36" s="4">
        <f>APZ36*APY36</f>
        <v>1000000</v>
      </c>
      <c r="AQB36" s="9" t="s">
        <v>2066</v>
      </c>
      <c r="AQC36" s="1">
        <v>65</v>
      </c>
      <c r="AQD36" s="619" t="s">
        <v>2063</v>
      </c>
      <c r="AQE36" s="148" t="s">
        <v>2064</v>
      </c>
      <c r="AQF36" s="9" t="s">
        <v>2065</v>
      </c>
      <c r="AQG36" s="619">
        <v>1</v>
      </c>
      <c r="AQH36" s="4">
        <v>1000000</v>
      </c>
      <c r="AQI36" s="4">
        <f>AQH36*AQG36</f>
        <v>1000000</v>
      </c>
      <c r="AQJ36" s="9" t="s">
        <v>2066</v>
      </c>
      <c r="AQK36" s="1">
        <v>65</v>
      </c>
      <c r="AQL36" s="619" t="s">
        <v>2063</v>
      </c>
      <c r="AQM36" s="148" t="s">
        <v>2064</v>
      </c>
      <c r="AQN36" s="9" t="s">
        <v>2065</v>
      </c>
      <c r="AQO36" s="619">
        <v>1</v>
      </c>
      <c r="AQP36" s="4">
        <v>1000000</v>
      </c>
      <c r="AQQ36" s="4">
        <f>AQP36*AQO36</f>
        <v>1000000</v>
      </c>
      <c r="AQR36" s="9" t="s">
        <v>2066</v>
      </c>
      <c r="AQS36" s="1">
        <v>65</v>
      </c>
      <c r="AQT36" s="619" t="s">
        <v>2063</v>
      </c>
      <c r="AQU36" s="148" t="s">
        <v>2064</v>
      </c>
      <c r="AQV36" s="9" t="s">
        <v>2065</v>
      </c>
      <c r="AQW36" s="619">
        <v>1</v>
      </c>
      <c r="AQX36" s="4">
        <v>1000000</v>
      </c>
      <c r="AQY36" s="4">
        <f>AQX36*AQW36</f>
        <v>1000000</v>
      </c>
      <c r="AQZ36" s="9" t="s">
        <v>2066</v>
      </c>
      <c r="ARA36" s="1">
        <v>65</v>
      </c>
      <c r="ARB36" s="619" t="s">
        <v>2063</v>
      </c>
      <c r="ARC36" s="148" t="s">
        <v>2064</v>
      </c>
      <c r="ARD36" s="9" t="s">
        <v>2065</v>
      </c>
      <c r="ARE36" s="619">
        <v>1</v>
      </c>
      <c r="ARF36" s="4">
        <v>1000000</v>
      </c>
      <c r="ARG36" s="4">
        <f>ARF36*ARE36</f>
        <v>1000000</v>
      </c>
      <c r="ARH36" s="9" t="s">
        <v>2066</v>
      </c>
      <c r="ARI36" s="1">
        <v>65</v>
      </c>
      <c r="ARJ36" s="619" t="s">
        <v>2063</v>
      </c>
      <c r="ARK36" s="148" t="s">
        <v>2064</v>
      </c>
      <c r="ARL36" s="9" t="s">
        <v>2065</v>
      </c>
      <c r="ARM36" s="619">
        <v>1</v>
      </c>
      <c r="ARN36" s="4">
        <v>1000000</v>
      </c>
      <c r="ARO36" s="4">
        <f>ARN36*ARM36</f>
        <v>1000000</v>
      </c>
      <c r="ARP36" s="9" t="s">
        <v>2066</v>
      </c>
      <c r="ARQ36" s="1">
        <v>65</v>
      </c>
      <c r="ARR36" s="619" t="s">
        <v>2063</v>
      </c>
      <c r="ARS36" s="148" t="s">
        <v>2064</v>
      </c>
      <c r="ART36" s="9" t="s">
        <v>2065</v>
      </c>
      <c r="ARU36" s="619">
        <v>1</v>
      </c>
      <c r="ARV36" s="4">
        <v>1000000</v>
      </c>
      <c r="ARW36" s="4">
        <f>ARV36*ARU36</f>
        <v>1000000</v>
      </c>
      <c r="ARX36" s="9" t="s">
        <v>2066</v>
      </c>
      <c r="ARY36" s="1">
        <v>65</v>
      </c>
      <c r="ARZ36" s="619" t="s">
        <v>2063</v>
      </c>
      <c r="ASA36" s="148" t="s">
        <v>2064</v>
      </c>
      <c r="ASB36" s="9" t="s">
        <v>2065</v>
      </c>
      <c r="ASC36" s="619">
        <v>1</v>
      </c>
      <c r="ASD36" s="4">
        <v>1000000</v>
      </c>
      <c r="ASE36" s="4">
        <f>ASD36*ASC36</f>
        <v>1000000</v>
      </c>
      <c r="ASF36" s="9" t="s">
        <v>2066</v>
      </c>
      <c r="ASG36" s="1">
        <v>65</v>
      </c>
      <c r="ASH36" s="619" t="s">
        <v>2063</v>
      </c>
      <c r="ASI36" s="148" t="s">
        <v>2064</v>
      </c>
      <c r="ASJ36" s="9" t="s">
        <v>2065</v>
      </c>
      <c r="ASK36" s="619">
        <v>1</v>
      </c>
      <c r="ASL36" s="4">
        <v>1000000</v>
      </c>
      <c r="ASM36" s="4">
        <f>ASL36*ASK36</f>
        <v>1000000</v>
      </c>
      <c r="ASN36" s="9" t="s">
        <v>2066</v>
      </c>
      <c r="ASO36" s="1">
        <v>65</v>
      </c>
      <c r="ASP36" s="619" t="s">
        <v>2063</v>
      </c>
      <c r="ASQ36" s="148" t="s">
        <v>2064</v>
      </c>
      <c r="ASR36" s="9" t="s">
        <v>2065</v>
      </c>
      <c r="ASS36" s="619">
        <v>1</v>
      </c>
      <c r="AST36" s="4">
        <v>1000000</v>
      </c>
      <c r="ASU36" s="4">
        <f>AST36*ASS36</f>
        <v>1000000</v>
      </c>
      <c r="ASV36" s="9" t="s">
        <v>2066</v>
      </c>
      <c r="ASW36" s="1">
        <v>65</v>
      </c>
      <c r="ASX36" s="619" t="s">
        <v>2063</v>
      </c>
      <c r="ASY36" s="148" t="s">
        <v>2064</v>
      </c>
      <c r="ASZ36" s="9" t="s">
        <v>2065</v>
      </c>
      <c r="ATA36" s="619">
        <v>1</v>
      </c>
      <c r="ATB36" s="4">
        <v>1000000</v>
      </c>
      <c r="ATC36" s="4">
        <f>ATB36*ATA36</f>
        <v>1000000</v>
      </c>
      <c r="ATD36" s="9" t="s">
        <v>2066</v>
      </c>
      <c r="ATE36" s="1">
        <v>65</v>
      </c>
      <c r="ATF36" s="619" t="s">
        <v>2063</v>
      </c>
      <c r="ATG36" s="148" t="s">
        <v>2064</v>
      </c>
      <c r="ATH36" s="9" t="s">
        <v>2065</v>
      </c>
      <c r="ATI36" s="619">
        <v>1</v>
      </c>
      <c r="ATJ36" s="4">
        <v>1000000</v>
      </c>
      <c r="ATK36" s="4">
        <f>ATJ36*ATI36</f>
        <v>1000000</v>
      </c>
      <c r="ATL36" s="9" t="s">
        <v>2066</v>
      </c>
      <c r="ATM36" s="1">
        <v>65</v>
      </c>
      <c r="ATN36" s="619" t="s">
        <v>2063</v>
      </c>
      <c r="ATO36" s="148" t="s">
        <v>2064</v>
      </c>
      <c r="ATP36" s="9" t="s">
        <v>2065</v>
      </c>
      <c r="ATQ36" s="619">
        <v>1</v>
      </c>
      <c r="ATR36" s="4">
        <v>1000000</v>
      </c>
      <c r="ATS36" s="4">
        <f>ATR36*ATQ36</f>
        <v>1000000</v>
      </c>
      <c r="ATT36" s="9" t="s">
        <v>2066</v>
      </c>
      <c r="ATU36" s="1">
        <v>65</v>
      </c>
      <c r="ATV36" s="619" t="s">
        <v>2063</v>
      </c>
      <c r="ATW36" s="148" t="s">
        <v>2064</v>
      </c>
      <c r="ATX36" s="9" t="s">
        <v>2065</v>
      </c>
      <c r="ATY36" s="619">
        <v>1</v>
      </c>
      <c r="ATZ36" s="4">
        <v>1000000</v>
      </c>
      <c r="AUA36" s="4">
        <f>ATZ36*ATY36</f>
        <v>1000000</v>
      </c>
      <c r="AUB36" s="9" t="s">
        <v>2066</v>
      </c>
      <c r="AUC36" s="1">
        <v>65</v>
      </c>
      <c r="AUD36" s="619" t="s">
        <v>2063</v>
      </c>
      <c r="AUE36" s="148" t="s">
        <v>2064</v>
      </c>
      <c r="AUF36" s="9" t="s">
        <v>2065</v>
      </c>
      <c r="AUG36" s="619">
        <v>1</v>
      </c>
      <c r="AUH36" s="4">
        <v>1000000</v>
      </c>
      <c r="AUI36" s="4">
        <f>AUH36*AUG36</f>
        <v>1000000</v>
      </c>
      <c r="AUJ36" s="9" t="s">
        <v>2066</v>
      </c>
      <c r="AUK36" s="1">
        <v>65</v>
      </c>
      <c r="AUL36" s="619" t="s">
        <v>2063</v>
      </c>
      <c r="AUM36" s="148" t="s">
        <v>2064</v>
      </c>
      <c r="AUN36" s="9" t="s">
        <v>2065</v>
      </c>
      <c r="AUO36" s="619">
        <v>1</v>
      </c>
      <c r="AUP36" s="4">
        <v>1000000</v>
      </c>
      <c r="AUQ36" s="4">
        <f>AUP36*AUO36</f>
        <v>1000000</v>
      </c>
      <c r="AUR36" s="9" t="s">
        <v>2066</v>
      </c>
      <c r="AUS36" s="1">
        <v>65</v>
      </c>
      <c r="AUT36" s="619" t="s">
        <v>2063</v>
      </c>
      <c r="AUU36" s="148" t="s">
        <v>2064</v>
      </c>
      <c r="AUV36" s="9" t="s">
        <v>2065</v>
      </c>
      <c r="AUW36" s="619">
        <v>1</v>
      </c>
      <c r="AUX36" s="4">
        <v>1000000</v>
      </c>
      <c r="AUY36" s="4">
        <f>AUX36*AUW36</f>
        <v>1000000</v>
      </c>
      <c r="AUZ36" s="9" t="s">
        <v>2066</v>
      </c>
      <c r="AVA36" s="1">
        <v>65</v>
      </c>
      <c r="AVB36" s="619" t="s">
        <v>2063</v>
      </c>
      <c r="AVC36" s="148" t="s">
        <v>2064</v>
      </c>
      <c r="AVD36" s="9" t="s">
        <v>2065</v>
      </c>
      <c r="AVE36" s="619">
        <v>1</v>
      </c>
      <c r="AVF36" s="4">
        <v>1000000</v>
      </c>
      <c r="AVG36" s="4">
        <f>AVF36*AVE36</f>
        <v>1000000</v>
      </c>
      <c r="AVH36" s="9" t="s">
        <v>2066</v>
      </c>
      <c r="AVI36" s="1">
        <v>65</v>
      </c>
      <c r="AVJ36" s="619" t="s">
        <v>2063</v>
      </c>
      <c r="AVK36" s="148" t="s">
        <v>2064</v>
      </c>
      <c r="AVL36" s="9" t="s">
        <v>2065</v>
      </c>
      <c r="AVM36" s="619">
        <v>1</v>
      </c>
      <c r="AVN36" s="4">
        <v>1000000</v>
      </c>
      <c r="AVO36" s="4">
        <f>AVN36*AVM36</f>
        <v>1000000</v>
      </c>
      <c r="AVP36" s="9" t="s">
        <v>2066</v>
      </c>
      <c r="AVQ36" s="1">
        <v>65</v>
      </c>
      <c r="AVR36" s="619" t="s">
        <v>2063</v>
      </c>
      <c r="AVS36" s="148" t="s">
        <v>2064</v>
      </c>
      <c r="AVT36" s="9" t="s">
        <v>2065</v>
      </c>
      <c r="AVU36" s="619">
        <v>1</v>
      </c>
      <c r="AVV36" s="4">
        <v>1000000</v>
      </c>
      <c r="AVW36" s="4">
        <f>AVV36*AVU36</f>
        <v>1000000</v>
      </c>
      <c r="AVX36" s="9" t="s">
        <v>2066</v>
      </c>
      <c r="AVY36" s="1">
        <v>65</v>
      </c>
      <c r="AVZ36" s="619" t="s">
        <v>2063</v>
      </c>
      <c r="AWA36" s="148" t="s">
        <v>2064</v>
      </c>
      <c r="AWB36" s="9" t="s">
        <v>2065</v>
      </c>
      <c r="AWC36" s="619">
        <v>1</v>
      </c>
      <c r="AWD36" s="4">
        <v>1000000</v>
      </c>
      <c r="AWE36" s="4">
        <f>AWD36*AWC36</f>
        <v>1000000</v>
      </c>
      <c r="AWF36" s="9" t="s">
        <v>2066</v>
      </c>
      <c r="AWG36" s="1">
        <v>65</v>
      </c>
      <c r="AWH36" s="619" t="s">
        <v>2063</v>
      </c>
      <c r="AWI36" s="148" t="s">
        <v>2064</v>
      </c>
      <c r="AWJ36" s="9" t="s">
        <v>2065</v>
      </c>
      <c r="AWK36" s="619">
        <v>1</v>
      </c>
      <c r="AWL36" s="4">
        <v>1000000</v>
      </c>
      <c r="AWM36" s="4">
        <f>AWL36*AWK36</f>
        <v>1000000</v>
      </c>
      <c r="AWN36" s="9" t="s">
        <v>2066</v>
      </c>
      <c r="AWO36" s="1">
        <v>65</v>
      </c>
      <c r="AWP36" s="619" t="s">
        <v>2063</v>
      </c>
      <c r="AWQ36" s="148" t="s">
        <v>2064</v>
      </c>
      <c r="AWR36" s="9" t="s">
        <v>2065</v>
      </c>
      <c r="AWS36" s="619">
        <v>1</v>
      </c>
      <c r="AWT36" s="4">
        <v>1000000</v>
      </c>
      <c r="AWU36" s="4">
        <f>AWT36*AWS36</f>
        <v>1000000</v>
      </c>
      <c r="AWV36" s="9" t="s">
        <v>2066</v>
      </c>
      <c r="AWW36" s="1">
        <v>65</v>
      </c>
      <c r="AWX36" s="619" t="s">
        <v>2063</v>
      </c>
      <c r="AWY36" s="148" t="s">
        <v>2064</v>
      </c>
      <c r="AWZ36" s="9" t="s">
        <v>2065</v>
      </c>
      <c r="AXA36" s="619">
        <v>1</v>
      </c>
      <c r="AXB36" s="4">
        <v>1000000</v>
      </c>
      <c r="AXC36" s="4">
        <f>AXB36*AXA36</f>
        <v>1000000</v>
      </c>
      <c r="AXD36" s="9" t="s">
        <v>2066</v>
      </c>
      <c r="AXE36" s="1">
        <v>65</v>
      </c>
      <c r="AXF36" s="619" t="s">
        <v>2063</v>
      </c>
      <c r="AXG36" s="148" t="s">
        <v>2064</v>
      </c>
      <c r="AXH36" s="9" t="s">
        <v>2065</v>
      </c>
      <c r="AXI36" s="619">
        <v>1</v>
      </c>
      <c r="AXJ36" s="4">
        <v>1000000</v>
      </c>
      <c r="AXK36" s="4">
        <f>AXJ36*AXI36</f>
        <v>1000000</v>
      </c>
      <c r="AXL36" s="9" t="s">
        <v>2066</v>
      </c>
      <c r="AXM36" s="1">
        <v>65</v>
      </c>
      <c r="AXN36" s="619" t="s">
        <v>2063</v>
      </c>
      <c r="AXO36" s="148" t="s">
        <v>2064</v>
      </c>
      <c r="AXP36" s="9" t="s">
        <v>2065</v>
      </c>
      <c r="AXQ36" s="619">
        <v>1</v>
      </c>
      <c r="AXR36" s="4">
        <v>1000000</v>
      </c>
      <c r="AXS36" s="4">
        <f>AXR36*AXQ36</f>
        <v>1000000</v>
      </c>
      <c r="AXT36" s="9" t="s">
        <v>2066</v>
      </c>
      <c r="AXU36" s="1">
        <v>65</v>
      </c>
      <c r="AXV36" s="619" t="s">
        <v>2063</v>
      </c>
      <c r="AXW36" s="148" t="s">
        <v>2064</v>
      </c>
      <c r="AXX36" s="9" t="s">
        <v>2065</v>
      </c>
      <c r="AXY36" s="619">
        <v>1</v>
      </c>
      <c r="AXZ36" s="4">
        <v>1000000</v>
      </c>
      <c r="AYA36" s="4">
        <f>AXZ36*AXY36</f>
        <v>1000000</v>
      </c>
      <c r="AYB36" s="9" t="s">
        <v>2066</v>
      </c>
      <c r="AYC36" s="1">
        <v>65</v>
      </c>
      <c r="AYD36" s="619" t="s">
        <v>2063</v>
      </c>
      <c r="AYE36" s="148" t="s">
        <v>2064</v>
      </c>
      <c r="AYF36" s="9" t="s">
        <v>2065</v>
      </c>
      <c r="AYG36" s="619">
        <v>1</v>
      </c>
      <c r="AYH36" s="4">
        <v>1000000</v>
      </c>
      <c r="AYI36" s="4">
        <f>AYH36*AYG36</f>
        <v>1000000</v>
      </c>
      <c r="AYJ36" s="9" t="s">
        <v>2066</v>
      </c>
      <c r="AYK36" s="1">
        <v>65</v>
      </c>
      <c r="AYL36" s="619" t="s">
        <v>2063</v>
      </c>
      <c r="AYM36" s="148" t="s">
        <v>2064</v>
      </c>
      <c r="AYN36" s="9" t="s">
        <v>2065</v>
      </c>
      <c r="AYO36" s="619">
        <v>1</v>
      </c>
      <c r="AYP36" s="4">
        <v>1000000</v>
      </c>
      <c r="AYQ36" s="4">
        <f>AYP36*AYO36</f>
        <v>1000000</v>
      </c>
      <c r="AYR36" s="9" t="s">
        <v>2066</v>
      </c>
      <c r="AYS36" s="1">
        <v>65</v>
      </c>
      <c r="AYT36" s="619" t="s">
        <v>2063</v>
      </c>
      <c r="AYU36" s="148" t="s">
        <v>2064</v>
      </c>
      <c r="AYV36" s="9" t="s">
        <v>2065</v>
      </c>
      <c r="AYW36" s="619">
        <v>1</v>
      </c>
      <c r="AYX36" s="4">
        <v>1000000</v>
      </c>
      <c r="AYY36" s="4">
        <f>AYX36*AYW36</f>
        <v>1000000</v>
      </c>
      <c r="AYZ36" s="9" t="s">
        <v>2066</v>
      </c>
      <c r="AZA36" s="1">
        <v>65</v>
      </c>
      <c r="AZB36" s="619" t="s">
        <v>2063</v>
      </c>
      <c r="AZC36" s="148" t="s">
        <v>2064</v>
      </c>
      <c r="AZD36" s="9" t="s">
        <v>2065</v>
      </c>
      <c r="AZE36" s="619">
        <v>1</v>
      </c>
      <c r="AZF36" s="4">
        <v>1000000</v>
      </c>
      <c r="AZG36" s="4">
        <f>AZF36*AZE36</f>
        <v>1000000</v>
      </c>
      <c r="AZH36" s="9" t="s">
        <v>2066</v>
      </c>
      <c r="AZI36" s="1">
        <v>65</v>
      </c>
      <c r="AZJ36" s="619" t="s">
        <v>2063</v>
      </c>
      <c r="AZK36" s="148" t="s">
        <v>2064</v>
      </c>
      <c r="AZL36" s="9" t="s">
        <v>2065</v>
      </c>
      <c r="AZM36" s="619">
        <v>1</v>
      </c>
      <c r="AZN36" s="4">
        <v>1000000</v>
      </c>
      <c r="AZO36" s="4">
        <f>AZN36*AZM36</f>
        <v>1000000</v>
      </c>
      <c r="AZP36" s="9" t="s">
        <v>2066</v>
      </c>
      <c r="AZQ36" s="1">
        <v>65</v>
      </c>
      <c r="AZR36" s="619" t="s">
        <v>2063</v>
      </c>
      <c r="AZS36" s="148" t="s">
        <v>2064</v>
      </c>
      <c r="AZT36" s="9" t="s">
        <v>2065</v>
      </c>
      <c r="AZU36" s="619">
        <v>1</v>
      </c>
      <c r="AZV36" s="4">
        <v>1000000</v>
      </c>
      <c r="AZW36" s="4">
        <f>AZV36*AZU36</f>
        <v>1000000</v>
      </c>
      <c r="AZX36" s="9" t="s">
        <v>2066</v>
      </c>
      <c r="AZY36" s="1">
        <v>65</v>
      </c>
      <c r="AZZ36" s="619" t="s">
        <v>2063</v>
      </c>
      <c r="BAA36" s="148" t="s">
        <v>2064</v>
      </c>
      <c r="BAB36" s="9" t="s">
        <v>2065</v>
      </c>
      <c r="BAC36" s="619">
        <v>1</v>
      </c>
      <c r="BAD36" s="4">
        <v>1000000</v>
      </c>
      <c r="BAE36" s="4">
        <f>BAD36*BAC36</f>
        <v>1000000</v>
      </c>
      <c r="BAF36" s="9" t="s">
        <v>2066</v>
      </c>
      <c r="BAG36" s="1">
        <v>65</v>
      </c>
      <c r="BAH36" s="619" t="s">
        <v>2063</v>
      </c>
      <c r="BAI36" s="148" t="s">
        <v>2064</v>
      </c>
      <c r="BAJ36" s="9" t="s">
        <v>2065</v>
      </c>
      <c r="BAK36" s="619">
        <v>1</v>
      </c>
      <c r="BAL36" s="4">
        <v>1000000</v>
      </c>
      <c r="BAM36" s="4">
        <f>BAL36*BAK36</f>
        <v>1000000</v>
      </c>
      <c r="BAN36" s="9" t="s">
        <v>2066</v>
      </c>
      <c r="BAO36" s="1">
        <v>65</v>
      </c>
      <c r="BAP36" s="619" t="s">
        <v>2063</v>
      </c>
      <c r="BAQ36" s="148" t="s">
        <v>2064</v>
      </c>
      <c r="BAR36" s="9" t="s">
        <v>2065</v>
      </c>
      <c r="BAS36" s="619">
        <v>1</v>
      </c>
      <c r="BAT36" s="4">
        <v>1000000</v>
      </c>
      <c r="BAU36" s="4">
        <f>BAT36*BAS36</f>
        <v>1000000</v>
      </c>
      <c r="BAV36" s="9" t="s">
        <v>2066</v>
      </c>
      <c r="BAW36" s="1">
        <v>65</v>
      </c>
      <c r="BAX36" s="619" t="s">
        <v>2063</v>
      </c>
      <c r="BAY36" s="148" t="s">
        <v>2064</v>
      </c>
      <c r="BAZ36" s="9" t="s">
        <v>2065</v>
      </c>
      <c r="BBA36" s="619">
        <v>1</v>
      </c>
      <c r="BBB36" s="4">
        <v>1000000</v>
      </c>
      <c r="BBC36" s="4">
        <f>BBB36*BBA36</f>
        <v>1000000</v>
      </c>
      <c r="BBD36" s="9" t="s">
        <v>2066</v>
      </c>
      <c r="BBE36" s="1">
        <v>65</v>
      </c>
      <c r="BBF36" s="619" t="s">
        <v>2063</v>
      </c>
      <c r="BBG36" s="148" t="s">
        <v>2064</v>
      </c>
      <c r="BBH36" s="9" t="s">
        <v>2065</v>
      </c>
      <c r="BBI36" s="619">
        <v>1</v>
      </c>
      <c r="BBJ36" s="4">
        <v>1000000</v>
      </c>
      <c r="BBK36" s="4">
        <f>BBJ36*BBI36</f>
        <v>1000000</v>
      </c>
      <c r="BBL36" s="9" t="s">
        <v>2066</v>
      </c>
      <c r="BBM36" s="1">
        <v>65</v>
      </c>
      <c r="BBN36" s="619" t="s">
        <v>2063</v>
      </c>
      <c r="BBO36" s="148" t="s">
        <v>2064</v>
      </c>
      <c r="BBP36" s="9" t="s">
        <v>2065</v>
      </c>
      <c r="BBQ36" s="619">
        <v>1</v>
      </c>
      <c r="BBR36" s="4">
        <v>1000000</v>
      </c>
      <c r="BBS36" s="4">
        <f>BBR36*BBQ36</f>
        <v>1000000</v>
      </c>
      <c r="BBT36" s="9" t="s">
        <v>2066</v>
      </c>
      <c r="BBU36" s="1">
        <v>65</v>
      </c>
      <c r="BBV36" s="619" t="s">
        <v>2063</v>
      </c>
      <c r="BBW36" s="148" t="s">
        <v>2064</v>
      </c>
      <c r="BBX36" s="9" t="s">
        <v>2065</v>
      </c>
      <c r="BBY36" s="619">
        <v>1</v>
      </c>
      <c r="BBZ36" s="4">
        <v>1000000</v>
      </c>
      <c r="BCA36" s="4">
        <f>BBZ36*BBY36</f>
        <v>1000000</v>
      </c>
      <c r="BCB36" s="9" t="s">
        <v>2066</v>
      </c>
      <c r="BCC36" s="1">
        <v>65</v>
      </c>
      <c r="BCD36" s="619" t="s">
        <v>2063</v>
      </c>
      <c r="BCE36" s="148" t="s">
        <v>2064</v>
      </c>
      <c r="BCF36" s="9" t="s">
        <v>2065</v>
      </c>
      <c r="BCG36" s="619">
        <v>1</v>
      </c>
      <c r="BCH36" s="4">
        <v>1000000</v>
      </c>
      <c r="BCI36" s="4">
        <f>BCH36*BCG36</f>
        <v>1000000</v>
      </c>
      <c r="BCJ36" s="9" t="s">
        <v>2066</v>
      </c>
      <c r="BCK36" s="1">
        <v>65</v>
      </c>
      <c r="BCL36" s="619" t="s">
        <v>2063</v>
      </c>
      <c r="BCM36" s="148" t="s">
        <v>2064</v>
      </c>
      <c r="BCN36" s="9" t="s">
        <v>2065</v>
      </c>
      <c r="BCO36" s="619">
        <v>1</v>
      </c>
      <c r="BCP36" s="4">
        <v>1000000</v>
      </c>
      <c r="BCQ36" s="4">
        <f>BCP36*BCO36</f>
        <v>1000000</v>
      </c>
      <c r="BCR36" s="9" t="s">
        <v>2066</v>
      </c>
      <c r="BCS36" s="1">
        <v>65</v>
      </c>
      <c r="BCT36" s="619" t="s">
        <v>2063</v>
      </c>
      <c r="BCU36" s="148" t="s">
        <v>2064</v>
      </c>
      <c r="BCV36" s="9" t="s">
        <v>2065</v>
      </c>
      <c r="BCW36" s="619">
        <v>1</v>
      </c>
      <c r="BCX36" s="4">
        <v>1000000</v>
      </c>
      <c r="BCY36" s="4">
        <f>BCX36*BCW36</f>
        <v>1000000</v>
      </c>
      <c r="BCZ36" s="9" t="s">
        <v>2066</v>
      </c>
      <c r="BDA36" s="1">
        <v>65</v>
      </c>
      <c r="BDB36" s="619" t="s">
        <v>2063</v>
      </c>
      <c r="BDC36" s="148" t="s">
        <v>2064</v>
      </c>
      <c r="BDD36" s="9" t="s">
        <v>2065</v>
      </c>
      <c r="BDE36" s="619">
        <v>1</v>
      </c>
      <c r="BDF36" s="4">
        <v>1000000</v>
      </c>
      <c r="BDG36" s="4">
        <f>BDF36*BDE36</f>
        <v>1000000</v>
      </c>
      <c r="BDH36" s="9" t="s">
        <v>2066</v>
      </c>
      <c r="BDI36" s="1">
        <v>65</v>
      </c>
      <c r="BDJ36" s="619" t="s">
        <v>2063</v>
      </c>
      <c r="BDK36" s="148" t="s">
        <v>2064</v>
      </c>
      <c r="BDL36" s="9" t="s">
        <v>2065</v>
      </c>
      <c r="BDM36" s="619">
        <v>1</v>
      </c>
      <c r="BDN36" s="4">
        <v>1000000</v>
      </c>
      <c r="BDO36" s="4">
        <f>BDN36*BDM36</f>
        <v>1000000</v>
      </c>
      <c r="BDP36" s="9" t="s">
        <v>2066</v>
      </c>
      <c r="BDQ36" s="1">
        <v>65</v>
      </c>
      <c r="BDR36" s="619" t="s">
        <v>2063</v>
      </c>
      <c r="BDS36" s="148" t="s">
        <v>2064</v>
      </c>
      <c r="BDT36" s="9" t="s">
        <v>2065</v>
      </c>
      <c r="BDU36" s="619">
        <v>1</v>
      </c>
      <c r="BDV36" s="4">
        <v>1000000</v>
      </c>
      <c r="BDW36" s="4">
        <f>BDV36*BDU36</f>
        <v>1000000</v>
      </c>
      <c r="BDX36" s="9" t="s">
        <v>2066</v>
      </c>
      <c r="BDY36" s="1">
        <v>65</v>
      </c>
      <c r="BDZ36" s="619" t="s">
        <v>2063</v>
      </c>
      <c r="BEA36" s="148" t="s">
        <v>2064</v>
      </c>
      <c r="BEB36" s="9" t="s">
        <v>2065</v>
      </c>
      <c r="BEC36" s="619">
        <v>1</v>
      </c>
      <c r="BED36" s="4">
        <v>1000000</v>
      </c>
      <c r="BEE36" s="4">
        <f>BED36*BEC36</f>
        <v>1000000</v>
      </c>
      <c r="BEF36" s="9" t="s">
        <v>2066</v>
      </c>
      <c r="BEG36" s="1">
        <v>65</v>
      </c>
      <c r="BEH36" s="619" t="s">
        <v>2063</v>
      </c>
      <c r="BEI36" s="148" t="s">
        <v>2064</v>
      </c>
      <c r="BEJ36" s="9" t="s">
        <v>2065</v>
      </c>
      <c r="BEK36" s="619">
        <v>1</v>
      </c>
      <c r="BEL36" s="4">
        <v>1000000</v>
      </c>
      <c r="BEM36" s="4">
        <f>BEL36*BEK36</f>
        <v>1000000</v>
      </c>
      <c r="BEN36" s="9" t="s">
        <v>2066</v>
      </c>
      <c r="BEO36" s="1">
        <v>65</v>
      </c>
      <c r="BEP36" s="619" t="s">
        <v>2063</v>
      </c>
      <c r="BEQ36" s="148" t="s">
        <v>2064</v>
      </c>
      <c r="BER36" s="9" t="s">
        <v>2065</v>
      </c>
      <c r="BES36" s="619">
        <v>1</v>
      </c>
      <c r="BET36" s="4">
        <v>1000000</v>
      </c>
      <c r="BEU36" s="4">
        <f>BET36*BES36</f>
        <v>1000000</v>
      </c>
      <c r="BEV36" s="9" t="s">
        <v>2066</v>
      </c>
      <c r="BEW36" s="1">
        <v>65</v>
      </c>
      <c r="BEX36" s="619" t="s">
        <v>2063</v>
      </c>
      <c r="BEY36" s="148" t="s">
        <v>2064</v>
      </c>
      <c r="BEZ36" s="9" t="s">
        <v>2065</v>
      </c>
      <c r="BFA36" s="619">
        <v>1</v>
      </c>
      <c r="BFB36" s="4">
        <v>1000000</v>
      </c>
      <c r="BFC36" s="4">
        <f>BFB36*BFA36</f>
        <v>1000000</v>
      </c>
      <c r="BFD36" s="9" t="s">
        <v>2066</v>
      </c>
      <c r="BFE36" s="1">
        <v>65</v>
      </c>
      <c r="BFF36" s="619" t="s">
        <v>2063</v>
      </c>
      <c r="BFG36" s="148" t="s">
        <v>2064</v>
      </c>
      <c r="BFH36" s="9" t="s">
        <v>2065</v>
      </c>
      <c r="BFI36" s="619">
        <v>1</v>
      </c>
      <c r="BFJ36" s="4">
        <v>1000000</v>
      </c>
      <c r="BFK36" s="4">
        <f>BFJ36*BFI36</f>
        <v>1000000</v>
      </c>
      <c r="BFL36" s="9" t="s">
        <v>2066</v>
      </c>
      <c r="BFM36" s="1">
        <v>65</v>
      </c>
      <c r="BFN36" s="619" t="s">
        <v>2063</v>
      </c>
      <c r="BFO36" s="148" t="s">
        <v>2064</v>
      </c>
      <c r="BFP36" s="9" t="s">
        <v>2065</v>
      </c>
      <c r="BFQ36" s="619">
        <v>1</v>
      </c>
      <c r="BFR36" s="4">
        <v>1000000</v>
      </c>
      <c r="BFS36" s="4">
        <f>BFR36*BFQ36</f>
        <v>1000000</v>
      </c>
      <c r="BFT36" s="9" t="s">
        <v>2066</v>
      </c>
      <c r="BFU36" s="1">
        <v>65</v>
      </c>
      <c r="BFV36" s="619" t="s">
        <v>2063</v>
      </c>
      <c r="BFW36" s="148" t="s">
        <v>2064</v>
      </c>
      <c r="BFX36" s="9" t="s">
        <v>2065</v>
      </c>
      <c r="BFY36" s="619">
        <v>1</v>
      </c>
      <c r="BFZ36" s="4">
        <v>1000000</v>
      </c>
      <c r="BGA36" s="4">
        <f>BFZ36*BFY36</f>
        <v>1000000</v>
      </c>
      <c r="BGB36" s="9" t="s">
        <v>2066</v>
      </c>
      <c r="BGC36" s="1">
        <v>65</v>
      </c>
      <c r="BGD36" s="619" t="s">
        <v>2063</v>
      </c>
      <c r="BGE36" s="148" t="s">
        <v>2064</v>
      </c>
      <c r="BGF36" s="9" t="s">
        <v>2065</v>
      </c>
      <c r="BGG36" s="619">
        <v>1</v>
      </c>
      <c r="BGH36" s="4">
        <v>1000000</v>
      </c>
      <c r="BGI36" s="4">
        <f>BGH36*BGG36</f>
        <v>1000000</v>
      </c>
      <c r="BGJ36" s="9" t="s">
        <v>2066</v>
      </c>
      <c r="BGK36" s="1">
        <v>65</v>
      </c>
      <c r="BGL36" s="619" t="s">
        <v>2063</v>
      </c>
      <c r="BGM36" s="148" t="s">
        <v>2064</v>
      </c>
      <c r="BGN36" s="9" t="s">
        <v>2065</v>
      </c>
      <c r="BGO36" s="619">
        <v>1</v>
      </c>
      <c r="BGP36" s="4">
        <v>1000000</v>
      </c>
      <c r="BGQ36" s="4">
        <f>BGP36*BGO36</f>
        <v>1000000</v>
      </c>
      <c r="BGR36" s="9" t="s">
        <v>2066</v>
      </c>
      <c r="BGS36" s="1">
        <v>65</v>
      </c>
      <c r="BGT36" s="619" t="s">
        <v>2063</v>
      </c>
      <c r="BGU36" s="148" t="s">
        <v>2064</v>
      </c>
      <c r="BGV36" s="9" t="s">
        <v>2065</v>
      </c>
      <c r="BGW36" s="619">
        <v>1</v>
      </c>
      <c r="BGX36" s="4">
        <v>1000000</v>
      </c>
      <c r="BGY36" s="4">
        <f>BGX36*BGW36</f>
        <v>1000000</v>
      </c>
      <c r="BGZ36" s="9" t="s">
        <v>2066</v>
      </c>
      <c r="BHA36" s="1">
        <v>65</v>
      </c>
      <c r="BHB36" s="619" t="s">
        <v>2063</v>
      </c>
      <c r="BHC36" s="148" t="s">
        <v>2064</v>
      </c>
      <c r="BHD36" s="9" t="s">
        <v>2065</v>
      </c>
      <c r="BHE36" s="619">
        <v>1</v>
      </c>
      <c r="BHF36" s="4">
        <v>1000000</v>
      </c>
      <c r="BHG36" s="4">
        <f>BHF36*BHE36</f>
        <v>1000000</v>
      </c>
      <c r="BHH36" s="9" t="s">
        <v>2066</v>
      </c>
      <c r="BHI36" s="1">
        <v>65</v>
      </c>
      <c r="BHJ36" s="619" t="s">
        <v>2063</v>
      </c>
      <c r="BHK36" s="148" t="s">
        <v>2064</v>
      </c>
      <c r="BHL36" s="9" t="s">
        <v>2065</v>
      </c>
      <c r="BHM36" s="619">
        <v>1</v>
      </c>
      <c r="BHN36" s="4">
        <v>1000000</v>
      </c>
      <c r="BHO36" s="4">
        <f>BHN36*BHM36</f>
        <v>1000000</v>
      </c>
      <c r="BHP36" s="9" t="s">
        <v>2066</v>
      </c>
      <c r="BHQ36" s="1">
        <v>65</v>
      </c>
      <c r="BHR36" s="619" t="s">
        <v>2063</v>
      </c>
      <c r="BHS36" s="148" t="s">
        <v>2064</v>
      </c>
      <c r="BHT36" s="9" t="s">
        <v>2065</v>
      </c>
      <c r="BHU36" s="619">
        <v>1</v>
      </c>
      <c r="BHV36" s="4">
        <v>1000000</v>
      </c>
      <c r="BHW36" s="4">
        <f>BHV36*BHU36</f>
        <v>1000000</v>
      </c>
      <c r="BHX36" s="9" t="s">
        <v>2066</v>
      </c>
      <c r="BHY36" s="1">
        <v>65</v>
      </c>
      <c r="BHZ36" s="619" t="s">
        <v>2063</v>
      </c>
      <c r="BIA36" s="148" t="s">
        <v>2064</v>
      </c>
      <c r="BIB36" s="9" t="s">
        <v>2065</v>
      </c>
      <c r="BIC36" s="619">
        <v>1</v>
      </c>
      <c r="BID36" s="4">
        <v>1000000</v>
      </c>
      <c r="BIE36" s="4">
        <f>BID36*BIC36</f>
        <v>1000000</v>
      </c>
      <c r="BIF36" s="9" t="s">
        <v>2066</v>
      </c>
      <c r="BIG36" s="1">
        <v>65</v>
      </c>
      <c r="BIH36" s="619" t="s">
        <v>2063</v>
      </c>
      <c r="BII36" s="148" t="s">
        <v>2064</v>
      </c>
      <c r="BIJ36" s="9" t="s">
        <v>2065</v>
      </c>
      <c r="BIK36" s="619">
        <v>1</v>
      </c>
      <c r="BIL36" s="4">
        <v>1000000</v>
      </c>
      <c r="BIM36" s="4">
        <f>BIL36*BIK36</f>
        <v>1000000</v>
      </c>
      <c r="BIN36" s="9" t="s">
        <v>2066</v>
      </c>
      <c r="BIO36" s="1">
        <v>65</v>
      </c>
      <c r="BIP36" s="619" t="s">
        <v>2063</v>
      </c>
      <c r="BIQ36" s="148" t="s">
        <v>2064</v>
      </c>
      <c r="BIR36" s="9" t="s">
        <v>2065</v>
      </c>
      <c r="BIS36" s="619">
        <v>1</v>
      </c>
      <c r="BIT36" s="4">
        <v>1000000</v>
      </c>
      <c r="BIU36" s="4">
        <f>BIT36*BIS36</f>
        <v>1000000</v>
      </c>
      <c r="BIV36" s="9" t="s">
        <v>2066</v>
      </c>
      <c r="BIW36" s="1">
        <v>65</v>
      </c>
      <c r="BIX36" s="619" t="s">
        <v>2063</v>
      </c>
      <c r="BIY36" s="148" t="s">
        <v>2064</v>
      </c>
      <c r="BIZ36" s="9" t="s">
        <v>2065</v>
      </c>
      <c r="BJA36" s="619">
        <v>1</v>
      </c>
      <c r="BJB36" s="4">
        <v>1000000</v>
      </c>
      <c r="BJC36" s="4">
        <f>BJB36*BJA36</f>
        <v>1000000</v>
      </c>
      <c r="BJD36" s="9" t="s">
        <v>2066</v>
      </c>
      <c r="BJE36" s="1">
        <v>65</v>
      </c>
      <c r="BJF36" s="619" t="s">
        <v>2063</v>
      </c>
      <c r="BJG36" s="148" t="s">
        <v>2064</v>
      </c>
      <c r="BJH36" s="9" t="s">
        <v>2065</v>
      </c>
      <c r="BJI36" s="619">
        <v>1</v>
      </c>
      <c r="BJJ36" s="4">
        <v>1000000</v>
      </c>
      <c r="BJK36" s="4">
        <f>BJJ36*BJI36</f>
        <v>1000000</v>
      </c>
      <c r="BJL36" s="9" t="s">
        <v>2066</v>
      </c>
      <c r="BJM36" s="1">
        <v>65</v>
      </c>
      <c r="BJN36" s="619" t="s">
        <v>2063</v>
      </c>
      <c r="BJO36" s="148" t="s">
        <v>2064</v>
      </c>
      <c r="BJP36" s="9" t="s">
        <v>2065</v>
      </c>
      <c r="BJQ36" s="619">
        <v>1</v>
      </c>
      <c r="BJR36" s="4">
        <v>1000000</v>
      </c>
      <c r="BJS36" s="4">
        <f>BJR36*BJQ36</f>
        <v>1000000</v>
      </c>
      <c r="BJT36" s="9" t="s">
        <v>2066</v>
      </c>
      <c r="BJU36" s="1">
        <v>65</v>
      </c>
      <c r="BJV36" s="619" t="s">
        <v>2063</v>
      </c>
      <c r="BJW36" s="148" t="s">
        <v>2064</v>
      </c>
      <c r="BJX36" s="9" t="s">
        <v>2065</v>
      </c>
      <c r="BJY36" s="619">
        <v>1</v>
      </c>
      <c r="BJZ36" s="4">
        <v>1000000</v>
      </c>
      <c r="BKA36" s="4">
        <f>BJZ36*BJY36</f>
        <v>1000000</v>
      </c>
      <c r="BKB36" s="9" t="s">
        <v>2066</v>
      </c>
      <c r="BKC36" s="1">
        <v>65</v>
      </c>
      <c r="BKD36" s="619" t="s">
        <v>2063</v>
      </c>
      <c r="BKE36" s="148" t="s">
        <v>2064</v>
      </c>
      <c r="BKF36" s="9" t="s">
        <v>2065</v>
      </c>
      <c r="BKG36" s="619">
        <v>1</v>
      </c>
      <c r="BKH36" s="4">
        <v>1000000</v>
      </c>
      <c r="BKI36" s="4">
        <f>BKH36*BKG36</f>
        <v>1000000</v>
      </c>
      <c r="BKJ36" s="9" t="s">
        <v>2066</v>
      </c>
      <c r="BKK36" s="1">
        <v>65</v>
      </c>
      <c r="BKL36" s="619" t="s">
        <v>2063</v>
      </c>
      <c r="BKM36" s="148" t="s">
        <v>2064</v>
      </c>
      <c r="BKN36" s="9" t="s">
        <v>2065</v>
      </c>
      <c r="BKO36" s="619">
        <v>1</v>
      </c>
      <c r="BKP36" s="4">
        <v>1000000</v>
      </c>
      <c r="BKQ36" s="4">
        <f>BKP36*BKO36</f>
        <v>1000000</v>
      </c>
      <c r="BKR36" s="9" t="s">
        <v>2066</v>
      </c>
      <c r="BKS36" s="1">
        <v>65</v>
      </c>
      <c r="BKT36" s="619" t="s">
        <v>2063</v>
      </c>
      <c r="BKU36" s="148" t="s">
        <v>2064</v>
      </c>
      <c r="BKV36" s="9" t="s">
        <v>2065</v>
      </c>
      <c r="BKW36" s="619">
        <v>1</v>
      </c>
      <c r="BKX36" s="4">
        <v>1000000</v>
      </c>
      <c r="BKY36" s="4">
        <f>BKX36*BKW36</f>
        <v>1000000</v>
      </c>
      <c r="BKZ36" s="9" t="s">
        <v>2066</v>
      </c>
      <c r="BLA36" s="1">
        <v>65</v>
      </c>
      <c r="BLB36" s="619" t="s">
        <v>2063</v>
      </c>
      <c r="BLC36" s="148" t="s">
        <v>2064</v>
      </c>
      <c r="BLD36" s="9" t="s">
        <v>2065</v>
      </c>
      <c r="BLE36" s="619">
        <v>1</v>
      </c>
      <c r="BLF36" s="4">
        <v>1000000</v>
      </c>
      <c r="BLG36" s="4">
        <f>BLF36*BLE36</f>
        <v>1000000</v>
      </c>
      <c r="BLH36" s="9" t="s">
        <v>2066</v>
      </c>
      <c r="BLI36" s="1">
        <v>65</v>
      </c>
      <c r="BLJ36" s="619" t="s">
        <v>2063</v>
      </c>
      <c r="BLK36" s="148" t="s">
        <v>2064</v>
      </c>
      <c r="BLL36" s="9" t="s">
        <v>2065</v>
      </c>
      <c r="BLM36" s="619">
        <v>1</v>
      </c>
      <c r="BLN36" s="4">
        <v>1000000</v>
      </c>
      <c r="BLO36" s="4">
        <f>BLN36*BLM36</f>
        <v>1000000</v>
      </c>
      <c r="BLP36" s="9" t="s">
        <v>2066</v>
      </c>
      <c r="BLQ36" s="1">
        <v>65</v>
      </c>
      <c r="BLR36" s="619" t="s">
        <v>2063</v>
      </c>
      <c r="BLS36" s="148" t="s">
        <v>2064</v>
      </c>
      <c r="BLT36" s="9" t="s">
        <v>2065</v>
      </c>
      <c r="BLU36" s="619">
        <v>1</v>
      </c>
      <c r="BLV36" s="4">
        <v>1000000</v>
      </c>
      <c r="BLW36" s="4">
        <f>BLV36*BLU36</f>
        <v>1000000</v>
      </c>
      <c r="BLX36" s="9" t="s">
        <v>2066</v>
      </c>
      <c r="BLY36" s="1">
        <v>65</v>
      </c>
      <c r="BLZ36" s="619" t="s">
        <v>2063</v>
      </c>
      <c r="BMA36" s="148" t="s">
        <v>2064</v>
      </c>
      <c r="BMB36" s="9" t="s">
        <v>2065</v>
      </c>
      <c r="BMC36" s="619">
        <v>1</v>
      </c>
      <c r="BMD36" s="4">
        <v>1000000</v>
      </c>
      <c r="BME36" s="4">
        <f>BMD36*BMC36</f>
        <v>1000000</v>
      </c>
      <c r="BMF36" s="9" t="s">
        <v>2066</v>
      </c>
      <c r="BMG36" s="1">
        <v>65</v>
      </c>
      <c r="BMH36" s="619" t="s">
        <v>2063</v>
      </c>
      <c r="BMI36" s="148" t="s">
        <v>2064</v>
      </c>
      <c r="BMJ36" s="9" t="s">
        <v>2065</v>
      </c>
      <c r="BMK36" s="619">
        <v>1</v>
      </c>
      <c r="BML36" s="4">
        <v>1000000</v>
      </c>
      <c r="BMM36" s="4">
        <f>BML36*BMK36</f>
        <v>1000000</v>
      </c>
      <c r="BMN36" s="9" t="s">
        <v>2066</v>
      </c>
      <c r="BMO36" s="1">
        <v>65</v>
      </c>
      <c r="BMP36" s="619" t="s">
        <v>2063</v>
      </c>
      <c r="BMQ36" s="148" t="s">
        <v>2064</v>
      </c>
      <c r="BMR36" s="9" t="s">
        <v>2065</v>
      </c>
      <c r="BMS36" s="619">
        <v>1</v>
      </c>
      <c r="BMT36" s="4">
        <v>1000000</v>
      </c>
      <c r="BMU36" s="4">
        <f>BMT36*BMS36</f>
        <v>1000000</v>
      </c>
      <c r="BMV36" s="9" t="s">
        <v>2066</v>
      </c>
      <c r="BMW36" s="1">
        <v>65</v>
      </c>
      <c r="BMX36" s="619" t="s">
        <v>2063</v>
      </c>
      <c r="BMY36" s="148" t="s">
        <v>2064</v>
      </c>
      <c r="BMZ36" s="9" t="s">
        <v>2065</v>
      </c>
      <c r="BNA36" s="619">
        <v>1</v>
      </c>
      <c r="BNB36" s="4">
        <v>1000000</v>
      </c>
      <c r="BNC36" s="4">
        <f>BNB36*BNA36</f>
        <v>1000000</v>
      </c>
      <c r="BND36" s="9" t="s">
        <v>2066</v>
      </c>
      <c r="BNE36" s="1">
        <v>65</v>
      </c>
      <c r="BNF36" s="619" t="s">
        <v>2063</v>
      </c>
      <c r="BNG36" s="148" t="s">
        <v>2064</v>
      </c>
      <c r="BNH36" s="9" t="s">
        <v>2065</v>
      </c>
      <c r="BNI36" s="619">
        <v>1</v>
      </c>
      <c r="BNJ36" s="4">
        <v>1000000</v>
      </c>
      <c r="BNK36" s="4">
        <f>BNJ36*BNI36</f>
        <v>1000000</v>
      </c>
      <c r="BNL36" s="9" t="s">
        <v>2066</v>
      </c>
      <c r="BNM36" s="1">
        <v>65</v>
      </c>
      <c r="BNN36" s="619" t="s">
        <v>2063</v>
      </c>
      <c r="BNO36" s="148" t="s">
        <v>2064</v>
      </c>
      <c r="BNP36" s="9" t="s">
        <v>2065</v>
      </c>
      <c r="BNQ36" s="619">
        <v>1</v>
      </c>
      <c r="BNR36" s="4">
        <v>1000000</v>
      </c>
      <c r="BNS36" s="4">
        <f>BNR36*BNQ36</f>
        <v>1000000</v>
      </c>
      <c r="BNT36" s="9" t="s">
        <v>2066</v>
      </c>
      <c r="BNU36" s="1">
        <v>65</v>
      </c>
      <c r="BNV36" s="619" t="s">
        <v>2063</v>
      </c>
      <c r="BNW36" s="148" t="s">
        <v>2064</v>
      </c>
      <c r="BNX36" s="9" t="s">
        <v>2065</v>
      </c>
      <c r="BNY36" s="619">
        <v>1</v>
      </c>
      <c r="BNZ36" s="4">
        <v>1000000</v>
      </c>
      <c r="BOA36" s="4">
        <f>BNZ36*BNY36</f>
        <v>1000000</v>
      </c>
      <c r="BOB36" s="9" t="s">
        <v>2066</v>
      </c>
      <c r="BOC36" s="1">
        <v>65</v>
      </c>
      <c r="BOD36" s="619" t="s">
        <v>2063</v>
      </c>
      <c r="BOE36" s="148" t="s">
        <v>2064</v>
      </c>
      <c r="BOF36" s="9" t="s">
        <v>2065</v>
      </c>
      <c r="BOG36" s="619">
        <v>1</v>
      </c>
      <c r="BOH36" s="4">
        <v>1000000</v>
      </c>
      <c r="BOI36" s="4">
        <f>BOH36*BOG36</f>
        <v>1000000</v>
      </c>
      <c r="BOJ36" s="9" t="s">
        <v>2066</v>
      </c>
      <c r="BOK36" s="1">
        <v>65</v>
      </c>
      <c r="BOL36" s="619" t="s">
        <v>2063</v>
      </c>
      <c r="BOM36" s="148" t="s">
        <v>2064</v>
      </c>
      <c r="BON36" s="9" t="s">
        <v>2065</v>
      </c>
      <c r="BOO36" s="619">
        <v>1</v>
      </c>
      <c r="BOP36" s="4">
        <v>1000000</v>
      </c>
      <c r="BOQ36" s="4">
        <f>BOP36*BOO36</f>
        <v>1000000</v>
      </c>
      <c r="BOR36" s="9" t="s">
        <v>2066</v>
      </c>
      <c r="BOS36" s="1">
        <v>65</v>
      </c>
      <c r="BOT36" s="619" t="s">
        <v>2063</v>
      </c>
      <c r="BOU36" s="148" t="s">
        <v>2064</v>
      </c>
      <c r="BOV36" s="9" t="s">
        <v>2065</v>
      </c>
      <c r="BOW36" s="619">
        <v>1</v>
      </c>
      <c r="BOX36" s="4">
        <v>1000000</v>
      </c>
      <c r="BOY36" s="4">
        <f>BOX36*BOW36</f>
        <v>1000000</v>
      </c>
      <c r="BOZ36" s="9" t="s">
        <v>2066</v>
      </c>
      <c r="BPA36" s="1">
        <v>65</v>
      </c>
      <c r="BPB36" s="619" t="s">
        <v>2063</v>
      </c>
      <c r="BPC36" s="148" t="s">
        <v>2064</v>
      </c>
      <c r="BPD36" s="9" t="s">
        <v>2065</v>
      </c>
      <c r="BPE36" s="619">
        <v>1</v>
      </c>
      <c r="BPF36" s="4">
        <v>1000000</v>
      </c>
      <c r="BPG36" s="4">
        <f>BPF36*BPE36</f>
        <v>1000000</v>
      </c>
      <c r="BPH36" s="9" t="s">
        <v>2066</v>
      </c>
      <c r="BPI36" s="1">
        <v>65</v>
      </c>
      <c r="BPJ36" s="619" t="s">
        <v>2063</v>
      </c>
      <c r="BPK36" s="148" t="s">
        <v>2064</v>
      </c>
      <c r="BPL36" s="9" t="s">
        <v>2065</v>
      </c>
      <c r="BPM36" s="619">
        <v>1</v>
      </c>
      <c r="BPN36" s="4">
        <v>1000000</v>
      </c>
      <c r="BPO36" s="4">
        <f>BPN36*BPM36</f>
        <v>1000000</v>
      </c>
      <c r="BPP36" s="9" t="s">
        <v>2066</v>
      </c>
      <c r="BPQ36" s="1">
        <v>65</v>
      </c>
      <c r="BPR36" s="619" t="s">
        <v>2063</v>
      </c>
      <c r="BPS36" s="148" t="s">
        <v>2064</v>
      </c>
      <c r="BPT36" s="9" t="s">
        <v>2065</v>
      </c>
      <c r="BPU36" s="619">
        <v>1</v>
      </c>
      <c r="BPV36" s="4">
        <v>1000000</v>
      </c>
      <c r="BPW36" s="4">
        <f>BPV36*BPU36</f>
        <v>1000000</v>
      </c>
      <c r="BPX36" s="9" t="s">
        <v>2066</v>
      </c>
      <c r="BPY36" s="1">
        <v>65</v>
      </c>
      <c r="BPZ36" s="619" t="s">
        <v>2063</v>
      </c>
      <c r="BQA36" s="148" t="s">
        <v>2064</v>
      </c>
      <c r="BQB36" s="9" t="s">
        <v>2065</v>
      </c>
      <c r="BQC36" s="619">
        <v>1</v>
      </c>
      <c r="BQD36" s="4">
        <v>1000000</v>
      </c>
      <c r="BQE36" s="4">
        <f>BQD36*BQC36</f>
        <v>1000000</v>
      </c>
      <c r="BQF36" s="9" t="s">
        <v>2066</v>
      </c>
      <c r="BQG36" s="1">
        <v>65</v>
      </c>
      <c r="BQH36" s="619" t="s">
        <v>2063</v>
      </c>
      <c r="BQI36" s="148" t="s">
        <v>2064</v>
      </c>
      <c r="BQJ36" s="9" t="s">
        <v>2065</v>
      </c>
      <c r="BQK36" s="619">
        <v>1</v>
      </c>
      <c r="BQL36" s="4">
        <v>1000000</v>
      </c>
      <c r="BQM36" s="4">
        <f>BQL36*BQK36</f>
        <v>1000000</v>
      </c>
      <c r="BQN36" s="9" t="s">
        <v>2066</v>
      </c>
      <c r="BQO36" s="1">
        <v>65</v>
      </c>
      <c r="BQP36" s="619" t="s">
        <v>2063</v>
      </c>
      <c r="BQQ36" s="148" t="s">
        <v>2064</v>
      </c>
      <c r="BQR36" s="9" t="s">
        <v>2065</v>
      </c>
      <c r="BQS36" s="619">
        <v>1</v>
      </c>
      <c r="BQT36" s="4">
        <v>1000000</v>
      </c>
      <c r="BQU36" s="4">
        <f>BQT36*BQS36</f>
        <v>1000000</v>
      </c>
      <c r="BQV36" s="9" t="s">
        <v>2066</v>
      </c>
      <c r="BQW36" s="1">
        <v>65</v>
      </c>
      <c r="BQX36" s="619" t="s">
        <v>2063</v>
      </c>
      <c r="BQY36" s="148" t="s">
        <v>2064</v>
      </c>
      <c r="BQZ36" s="9" t="s">
        <v>2065</v>
      </c>
      <c r="BRA36" s="619">
        <v>1</v>
      </c>
      <c r="BRB36" s="4">
        <v>1000000</v>
      </c>
      <c r="BRC36" s="4">
        <f>BRB36*BRA36</f>
        <v>1000000</v>
      </c>
      <c r="BRD36" s="9" t="s">
        <v>2066</v>
      </c>
      <c r="BRE36" s="1">
        <v>65</v>
      </c>
      <c r="BRF36" s="619" t="s">
        <v>2063</v>
      </c>
      <c r="BRG36" s="148" t="s">
        <v>2064</v>
      </c>
      <c r="BRH36" s="9" t="s">
        <v>2065</v>
      </c>
      <c r="BRI36" s="619">
        <v>1</v>
      </c>
      <c r="BRJ36" s="4">
        <v>1000000</v>
      </c>
      <c r="BRK36" s="4">
        <f>BRJ36*BRI36</f>
        <v>1000000</v>
      </c>
      <c r="BRL36" s="9" t="s">
        <v>2066</v>
      </c>
      <c r="BRM36" s="1">
        <v>65</v>
      </c>
      <c r="BRN36" s="619" t="s">
        <v>2063</v>
      </c>
      <c r="BRO36" s="148" t="s">
        <v>2064</v>
      </c>
      <c r="BRP36" s="9" t="s">
        <v>2065</v>
      </c>
      <c r="BRQ36" s="619">
        <v>1</v>
      </c>
      <c r="BRR36" s="4">
        <v>1000000</v>
      </c>
      <c r="BRS36" s="4">
        <f>BRR36*BRQ36</f>
        <v>1000000</v>
      </c>
      <c r="BRT36" s="9" t="s">
        <v>2066</v>
      </c>
      <c r="BRU36" s="1">
        <v>65</v>
      </c>
      <c r="BRV36" s="619" t="s">
        <v>2063</v>
      </c>
      <c r="BRW36" s="148" t="s">
        <v>2064</v>
      </c>
      <c r="BRX36" s="9" t="s">
        <v>2065</v>
      </c>
      <c r="BRY36" s="619">
        <v>1</v>
      </c>
      <c r="BRZ36" s="4">
        <v>1000000</v>
      </c>
      <c r="BSA36" s="4">
        <f>BRZ36*BRY36</f>
        <v>1000000</v>
      </c>
      <c r="BSB36" s="9" t="s">
        <v>2066</v>
      </c>
      <c r="BSC36" s="1">
        <v>65</v>
      </c>
      <c r="BSD36" s="619" t="s">
        <v>2063</v>
      </c>
      <c r="BSE36" s="148" t="s">
        <v>2064</v>
      </c>
      <c r="BSF36" s="9" t="s">
        <v>2065</v>
      </c>
      <c r="BSG36" s="619">
        <v>1</v>
      </c>
      <c r="BSH36" s="4">
        <v>1000000</v>
      </c>
      <c r="BSI36" s="4">
        <f>BSH36*BSG36</f>
        <v>1000000</v>
      </c>
      <c r="BSJ36" s="9" t="s">
        <v>2066</v>
      </c>
      <c r="BSK36" s="1">
        <v>65</v>
      </c>
      <c r="BSL36" s="619" t="s">
        <v>2063</v>
      </c>
      <c r="BSM36" s="148" t="s">
        <v>2064</v>
      </c>
      <c r="BSN36" s="9" t="s">
        <v>2065</v>
      </c>
      <c r="BSO36" s="619">
        <v>1</v>
      </c>
      <c r="BSP36" s="4">
        <v>1000000</v>
      </c>
      <c r="BSQ36" s="4">
        <f>BSP36*BSO36</f>
        <v>1000000</v>
      </c>
      <c r="BSR36" s="9" t="s">
        <v>2066</v>
      </c>
      <c r="BSS36" s="1">
        <v>65</v>
      </c>
      <c r="BST36" s="619" t="s">
        <v>2063</v>
      </c>
      <c r="BSU36" s="148" t="s">
        <v>2064</v>
      </c>
      <c r="BSV36" s="9" t="s">
        <v>2065</v>
      </c>
      <c r="BSW36" s="619">
        <v>1</v>
      </c>
      <c r="BSX36" s="4">
        <v>1000000</v>
      </c>
      <c r="BSY36" s="4">
        <f>BSX36*BSW36</f>
        <v>1000000</v>
      </c>
      <c r="BSZ36" s="9" t="s">
        <v>2066</v>
      </c>
      <c r="BTA36" s="1">
        <v>65</v>
      </c>
      <c r="BTB36" s="619" t="s">
        <v>2063</v>
      </c>
      <c r="BTC36" s="148" t="s">
        <v>2064</v>
      </c>
      <c r="BTD36" s="9" t="s">
        <v>2065</v>
      </c>
      <c r="BTE36" s="619">
        <v>1</v>
      </c>
      <c r="BTF36" s="4">
        <v>1000000</v>
      </c>
      <c r="BTG36" s="4">
        <f>BTF36*BTE36</f>
        <v>1000000</v>
      </c>
      <c r="BTH36" s="9" t="s">
        <v>2066</v>
      </c>
      <c r="BTI36" s="1">
        <v>65</v>
      </c>
      <c r="BTJ36" s="619" t="s">
        <v>2063</v>
      </c>
      <c r="BTK36" s="148" t="s">
        <v>2064</v>
      </c>
      <c r="BTL36" s="9" t="s">
        <v>2065</v>
      </c>
      <c r="BTM36" s="619">
        <v>1</v>
      </c>
      <c r="BTN36" s="4">
        <v>1000000</v>
      </c>
      <c r="BTO36" s="4">
        <f>BTN36*BTM36</f>
        <v>1000000</v>
      </c>
      <c r="BTP36" s="9" t="s">
        <v>2066</v>
      </c>
      <c r="BTQ36" s="1">
        <v>65</v>
      </c>
      <c r="BTR36" s="619" t="s">
        <v>2063</v>
      </c>
      <c r="BTS36" s="148" t="s">
        <v>2064</v>
      </c>
      <c r="BTT36" s="9" t="s">
        <v>2065</v>
      </c>
      <c r="BTU36" s="619">
        <v>1</v>
      </c>
      <c r="BTV36" s="4">
        <v>1000000</v>
      </c>
      <c r="BTW36" s="4">
        <f>BTV36*BTU36</f>
        <v>1000000</v>
      </c>
      <c r="BTX36" s="9" t="s">
        <v>2066</v>
      </c>
      <c r="BTY36" s="1">
        <v>65</v>
      </c>
      <c r="BTZ36" s="619" t="s">
        <v>2063</v>
      </c>
      <c r="BUA36" s="148" t="s">
        <v>2064</v>
      </c>
      <c r="BUB36" s="9" t="s">
        <v>2065</v>
      </c>
      <c r="BUC36" s="619">
        <v>1</v>
      </c>
      <c r="BUD36" s="4">
        <v>1000000</v>
      </c>
      <c r="BUE36" s="4">
        <f>BUD36*BUC36</f>
        <v>1000000</v>
      </c>
      <c r="BUF36" s="9" t="s">
        <v>2066</v>
      </c>
      <c r="BUG36" s="1">
        <v>65</v>
      </c>
      <c r="BUH36" s="619" t="s">
        <v>2063</v>
      </c>
      <c r="BUI36" s="148" t="s">
        <v>2064</v>
      </c>
      <c r="BUJ36" s="9" t="s">
        <v>2065</v>
      </c>
      <c r="BUK36" s="619">
        <v>1</v>
      </c>
      <c r="BUL36" s="4">
        <v>1000000</v>
      </c>
      <c r="BUM36" s="4">
        <f>BUL36*BUK36</f>
        <v>1000000</v>
      </c>
      <c r="BUN36" s="9" t="s">
        <v>2066</v>
      </c>
      <c r="BUO36" s="1">
        <v>65</v>
      </c>
      <c r="BUP36" s="619" t="s">
        <v>2063</v>
      </c>
      <c r="BUQ36" s="148" t="s">
        <v>2064</v>
      </c>
      <c r="BUR36" s="9" t="s">
        <v>2065</v>
      </c>
      <c r="BUS36" s="619">
        <v>1</v>
      </c>
      <c r="BUT36" s="4">
        <v>1000000</v>
      </c>
      <c r="BUU36" s="4">
        <f>BUT36*BUS36</f>
        <v>1000000</v>
      </c>
      <c r="BUV36" s="9" t="s">
        <v>2066</v>
      </c>
      <c r="BUW36" s="1">
        <v>65</v>
      </c>
      <c r="BUX36" s="619" t="s">
        <v>2063</v>
      </c>
      <c r="BUY36" s="148" t="s">
        <v>2064</v>
      </c>
      <c r="BUZ36" s="9" t="s">
        <v>2065</v>
      </c>
      <c r="BVA36" s="619">
        <v>1</v>
      </c>
      <c r="BVB36" s="4">
        <v>1000000</v>
      </c>
      <c r="BVC36" s="4">
        <f>BVB36*BVA36</f>
        <v>1000000</v>
      </c>
      <c r="BVD36" s="9" t="s">
        <v>2066</v>
      </c>
      <c r="BVE36" s="1">
        <v>65</v>
      </c>
      <c r="BVF36" s="619" t="s">
        <v>2063</v>
      </c>
      <c r="BVG36" s="148" t="s">
        <v>2064</v>
      </c>
      <c r="BVH36" s="9" t="s">
        <v>2065</v>
      </c>
      <c r="BVI36" s="619">
        <v>1</v>
      </c>
      <c r="BVJ36" s="4">
        <v>1000000</v>
      </c>
      <c r="BVK36" s="4">
        <f>BVJ36*BVI36</f>
        <v>1000000</v>
      </c>
      <c r="BVL36" s="9" t="s">
        <v>2066</v>
      </c>
      <c r="BVM36" s="1">
        <v>65</v>
      </c>
      <c r="BVN36" s="619" t="s">
        <v>2063</v>
      </c>
      <c r="BVO36" s="148" t="s">
        <v>2064</v>
      </c>
      <c r="BVP36" s="9" t="s">
        <v>2065</v>
      </c>
      <c r="BVQ36" s="619">
        <v>1</v>
      </c>
      <c r="BVR36" s="4">
        <v>1000000</v>
      </c>
      <c r="BVS36" s="4">
        <f>BVR36*BVQ36</f>
        <v>1000000</v>
      </c>
      <c r="BVT36" s="9" t="s">
        <v>2066</v>
      </c>
      <c r="BVU36" s="1">
        <v>65</v>
      </c>
      <c r="BVV36" s="619" t="s">
        <v>2063</v>
      </c>
      <c r="BVW36" s="148" t="s">
        <v>2064</v>
      </c>
      <c r="BVX36" s="9" t="s">
        <v>2065</v>
      </c>
      <c r="BVY36" s="619">
        <v>1</v>
      </c>
      <c r="BVZ36" s="4">
        <v>1000000</v>
      </c>
      <c r="BWA36" s="4">
        <f>BVZ36*BVY36</f>
        <v>1000000</v>
      </c>
      <c r="BWB36" s="9" t="s">
        <v>2066</v>
      </c>
      <c r="BWC36" s="1">
        <v>65</v>
      </c>
      <c r="BWD36" s="619" t="s">
        <v>2063</v>
      </c>
      <c r="BWE36" s="148" t="s">
        <v>2064</v>
      </c>
      <c r="BWF36" s="9" t="s">
        <v>2065</v>
      </c>
      <c r="BWG36" s="619">
        <v>1</v>
      </c>
      <c r="BWH36" s="4">
        <v>1000000</v>
      </c>
      <c r="BWI36" s="4">
        <f>BWH36*BWG36</f>
        <v>1000000</v>
      </c>
      <c r="BWJ36" s="9" t="s">
        <v>2066</v>
      </c>
      <c r="BWK36" s="1">
        <v>65</v>
      </c>
      <c r="BWL36" s="619" t="s">
        <v>2063</v>
      </c>
      <c r="BWM36" s="148" t="s">
        <v>2064</v>
      </c>
      <c r="BWN36" s="9" t="s">
        <v>2065</v>
      </c>
      <c r="BWO36" s="619">
        <v>1</v>
      </c>
      <c r="BWP36" s="4">
        <v>1000000</v>
      </c>
      <c r="BWQ36" s="4">
        <f>BWP36*BWO36</f>
        <v>1000000</v>
      </c>
      <c r="BWR36" s="9" t="s">
        <v>2066</v>
      </c>
      <c r="BWS36" s="1">
        <v>65</v>
      </c>
      <c r="BWT36" s="619" t="s">
        <v>2063</v>
      </c>
      <c r="BWU36" s="148" t="s">
        <v>2064</v>
      </c>
      <c r="BWV36" s="9" t="s">
        <v>2065</v>
      </c>
      <c r="BWW36" s="619">
        <v>1</v>
      </c>
      <c r="BWX36" s="4">
        <v>1000000</v>
      </c>
      <c r="BWY36" s="4">
        <f>BWX36*BWW36</f>
        <v>1000000</v>
      </c>
      <c r="BWZ36" s="9" t="s">
        <v>2066</v>
      </c>
      <c r="BXA36" s="1">
        <v>65</v>
      </c>
      <c r="BXB36" s="619" t="s">
        <v>2063</v>
      </c>
      <c r="BXC36" s="148" t="s">
        <v>2064</v>
      </c>
      <c r="BXD36" s="9" t="s">
        <v>2065</v>
      </c>
      <c r="BXE36" s="619">
        <v>1</v>
      </c>
      <c r="BXF36" s="4">
        <v>1000000</v>
      </c>
      <c r="BXG36" s="4">
        <f>BXF36*BXE36</f>
        <v>1000000</v>
      </c>
      <c r="BXH36" s="9" t="s">
        <v>2066</v>
      </c>
      <c r="BXI36" s="1">
        <v>65</v>
      </c>
      <c r="BXJ36" s="619" t="s">
        <v>2063</v>
      </c>
      <c r="BXK36" s="148" t="s">
        <v>2064</v>
      </c>
      <c r="BXL36" s="9" t="s">
        <v>2065</v>
      </c>
      <c r="BXM36" s="619">
        <v>1</v>
      </c>
      <c r="BXN36" s="4">
        <v>1000000</v>
      </c>
      <c r="BXO36" s="4">
        <f>BXN36*BXM36</f>
        <v>1000000</v>
      </c>
      <c r="BXP36" s="9" t="s">
        <v>2066</v>
      </c>
      <c r="BXQ36" s="1">
        <v>65</v>
      </c>
      <c r="BXR36" s="619" t="s">
        <v>2063</v>
      </c>
      <c r="BXS36" s="148" t="s">
        <v>2064</v>
      </c>
      <c r="BXT36" s="9" t="s">
        <v>2065</v>
      </c>
      <c r="BXU36" s="619">
        <v>1</v>
      </c>
      <c r="BXV36" s="4">
        <v>1000000</v>
      </c>
      <c r="BXW36" s="4">
        <f>BXV36*BXU36</f>
        <v>1000000</v>
      </c>
      <c r="BXX36" s="9" t="s">
        <v>2066</v>
      </c>
      <c r="BXY36" s="1">
        <v>65</v>
      </c>
      <c r="BXZ36" s="619" t="s">
        <v>2063</v>
      </c>
      <c r="BYA36" s="148" t="s">
        <v>2064</v>
      </c>
      <c r="BYB36" s="9" t="s">
        <v>2065</v>
      </c>
      <c r="BYC36" s="619">
        <v>1</v>
      </c>
      <c r="BYD36" s="4">
        <v>1000000</v>
      </c>
      <c r="BYE36" s="4">
        <f>BYD36*BYC36</f>
        <v>1000000</v>
      </c>
      <c r="BYF36" s="9" t="s">
        <v>2066</v>
      </c>
      <c r="BYG36" s="1">
        <v>65</v>
      </c>
      <c r="BYH36" s="619" t="s">
        <v>2063</v>
      </c>
      <c r="BYI36" s="148" t="s">
        <v>2064</v>
      </c>
      <c r="BYJ36" s="9" t="s">
        <v>2065</v>
      </c>
      <c r="BYK36" s="619">
        <v>1</v>
      </c>
      <c r="BYL36" s="4">
        <v>1000000</v>
      </c>
      <c r="BYM36" s="4">
        <f>BYL36*BYK36</f>
        <v>1000000</v>
      </c>
      <c r="BYN36" s="9" t="s">
        <v>2066</v>
      </c>
      <c r="BYO36" s="1">
        <v>65</v>
      </c>
      <c r="BYP36" s="619" t="s">
        <v>2063</v>
      </c>
      <c r="BYQ36" s="148" t="s">
        <v>2064</v>
      </c>
      <c r="BYR36" s="9" t="s">
        <v>2065</v>
      </c>
      <c r="BYS36" s="619">
        <v>1</v>
      </c>
      <c r="BYT36" s="4">
        <v>1000000</v>
      </c>
      <c r="BYU36" s="4">
        <f>BYT36*BYS36</f>
        <v>1000000</v>
      </c>
      <c r="BYV36" s="9" t="s">
        <v>2066</v>
      </c>
      <c r="BYW36" s="1">
        <v>65</v>
      </c>
      <c r="BYX36" s="619" t="s">
        <v>2063</v>
      </c>
      <c r="BYY36" s="148" t="s">
        <v>2064</v>
      </c>
      <c r="BYZ36" s="9" t="s">
        <v>2065</v>
      </c>
      <c r="BZA36" s="619">
        <v>1</v>
      </c>
      <c r="BZB36" s="4">
        <v>1000000</v>
      </c>
      <c r="BZC36" s="4">
        <f>BZB36*BZA36</f>
        <v>1000000</v>
      </c>
      <c r="BZD36" s="9" t="s">
        <v>2066</v>
      </c>
      <c r="BZE36" s="1">
        <v>65</v>
      </c>
      <c r="BZF36" s="619" t="s">
        <v>2063</v>
      </c>
      <c r="BZG36" s="148" t="s">
        <v>2064</v>
      </c>
      <c r="BZH36" s="9" t="s">
        <v>2065</v>
      </c>
      <c r="BZI36" s="619">
        <v>1</v>
      </c>
      <c r="BZJ36" s="4">
        <v>1000000</v>
      </c>
      <c r="BZK36" s="4">
        <f>BZJ36*BZI36</f>
        <v>1000000</v>
      </c>
      <c r="BZL36" s="9" t="s">
        <v>2066</v>
      </c>
      <c r="BZM36" s="1">
        <v>65</v>
      </c>
      <c r="BZN36" s="619" t="s">
        <v>2063</v>
      </c>
      <c r="BZO36" s="148" t="s">
        <v>2064</v>
      </c>
      <c r="BZP36" s="9" t="s">
        <v>2065</v>
      </c>
      <c r="BZQ36" s="619">
        <v>1</v>
      </c>
      <c r="BZR36" s="4">
        <v>1000000</v>
      </c>
      <c r="BZS36" s="4">
        <f>BZR36*BZQ36</f>
        <v>1000000</v>
      </c>
      <c r="BZT36" s="9" t="s">
        <v>2066</v>
      </c>
      <c r="BZU36" s="1">
        <v>65</v>
      </c>
      <c r="BZV36" s="619" t="s">
        <v>2063</v>
      </c>
      <c r="BZW36" s="148" t="s">
        <v>2064</v>
      </c>
      <c r="BZX36" s="9" t="s">
        <v>2065</v>
      </c>
      <c r="BZY36" s="619">
        <v>1</v>
      </c>
      <c r="BZZ36" s="4">
        <v>1000000</v>
      </c>
      <c r="CAA36" s="4">
        <f>BZZ36*BZY36</f>
        <v>1000000</v>
      </c>
      <c r="CAB36" s="9" t="s">
        <v>2066</v>
      </c>
      <c r="CAC36" s="1">
        <v>65</v>
      </c>
      <c r="CAD36" s="619" t="s">
        <v>2063</v>
      </c>
      <c r="CAE36" s="148" t="s">
        <v>2064</v>
      </c>
      <c r="CAF36" s="9" t="s">
        <v>2065</v>
      </c>
      <c r="CAG36" s="619">
        <v>1</v>
      </c>
      <c r="CAH36" s="4">
        <v>1000000</v>
      </c>
      <c r="CAI36" s="4">
        <f>CAH36*CAG36</f>
        <v>1000000</v>
      </c>
      <c r="CAJ36" s="9" t="s">
        <v>2066</v>
      </c>
      <c r="CAK36" s="1">
        <v>65</v>
      </c>
      <c r="CAL36" s="619" t="s">
        <v>2063</v>
      </c>
      <c r="CAM36" s="148" t="s">
        <v>2064</v>
      </c>
      <c r="CAN36" s="9" t="s">
        <v>2065</v>
      </c>
      <c r="CAO36" s="619">
        <v>1</v>
      </c>
      <c r="CAP36" s="4">
        <v>1000000</v>
      </c>
      <c r="CAQ36" s="4">
        <f>CAP36*CAO36</f>
        <v>1000000</v>
      </c>
      <c r="CAR36" s="9" t="s">
        <v>2066</v>
      </c>
      <c r="CAS36" s="1">
        <v>65</v>
      </c>
      <c r="CAT36" s="619" t="s">
        <v>2063</v>
      </c>
      <c r="CAU36" s="148" t="s">
        <v>2064</v>
      </c>
      <c r="CAV36" s="9" t="s">
        <v>2065</v>
      </c>
      <c r="CAW36" s="619">
        <v>1</v>
      </c>
      <c r="CAX36" s="4">
        <v>1000000</v>
      </c>
      <c r="CAY36" s="4">
        <f>CAX36*CAW36</f>
        <v>1000000</v>
      </c>
      <c r="CAZ36" s="9" t="s">
        <v>2066</v>
      </c>
      <c r="CBA36" s="1">
        <v>65</v>
      </c>
      <c r="CBB36" s="619" t="s">
        <v>2063</v>
      </c>
      <c r="CBC36" s="148" t="s">
        <v>2064</v>
      </c>
      <c r="CBD36" s="9" t="s">
        <v>2065</v>
      </c>
      <c r="CBE36" s="619">
        <v>1</v>
      </c>
      <c r="CBF36" s="4">
        <v>1000000</v>
      </c>
      <c r="CBG36" s="4">
        <f>CBF36*CBE36</f>
        <v>1000000</v>
      </c>
      <c r="CBH36" s="9" t="s">
        <v>2066</v>
      </c>
      <c r="CBI36" s="1">
        <v>65</v>
      </c>
      <c r="CBJ36" s="619" t="s">
        <v>2063</v>
      </c>
      <c r="CBK36" s="148" t="s">
        <v>2064</v>
      </c>
      <c r="CBL36" s="9" t="s">
        <v>2065</v>
      </c>
      <c r="CBM36" s="619">
        <v>1</v>
      </c>
      <c r="CBN36" s="4">
        <v>1000000</v>
      </c>
      <c r="CBO36" s="4">
        <f>CBN36*CBM36</f>
        <v>1000000</v>
      </c>
      <c r="CBP36" s="9" t="s">
        <v>2066</v>
      </c>
      <c r="CBQ36" s="1">
        <v>65</v>
      </c>
      <c r="CBR36" s="619" t="s">
        <v>2063</v>
      </c>
      <c r="CBS36" s="148" t="s">
        <v>2064</v>
      </c>
      <c r="CBT36" s="9" t="s">
        <v>2065</v>
      </c>
      <c r="CBU36" s="619">
        <v>1</v>
      </c>
      <c r="CBV36" s="4">
        <v>1000000</v>
      </c>
      <c r="CBW36" s="4">
        <f>CBV36*CBU36</f>
        <v>1000000</v>
      </c>
      <c r="CBX36" s="9" t="s">
        <v>2066</v>
      </c>
      <c r="CBY36" s="1">
        <v>65</v>
      </c>
      <c r="CBZ36" s="619" t="s">
        <v>2063</v>
      </c>
      <c r="CCA36" s="148" t="s">
        <v>2064</v>
      </c>
      <c r="CCB36" s="9" t="s">
        <v>2065</v>
      </c>
      <c r="CCC36" s="619">
        <v>1</v>
      </c>
      <c r="CCD36" s="4">
        <v>1000000</v>
      </c>
      <c r="CCE36" s="4">
        <f>CCD36*CCC36</f>
        <v>1000000</v>
      </c>
      <c r="CCF36" s="9" t="s">
        <v>2066</v>
      </c>
      <c r="CCG36" s="1">
        <v>65</v>
      </c>
      <c r="CCH36" s="619" t="s">
        <v>2063</v>
      </c>
      <c r="CCI36" s="148" t="s">
        <v>2064</v>
      </c>
      <c r="CCJ36" s="9" t="s">
        <v>2065</v>
      </c>
      <c r="CCK36" s="619">
        <v>1</v>
      </c>
      <c r="CCL36" s="4">
        <v>1000000</v>
      </c>
      <c r="CCM36" s="4">
        <f>CCL36*CCK36</f>
        <v>1000000</v>
      </c>
      <c r="CCN36" s="9" t="s">
        <v>2066</v>
      </c>
      <c r="CCO36" s="1">
        <v>65</v>
      </c>
      <c r="CCP36" s="619" t="s">
        <v>2063</v>
      </c>
      <c r="CCQ36" s="148" t="s">
        <v>2064</v>
      </c>
      <c r="CCR36" s="9" t="s">
        <v>2065</v>
      </c>
      <c r="CCS36" s="619">
        <v>1</v>
      </c>
      <c r="CCT36" s="4">
        <v>1000000</v>
      </c>
      <c r="CCU36" s="4">
        <f>CCT36*CCS36</f>
        <v>1000000</v>
      </c>
      <c r="CCV36" s="9" t="s">
        <v>2066</v>
      </c>
      <c r="CCW36" s="1">
        <v>65</v>
      </c>
      <c r="CCX36" s="619" t="s">
        <v>2063</v>
      </c>
      <c r="CCY36" s="148" t="s">
        <v>2064</v>
      </c>
      <c r="CCZ36" s="9" t="s">
        <v>2065</v>
      </c>
      <c r="CDA36" s="619">
        <v>1</v>
      </c>
      <c r="CDB36" s="4">
        <v>1000000</v>
      </c>
      <c r="CDC36" s="4">
        <f>CDB36*CDA36</f>
        <v>1000000</v>
      </c>
      <c r="CDD36" s="9" t="s">
        <v>2066</v>
      </c>
      <c r="CDE36" s="1">
        <v>65</v>
      </c>
      <c r="CDF36" s="619" t="s">
        <v>2063</v>
      </c>
      <c r="CDG36" s="148" t="s">
        <v>2064</v>
      </c>
      <c r="CDH36" s="9" t="s">
        <v>2065</v>
      </c>
      <c r="CDI36" s="619">
        <v>1</v>
      </c>
      <c r="CDJ36" s="4">
        <v>1000000</v>
      </c>
      <c r="CDK36" s="4">
        <f>CDJ36*CDI36</f>
        <v>1000000</v>
      </c>
      <c r="CDL36" s="9" t="s">
        <v>2066</v>
      </c>
      <c r="CDM36" s="1">
        <v>65</v>
      </c>
      <c r="CDN36" s="619" t="s">
        <v>2063</v>
      </c>
      <c r="CDO36" s="148" t="s">
        <v>2064</v>
      </c>
      <c r="CDP36" s="9" t="s">
        <v>2065</v>
      </c>
      <c r="CDQ36" s="619">
        <v>1</v>
      </c>
      <c r="CDR36" s="4">
        <v>1000000</v>
      </c>
      <c r="CDS36" s="4">
        <f>CDR36*CDQ36</f>
        <v>1000000</v>
      </c>
      <c r="CDT36" s="9" t="s">
        <v>2066</v>
      </c>
      <c r="CDU36" s="1">
        <v>65</v>
      </c>
      <c r="CDV36" s="619" t="s">
        <v>2063</v>
      </c>
      <c r="CDW36" s="148" t="s">
        <v>2064</v>
      </c>
      <c r="CDX36" s="9" t="s">
        <v>2065</v>
      </c>
      <c r="CDY36" s="619">
        <v>1</v>
      </c>
      <c r="CDZ36" s="4">
        <v>1000000</v>
      </c>
      <c r="CEA36" s="4">
        <f>CDZ36*CDY36</f>
        <v>1000000</v>
      </c>
      <c r="CEB36" s="9" t="s">
        <v>2066</v>
      </c>
      <c r="CEC36" s="1">
        <v>65</v>
      </c>
      <c r="CED36" s="619" t="s">
        <v>2063</v>
      </c>
      <c r="CEE36" s="148" t="s">
        <v>2064</v>
      </c>
      <c r="CEF36" s="9" t="s">
        <v>2065</v>
      </c>
      <c r="CEG36" s="619">
        <v>1</v>
      </c>
      <c r="CEH36" s="4">
        <v>1000000</v>
      </c>
      <c r="CEI36" s="4">
        <f>CEH36*CEG36</f>
        <v>1000000</v>
      </c>
      <c r="CEJ36" s="9" t="s">
        <v>2066</v>
      </c>
      <c r="CEK36" s="1">
        <v>65</v>
      </c>
      <c r="CEL36" s="619" t="s">
        <v>2063</v>
      </c>
      <c r="CEM36" s="148" t="s">
        <v>2064</v>
      </c>
      <c r="CEN36" s="9" t="s">
        <v>2065</v>
      </c>
      <c r="CEO36" s="619">
        <v>1</v>
      </c>
      <c r="CEP36" s="4">
        <v>1000000</v>
      </c>
      <c r="CEQ36" s="4">
        <f>CEP36*CEO36</f>
        <v>1000000</v>
      </c>
      <c r="CER36" s="9" t="s">
        <v>2066</v>
      </c>
      <c r="CES36" s="1">
        <v>65</v>
      </c>
      <c r="CET36" s="619" t="s">
        <v>2063</v>
      </c>
      <c r="CEU36" s="148" t="s">
        <v>2064</v>
      </c>
      <c r="CEV36" s="9" t="s">
        <v>2065</v>
      </c>
      <c r="CEW36" s="619">
        <v>1</v>
      </c>
      <c r="CEX36" s="4">
        <v>1000000</v>
      </c>
      <c r="CEY36" s="4">
        <f>CEX36*CEW36</f>
        <v>1000000</v>
      </c>
      <c r="CEZ36" s="9" t="s">
        <v>2066</v>
      </c>
      <c r="CFA36" s="1">
        <v>65</v>
      </c>
      <c r="CFB36" s="619" t="s">
        <v>2063</v>
      </c>
      <c r="CFC36" s="148" t="s">
        <v>2064</v>
      </c>
      <c r="CFD36" s="9" t="s">
        <v>2065</v>
      </c>
      <c r="CFE36" s="619">
        <v>1</v>
      </c>
      <c r="CFF36" s="4">
        <v>1000000</v>
      </c>
      <c r="CFG36" s="4">
        <f>CFF36*CFE36</f>
        <v>1000000</v>
      </c>
      <c r="CFH36" s="9" t="s">
        <v>2066</v>
      </c>
      <c r="CFI36" s="1">
        <v>65</v>
      </c>
      <c r="CFJ36" s="619" t="s">
        <v>2063</v>
      </c>
      <c r="CFK36" s="148" t="s">
        <v>2064</v>
      </c>
      <c r="CFL36" s="9" t="s">
        <v>2065</v>
      </c>
      <c r="CFM36" s="619">
        <v>1</v>
      </c>
      <c r="CFN36" s="4">
        <v>1000000</v>
      </c>
      <c r="CFO36" s="4">
        <f>CFN36*CFM36</f>
        <v>1000000</v>
      </c>
      <c r="CFP36" s="9" t="s">
        <v>2066</v>
      </c>
      <c r="CFQ36" s="1">
        <v>65</v>
      </c>
      <c r="CFR36" s="619" t="s">
        <v>2063</v>
      </c>
      <c r="CFS36" s="148" t="s">
        <v>2064</v>
      </c>
      <c r="CFT36" s="9" t="s">
        <v>2065</v>
      </c>
      <c r="CFU36" s="619">
        <v>1</v>
      </c>
      <c r="CFV36" s="4">
        <v>1000000</v>
      </c>
      <c r="CFW36" s="4">
        <f>CFV36*CFU36</f>
        <v>1000000</v>
      </c>
      <c r="CFX36" s="9" t="s">
        <v>2066</v>
      </c>
      <c r="CFY36" s="1">
        <v>65</v>
      </c>
      <c r="CFZ36" s="619" t="s">
        <v>2063</v>
      </c>
      <c r="CGA36" s="148" t="s">
        <v>2064</v>
      </c>
      <c r="CGB36" s="9" t="s">
        <v>2065</v>
      </c>
      <c r="CGC36" s="619">
        <v>1</v>
      </c>
      <c r="CGD36" s="4">
        <v>1000000</v>
      </c>
      <c r="CGE36" s="4">
        <f>CGD36*CGC36</f>
        <v>1000000</v>
      </c>
      <c r="CGF36" s="9" t="s">
        <v>2066</v>
      </c>
      <c r="CGG36" s="1">
        <v>65</v>
      </c>
      <c r="CGH36" s="619" t="s">
        <v>2063</v>
      </c>
      <c r="CGI36" s="148" t="s">
        <v>2064</v>
      </c>
      <c r="CGJ36" s="9" t="s">
        <v>2065</v>
      </c>
      <c r="CGK36" s="619">
        <v>1</v>
      </c>
      <c r="CGL36" s="4">
        <v>1000000</v>
      </c>
      <c r="CGM36" s="4">
        <f>CGL36*CGK36</f>
        <v>1000000</v>
      </c>
      <c r="CGN36" s="9" t="s">
        <v>2066</v>
      </c>
      <c r="CGO36" s="1">
        <v>65</v>
      </c>
      <c r="CGP36" s="619" t="s">
        <v>2063</v>
      </c>
      <c r="CGQ36" s="148" t="s">
        <v>2064</v>
      </c>
      <c r="CGR36" s="9" t="s">
        <v>2065</v>
      </c>
      <c r="CGS36" s="619">
        <v>1</v>
      </c>
      <c r="CGT36" s="4">
        <v>1000000</v>
      </c>
      <c r="CGU36" s="4">
        <f>CGT36*CGS36</f>
        <v>1000000</v>
      </c>
      <c r="CGV36" s="9" t="s">
        <v>2066</v>
      </c>
      <c r="CGW36" s="1">
        <v>65</v>
      </c>
      <c r="CGX36" s="619" t="s">
        <v>2063</v>
      </c>
      <c r="CGY36" s="148" t="s">
        <v>2064</v>
      </c>
      <c r="CGZ36" s="9" t="s">
        <v>2065</v>
      </c>
      <c r="CHA36" s="619">
        <v>1</v>
      </c>
      <c r="CHB36" s="4">
        <v>1000000</v>
      </c>
      <c r="CHC36" s="4">
        <f>CHB36*CHA36</f>
        <v>1000000</v>
      </c>
      <c r="CHD36" s="9" t="s">
        <v>2066</v>
      </c>
      <c r="CHE36" s="1">
        <v>65</v>
      </c>
      <c r="CHF36" s="619" t="s">
        <v>2063</v>
      </c>
      <c r="CHG36" s="148" t="s">
        <v>2064</v>
      </c>
      <c r="CHH36" s="9" t="s">
        <v>2065</v>
      </c>
      <c r="CHI36" s="619">
        <v>1</v>
      </c>
      <c r="CHJ36" s="4">
        <v>1000000</v>
      </c>
      <c r="CHK36" s="4">
        <f>CHJ36*CHI36</f>
        <v>1000000</v>
      </c>
      <c r="CHL36" s="9" t="s">
        <v>2066</v>
      </c>
      <c r="CHM36" s="1">
        <v>65</v>
      </c>
      <c r="CHN36" s="619" t="s">
        <v>2063</v>
      </c>
      <c r="CHO36" s="148" t="s">
        <v>2064</v>
      </c>
      <c r="CHP36" s="9" t="s">
        <v>2065</v>
      </c>
      <c r="CHQ36" s="619">
        <v>1</v>
      </c>
      <c r="CHR36" s="4">
        <v>1000000</v>
      </c>
      <c r="CHS36" s="4">
        <f>CHR36*CHQ36</f>
        <v>1000000</v>
      </c>
      <c r="CHT36" s="9" t="s">
        <v>2066</v>
      </c>
      <c r="CHU36" s="1">
        <v>65</v>
      </c>
      <c r="CHV36" s="619" t="s">
        <v>2063</v>
      </c>
      <c r="CHW36" s="148" t="s">
        <v>2064</v>
      </c>
      <c r="CHX36" s="9" t="s">
        <v>2065</v>
      </c>
      <c r="CHY36" s="619">
        <v>1</v>
      </c>
      <c r="CHZ36" s="4">
        <v>1000000</v>
      </c>
      <c r="CIA36" s="4">
        <f>CHZ36*CHY36</f>
        <v>1000000</v>
      </c>
      <c r="CIB36" s="9" t="s">
        <v>2066</v>
      </c>
      <c r="CIC36" s="1">
        <v>65</v>
      </c>
      <c r="CID36" s="619" t="s">
        <v>2063</v>
      </c>
      <c r="CIE36" s="148" t="s">
        <v>2064</v>
      </c>
      <c r="CIF36" s="9" t="s">
        <v>2065</v>
      </c>
      <c r="CIG36" s="619">
        <v>1</v>
      </c>
      <c r="CIH36" s="4">
        <v>1000000</v>
      </c>
      <c r="CII36" s="4">
        <f>CIH36*CIG36</f>
        <v>1000000</v>
      </c>
      <c r="CIJ36" s="9" t="s">
        <v>2066</v>
      </c>
      <c r="CIK36" s="1">
        <v>65</v>
      </c>
      <c r="CIL36" s="619" t="s">
        <v>2063</v>
      </c>
      <c r="CIM36" s="148" t="s">
        <v>2064</v>
      </c>
      <c r="CIN36" s="9" t="s">
        <v>2065</v>
      </c>
      <c r="CIO36" s="619">
        <v>1</v>
      </c>
      <c r="CIP36" s="4">
        <v>1000000</v>
      </c>
      <c r="CIQ36" s="4">
        <f>CIP36*CIO36</f>
        <v>1000000</v>
      </c>
      <c r="CIR36" s="9" t="s">
        <v>2066</v>
      </c>
      <c r="CIS36" s="1">
        <v>65</v>
      </c>
      <c r="CIT36" s="619" t="s">
        <v>2063</v>
      </c>
      <c r="CIU36" s="148" t="s">
        <v>2064</v>
      </c>
      <c r="CIV36" s="9" t="s">
        <v>2065</v>
      </c>
      <c r="CIW36" s="619">
        <v>1</v>
      </c>
      <c r="CIX36" s="4">
        <v>1000000</v>
      </c>
      <c r="CIY36" s="4">
        <f>CIX36*CIW36</f>
        <v>1000000</v>
      </c>
      <c r="CIZ36" s="9" t="s">
        <v>2066</v>
      </c>
      <c r="CJA36" s="1">
        <v>65</v>
      </c>
      <c r="CJB36" s="619" t="s">
        <v>2063</v>
      </c>
      <c r="CJC36" s="148" t="s">
        <v>2064</v>
      </c>
      <c r="CJD36" s="9" t="s">
        <v>2065</v>
      </c>
      <c r="CJE36" s="619">
        <v>1</v>
      </c>
      <c r="CJF36" s="4">
        <v>1000000</v>
      </c>
      <c r="CJG36" s="4">
        <f>CJF36*CJE36</f>
        <v>1000000</v>
      </c>
      <c r="CJH36" s="9" t="s">
        <v>2066</v>
      </c>
      <c r="CJI36" s="1">
        <v>65</v>
      </c>
      <c r="CJJ36" s="619" t="s">
        <v>2063</v>
      </c>
      <c r="CJK36" s="148" t="s">
        <v>2064</v>
      </c>
      <c r="CJL36" s="9" t="s">
        <v>2065</v>
      </c>
      <c r="CJM36" s="619">
        <v>1</v>
      </c>
      <c r="CJN36" s="4">
        <v>1000000</v>
      </c>
      <c r="CJO36" s="4">
        <f>CJN36*CJM36</f>
        <v>1000000</v>
      </c>
      <c r="CJP36" s="9" t="s">
        <v>2066</v>
      </c>
      <c r="CJQ36" s="1">
        <v>65</v>
      </c>
      <c r="CJR36" s="619" t="s">
        <v>2063</v>
      </c>
      <c r="CJS36" s="148" t="s">
        <v>2064</v>
      </c>
      <c r="CJT36" s="9" t="s">
        <v>2065</v>
      </c>
      <c r="CJU36" s="619">
        <v>1</v>
      </c>
      <c r="CJV36" s="4">
        <v>1000000</v>
      </c>
      <c r="CJW36" s="4">
        <f>CJV36*CJU36</f>
        <v>1000000</v>
      </c>
      <c r="CJX36" s="9" t="s">
        <v>2066</v>
      </c>
      <c r="CJY36" s="1">
        <v>65</v>
      </c>
      <c r="CJZ36" s="619" t="s">
        <v>2063</v>
      </c>
      <c r="CKA36" s="148" t="s">
        <v>2064</v>
      </c>
      <c r="CKB36" s="9" t="s">
        <v>2065</v>
      </c>
      <c r="CKC36" s="619">
        <v>1</v>
      </c>
      <c r="CKD36" s="4">
        <v>1000000</v>
      </c>
      <c r="CKE36" s="4">
        <f>CKD36*CKC36</f>
        <v>1000000</v>
      </c>
      <c r="CKF36" s="9" t="s">
        <v>2066</v>
      </c>
      <c r="CKG36" s="1">
        <v>65</v>
      </c>
      <c r="CKH36" s="619" t="s">
        <v>2063</v>
      </c>
      <c r="CKI36" s="148" t="s">
        <v>2064</v>
      </c>
      <c r="CKJ36" s="9" t="s">
        <v>2065</v>
      </c>
      <c r="CKK36" s="619">
        <v>1</v>
      </c>
      <c r="CKL36" s="4">
        <v>1000000</v>
      </c>
      <c r="CKM36" s="4">
        <f>CKL36*CKK36</f>
        <v>1000000</v>
      </c>
      <c r="CKN36" s="9" t="s">
        <v>2066</v>
      </c>
      <c r="CKO36" s="1">
        <v>65</v>
      </c>
      <c r="CKP36" s="619" t="s">
        <v>2063</v>
      </c>
      <c r="CKQ36" s="148" t="s">
        <v>2064</v>
      </c>
      <c r="CKR36" s="9" t="s">
        <v>2065</v>
      </c>
      <c r="CKS36" s="619">
        <v>1</v>
      </c>
      <c r="CKT36" s="4">
        <v>1000000</v>
      </c>
      <c r="CKU36" s="4">
        <f>CKT36*CKS36</f>
        <v>1000000</v>
      </c>
      <c r="CKV36" s="9" t="s">
        <v>2066</v>
      </c>
      <c r="CKW36" s="1">
        <v>65</v>
      </c>
      <c r="CKX36" s="619" t="s">
        <v>2063</v>
      </c>
      <c r="CKY36" s="148" t="s">
        <v>2064</v>
      </c>
      <c r="CKZ36" s="9" t="s">
        <v>2065</v>
      </c>
      <c r="CLA36" s="619">
        <v>1</v>
      </c>
      <c r="CLB36" s="4">
        <v>1000000</v>
      </c>
      <c r="CLC36" s="4">
        <f>CLB36*CLA36</f>
        <v>1000000</v>
      </c>
      <c r="CLD36" s="9" t="s">
        <v>2066</v>
      </c>
      <c r="CLE36" s="1">
        <v>65</v>
      </c>
      <c r="CLF36" s="619" t="s">
        <v>2063</v>
      </c>
      <c r="CLG36" s="148" t="s">
        <v>2064</v>
      </c>
      <c r="CLH36" s="9" t="s">
        <v>2065</v>
      </c>
      <c r="CLI36" s="619">
        <v>1</v>
      </c>
      <c r="CLJ36" s="4">
        <v>1000000</v>
      </c>
      <c r="CLK36" s="4">
        <f>CLJ36*CLI36</f>
        <v>1000000</v>
      </c>
      <c r="CLL36" s="9" t="s">
        <v>2066</v>
      </c>
      <c r="CLM36" s="1">
        <v>65</v>
      </c>
      <c r="CLN36" s="619" t="s">
        <v>2063</v>
      </c>
      <c r="CLO36" s="148" t="s">
        <v>2064</v>
      </c>
      <c r="CLP36" s="9" t="s">
        <v>2065</v>
      </c>
      <c r="CLQ36" s="619">
        <v>1</v>
      </c>
      <c r="CLR36" s="4">
        <v>1000000</v>
      </c>
      <c r="CLS36" s="4">
        <f>CLR36*CLQ36</f>
        <v>1000000</v>
      </c>
      <c r="CLT36" s="9" t="s">
        <v>2066</v>
      </c>
      <c r="CLU36" s="1">
        <v>65</v>
      </c>
      <c r="CLV36" s="619" t="s">
        <v>2063</v>
      </c>
      <c r="CLW36" s="148" t="s">
        <v>2064</v>
      </c>
      <c r="CLX36" s="9" t="s">
        <v>2065</v>
      </c>
      <c r="CLY36" s="619">
        <v>1</v>
      </c>
      <c r="CLZ36" s="4">
        <v>1000000</v>
      </c>
      <c r="CMA36" s="4">
        <f>CLZ36*CLY36</f>
        <v>1000000</v>
      </c>
      <c r="CMB36" s="9" t="s">
        <v>2066</v>
      </c>
      <c r="CMC36" s="1">
        <v>65</v>
      </c>
      <c r="CMD36" s="619" t="s">
        <v>2063</v>
      </c>
      <c r="CME36" s="148" t="s">
        <v>2064</v>
      </c>
      <c r="CMF36" s="9" t="s">
        <v>2065</v>
      </c>
      <c r="CMG36" s="619">
        <v>1</v>
      </c>
      <c r="CMH36" s="4">
        <v>1000000</v>
      </c>
      <c r="CMI36" s="4">
        <f>CMH36*CMG36</f>
        <v>1000000</v>
      </c>
      <c r="CMJ36" s="9" t="s">
        <v>2066</v>
      </c>
      <c r="CMK36" s="1">
        <v>65</v>
      </c>
      <c r="CML36" s="619" t="s">
        <v>2063</v>
      </c>
      <c r="CMM36" s="148" t="s">
        <v>2064</v>
      </c>
      <c r="CMN36" s="9" t="s">
        <v>2065</v>
      </c>
      <c r="CMO36" s="619">
        <v>1</v>
      </c>
      <c r="CMP36" s="4">
        <v>1000000</v>
      </c>
      <c r="CMQ36" s="4">
        <f>CMP36*CMO36</f>
        <v>1000000</v>
      </c>
      <c r="CMR36" s="9" t="s">
        <v>2066</v>
      </c>
      <c r="CMS36" s="1">
        <v>65</v>
      </c>
      <c r="CMT36" s="619" t="s">
        <v>2063</v>
      </c>
      <c r="CMU36" s="148" t="s">
        <v>2064</v>
      </c>
      <c r="CMV36" s="9" t="s">
        <v>2065</v>
      </c>
      <c r="CMW36" s="619">
        <v>1</v>
      </c>
      <c r="CMX36" s="4">
        <v>1000000</v>
      </c>
      <c r="CMY36" s="4">
        <f>CMX36*CMW36</f>
        <v>1000000</v>
      </c>
      <c r="CMZ36" s="9" t="s">
        <v>2066</v>
      </c>
      <c r="CNA36" s="1">
        <v>65</v>
      </c>
      <c r="CNB36" s="619" t="s">
        <v>2063</v>
      </c>
      <c r="CNC36" s="148" t="s">
        <v>2064</v>
      </c>
      <c r="CND36" s="9" t="s">
        <v>2065</v>
      </c>
      <c r="CNE36" s="619">
        <v>1</v>
      </c>
      <c r="CNF36" s="4">
        <v>1000000</v>
      </c>
      <c r="CNG36" s="4">
        <f>CNF36*CNE36</f>
        <v>1000000</v>
      </c>
      <c r="CNH36" s="9" t="s">
        <v>2066</v>
      </c>
      <c r="CNI36" s="1">
        <v>65</v>
      </c>
      <c r="CNJ36" s="619" t="s">
        <v>2063</v>
      </c>
      <c r="CNK36" s="148" t="s">
        <v>2064</v>
      </c>
      <c r="CNL36" s="9" t="s">
        <v>2065</v>
      </c>
      <c r="CNM36" s="619">
        <v>1</v>
      </c>
      <c r="CNN36" s="4">
        <v>1000000</v>
      </c>
      <c r="CNO36" s="4">
        <f>CNN36*CNM36</f>
        <v>1000000</v>
      </c>
      <c r="CNP36" s="9" t="s">
        <v>2066</v>
      </c>
      <c r="CNQ36" s="1">
        <v>65</v>
      </c>
      <c r="CNR36" s="619" t="s">
        <v>2063</v>
      </c>
      <c r="CNS36" s="148" t="s">
        <v>2064</v>
      </c>
      <c r="CNT36" s="9" t="s">
        <v>2065</v>
      </c>
      <c r="CNU36" s="619">
        <v>1</v>
      </c>
      <c r="CNV36" s="4">
        <v>1000000</v>
      </c>
      <c r="CNW36" s="4">
        <f>CNV36*CNU36</f>
        <v>1000000</v>
      </c>
      <c r="CNX36" s="9" t="s">
        <v>2066</v>
      </c>
      <c r="CNY36" s="1">
        <v>65</v>
      </c>
      <c r="CNZ36" s="619" t="s">
        <v>2063</v>
      </c>
      <c r="COA36" s="148" t="s">
        <v>2064</v>
      </c>
      <c r="COB36" s="9" t="s">
        <v>2065</v>
      </c>
      <c r="COC36" s="619">
        <v>1</v>
      </c>
      <c r="COD36" s="4">
        <v>1000000</v>
      </c>
      <c r="COE36" s="4">
        <f>COD36*COC36</f>
        <v>1000000</v>
      </c>
      <c r="COF36" s="9" t="s">
        <v>2066</v>
      </c>
      <c r="COG36" s="1">
        <v>65</v>
      </c>
      <c r="COH36" s="619" t="s">
        <v>2063</v>
      </c>
      <c r="COI36" s="148" t="s">
        <v>2064</v>
      </c>
      <c r="COJ36" s="9" t="s">
        <v>2065</v>
      </c>
      <c r="COK36" s="619">
        <v>1</v>
      </c>
      <c r="COL36" s="4">
        <v>1000000</v>
      </c>
      <c r="COM36" s="4">
        <f>COL36*COK36</f>
        <v>1000000</v>
      </c>
      <c r="CON36" s="9" t="s">
        <v>2066</v>
      </c>
      <c r="COO36" s="1">
        <v>65</v>
      </c>
      <c r="COP36" s="619" t="s">
        <v>2063</v>
      </c>
      <c r="COQ36" s="148" t="s">
        <v>2064</v>
      </c>
      <c r="COR36" s="9" t="s">
        <v>2065</v>
      </c>
      <c r="COS36" s="619">
        <v>1</v>
      </c>
      <c r="COT36" s="4">
        <v>1000000</v>
      </c>
      <c r="COU36" s="4">
        <f>COT36*COS36</f>
        <v>1000000</v>
      </c>
      <c r="COV36" s="9" t="s">
        <v>2066</v>
      </c>
      <c r="COW36" s="1">
        <v>65</v>
      </c>
      <c r="COX36" s="619" t="s">
        <v>2063</v>
      </c>
      <c r="COY36" s="148" t="s">
        <v>2064</v>
      </c>
      <c r="COZ36" s="9" t="s">
        <v>2065</v>
      </c>
      <c r="CPA36" s="619">
        <v>1</v>
      </c>
      <c r="CPB36" s="4">
        <v>1000000</v>
      </c>
      <c r="CPC36" s="4">
        <f>CPB36*CPA36</f>
        <v>1000000</v>
      </c>
      <c r="CPD36" s="9" t="s">
        <v>2066</v>
      </c>
      <c r="CPE36" s="1">
        <v>65</v>
      </c>
      <c r="CPF36" s="619" t="s">
        <v>2063</v>
      </c>
      <c r="CPG36" s="148" t="s">
        <v>2064</v>
      </c>
      <c r="CPH36" s="9" t="s">
        <v>2065</v>
      </c>
      <c r="CPI36" s="619">
        <v>1</v>
      </c>
      <c r="CPJ36" s="4">
        <v>1000000</v>
      </c>
      <c r="CPK36" s="4">
        <f>CPJ36*CPI36</f>
        <v>1000000</v>
      </c>
      <c r="CPL36" s="9" t="s">
        <v>2066</v>
      </c>
      <c r="CPM36" s="1">
        <v>65</v>
      </c>
      <c r="CPN36" s="619" t="s">
        <v>2063</v>
      </c>
      <c r="CPO36" s="148" t="s">
        <v>2064</v>
      </c>
      <c r="CPP36" s="9" t="s">
        <v>2065</v>
      </c>
      <c r="CPQ36" s="619">
        <v>1</v>
      </c>
      <c r="CPR36" s="4">
        <v>1000000</v>
      </c>
      <c r="CPS36" s="4">
        <f>CPR36*CPQ36</f>
        <v>1000000</v>
      </c>
      <c r="CPT36" s="9" t="s">
        <v>2066</v>
      </c>
      <c r="CPU36" s="1">
        <v>65</v>
      </c>
      <c r="CPV36" s="619" t="s">
        <v>2063</v>
      </c>
      <c r="CPW36" s="148" t="s">
        <v>2064</v>
      </c>
      <c r="CPX36" s="9" t="s">
        <v>2065</v>
      </c>
      <c r="CPY36" s="619">
        <v>1</v>
      </c>
      <c r="CPZ36" s="4">
        <v>1000000</v>
      </c>
      <c r="CQA36" s="4">
        <f>CPZ36*CPY36</f>
        <v>1000000</v>
      </c>
      <c r="CQB36" s="9" t="s">
        <v>2066</v>
      </c>
      <c r="CQC36" s="1">
        <v>65</v>
      </c>
      <c r="CQD36" s="619" t="s">
        <v>2063</v>
      </c>
      <c r="CQE36" s="148" t="s">
        <v>2064</v>
      </c>
      <c r="CQF36" s="9" t="s">
        <v>2065</v>
      </c>
      <c r="CQG36" s="619">
        <v>1</v>
      </c>
      <c r="CQH36" s="4">
        <v>1000000</v>
      </c>
      <c r="CQI36" s="4">
        <f>CQH36*CQG36</f>
        <v>1000000</v>
      </c>
      <c r="CQJ36" s="9" t="s">
        <v>2066</v>
      </c>
      <c r="CQK36" s="1">
        <v>65</v>
      </c>
      <c r="CQL36" s="619" t="s">
        <v>2063</v>
      </c>
      <c r="CQM36" s="148" t="s">
        <v>2064</v>
      </c>
      <c r="CQN36" s="9" t="s">
        <v>2065</v>
      </c>
      <c r="CQO36" s="619">
        <v>1</v>
      </c>
      <c r="CQP36" s="4">
        <v>1000000</v>
      </c>
      <c r="CQQ36" s="4">
        <f>CQP36*CQO36</f>
        <v>1000000</v>
      </c>
      <c r="CQR36" s="9" t="s">
        <v>2066</v>
      </c>
      <c r="CQS36" s="1">
        <v>65</v>
      </c>
      <c r="CQT36" s="619" t="s">
        <v>2063</v>
      </c>
      <c r="CQU36" s="148" t="s">
        <v>2064</v>
      </c>
      <c r="CQV36" s="9" t="s">
        <v>2065</v>
      </c>
      <c r="CQW36" s="619">
        <v>1</v>
      </c>
      <c r="CQX36" s="4">
        <v>1000000</v>
      </c>
      <c r="CQY36" s="4">
        <f>CQX36*CQW36</f>
        <v>1000000</v>
      </c>
      <c r="CQZ36" s="9" t="s">
        <v>2066</v>
      </c>
      <c r="CRA36" s="1">
        <v>65</v>
      </c>
      <c r="CRB36" s="619" t="s">
        <v>2063</v>
      </c>
      <c r="CRC36" s="148" t="s">
        <v>2064</v>
      </c>
      <c r="CRD36" s="9" t="s">
        <v>2065</v>
      </c>
      <c r="CRE36" s="619">
        <v>1</v>
      </c>
      <c r="CRF36" s="4">
        <v>1000000</v>
      </c>
      <c r="CRG36" s="4">
        <f>CRF36*CRE36</f>
        <v>1000000</v>
      </c>
      <c r="CRH36" s="9" t="s">
        <v>2066</v>
      </c>
      <c r="CRI36" s="1">
        <v>65</v>
      </c>
      <c r="CRJ36" s="619" t="s">
        <v>2063</v>
      </c>
      <c r="CRK36" s="148" t="s">
        <v>2064</v>
      </c>
      <c r="CRL36" s="9" t="s">
        <v>2065</v>
      </c>
      <c r="CRM36" s="619">
        <v>1</v>
      </c>
      <c r="CRN36" s="4">
        <v>1000000</v>
      </c>
      <c r="CRO36" s="4">
        <f>CRN36*CRM36</f>
        <v>1000000</v>
      </c>
      <c r="CRP36" s="9" t="s">
        <v>2066</v>
      </c>
      <c r="CRQ36" s="1">
        <v>65</v>
      </c>
      <c r="CRR36" s="619" t="s">
        <v>2063</v>
      </c>
      <c r="CRS36" s="148" t="s">
        <v>2064</v>
      </c>
      <c r="CRT36" s="9" t="s">
        <v>2065</v>
      </c>
      <c r="CRU36" s="619">
        <v>1</v>
      </c>
      <c r="CRV36" s="4">
        <v>1000000</v>
      </c>
      <c r="CRW36" s="4">
        <f>CRV36*CRU36</f>
        <v>1000000</v>
      </c>
      <c r="CRX36" s="9" t="s">
        <v>2066</v>
      </c>
      <c r="CRY36" s="1">
        <v>65</v>
      </c>
      <c r="CRZ36" s="619" t="s">
        <v>2063</v>
      </c>
      <c r="CSA36" s="148" t="s">
        <v>2064</v>
      </c>
      <c r="CSB36" s="9" t="s">
        <v>2065</v>
      </c>
      <c r="CSC36" s="619">
        <v>1</v>
      </c>
      <c r="CSD36" s="4">
        <v>1000000</v>
      </c>
      <c r="CSE36" s="4">
        <f>CSD36*CSC36</f>
        <v>1000000</v>
      </c>
      <c r="CSF36" s="9" t="s">
        <v>2066</v>
      </c>
      <c r="CSG36" s="1">
        <v>65</v>
      </c>
      <c r="CSH36" s="619" t="s">
        <v>2063</v>
      </c>
      <c r="CSI36" s="148" t="s">
        <v>2064</v>
      </c>
      <c r="CSJ36" s="9" t="s">
        <v>2065</v>
      </c>
      <c r="CSK36" s="619">
        <v>1</v>
      </c>
      <c r="CSL36" s="4">
        <v>1000000</v>
      </c>
      <c r="CSM36" s="4">
        <f>CSL36*CSK36</f>
        <v>1000000</v>
      </c>
      <c r="CSN36" s="9" t="s">
        <v>2066</v>
      </c>
      <c r="CSO36" s="1">
        <v>65</v>
      </c>
      <c r="CSP36" s="619" t="s">
        <v>2063</v>
      </c>
      <c r="CSQ36" s="148" t="s">
        <v>2064</v>
      </c>
      <c r="CSR36" s="9" t="s">
        <v>2065</v>
      </c>
      <c r="CSS36" s="619">
        <v>1</v>
      </c>
      <c r="CST36" s="4">
        <v>1000000</v>
      </c>
      <c r="CSU36" s="4">
        <f>CST36*CSS36</f>
        <v>1000000</v>
      </c>
      <c r="CSV36" s="9" t="s">
        <v>2066</v>
      </c>
      <c r="CSW36" s="1">
        <v>65</v>
      </c>
      <c r="CSX36" s="619" t="s">
        <v>2063</v>
      </c>
      <c r="CSY36" s="148" t="s">
        <v>2064</v>
      </c>
      <c r="CSZ36" s="9" t="s">
        <v>2065</v>
      </c>
      <c r="CTA36" s="619">
        <v>1</v>
      </c>
      <c r="CTB36" s="4">
        <v>1000000</v>
      </c>
      <c r="CTC36" s="4">
        <f>CTB36*CTA36</f>
        <v>1000000</v>
      </c>
      <c r="CTD36" s="9" t="s">
        <v>2066</v>
      </c>
      <c r="CTE36" s="1">
        <v>65</v>
      </c>
      <c r="CTF36" s="619" t="s">
        <v>2063</v>
      </c>
      <c r="CTG36" s="148" t="s">
        <v>2064</v>
      </c>
      <c r="CTH36" s="9" t="s">
        <v>2065</v>
      </c>
      <c r="CTI36" s="619">
        <v>1</v>
      </c>
      <c r="CTJ36" s="4">
        <v>1000000</v>
      </c>
      <c r="CTK36" s="4">
        <f>CTJ36*CTI36</f>
        <v>1000000</v>
      </c>
      <c r="CTL36" s="9" t="s">
        <v>2066</v>
      </c>
      <c r="CTM36" s="1">
        <v>65</v>
      </c>
      <c r="CTN36" s="619" t="s">
        <v>2063</v>
      </c>
      <c r="CTO36" s="148" t="s">
        <v>2064</v>
      </c>
      <c r="CTP36" s="9" t="s">
        <v>2065</v>
      </c>
      <c r="CTQ36" s="619">
        <v>1</v>
      </c>
      <c r="CTR36" s="4">
        <v>1000000</v>
      </c>
      <c r="CTS36" s="4">
        <f>CTR36*CTQ36</f>
        <v>1000000</v>
      </c>
      <c r="CTT36" s="9" t="s">
        <v>2066</v>
      </c>
      <c r="CTU36" s="1">
        <v>65</v>
      </c>
      <c r="CTV36" s="619" t="s">
        <v>2063</v>
      </c>
      <c r="CTW36" s="148" t="s">
        <v>2064</v>
      </c>
      <c r="CTX36" s="9" t="s">
        <v>2065</v>
      </c>
      <c r="CTY36" s="619">
        <v>1</v>
      </c>
      <c r="CTZ36" s="4">
        <v>1000000</v>
      </c>
      <c r="CUA36" s="4">
        <f>CTZ36*CTY36</f>
        <v>1000000</v>
      </c>
      <c r="CUB36" s="9" t="s">
        <v>2066</v>
      </c>
      <c r="CUC36" s="1">
        <v>65</v>
      </c>
      <c r="CUD36" s="619" t="s">
        <v>2063</v>
      </c>
      <c r="CUE36" s="148" t="s">
        <v>2064</v>
      </c>
      <c r="CUF36" s="9" t="s">
        <v>2065</v>
      </c>
      <c r="CUG36" s="619">
        <v>1</v>
      </c>
      <c r="CUH36" s="4">
        <v>1000000</v>
      </c>
      <c r="CUI36" s="4">
        <f>CUH36*CUG36</f>
        <v>1000000</v>
      </c>
      <c r="CUJ36" s="9" t="s">
        <v>2066</v>
      </c>
      <c r="CUK36" s="1">
        <v>65</v>
      </c>
      <c r="CUL36" s="619" t="s">
        <v>2063</v>
      </c>
      <c r="CUM36" s="148" t="s">
        <v>2064</v>
      </c>
      <c r="CUN36" s="9" t="s">
        <v>2065</v>
      </c>
      <c r="CUO36" s="619">
        <v>1</v>
      </c>
      <c r="CUP36" s="4">
        <v>1000000</v>
      </c>
      <c r="CUQ36" s="4">
        <f>CUP36*CUO36</f>
        <v>1000000</v>
      </c>
      <c r="CUR36" s="9" t="s">
        <v>2066</v>
      </c>
      <c r="CUS36" s="1">
        <v>65</v>
      </c>
      <c r="CUT36" s="619" t="s">
        <v>2063</v>
      </c>
      <c r="CUU36" s="148" t="s">
        <v>2064</v>
      </c>
      <c r="CUV36" s="9" t="s">
        <v>2065</v>
      </c>
      <c r="CUW36" s="619">
        <v>1</v>
      </c>
      <c r="CUX36" s="4">
        <v>1000000</v>
      </c>
      <c r="CUY36" s="4">
        <f>CUX36*CUW36</f>
        <v>1000000</v>
      </c>
      <c r="CUZ36" s="9" t="s">
        <v>2066</v>
      </c>
      <c r="CVA36" s="1">
        <v>65</v>
      </c>
      <c r="CVB36" s="619" t="s">
        <v>2063</v>
      </c>
      <c r="CVC36" s="148" t="s">
        <v>2064</v>
      </c>
      <c r="CVD36" s="9" t="s">
        <v>2065</v>
      </c>
      <c r="CVE36" s="619">
        <v>1</v>
      </c>
      <c r="CVF36" s="4">
        <v>1000000</v>
      </c>
      <c r="CVG36" s="4">
        <f>CVF36*CVE36</f>
        <v>1000000</v>
      </c>
      <c r="CVH36" s="9" t="s">
        <v>2066</v>
      </c>
      <c r="CVI36" s="1">
        <v>65</v>
      </c>
      <c r="CVJ36" s="619" t="s">
        <v>2063</v>
      </c>
      <c r="CVK36" s="148" t="s">
        <v>2064</v>
      </c>
      <c r="CVL36" s="9" t="s">
        <v>2065</v>
      </c>
      <c r="CVM36" s="619">
        <v>1</v>
      </c>
      <c r="CVN36" s="4">
        <v>1000000</v>
      </c>
      <c r="CVO36" s="4">
        <f>CVN36*CVM36</f>
        <v>1000000</v>
      </c>
      <c r="CVP36" s="9" t="s">
        <v>2066</v>
      </c>
      <c r="CVQ36" s="1">
        <v>65</v>
      </c>
      <c r="CVR36" s="619" t="s">
        <v>2063</v>
      </c>
      <c r="CVS36" s="148" t="s">
        <v>2064</v>
      </c>
      <c r="CVT36" s="9" t="s">
        <v>2065</v>
      </c>
      <c r="CVU36" s="619">
        <v>1</v>
      </c>
      <c r="CVV36" s="4">
        <v>1000000</v>
      </c>
      <c r="CVW36" s="4">
        <f>CVV36*CVU36</f>
        <v>1000000</v>
      </c>
      <c r="CVX36" s="9" t="s">
        <v>2066</v>
      </c>
      <c r="CVY36" s="1">
        <v>65</v>
      </c>
      <c r="CVZ36" s="619" t="s">
        <v>2063</v>
      </c>
      <c r="CWA36" s="148" t="s">
        <v>2064</v>
      </c>
      <c r="CWB36" s="9" t="s">
        <v>2065</v>
      </c>
      <c r="CWC36" s="619">
        <v>1</v>
      </c>
      <c r="CWD36" s="4">
        <v>1000000</v>
      </c>
      <c r="CWE36" s="4">
        <f>CWD36*CWC36</f>
        <v>1000000</v>
      </c>
      <c r="CWF36" s="9" t="s">
        <v>2066</v>
      </c>
      <c r="CWG36" s="1">
        <v>65</v>
      </c>
      <c r="CWH36" s="619" t="s">
        <v>2063</v>
      </c>
      <c r="CWI36" s="148" t="s">
        <v>2064</v>
      </c>
      <c r="CWJ36" s="9" t="s">
        <v>2065</v>
      </c>
      <c r="CWK36" s="619">
        <v>1</v>
      </c>
      <c r="CWL36" s="4">
        <v>1000000</v>
      </c>
      <c r="CWM36" s="4">
        <f>CWL36*CWK36</f>
        <v>1000000</v>
      </c>
      <c r="CWN36" s="9" t="s">
        <v>2066</v>
      </c>
      <c r="CWO36" s="1">
        <v>65</v>
      </c>
      <c r="CWP36" s="619" t="s">
        <v>2063</v>
      </c>
      <c r="CWQ36" s="148" t="s">
        <v>2064</v>
      </c>
      <c r="CWR36" s="9" t="s">
        <v>2065</v>
      </c>
      <c r="CWS36" s="619">
        <v>1</v>
      </c>
      <c r="CWT36" s="4">
        <v>1000000</v>
      </c>
      <c r="CWU36" s="4">
        <f>CWT36*CWS36</f>
        <v>1000000</v>
      </c>
      <c r="CWV36" s="9" t="s">
        <v>2066</v>
      </c>
      <c r="CWW36" s="1">
        <v>65</v>
      </c>
      <c r="CWX36" s="619" t="s">
        <v>2063</v>
      </c>
      <c r="CWY36" s="148" t="s">
        <v>2064</v>
      </c>
      <c r="CWZ36" s="9" t="s">
        <v>2065</v>
      </c>
      <c r="CXA36" s="619">
        <v>1</v>
      </c>
      <c r="CXB36" s="4">
        <v>1000000</v>
      </c>
      <c r="CXC36" s="4">
        <f>CXB36*CXA36</f>
        <v>1000000</v>
      </c>
      <c r="CXD36" s="9" t="s">
        <v>2066</v>
      </c>
      <c r="CXE36" s="1">
        <v>65</v>
      </c>
      <c r="CXF36" s="619" t="s">
        <v>2063</v>
      </c>
      <c r="CXG36" s="148" t="s">
        <v>2064</v>
      </c>
      <c r="CXH36" s="9" t="s">
        <v>2065</v>
      </c>
      <c r="CXI36" s="619">
        <v>1</v>
      </c>
      <c r="CXJ36" s="4">
        <v>1000000</v>
      </c>
      <c r="CXK36" s="4">
        <f>CXJ36*CXI36</f>
        <v>1000000</v>
      </c>
      <c r="CXL36" s="9" t="s">
        <v>2066</v>
      </c>
      <c r="CXM36" s="1">
        <v>65</v>
      </c>
      <c r="CXN36" s="619" t="s">
        <v>2063</v>
      </c>
      <c r="CXO36" s="148" t="s">
        <v>2064</v>
      </c>
      <c r="CXP36" s="9" t="s">
        <v>2065</v>
      </c>
      <c r="CXQ36" s="619">
        <v>1</v>
      </c>
      <c r="CXR36" s="4">
        <v>1000000</v>
      </c>
      <c r="CXS36" s="4">
        <f>CXR36*CXQ36</f>
        <v>1000000</v>
      </c>
      <c r="CXT36" s="9" t="s">
        <v>2066</v>
      </c>
      <c r="CXU36" s="1">
        <v>65</v>
      </c>
      <c r="CXV36" s="619" t="s">
        <v>2063</v>
      </c>
      <c r="CXW36" s="148" t="s">
        <v>2064</v>
      </c>
      <c r="CXX36" s="9" t="s">
        <v>2065</v>
      </c>
      <c r="CXY36" s="619">
        <v>1</v>
      </c>
      <c r="CXZ36" s="4">
        <v>1000000</v>
      </c>
      <c r="CYA36" s="4">
        <f>CXZ36*CXY36</f>
        <v>1000000</v>
      </c>
      <c r="CYB36" s="9" t="s">
        <v>2066</v>
      </c>
      <c r="CYC36" s="1">
        <v>65</v>
      </c>
      <c r="CYD36" s="619" t="s">
        <v>2063</v>
      </c>
      <c r="CYE36" s="148" t="s">
        <v>2064</v>
      </c>
      <c r="CYF36" s="9" t="s">
        <v>2065</v>
      </c>
      <c r="CYG36" s="619">
        <v>1</v>
      </c>
      <c r="CYH36" s="4">
        <v>1000000</v>
      </c>
      <c r="CYI36" s="4">
        <f>CYH36*CYG36</f>
        <v>1000000</v>
      </c>
      <c r="CYJ36" s="9" t="s">
        <v>2066</v>
      </c>
      <c r="CYK36" s="1">
        <v>65</v>
      </c>
      <c r="CYL36" s="619" t="s">
        <v>2063</v>
      </c>
      <c r="CYM36" s="148" t="s">
        <v>2064</v>
      </c>
      <c r="CYN36" s="9" t="s">
        <v>2065</v>
      </c>
      <c r="CYO36" s="619">
        <v>1</v>
      </c>
      <c r="CYP36" s="4">
        <v>1000000</v>
      </c>
      <c r="CYQ36" s="4">
        <f>CYP36*CYO36</f>
        <v>1000000</v>
      </c>
      <c r="CYR36" s="9" t="s">
        <v>2066</v>
      </c>
      <c r="CYS36" s="1">
        <v>65</v>
      </c>
      <c r="CYT36" s="619" t="s">
        <v>2063</v>
      </c>
      <c r="CYU36" s="148" t="s">
        <v>2064</v>
      </c>
      <c r="CYV36" s="9" t="s">
        <v>2065</v>
      </c>
      <c r="CYW36" s="619">
        <v>1</v>
      </c>
      <c r="CYX36" s="4">
        <v>1000000</v>
      </c>
      <c r="CYY36" s="4">
        <f>CYX36*CYW36</f>
        <v>1000000</v>
      </c>
      <c r="CYZ36" s="9" t="s">
        <v>2066</v>
      </c>
      <c r="CZA36" s="1">
        <v>65</v>
      </c>
      <c r="CZB36" s="619" t="s">
        <v>2063</v>
      </c>
      <c r="CZC36" s="148" t="s">
        <v>2064</v>
      </c>
      <c r="CZD36" s="9" t="s">
        <v>2065</v>
      </c>
      <c r="CZE36" s="619">
        <v>1</v>
      </c>
      <c r="CZF36" s="4">
        <v>1000000</v>
      </c>
      <c r="CZG36" s="4">
        <f>CZF36*CZE36</f>
        <v>1000000</v>
      </c>
      <c r="CZH36" s="9" t="s">
        <v>2066</v>
      </c>
      <c r="CZI36" s="1">
        <v>65</v>
      </c>
      <c r="CZJ36" s="619" t="s">
        <v>2063</v>
      </c>
      <c r="CZK36" s="148" t="s">
        <v>2064</v>
      </c>
      <c r="CZL36" s="9" t="s">
        <v>2065</v>
      </c>
      <c r="CZM36" s="619">
        <v>1</v>
      </c>
      <c r="CZN36" s="4">
        <v>1000000</v>
      </c>
      <c r="CZO36" s="4">
        <f>CZN36*CZM36</f>
        <v>1000000</v>
      </c>
      <c r="CZP36" s="9" t="s">
        <v>2066</v>
      </c>
      <c r="CZQ36" s="1">
        <v>65</v>
      </c>
      <c r="CZR36" s="619" t="s">
        <v>2063</v>
      </c>
      <c r="CZS36" s="148" t="s">
        <v>2064</v>
      </c>
      <c r="CZT36" s="9" t="s">
        <v>2065</v>
      </c>
      <c r="CZU36" s="619">
        <v>1</v>
      </c>
      <c r="CZV36" s="4">
        <v>1000000</v>
      </c>
      <c r="CZW36" s="4">
        <f>CZV36*CZU36</f>
        <v>1000000</v>
      </c>
      <c r="CZX36" s="9" t="s">
        <v>2066</v>
      </c>
      <c r="CZY36" s="1">
        <v>65</v>
      </c>
      <c r="CZZ36" s="619" t="s">
        <v>2063</v>
      </c>
      <c r="DAA36" s="148" t="s">
        <v>2064</v>
      </c>
      <c r="DAB36" s="9" t="s">
        <v>2065</v>
      </c>
      <c r="DAC36" s="619">
        <v>1</v>
      </c>
      <c r="DAD36" s="4">
        <v>1000000</v>
      </c>
      <c r="DAE36" s="4">
        <f>DAD36*DAC36</f>
        <v>1000000</v>
      </c>
      <c r="DAF36" s="9" t="s">
        <v>2066</v>
      </c>
      <c r="DAG36" s="1">
        <v>65</v>
      </c>
      <c r="DAH36" s="619" t="s">
        <v>2063</v>
      </c>
      <c r="DAI36" s="148" t="s">
        <v>2064</v>
      </c>
      <c r="DAJ36" s="9" t="s">
        <v>2065</v>
      </c>
      <c r="DAK36" s="619">
        <v>1</v>
      </c>
      <c r="DAL36" s="4">
        <v>1000000</v>
      </c>
      <c r="DAM36" s="4">
        <f>DAL36*DAK36</f>
        <v>1000000</v>
      </c>
      <c r="DAN36" s="9" t="s">
        <v>2066</v>
      </c>
      <c r="DAO36" s="1">
        <v>65</v>
      </c>
      <c r="DAP36" s="619" t="s">
        <v>2063</v>
      </c>
      <c r="DAQ36" s="148" t="s">
        <v>2064</v>
      </c>
      <c r="DAR36" s="9" t="s">
        <v>2065</v>
      </c>
      <c r="DAS36" s="619">
        <v>1</v>
      </c>
      <c r="DAT36" s="4">
        <v>1000000</v>
      </c>
      <c r="DAU36" s="4">
        <f>DAT36*DAS36</f>
        <v>1000000</v>
      </c>
      <c r="DAV36" s="9" t="s">
        <v>2066</v>
      </c>
      <c r="DAW36" s="1">
        <v>65</v>
      </c>
      <c r="DAX36" s="619" t="s">
        <v>2063</v>
      </c>
      <c r="DAY36" s="148" t="s">
        <v>2064</v>
      </c>
      <c r="DAZ36" s="9" t="s">
        <v>2065</v>
      </c>
      <c r="DBA36" s="619">
        <v>1</v>
      </c>
      <c r="DBB36" s="4">
        <v>1000000</v>
      </c>
      <c r="DBC36" s="4">
        <f>DBB36*DBA36</f>
        <v>1000000</v>
      </c>
      <c r="DBD36" s="9" t="s">
        <v>2066</v>
      </c>
      <c r="DBE36" s="1">
        <v>65</v>
      </c>
      <c r="DBF36" s="619" t="s">
        <v>2063</v>
      </c>
      <c r="DBG36" s="148" t="s">
        <v>2064</v>
      </c>
      <c r="DBH36" s="9" t="s">
        <v>2065</v>
      </c>
      <c r="DBI36" s="619">
        <v>1</v>
      </c>
      <c r="DBJ36" s="4">
        <v>1000000</v>
      </c>
      <c r="DBK36" s="4">
        <f>DBJ36*DBI36</f>
        <v>1000000</v>
      </c>
      <c r="DBL36" s="9" t="s">
        <v>2066</v>
      </c>
      <c r="DBM36" s="1">
        <v>65</v>
      </c>
      <c r="DBN36" s="619" t="s">
        <v>2063</v>
      </c>
      <c r="DBO36" s="148" t="s">
        <v>2064</v>
      </c>
      <c r="DBP36" s="9" t="s">
        <v>2065</v>
      </c>
      <c r="DBQ36" s="619">
        <v>1</v>
      </c>
      <c r="DBR36" s="4">
        <v>1000000</v>
      </c>
      <c r="DBS36" s="4">
        <f>DBR36*DBQ36</f>
        <v>1000000</v>
      </c>
      <c r="DBT36" s="9" t="s">
        <v>2066</v>
      </c>
      <c r="DBU36" s="1">
        <v>65</v>
      </c>
      <c r="DBV36" s="619" t="s">
        <v>2063</v>
      </c>
      <c r="DBW36" s="148" t="s">
        <v>2064</v>
      </c>
      <c r="DBX36" s="9" t="s">
        <v>2065</v>
      </c>
      <c r="DBY36" s="619">
        <v>1</v>
      </c>
      <c r="DBZ36" s="4">
        <v>1000000</v>
      </c>
      <c r="DCA36" s="4">
        <f>DBZ36*DBY36</f>
        <v>1000000</v>
      </c>
      <c r="DCB36" s="9" t="s">
        <v>2066</v>
      </c>
      <c r="DCC36" s="1">
        <v>65</v>
      </c>
      <c r="DCD36" s="619" t="s">
        <v>2063</v>
      </c>
      <c r="DCE36" s="148" t="s">
        <v>2064</v>
      </c>
      <c r="DCF36" s="9" t="s">
        <v>2065</v>
      </c>
      <c r="DCG36" s="619">
        <v>1</v>
      </c>
      <c r="DCH36" s="4">
        <v>1000000</v>
      </c>
      <c r="DCI36" s="4">
        <f>DCH36*DCG36</f>
        <v>1000000</v>
      </c>
      <c r="DCJ36" s="9" t="s">
        <v>2066</v>
      </c>
      <c r="DCK36" s="1">
        <v>65</v>
      </c>
      <c r="DCL36" s="619" t="s">
        <v>2063</v>
      </c>
      <c r="DCM36" s="148" t="s">
        <v>2064</v>
      </c>
      <c r="DCN36" s="9" t="s">
        <v>2065</v>
      </c>
      <c r="DCO36" s="619">
        <v>1</v>
      </c>
      <c r="DCP36" s="4">
        <v>1000000</v>
      </c>
      <c r="DCQ36" s="4">
        <f>DCP36*DCO36</f>
        <v>1000000</v>
      </c>
      <c r="DCR36" s="9" t="s">
        <v>2066</v>
      </c>
      <c r="DCS36" s="1">
        <v>65</v>
      </c>
      <c r="DCT36" s="619" t="s">
        <v>2063</v>
      </c>
      <c r="DCU36" s="148" t="s">
        <v>2064</v>
      </c>
      <c r="DCV36" s="9" t="s">
        <v>2065</v>
      </c>
      <c r="DCW36" s="619">
        <v>1</v>
      </c>
      <c r="DCX36" s="4">
        <v>1000000</v>
      </c>
      <c r="DCY36" s="4">
        <f>DCX36*DCW36</f>
        <v>1000000</v>
      </c>
      <c r="DCZ36" s="9" t="s">
        <v>2066</v>
      </c>
      <c r="DDA36" s="1">
        <v>65</v>
      </c>
      <c r="DDB36" s="619" t="s">
        <v>2063</v>
      </c>
      <c r="DDC36" s="148" t="s">
        <v>2064</v>
      </c>
      <c r="DDD36" s="9" t="s">
        <v>2065</v>
      </c>
      <c r="DDE36" s="619">
        <v>1</v>
      </c>
      <c r="DDF36" s="4">
        <v>1000000</v>
      </c>
      <c r="DDG36" s="4">
        <f>DDF36*DDE36</f>
        <v>1000000</v>
      </c>
      <c r="DDH36" s="9" t="s">
        <v>2066</v>
      </c>
      <c r="DDI36" s="1">
        <v>65</v>
      </c>
      <c r="DDJ36" s="619" t="s">
        <v>2063</v>
      </c>
      <c r="DDK36" s="148" t="s">
        <v>2064</v>
      </c>
      <c r="DDL36" s="9" t="s">
        <v>2065</v>
      </c>
      <c r="DDM36" s="619">
        <v>1</v>
      </c>
      <c r="DDN36" s="4">
        <v>1000000</v>
      </c>
      <c r="DDO36" s="4">
        <f>DDN36*DDM36</f>
        <v>1000000</v>
      </c>
      <c r="DDP36" s="9" t="s">
        <v>2066</v>
      </c>
      <c r="DDQ36" s="1">
        <v>65</v>
      </c>
      <c r="DDR36" s="619" t="s">
        <v>2063</v>
      </c>
      <c r="DDS36" s="148" t="s">
        <v>2064</v>
      </c>
      <c r="DDT36" s="9" t="s">
        <v>2065</v>
      </c>
      <c r="DDU36" s="619">
        <v>1</v>
      </c>
      <c r="DDV36" s="4">
        <v>1000000</v>
      </c>
      <c r="DDW36" s="4">
        <f>DDV36*DDU36</f>
        <v>1000000</v>
      </c>
      <c r="DDX36" s="9" t="s">
        <v>2066</v>
      </c>
      <c r="DDY36" s="1">
        <v>65</v>
      </c>
      <c r="DDZ36" s="619" t="s">
        <v>2063</v>
      </c>
      <c r="DEA36" s="148" t="s">
        <v>2064</v>
      </c>
      <c r="DEB36" s="9" t="s">
        <v>2065</v>
      </c>
      <c r="DEC36" s="619">
        <v>1</v>
      </c>
      <c r="DED36" s="4">
        <v>1000000</v>
      </c>
      <c r="DEE36" s="4">
        <f>DED36*DEC36</f>
        <v>1000000</v>
      </c>
      <c r="DEF36" s="9" t="s">
        <v>2066</v>
      </c>
      <c r="DEG36" s="1">
        <v>65</v>
      </c>
      <c r="DEH36" s="619" t="s">
        <v>2063</v>
      </c>
      <c r="DEI36" s="148" t="s">
        <v>2064</v>
      </c>
      <c r="DEJ36" s="9" t="s">
        <v>2065</v>
      </c>
      <c r="DEK36" s="619">
        <v>1</v>
      </c>
      <c r="DEL36" s="4">
        <v>1000000</v>
      </c>
      <c r="DEM36" s="4">
        <f>DEL36*DEK36</f>
        <v>1000000</v>
      </c>
      <c r="DEN36" s="9" t="s">
        <v>2066</v>
      </c>
      <c r="DEO36" s="1">
        <v>65</v>
      </c>
      <c r="DEP36" s="619" t="s">
        <v>2063</v>
      </c>
      <c r="DEQ36" s="148" t="s">
        <v>2064</v>
      </c>
      <c r="DER36" s="9" t="s">
        <v>2065</v>
      </c>
      <c r="DES36" s="619">
        <v>1</v>
      </c>
      <c r="DET36" s="4">
        <v>1000000</v>
      </c>
      <c r="DEU36" s="4">
        <f>DET36*DES36</f>
        <v>1000000</v>
      </c>
      <c r="DEV36" s="9" t="s">
        <v>2066</v>
      </c>
      <c r="DEW36" s="1">
        <v>65</v>
      </c>
      <c r="DEX36" s="619" t="s">
        <v>2063</v>
      </c>
      <c r="DEY36" s="148" t="s">
        <v>2064</v>
      </c>
      <c r="DEZ36" s="9" t="s">
        <v>2065</v>
      </c>
      <c r="DFA36" s="619">
        <v>1</v>
      </c>
      <c r="DFB36" s="4">
        <v>1000000</v>
      </c>
      <c r="DFC36" s="4">
        <f>DFB36*DFA36</f>
        <v>1000000</v>
      </c>
      <c r="DFD36" s="9" t="s">
        <v>2066</v>
      </c>
      <c r="DFE36" s="1">
        <v>65</v>
      </c>
      <c r="DFF36" s="619" t="s">
        <v>2063</v>
      </c>
      <c r="DFG36" s="148" t="s">
        <v>2064</v>
      </c>
      <c r="DFH36" s="9" t="s">
        <v>2065</v>
      </c>
      <c r="DFI36" s="619">
        <v>1</v>
      </c>
      <c r="DFJ36" s="4">
        <v>1000000</v>
      </c>
      <c r="DFK36" s="4">
        <f>DFJ36*DFI36</f>
        <v>1000000</v>
      </c>
      <c r="DFL36" s="9" t="s">
        <v>2066</v>
      </c>
      <c r="DFM36" s="1">
        <v>65</v>
      </c>
      <c r="DFN36" s="619" t="s">
        <v>2063</v>
      </c>
      <c r="DFO36" s="148" t="s">
        <v>2064</v>
      </c>
      <c r="DFP36" s="9" t="s">
        <v>2065</v>
      </c>
      <c r="DFQ36" s="619">
        <v>1</v>
      </c>
      <c r="DFR36" s="4">
        <v>1000000</v>
      </c>
      <c r="DFS36" s="4">
        <f>DFR36*DFQ36</f>
        <v>1000000</v>
      </c>
      <c r="DFT36" s="9" t="s">
        <v>2066</v>
      </c>
      <c r="DFU36" s="1">
        <v>65</v>
      </c>
      <c r="DFV36" s="619" t="s">
        <v>2063</v>
      </c>
      <c r="DFW36" s="148" t="s">
        <v>2064</v>
      </c>
      <c r="DFX36" s="9" t="s">
        <v>2065</v>
      </c>
      <c r="DFY36" s="619">
        <v>1</v>
      </c>
      <c r="DFZ36" s="4">
        <v>1000000</v>
      </c>
      <c r="DGA36" s="4">
        <f>DFZ36*DFY36</f>
        <v>1000000</v>
      </c>
      <c r="DGB36" s="9" t="s">
        <v>2066</v>
      </c>
      <c r="DGC36" s="1">
        <v>65</v>
      </c>
      <c r="DGD36" s="619" t="s">
        <v>2063</v>
      </c>
      <c r="DGE36" s="148" t="s">
        <v>2064</v>
      </c>
      <c r="DGF36" s="9" t="s">
        <v>2065</v>
      </c>
      <c r="DGG36" s="619">
        <v>1</v>
      </c>
      <c r="DGH36" s="4">
        <v>1000000</v>
      </c>
      <c r="DGI36" s="4">
        <f>DGH36*DGG36</f>
        <v>1000000</v>
      </c>
      <c r="DGJ36" s="9" t="s">
        <v>2066</v>
      </c>
      <c r="DGK36" s="1">
        <v>65</v>
      </c>
      <c r="DGL36" s="619" t="s">
        <v>2063</v>
      </c>
      <c r="DGM36" s="148" t="s">
        <v>2064</v>
      </c>
      <c r="DGN36" s="9" t="s">
        <v>2065</v>
      </c>
      <c r="DGO36" s="619">
        <v>1</v>
      </c>
      <c r="DGP36" s="4">
        <v>1000000</v>
      </c>
      <c r="DGQ36" s="4">
        <f>DGP36*DGO36</f>
        <v>1000000</v>
      </c>
      <c r="DGR36" s="9" t="s">
        <v>2066</v>
      </c>
      <c r="DGS36" s="1">
        <v>65</v>
      </c>
      <c r="DGT36" s="619" t="s">
        <v>2063</v>
      </c>
      <c r="DGU36" s="148" t="s">
        <v>2064</v>
      </c>
      <c r="DGV36" s="9" t="s">
        <v>2065</v>
      </c>
      <c r="DGW36" s="619">
        <v>1</v>
      </c>
      <c r="DGX36" s="4">
        <v>1000000</v>
      </c>
      <c r="DGY36" s="4">
        <f>DGX36*DGW36</f>
        <v>1000000</v>
      </c>
      <c r="DGZ36" s="9" t="s">
        <v>2066</v>
      </c>
      <c r="DHA36" s="1">
        <v>65</v>
      </c>
      <c r="DHB36" s="619" t="s">
        <v>2063</v>
      </c>
      <c r="DHC36" s="148" t="s">
        <v>2064</v>
      </c>
      <c r="DHD36" s="9" t="s">
        <v>2065</v>
      </c>
      <c r="DHE36" s="619">
        <v>1</v>
      </c>
      <c r="DHF36" s="4">
        <v>1000000</v>
      </c>
      <c r="DHG36" s="4">
        <f>DHF36*DHE36</f>
        <v>1000000</v>
      </c>
      <c r="DHH36" s="9" t="s">
        <v>2066</v>
      </c>
      <c r="DHI36" s="1">
        <v>65</v>
      </c>
      <c r="DHJ36" s="619" t="s">
        <v>2063</v>
      </c>
      <c r="DHK36" s="148" t="s">
        <v>2064</v>
      </c>
      <c r="DHL36" s="9" t="s">
        <v>2065</v>
      </c>
      <c r="DHM36" s="619">
        <v>1</v>
      </c>
      <c r="DHN36" s="4">
        <v>1000000</v>
      </c>
      <c r="DHO36" s="4">
        <f>DHN36*DHM36</f>
        <v>1000000</v>
      </c>
      <c r="DHP36" s="9" t="s">
        <v>2066</v>
      </c>
      <c r="DHQ36" s="1">
        <v>65</v>
      </c>
      <c r="DHR36" s="619" t="s">
        <v>2063</v>
      </c>
      <c r="DHS36" s="148" t="s">
        <v>2064</v>
      </c>
      <c r="DHT36" s="9" t="s">
        <v>2065</v>
      </c>
      <c r="DHU36" s="619">
        <v>1</v>
      </c>
      <c r="DHV36" s="4">
        <v>1000000</v>
      </c>
      <c r="DHW36" s="4">
        <f>DHV36*DHU36</f>
        <v>1000000</v>
      </c>
      <c r="DHX36" s="9" t="s">
        <v>2066</v>
      </c>
      <c r="DHY36" s="1">
        <v>65</v>
      </c>
      <c r="DHZ36" s="619" t="s">
        <v>2063</v>
      </c>
      <c r="DIA36" s="148" t="s">
        <v>2064</v>
      </c>
      <c r="DIB36" s="9" t="s">
        <v>2065</v>
      </c>
      <c r="DIC36" s="619">
        <v>1</v>
      </c>
      <c r="DID36" s="4">
        <v>1000000</v>
      </c>
      <c r="DIE36" s="4">
        <f>DID36*DIC36</f>
        <v>1000000</v>
      </c>
      <c r="DIF36" s="9" t="s">
        <v>2066</v>
      </c>
      <c r="DIG36" s="1">
        <v>65</v>
      </c>
      <c r="DIH36" s="619" t="s">
        <v>2063</v>
      </c>
      <c r="DII36" s="148" t="s">
        <v>2064</v>
      </c>
      <c r="DIJ36" s="9" t="s">
        <v>2065</v>
      </c>
      <c r="DIK36" s="619">
        <v>1</v>
      </c>
      <c r="DIL36" s="4">
        <v>1000000</v>
      </c>
      <c r="DIM36" s="4">
        <f>DIL36*DIK36</f>
        <v>1000000</v>
      </c>
      <c r="DIN36" s="9" t="s">
        <v>2066</v>
      </c>
      <c r="DIO36" s="1">
        <v>65</v>
      </c>
      <c r="DIP36" s="619" t="s">
        <v>2063</v>
      </c>
      <c r="DIQ36" s="148" t="s">
        <v>2064</v>
      </c>
      <c r="DIR36" s="9" t="s">
        <v>2065</v>
      </c>
      <c r="DIS36" s="619">
        <v>1</v>
      </c>
      <c r="DIT36" s="4">
        <v>1000000</v>
      </c>
      <c r="DIU36" s="4">
        <f>DIT36*DIS36</f>
        <v>1000000</v>
      </c>
      <c r="DIV36" s="9" t="s">
        <v>2066</v>
      </c>
      <c r="DIW36" s="1">
        <v>65</v>
      </c>
      <c r="DIX36" s="619" t="s">
        <v>2063</v>
      </c>
      <c r="DIY36" s="148" t="s">
        <v>2064</v>
      </c>
      <c r="DIZ36" s="9" t="s">
        <v>2065</v>
      </c>
      <c r="DJA36" s="619">
        <v>1</v>
      </c>
      <c r="DJB36" s="4">
        <v>1000000</v>
      </c>
      <c r="DJC36" s="4">
        <f>DJB36*DJA36</f>
        <v>1000000</v>
      </c>
      <c r="DJD36" s="9" t="s">
        <v>2066</v>
      </c>
      <c r="DJE36" s="1">
        <v>65</v>
      </c>
      <c r="DJF36" s="619" t="s">
        <v>2063</v>
      </c>
      <c r="DJG36" s="148" t="s">
        <v>2064</v>
      </c>
      <c r="DJH36" s="9" t="s">
        <v>2065</v>
      </c>
      <c r="DJI36" s="619">
        <v>1</v>
      </c>
      <c r="DJJ36" s="4">
        <v>1000000</v>
      </c>
      <c r="DJK36" s="4">
        <f>DJJ36*DJI36</f>
        <v>1000000</v>
      </c>
      <c r="DJL36" s="9" t="s">
        <v>2066</v>
      </c>
      <c r="DJM36" s="1">
        <v>65</v>
      </c>
      <c r="DJN36" s="619" t="s">
        <v>2063</v>
      </c>
      <c r="DJO36" s="148" t="s">
        <v>2064</v>
      </c>
      <c r="DJP36" s="9" t="s">
        <v>2065</v>
      </c>
      <c r="DJQ36" s="619">
        <v>1</v>
      </c>
      <c r="DJR36" s="4">
        <v>1000000</v>
      </c>
      <c r="DJS36" s="4">
        <f>DJR36*DJQ36</f>
        <v>1000000</v>
      </c>
      <c r="DJT36" s="9" t="s">
        <v>2066</v>
      </c>
      <c r="DJU36" s="1">
        <v>65</v>
      </c>
      <c r="DJV36" s="619" t="s">
        <v>2063</v>
      </c>
      <c r="DJW36" s="148" t="s">
        <v>2064</v>
      </c>
      <c r="DJX36" s="9" t="s">
        <v>2065</v>
      </c>
      <c r="DJY36" s="619">
        <v>1</v>
      </c>
      <c r="DJZ36" s="4">
        <v>1000000</v>
      </c>
      <c r="DKA36" s="4">
        <f>DJZ36*DJY36</f>
        <v>1000000</v>
      </c>
      <c r="DKB36" s="9" t="s">
        <v>2066</v>
      </c>
      <c r="DKC36" s="1">
        <v>65</v>
      </c>
      <c r="DKD36" s="619" t="s">
        <v>2063</v>
      </c>
      <c r="DKE36" s="148" t="s">
        <v>2064</v>
      </c>
      <c r="DKF36" s="9" t="s">
        <v>2065</v>
      </c>
      <c r="DKG36" s="619">
        <v>1</v>
      </c>
      <c r="DKH36" s="4">
        <v>1000000</v>
      </c>
      <c r="DKI36" s="4">
        <f>DKH36*DKG36</f>
        <v>1000000</v>
      </c>
      <c r="DKJ36" s="9" t="s">
        <v>2066</v>
      </c>
      <c r="DKK36" s="1">
        <v>65</v>
      </c>
      <c r="DKL36" s="619" t="s">
        <v>2063</v>
      </c>
      <c r="DKM36" s="148" t="s">
        <v>2064</v>
      </c>
      <c r="DKN36" s="9" t="s">
        <v>2065</v>
      </c>
      <c r="DKO36" s="619">
        <v>1</v>
      </c>
      <c r="DKP36" s="4">
        <v>1000000</v>
      </c>
      <c r="DKQ36" s="4">
        <f>DKP36*DKO36</f>
        <v>1000000</v>
      </c>
      <c r="DKR36" s="9" t="s">
        <v>2066</v>
      </c>
      <c r="DKS36" s="1">
        <v>65</v>
      </c>
      <c r="DKT36" s="619" t="s">
        <v>2063</v>
      </c>
      <c r="DKU36" s="148" t="s">
        <v>2064</v>
      </c>
      <c r="DKV36" s="9" t="s">
        <v>2065</v>
      </c>
      <c r="DKW36" s="619">
        <v>1</v>
      </c>
      <c r="DKX36" s="4">
        <v>1000000</v>
      </c>
      <c r="DKY36" s="4">
        <f>DKX36*DKW36</f>
        <v>1000000</v>
      </c>
      <c r="DKZ36" s="9" t="s">
        <v>2066</v>
      </c>
      <c r="DLA36" s="1">
        <v>65</v>
      </c>
      <c r="DLB36" s="619" t="s">
        <v>2063</v>
      </c>
      <c r="DLC36" s="148" t="s">
        <v>2064</v>
      </c>
      <c r="DLD36" s="9" t="s">
        <v>2065</v>
      </c>
      <c r="DLE36" s="619">
        <v>1</v>
      </c>
      <c r="DLF36" s="4">
        <v>1000000</v>
      </c>
      <c r="DLG36" s="4">
        <f>DLF36*DLE36</f>
        <v>1000000</v>
      </c>
      <c r="DLH36" s="9" t="s">
        <v>2066</v>
      </c>
      <c r="DLI36" s="1">
        <v>65</v>
      </c>
      <c r="DLJ36" s="619" t="s">
        <v>2063</v>
      </c>
      <c r="DLK36" s="148" t="s">
        <v>2064</v>
      </c>
      <c r="DLL36" s="9" t="s">
        <v>2065</v>
      </c>
      <c r="DLM36" s="619">
        <v>1</v>
      </c>
      <c r="DLN36" s="4">
        <v>1000000</v>
      </c>
      <c r="DLO36" s="4">
        <f>DLN36*DLM36</f>
        <v>1000000</v>
      </c>
      <c r="DLP36" s="9" t="s">
        <v>2066</v>
      </c>
      <c r="DLQ36" s="1">
        <v>65</v>
      </c>
      <c r="DLR36" s="619" t="s">
        <v>2063</v>
      </c>
      <c r="DLS36" s="148" t="s">
        <v>2064</v>
      </c>
      <c r="DLT36" s="9" t="s">
        <v>2065</v>
      </c>
      <c r="DLU36" s="619">
        <v>1</v>
      </c>
      <c r="DLV36" s="4">
        <v>1000000</v>
      </c>
      <c r="DLW36" s="4">
        <f>DLV36*DLU36</f>
        <v>1000000</v>
      </c>
      <c r="DLX36" s="9" t="s">
        <v>2066</v>
      </c>
      <c r="DLY36" s="1">
        <v>65</v>
      </c>
      <c r="DLZ36" s="619" t="s">
        <v>2063</v>
      </c>
      <c r="DMA36" s="148" t="s">
        <v>2064</v>
      </c>
      <c r="DMB36" s="9" t="s">
        <v>2065</v>
      </c>
      <c r="DMC36" s="619">
        <v>1</v>
      </c>
      <c r="DMD36" s="4">
        <v>1000000</v>
      </c>
      <c r="DME36" s="4">
        <f>DMD36*DMC36</f>
        <v>1000000</v>
      </c>
      <c r="DMF36" s="9" t="s">
        <v>2066</v>
      </c>
      <c r="DMG36" s="1">
        <v>65</v>
      </c>
      <c r="DMH36" s="619" t="s">
        <v>2063</v>
      </c>
      <c r="DMI36" s="148" t="s">
        <v>2064</v>
      </c>
      <c r="DMJ36" s="9" t="s">
        <v>2065</v>
      </c>
      <c r="DMK36" s="619">
        <v>1</v>
      </c>
      <c r="DML36" s="4">
        <v>1000000</v>
      </c>
      <c r="DMM36" s="4">
        <f>DML36*DMK36</f>
        <v>1000000</v>
      </c>
      <c r="DMN36" s="9" t="s">
        <v>2066</v>
      </c>
      <c r="DMO36" s="1">
        <v>65</v>
      </c>
      <c r="DMP36" s="619" t="s">
        <v>2063</v>
      </c>
      <c r="DMQ36" s="148" t="s">
        <v>2064</v>
      </c>
      <c r="DMR36" s="9" t="s">
        <v>2065</v>
      </c>
      <c r="DMS36" s="619">
        <v>1</v>
      </c>
      <c r="DMT36" s="4">
        <v>1000000</v>
      </c>
      <c r="DMU36" s="4">
        <f>DMT36*DMS36</f>
        <v>1000000</v>
      </c>
      <c r="DMV36" s="9" t="s">
        <v>2066</v>
      </c>
      <c r="DMW36" s="1">
        <v>65</v>
      </c>
      <c r="DMX36" s="619" t="s">
        <v>2063</v>
      </c>
      <c r="DMY36" s="148" t="s">
        <v>2064</v>
      </c>
      <c r="DMZ36" s="9" t="s">
        <v>2065</v>
      </c>
      <c r="DNA36" s="619">
        <v>1</v>
      </c>
      <c r="DNB36" s="4">
        <v>1000000</v>
      </c>
      <c r="DNC36" s="4">
        <f>DNB36*DNA36</f>
        <v>1000000</v>
      </c>
      <c r="DND36" s="9" t="s">
        <v>2066</v>
      </c>
      <c r="DNE36" s="1">
        <v>65</v>
      </c>
      <c r="DNF36" s="619" t="s">
        <v>2063</v>
      </c>
      <c r="DNG36" s="148" t="s">
        <v>2064</v>
      </c>
      <c r="DNH36" s="9" t="s">
        <v>2065</v>
      </c>
      <c r="DNI36" s="619">
        <v>1</v>
      </c>
      <c r="DNJ36" s="4">
        <v>1000000</v>
      </c>
      <c r="DNK36" s="4">
        <f>DNJ36*DNI36</f>
        <v>1000000</v>
      </c>
      <c r="DNL36" s="9" t="s">
        <v>2066</v>
      </c>
      <c r="DNM36" s="1">
        <v>65</v>
      </c>
      <c r="DNN36" s="619" t="s">
        <v>2063</v>
      </c>
      <c r="DNO36" s="148" t="s">
        <v>2064</v>
      </c>
      <c r="DNP36" s="9" t="s">
        <v>2065</v>
      </c>
      <c r="DNQ36" s="619">
        <v>1</v>
      </c>
      <c r="DNR36" s="4">
        <v>1000000</v>
      </c>
      <c r="DNS36" s="4">
        <f>DNR36*DNQ36</f>
        <v>1000000</v>
      </c>
      <c r="DNT36" s="9" t="s">
        <v>2066</v>
      </c>
      <c r="DNU36" s="1">
        <v>65</v>
      </c>
      <c r="DNV36" s="619" t="s">
        <v>2063</v>
      </c>
      <c r="DNW36" s="148" t="s">
        <v>2064</v>
      </c>
      <c r="DNX36" s="9" t="s">
        <v>2065</v>
      </c>
      <c r="DNY36" s="619">
        <v>1</v>
      </c>
      <c r="DNZ36" s="4">
        <v>1000000</v>
      </c>
      <c r="DOA36" s="4">
        <f>DNZ36*DNY36</f>
        <v>1000000</v>
      </c>
      <c r="DOB36" s="9" t="s">
        <v>2066</v>
      </c>
      <c r="DOC36" s="1">
        <v>65</v>
      </c>
      <c r="DOD36" s="619" t="s">
        <v>2063</v>
      </c>
      <c r="DOE36" s="148" t="s">
        <v>2064</v>
      </c>
      <c r="DOF36" s="9" t="s">
        <v>2065</v>
      </c>
      <c r="DOG36" s="619">
        <v>1</v>
      </c>
      <c r="DOH36" s="4">
        <v>1000000</v>
      </c>
      <c r="DOI36" s="4">
        <f>DOH36*DOG36</f>
        <v>1000000</v>
      </c>
      <c r="DOJ36" s="9" t="s">
        <v>2066</v>
      </c>
      <c r="DOK36" s="1">
        <v>65</v>
      </c>
      <c r="DOL36" s="619" t="s">
        <v>2063</v>
      </c>
      <c r="DOM36" s="148" t="s">
        <v>2064</v>
      </c>
      <c r="DON36" s="9" t="s">
        <v>2065</v>
      </c>
      <c r="DOO36" s="619">
        <v>1</v>
      </c>
      <c r="DOP36" s="4">
        <v>1000000</v>
      </c>
      <c r="DOQ36" s="4">
        <f>DOP36*DOO36</f>
        <v>1000000</v>
      </c>
      <c r="DOR36" s="9" t="s">
        <v>2066</v>
      </c>
      <c r="DOS36" s="1">
        <v>65</v>
      </c>
      <c r="DOT36" s="619" t="s">
        <v>2063</v>
      </c>
      <c r="DOU36" s="148" t="s">
        <v>2064</v>
      </c>
      <c r="DOV36" s="9" t="s">
        <v>2065</v>
      </c>
      <c r="DOW36" s="619">
        <v>1</v>
      </c>
      <c r="DOX36" s="4">
        <v>1000000</v>
      </c>
      <c r="DOY36" s="4">
        <f>DOX36*DOW36</f>
        <v>1000000</v>
      </c>
      <c r="DOZ36" s="9" t="s">
        <v>2066</v>
      </c>
      <c r="DPA36" s="1">
        <v>65</v>
      </c>
      <c r="DPB36" s="619" t="s">
        <v>2063</v>
      </c>
      <c r="DPC36" s="148" t="s">
        <v>2064</v>
      </c>
      <c r="DPD36" s="9" t="s">
        <v>2065</v>
      </c>
      <c r="DPE36" s="619">
        <v>1</v>
      </c>
      <c r="DPF36" s="4">
        <v>1000000</v>
      </c>
      <c r="DPG36" s="4">
        <f>DPF36*DPE36</f>
        <v>1000000</v>
      </c>
      <c r="DPH36" s="9" t="s">
        <v>2066</v>
      </c>
      <c r="DPI36" s="1">
        <v>65</v>
      </c>
      <c r="DPJ36" s="619" t="s">
        <v>2063</v>
      </c>
      <c r="DPK36" s="148" t="s">
        <v>2064</v>
      </c>
      <c r="DPL36" s="9" t="s">
        <v>2065</v>
      </c>
      <c r="DPM36" s="619">
        <v>1</v>
      </c>
      <c r="DPN36" s="4">
        <v>1000000</v>
      </c>
      <c r="DPO36" s="4">
        <f>DPN36*DPM36</f>
        <v>1000000</v>
      </c>
      <c r="DPP36" s="9" t="s">
        <v>2066</v>
      </c>
      <c r="DPQ36" s="1">
        <v>65</v>
      </c>
      <c r="DPR36" s="619" t="s">
        <v>2063</v>
      </c>
      <c r="DPS36" s="148" t="s">
        <v>2064</v>
      </c>
      <c r="DPT36" s="9" t="s">
        <v>2065</v>
      </c>
      <c r="DPU36" s="619">
        <v>1</v>
      </c>
      <c r="DPV36" s="4">
        <v>1000000</v>
      </c>
      <c r="DPW36" s="4">
        <f>DPV36*DPU36</f>
        <v>1000000</v>
      </c>
      <c r="DPX36" s="9" t="s">
        <v>2066</v>
      </c>
      <c r="DPY36" s="1">
        <v>65</v>
      </c>
      <c r="DPZ36" s="619" t="s">
        <v>2063</v>
      </c>
      <c r="DQA36" s="148" t="s">
        <v>2064</v>
      </c>
      <c r="DQB36" s="9" t="s">
        <v>2065</v>
      </c>
      <c r="DQC36" s="619">
        <v>1</v>
      </c>
      <c r="DQD36" s="4">
        <v>1000000</v>
      </c>
      <c r="DQE36" s="4">
        <f>DQD36*DQC36</f>
        <v>1000000</v>
      </c>
      <c r="DQF36" s="9" t="s">
        <v>2066</v>
      </c>
      <c r="DQG36" s="1">
        <v>65</v>
      </c>
      <c r="DQH36" s="619" t="s">
        <v>2063</v>
      </c>
      <c r="DQI36" s="148" t="s">
        <v>2064</v>
      </c>
      <c r="DQJ36" s="9" t="s">
        <v>2065</v>
      </c>
      <c r="DQK36" s="619">
        <v>1</v>
      </c>
      <c r="DQL36" s="4">
        <v>1000000</v>
      </c>
      <c r="DQM36" s="4">
        <f>DQL36*DQK36</f>
        <v>1000000</v>
      </c>
      <c r="DQN36" s="9" t="s">
        <v>2066</v>
      </c>
      <c r="DQO36" s="1">
        <v>65</v>
      </c>
      <c r="DQP36" s="619" t="s">
        <v>2063</v>
      </c>
      <c r="DQQ36" s="148" t="s">
        <v>2064</v>
      </c>
      <c r="DQR36" s="9" t="s">
        <v>2065</v>
      </c>
      <c r="DQS36" s="619">
        <v>1</v>
      </c>
      <c r="DQT36" s="4">
        <v>1000000</v>
      </c>
      <c r="DQU36" s="4">
        <f>DQT36*DQS36</f>
        <v>1000000</v>
      </c>
      <c r="DQV36" s="9" t="s">
        <v>2066</v>
      </c>
      <c r="DQW36" s="1">
        <v>65</v>
      </c>
      <c r="DQX36" s="619" t="s">
        <v>2063</v>
      </c>
      <c r="DQY36" s="148" t="s">
        <v>2064</v>
      </c>
      <c r="DQZ36" s="9" t="s">
        <v>2065</v>
      </c>
      <c r="DRA36" s="619">
        <v>1</v>
      </c>
      <c r="DRB36" s="4">
        <v>1000000</v>
      </c>
      <c r="DRC36" s="4">
        <f>DRB36*DRA36</f>
        <v>1000000</v>
      </c>
      <c r="DRD36" s="9" t="s">
        <v>2066</v>
      </c>
      <c r="DRE36" s="1">
        <v>65</v>
      </c>
      <c r="DRF36" s="619" t="s">
        <v>2063</v>
      </c>
      <c r="DRG36" s="148" t="s">
        <v>2064</v>
      </c>
      <c r="DRH36" s="9" t="s">
        <v>2065</v>
      </c>
      <c r="DRI36" s="619">
        <v>1</v>
      </c>
      <c r="DRJ36" s="4">
        <v>1000000</v>
      </c>
      <c r="DRK36" s="4">
        <f>DRJ36*DRI36</f>
        <v>1000000</v>
      </c>
      <c r="DRL36" s="9" t="s">
        <v>2066</v>
      </c>
      <c r="DRM36" s="1">
        <v>65</v>
      </c>
      <c r="DRN36" s="619" t="s">
        <v>2063</v>
      </c>
      <c r="DRO36" s="148" t="s">
        <v>2064</v>
      </c>
      <c r="DRP36" s="9" t="s">
        <v>2065</v>
      </c>
      <c r="DRQ36" s="619">
        <v>1</v>
      </c>
      <c r="DRR36" s="4">
        <v>1000000</v>
      </c>
      <c r="DRS36" s="4">
        <f>DRR36*DRQ36</f>
        <v>1000000</v>
      </c>
      <c r="DRT36" s="9" t="s">
        <v>2066</v>
      </c>
      <c r="DRU36" s="1">
        <v>65</v>
      </c>
      <c r="DRV36" s="619" t="s">
        <v>2063</v>
      </c>
      <c r="DRW36" s="148" t="s">
        <v>2064</v>
      </c>
      <c r="DRX36" s="9" t="s">
        <v>2065</v>
      </c>
      <c r="DRY36" s="619">
        <v>1</v>
      </c>
      <c r="DRZ36" s="4">
        <v>1000000</v>
      </c>
      <c r="DSA36" s="4">
        <f>DRZ36*DRY36</f>
        <v>1000000</v>
      </c>
      <c r="DSB36" s="9" t="s">
        <v>2066</v>
      </c>
      <c r="DSC36" s="1">
        <v>65</v>
      </c>
      <c r="DSD36" s="619" t="s">
        <v>2063</v>
      </c>
      <c r="DSE36" s="148" t="s">
        <v>2064</v>
      </c>
      <c r="DSF36" s="9" t="s">
        <v>2065</v>
      </c>
      <c r="DSG36" s="619">
        <v>1</v>
      </c>
      <c r="DSH36" s="4">
        <v>1000000</v>
      </c>
      <c r="DSI36" s="4">
        <f>DSH36*DSG36</f>
        <v>1000000</v>
      </c>
      <c r="DSJ36" s="9" t="s">
        <v>2066</v>
      </c>
      <c r="DSK36" s="1">
        <v>65</v>
      </c>
      <c r="DSL36" s="619" t="s">
        <v>2063</v>
      </c>
      <c r="DSM36" s="148" t="s">
        <v>2064</v>
      </c>
      <c r="DSN36" s="9" t="s">
        <v>2065</v>
      </c>
      <c r="DSO36" s="619">
        <v>1</v>
      </c>
      <c r="DSP36" s="4">
        <v>1000000</v>
      </c>
      <c r="DSQ36" s="4">
        <f>DSP36*DSO36</f>
        <v>1000000</v>
      </c>
      <c r="DSR36" s="9" t="s">
        <v>2066</v>
      </c>
      <c r="DSS36" s="1">
        <v>65</v>
      </c>
      <c r="DST36" s="619" t="s">
        <v>2063</v>
      </c>
      <c r="DSU36" s="148" t="s">
        <v>2064</v>
      </c>
      <c r="DSV36" s="9" t="s">
        <v>2065</v>
      </c>
      <c r="DSW36" s="619">
        <v>1</v>
      </c>
      <c r="DSX36" s="4">
        <v>1000000</v>
      </c>
      <c r="DSY36" s="4">
        <f>DSX36*DSW36</f>
        <v>1000000</v>
      </c>
      <c r="DSZ36" s="9" t="s">
        <v>2066</v>
      </c>
      <c r="DTA36" s="1">
        <v>65</v>
      </c>
      <c r="DTB36" s="619" t="s">
        <v>2063</v>
      </c>
      <c r="DTC36" s="148" t="s">
        <v>2064</v>
      </c>
      <c r="DTD36" s="9" t="s">
        <v>2065</v>
      </c>
      <c r="DTE36" s="619">
        <v>1</v>
      </c>
      <c r="DTF36" s="4">
        <v>1000000</v>
      </c>
      <c r="DTG36" s="4">
        <f>DTF36*DTE36</f>
        <v>1000000</v>
      </c>
      <c r="DTH36" s="9" t="s">
        <v>2066</v>
      </c>
      <c r="DTI36" s="1">
        <v>65</v>
      </c>
      <c r="DTJ36" s="619" t="s">
        <v>2063</v>
      </c>
      <c r="DTK36" s="148" t="s">
        <v>2064</v>
      </c>
      <c r="DTL36" s="9" t="s">
        <v>2065</v>
      </c>
      <c r="DTM36" s="619">
        <v>1</v>
      </c>
      <c r="DTN36" s="4">
        <v>1000000</v>
      </c>
      <c r="DTO36" s="4">
        <f>DTN36*DTM36</f>
        <v>1000000</v>
      </c>
      <c r="DTP36" s="9" t="s">
        <v>2066</v>
      </c>
      <c r="DTQ36" s="1">
        <v>65</v>
      </c>
      <c r="DTR36" s="619" t="s">
        <v>2063</v>
      </c>
      <c r="DTS36" s="148" t="s">
        <v>2064</v>
      </c>
      <c r="DTT36" s="9" t="s">
        <v>2065</v>
      </c>
      <c r="DTU36" s="619">
        <v>1</v>
      </c>
      <c r="DTV36" s="4">
        <v>1000000</v>
      </c>
      <c r="DTW36" s="4">
        <f>DTV36*DTU36</f>
        <v>1000000</v>
      </c>
      <c r="DTX36" s="9" t="s">
        <v>2066</v>
      </c>
      <c r="DTY36" s="1">
        <v>65</v>
      </c>
      <c r="DTZ36" s="619" t="s">
        <v>2063</v>
      </c>
      <c r="DUA36" s="148" t="s">
        <v>2064</v>
      </c>
      <c r="DUB36" s="9" t="s">
        <v>2065</v>
      </c>
      <c r="DUC36" s="619">
        <v>1</v>
      </c>
      <c r="DUD36" s="4">
        <v>1000000</v>
      </c>
      <c r="DUE36" s="4">
        <f>DUD36*DUC36</f>
        <v>1000000</v>
      </c>
      <c r="DUF36" s="9" t="s">
        <v>2066</v>
      </c>
      <c r="DUG36" s="1">
        <v>65</v>
      </c>
      <c r="DUH36" s="619" t="s">
        <v>2063</v>
      </c>
      <c r="DUI36" s="148" t="s">
        <v>2064</v>
      </c>
      <c r="DUJ36" s="9" t="s">
        <v>2065</v>
      </c>
      <c r="DUK36" s="619">
        <v>1</v>
      </c>
      <c r="DUL36" s="4">
        <v>1000000</v>
      </c>
      <c r="DUM36" s="4">
        <f>DUL36*DUK36</f>
        <v>1000000</v>
      </c>
      <c r="DUN36" s="9" t="s">
        <v>2066</v>
      </c>
      <c r="DUO36" s="1">
        <v>65</v>
      </c>
      <c r="DUP36" s="619" t="s">
        <v>2063</v>
      </c>
      <c r="DUQ36" s="148" t="s">
        <v>2064</v>
      </c>
      <c r="DUR36" s="9" t="s">
        <v>2065</v>
      </c>
      <c r="DUS36" s="619">
        <v>1</v>
      </c>
      <c r="DUT36" s="4">
        <v>1000000</v>
      </c>
      <c r="DUU36" s="4">
        <f>DUT36*DUS36</f>
        <v>1000000</v>
      </c>
      <c r="DUV36" s="9" t="s">
        <v>2066</v>
      </c>
      <c r="DUW36" s="1">
        <v>65</v>
      </c>
      <c r="DUX36" s="619" t="s">
        <v>2063</v>
      </c>
      <c r="DUY36" s="148" t="s">
        <v>2064</v>
      </c>
      <c r="DUZ36" s="9" t="s">
        <v>2065</v>
      </c>
      <c r="DVA36" s="619">
        <v>1</v>
      </c>
      <c r="DVB36" s="4">
        <v>1000000</v>
      </c>
      <c r="DVC36" s="4">
        <f>DVB36*DVA36</f>
        <v>1000000</v>
      </c>
      <c r="DVD36" s="9" t="s">
        <v>2066</v>
      </c>
      <c r="DVE36" s="1">
        <v>65</v>
      </c>
      <c r="DVF36" s="619" t="s">
        <v>2063</v>
      </c>
      <c r="DVG36" s="148" t="s">
        <v>2064</v>
      </c>
      <c r="DVH36" s="9" t="s">
        <v>2065</v>
      </c>
      <c r="DVI36" s="619">
        <v>1</v>
      </c>
      <c r="DVJ36" s="4">
        <v>1000000</v>
      </c>
      <c r="DVK36" s="4">
        <f>DVJ36*DVI36</f>
        <v>1000000</v>
      </c>
      <c r="DVL36" s="9" t="s">
        <v>2066</v>
      </c>
      <c r="DVM36" s="1">
        <v>65</v>
      </c>
      <c r="DVN36" s="619" t="s">
        <v>2063</v>
      </c>
      <c r="DVO36" s="148" t="s">
        <v>2064</v>
      </c>
      <c r="DVP36" s="9" t="s">
        <v>2065</v>
      </c>
      <c r="DVQ36" s="619">
        <v>1</v>
      </c>
      <c r="DVR36" s="4">
        <v>1000000</v>
      </c>
      <c r="DVS36" s="4">
        <f>DVR36*DVQ36</f>
        <v>1000000</v>
      </c>
      <c r="DVT36" s="9" t="s">
        <v>2066</v>
      </c>
      <c r="DVU36" s="1">
        <v>65</v>
      </c>
      <c r="DVV36" s="619" t="s">
        <v>2063</v>
      </c>
      <c r="DVW36" s="148" t="s">
        <v>2064</v>
      </c>
      <c r="DVX36" s="9" t="s">
        <v>2065</v>
      </c>
      <c r="DVY36" s="619">
        <v>1</v>
      </c>
      <c r="DVZ36" s="4">
        <v>1000000</v>
      </c>
      <c r="DWA36" s="4">
        <f>DVZ36*DVY36</f>
        <v>1000000</v>
      </c>
      <c r="DWB36" s="9" t="s">
        <v>2066</v>
      </c>
      <c r="DWC36" s="1">
        <v>65</v>
      </c>
      <c r="DWD36" s="619" t="s">
        <v>2063</v>
      </c>
      <c r="DWE36" s="148" t="s">
        <v>2064</v>
      </c>
      <c r="DWF36" s="9" t="s">
        <v>2065</v>
      </c>
      <c r="DWG36" s="619">
        <v>1</v>
      </c>
      <c r="DWH36" s="4">
        <v>1000000</v>
      </c>
      <c r="DWI36" s="4">
        <f>DWH36*DWG36</f>
        <v>1000000</v>
      </c>
      <c r="DWJ36" s="9" t="s">
        <v>2066</v>
      </c>
      <c r="DWK36" s="1">
        <v>65</v>
      </c>
      <c r="DWL36" s="619" t="s">
        <v>2063</v>
      </c>
      <c r="DWM36" s="148" t="s">
        <v>2064</v>
      </c>
      <c r="DWN36" s="9" t="s">
        <v>2065</v>
      </c>
      <c r="DWO36" s="619">
        <v>1</v>
      </c>
      <c r="DWP36" s="4">
        <v>1000000</v>
      </c>
      <c r="DWQ36" s="4">
        <f>DWP36*DWO36</f>
        <v>1000000</v>
      </c>
      <c r="DWR36" s="9" t="s">
        <v>2066</v>
      </c>
      <c r="DWS36" s="1">
        <v>65</v>
      </c>
      <c r="DWT36" s="619" t="s">
        <v>2063</v>
      </c>
      <c r="DWU36" s="148" t="s">
        <v>2064</v>
      </c>
      <c r="DWV36" s="9" t="s">
        <v>2065</v>
      </c>
      <c r="DWW36" s="619">
        <v>1</v>
      </c>
      <c r="DWX36" s="4">
        <v>1000000</v>
      </c>
      <c r="DWY36" s="4">
        <f>DWX36*DWW36</f>
        <v>1000000</v>
      </c>
      <c r="DWZ36" s="9" t="s">
        <v>2066</v>
      </c>
      <c r="DXA36" s="1">
        <v>65</v>
      </c>
      <c r="DXB36" s="619" t="s">
        <v>2063</v>
      </c>
      <c r="DXC36" s="148" t="s">
        <v>2064</v>
      </c>
      <c r="DXD36" s="9" t="s">
        <v>2065</v>
      </c>
      <c r="DXE36" s="619">
        <v>1</v>
      </c>
      <c r="DXF36" s="4">
        <v>1000000</v>
      </c>
      <c r="DXG36" s="4">
        <f>DXF36*DXE36</f>
        <v>1000000</v>
      </c>
      <c r="DXH36" s="9" t="s">
        <v>2066</v>
      </c>
      <c r="DXI36" s="1">
        <v>65</v>
      </c>
      <c r="DXJ36" s="619" t="s">
        <v>2063</v>
      </c>
      <c r="DXK36" s="148" t="s">
        <v>2064</v>
      </c>
      <c r="DXL36" s="9" t="s">
        <v>2065</v>
      </c>
      <c r="DXM36" s="619">
        <v>1</v>
      </c>
      <c r="DXN36" s="4">
        <v>1000000</v>
      </c>
      <c r="DXO36" s="4">
        <f>DXN36*DXM36</f>
        <v>1000000</v>
      </c>
      <c r="DXP36" s="9" t="s">
        <v>2066</v>
      </c>
      <c r="DXQ36" s="1">
        <v>65</v>
      </c>
      <c r="DXR36" s="619" t="s">
        <v>2063</v>
      </c>
      <c r="DXS36" s="148" t="s">
        <v>2064</v>
      </c>
      <c r="DXT36" s="9" t="s">
        <v>2065</v>
      </c>
      <c r="DXU36" s="619">
        <v>1</v>
      </c>
      <c r="DXV36" s="4">
        <v>1000000</v>
      </c>
      <c r="DXW36" s="4">
        <f>DXV36*DXU36</f>
        <v>1000000</v>
      </c>
      <c r="DXX36" s="9" t="s">
        <v>2066</v>
      </c>
      <c r="DXY36" s="1">
        <v>65</v>
      </c>
      <c r="DXZ36" s="619" t="s">
        <v>2063</v>
      </c>
      <c r="DYA36" s="148" t="s">
        <v>2064</v>
      </c>
      <c r="DYB36" s="9" t="s">
        <v>2065</v>
      </c>
      <c r="DYC36" s="619">
        <v>1</v>
      </c>
      <c r="DYD36" s="4">
        <v>1000000</v>
      </c>
      <c r="DYE36" s="4">
        <f>DYD36*DYC36</f>
        <v>1000000</v>
      </c>
      <c r="DYF36" s="9" t="s">
        <v>2066</v>
      </c>
      <c r="DYG36" s="1">
        <v>65</v>
      </c>
      <c r="DYH36" s="619" t="s">
        <v>2063</v>
      </c>
      <c r="DYI36" s="148" t="s">
        <v>2064</v>
      </c>
      <c r="DYJ36" s="9" t="s">
        <v>2065</v>
      </c>
      <c r="DYK36" s="619">
        <v>1</v>
      </c>
      <c r="DYL36" s="4">
        <v>1000000</v>
      </c>
      <c r="DYM36" s="4">
        <f>DYL36*DYK36</f>
        <v>1000000</v>
      </c>
      <c r="DYN36" s="9" t="s">
        <v>2066</v>
      </c>
      <c r="DYO36" s="1">
        <v>65</v>
      </c>
      <c r="DYP36" s="619" t="s">
        <v>2063</v>
      </c>
      <c r="DYQ36" s="148" t="s">
        <v>2064</v>
      </c>
      <c r="DYR36" s="9" t="s">
        <v>2065</v>
      </c>
      <c r="DYS36" s="619">
        <v>1</v>
      </c>
      <c r="DYT36" s="4">
        <v>1000000</v>
      </c>
      <c r="DYU36" s="4">
        <f>DYT36*DYS36</f>
        <v>1000000</v>
      </c>
      <c r="DYV36" s="9" t="s">
        <v>2066</v>
      </c>
      <c r="DYW36" s="1">
        <v>65</v>
      </c>
      <c r="DYX36" s="619" t="s">
        <v>2063</v>
      </c>
      <c r="DYY36" s="148" t="s">
        <v>2064</v>
      </c>
      <c r="DYZ36" s="9" t="s">
        <v>2065</v>
      </c>
      <c r="DZA36" s="619">
        <v>1</v>
      </c>
      <c r="DZB36" s="4">
        <v>1000000</v>
      </c>
      <c r="DZC36" s="4">
        <f>DZB36*DZA36</f>
        <v>1000000</v>
      </c>
      <c r="DZD36" s="9" t="s">
        <v>2066</v>
      </c>
      <c r="DZE36" s="1">
        <v>65</v>
      </c>
      <c r="DZF36" s="619" t="s">
        <v>2063</v>
      </c>
      <c r="DZG36" s="148" t="s">
        <v>2064</v>
      </c>
      <c r="DZH36" s="9" t="s">
        <v>2065</v>
      </c>
      <c r="DZI36" s="619">
        <v>1</v>
      </c>
      <c r="DZJ36" s="4">
        <v>1000000</v>
      </c>
      <c r="DZK36" s="4">
        <f>DZJ36*DZI36</f>
        <v>1000000</v>
      </c>
      <c r="DZL36" s="9" t="s">
        <v>2066</v>
      </c>
      <c r="DZM36" s="1">
        <v>65</v>
      </c>
      <c r="DZN36" s="619" t="s">
        <v>2063</v>
      </c>
      <c r="DZO36" s="148" t="s">
        <v>2064</v>
      </c>
      <c r="DZP36" s="9" t="s">
        <v>2065</v>
      </c>
      <c r="DZQ36" s="619">
        <v>1</v>
      </c>
      <c r="DZR36" s="4">
        <v>1000000</v>
      </c>
      <c r="DZS36" s="4">
        <f>DZR36*DZQ36</f>
        <v>1000000</v>
      </c>
      <c r="DZT36" s="9" t="s">
        <v>2066</v>
      </c>
      <c r="DZU36" s="1">
        <v>65</v>
      </c>
      <c r="DZV36" s="619" t="s">
        <v>2063</v>
      </c>
      <c r="DZW36" s="148" t="s">
        <v>2064</v>
      </c>
      <c r="DZX36" s="9" t="s">
        <v>2065</v>
      </c>
      <c r="DZY36" s="619">
        <v>1</v>
      </c>
      <c r="DZZ36" s="4">
        <v>1000000</v>
      </c>
      <c r="EAA36" s="4">
        <f>DZZ36*DZY36</f>
        <v>1000000</v>
      </c>
      <c r="EAB36" s="9" t="s">
        <v>2066</v>
      </c>
      <c r="EAC36" s="1">
        <v>65</v>
      </c>
      <c r="EAD36" s="619" t="s">
        <v>2063</v>
      </c>
      <c r="EAE36" s="148" t="s">
        <v>2064</v>
      </c>
      <c r="EAF36" s="9" t="s">
        <v>2065</v>
      </c>
      <c r="EAG36" s="619">
        <v>1</v>
      </c>
      <c r="EAH36" s="4">
        <v>1000000</v>
      </c>
      <c r="EAI36" s="4">
        <f>EAH36*EAG36</f>
        <v>1000000</v>
      </c>
      <c r="EAJ36" s="9" t="s">
        <v>2066</v>
      </c>
      <c r="EAK36" s="1">
        <v>65</v>
      </c>
      <c r="EAL36" s="619" t="s">
        <v>2063</v>
      </c>
      <c r="EAM36" s="148" t="s">
        <v>2064</v>
      </c>
      <c r="EAN36" s="9" t="s">
        <v>2065</v>
      </c>
      <c r="EAO36" s="619">
        <v>1</v>
      </c>
      <c r="EAP36" s="4">
        <v>1000000</v>
      </c>
      <c r="EAQ36" s="4">
        <f>EAP36*EAO36</f>
        <v>1000000</v>
      </c>
      <c r="EAR36" s="9" t="s">
        <v>2066</v>
      </c>
      <c r="EAS36" s="1">
        <v>65</v>
      </c>
      <c r="EAT36" s="619" t="s">
        <v>2063</v>
      </c>
      <c r="EAU36" s="148" t="s">
        <v>2064</v>
      </c>
      <c r="EAV36" s="9" t="s">
        <v>2065</v>
      </c>
      <c r="EAW36" s="619">
        <v>1</v>
      </c>
      <c r="EAX36" s="4">
        <v>1000000</v>
      </c>
      <c r="EAY36" s="4">
        <f>EAX36*EAW36</f>
        <v>1000000</v>
      </c>
      <c r="EAZ36" s="9" t="s">
        <v>2066</v>
      </c>
      <c r="EBA36" s="1">
        <v>65</v>
      </c>
      <c r="EBB36" s="619" t="s">
        <v>2063</v>
      </c>
      <c r="EBC36" s="148" t="s">
        <v>2064</v>
      </c>
      <c r="EBD36" s="9" t="s">
        <v>2065</v>
      </c>
      <c r="EBE36" s="619">
        <v>1</v>
      </c>
      <c r="EBF36" s="4">
        <v>1000000</v>
      </c>
      <c r="EBG36" s="4">
        <f>EBF36*EBE36</f>
        <v>1000000</v>
      </c>
      <c r="EBH36" s="9" t="s">
        <v>2066</v>
      </c>
      <c r="EBI36" s="1">
        <v>65</v>
      </c>
      <c r="EBJ36" s="619" t="s">
        <v>2063</v>
      </c>
      <c r="EBK36" s="148" t="s">
        <v>2064</v>
      </c>
      <c r="EBL36" s="9" t="s">
        <v>2065</v>
      </c>
      <c r="EBM36" s="619">
        <v>1</v>
      </c>
      <c r="EBN36" s="4">
        <v>1000000</v>
      </c>
      <c r="EBO36" s="4">
        <f>EBN36*EBM36</f>
        <v>1000000</v>
      </c>
      <c r="EBP36" s="9" t="s">
        <v>2066</v>
      </c>
      <c r="EBQ36" s="1">
        <v>65</v>
      </c>
      <c r="EBR36" s="619" t="s">
        <v>2063</v>
      </c>
      <c r="EBS36" s="148" t="s">
        <v>2064</v>
      </c>
      <c r="EBT36" s="9" t="s">
        <v>2065</v>
      </c>
      <c r="EBU36" s="619">
        <v>1</v>
      </c>
      <c r="EBV36" s="4">
        <v>1000000</v>
      </c>
      <c r="EBW36" s="4">
        <f>EBV36*EBU36</f>
        <v>1000000</v>
      </c>
      <c r="EBX36" s="9" t="s">
        <v>2066</v>
      </c>
      <c r="EBY36" s="1">
        <v>65</v>
      </c>
      <c r="EBZ36" s="619" t="s">
        <v>2063</v>
      </c>
      <c r="ECA36" s="148" t="s">
        <v>2064</v>
      </c>
      <c r="ECB36" s="9" t="s">
        <v>2065</v>
      </c>
      <c r="ECC36" s="619">
        <v>1</v>
      </c>
      <c r="ECD36" s="4">
        <v>1000000</v>
      </c>
      <c r="ECE36" s="4">
        <f>ECD36*ECC36</f>
        <v>1000000</v>
      </c>
      <c r="ECF36" s="9" t="s">
        <v>2066</v>
      </c>
      <c r="ECG36" s="1">
        <v>65</v>
      </c>
      <c r="ECH36" s="619" t="s">
        <v>2063</v>
      </c>
      <c r="ECI36" s="148" t="s">
        <v>2064</v>
      </c>
      <c r="ECJ36" s="9" t="s">
        <v>2065</v>
      </c>
      <c r="ECK36" s="619">
        <v>1</v>
      </c>
      <c r="ECL36" s="4">
        <v>1000000</v>
      </c>
      <c r="ECM36" s="4">
        <f>ECL36*ECK36</f>
        <v>1000000</v>
      </c>
      <c r="ECN36" s="9" t="s">
        <v>2066</v>
      </c>
      <c r="ECO36" s="1">
        <v>65</v>
      </c>
      <c r="ECP36" s="619" t="s">
        <v>2063</v>
      </c>
      <c r="ECQ36" s="148" t="s">
        <v>2064</v>
      </c>
      <c r="ECR36" s="9" t="s">
        <v>2065</v>
      </c>
      <c r="ECS36" s="619">
        <v>1</v>
      </c>
      <c r="ECT36" s="4">
        <v>1000000</v>
      </c>
      <c r="ECU36" s="4">
        <f>ECT36*ECS36</f>
        <v>1000000</v>
      </c>
      <c r="ECV36" s="9" t="s">
        <v>2066</v>
      </c>
      <c r="ECW36" s="1">
        <v>65</v>
      </c>
      <c r="ECX36" s="619" t="s">
        <v>2063</v>
      </c>
      <c r="ECY36" s="148" t="s">
        <v>2064</v>
      </c>
      <c r="ECZ36" s="9" t="s">
        <v>2065</v>
      </c>
      <c r="EDA36" s="619">
        <v>1</v>
      </c>
      <c r="EDB36" s="4">
        <v>1000000</v>
      </c>
      <c r="EDC36" s="4">
        <f>EDB36*EDA36</f>
        <v>1000000</v>
      </c>
      <c r="EDD36" s="9" t="s">
        <v>2066</v>
      </c>
      <c r="EDE36" s="1">
        <v>65</v>
      </c>
      <c r="EDF36" s="619" t="s">
        <v>2063</v>
      </c>
      <c r="EDG36" s="148" t="s">
        <v>2064</v>
      </c>
      <c r="EDH36" s="9" t="s">
        <v>2065</v>
      </c>
      <c r="EDI36" s="619">
        <v>1</v>
      </c>
      <c r="EDJ36" s="4">
        <v>1000000</v>
      </c>
      <c r="EDK36" s="4">
        <f>EDJ36*EDI36</f>
        <v>1000000</v>
      </c>
      <c r="EDL36" s="9" t="s">
        <v>2066</v>
      </c>
      <c r="EDM36" s="1">
        <v>65</v>
      </c>
      <c r="EDN36" s="619" t="s">
        <v>2063</v>
      </c>
      <c r="EDO36" s="148" t="s">
        <v>2064</v>
      </c>
      <c r="EDP36" s="9" t="s">
        <v>2065</v>
      </c>
      <c r="EDQ36" s="619">
        <v>1</v>
      </c>
      <c r="EDR36" s="4">
        <v>1000000</v>
      </c>
      <c r="EDS36" s="4">
        <f>EDR36*EDQ36</f>
        <v>1000000</v>
      </c>
      <c r="EDT36" s="9" t="s">
        <v>2066</v>
      </c>
      <c r="EDU36" s="1">
        <v>65</v>
      </c>
      <c r="EDV36" s="619" t="s">
        <v>2063</v>
      </c>
      <c r="EDW36" s="148" t="s">
        <v>2064</v>
      </c>
      <c r="EDX36" s="9" t="s">
        <v>2065</v>
      </c>
      <c r="EDY36" s="619">
        <v>1</v>
      </c>
      <c r="EDZ36" s="4">
        <v>1000000</v>
      </c>
      <c r="EEA36" s="4">
        <f>EDZ36*EDY36</f>
        <v>1000000</v>
      </c>
      <c r="EEB36" s="9" t="s">
        <v>2066</v>
      </c>
      <c r="EEC36" s="1">
        <v>65</v>
      </c>
      <c r="EED36" s="619" t="s">
        <v>2063</v>
      </c>
      <c r="EEE36" s="148" t="s">
        <v>2064</v>
      </c>
      <c r="EEF36" s="9" t="s">
        <v>2065</v>
      </c>
      <c r="EEG36" s="619">
        <v>1</v>
      </c>
      <c r="EEH36" s="4">
        <v>1000000</v>
      </c>
      <c r="EEI36" s="4">
        <f>EEH36*EEG36</f>
        <v>1000000</v>
      </c>
      <c r="EEJ36" s="9" t="s">
        <v>2066</v>
      </c>
      <c r="EEK36" s="1">
        <v>65</v>
      </c>
      <c r="EEL36" s="619" t="s">
        <v>2063</v>
      </c>
      <c r="EEM36" s="148" t="s">
        <v>2064</v>
      </c>
      <c r="EEN36" s="9" t="s">
        <v>2065</v>
      </c>
      <c r="EEO36" s="619">
        <v>1</v>
      </c>
      <c r="EEP36" s="4">
        <v>1000000</v>
      </c>
      <c r="EEQ36" s="4">
        <f>EEP36*EEO36</f>
        <v>1000000</v>
      </c>
      <c r="EER36" s="9" t="s">
        <v>2066</v>
      </c>
      <c r="EES36" s="1">
        <v>65</v>
      </c>
      <c r="EET36" s="619" t="s">
        <v>2063</v>
      </c>
      <c r="EEU36" s="148" t="s">
        <v>2064</v>
      </c>
      <c r="EEV36" s="9" t="s">
        <v>2065</v>
      </c>
      <c r="EEW36" s="619">
        <v>1</v>
      </c>
      <c r="EEX36" s="4">
        <v>1000000</v>
      </c>
      <c r="EEY36" s="4">
        <f>EEX36*EEW36</f>
        <v>1000000</v>
      </c>
      <c r="EEZ36" s="9" t="s">
        <v>2066</v>
      </c>
      <c r="EFA36" s="1">
        <v>65</v>
      </c>
      <c r="EFB36" s="619" t="s">
        <v>2063</v>
      </c>
      <c r="EFC36" s="148" t="s">
        <v>2064</v>
      </c>
      <c r="EFD36" s="9" t="s">
        <v>2065</v>
      </c>
      <c r="EFE36" s="619">
        <v>1</v>
      </c>
      <c r="EFF36" s="4">
        <v>1000000</v>
      </c>
      <c r="EFG36" s="4">
        <f>EFF36*EFE36</f>
        <v>1000000</v>
      </c>
      <c r="EFH36" s="9" t="s">
        <v>2066</v>
      </c>
      <c r="EFI36" s="1">
        <v>65</v>
      </c>
      <c r="EFJ36" s="619" t="s">
        <v>2063</v>
      </c>
      <c r="EFK36" s="148" t="s">
        <v>2064</v>
      </c>
      <c r="EFL36" s="9" t="s">
        <v>2065</v>
      </c>
      <c r="EFM36" s="619">
        <v>1</v>
      </c>
      <c r="EFN36" s="4">
        <v>1000000</v>
      </c>
      <c r="EFO36" s="4">
        <f>EFN36*EFM36</f>
        <v>1000000</v>
      </c>
      <c r="EFP36" s="9" t="s">
        <v>2066</v>
      </c>
      <c r="EFQ36" s="1">
        <v>65</v>
      </c>
      <c r="EFR36" s="619" t="s">
        <v>2063</v>
      </c>
      <c r="EFS36" s="148" t="s">
        <v>2064</v>
      </c>
      <c r="EFT36" s="9" t="s">
        <v>2065</v>
      </c>
      <c r="EFU36" s="619">
        <v>1</v>
      </c>
      <c r="EFV36" s="4">
        <v>1000000</v>
      </c>
      <c r="EFW36" s="4">
        <f>EFV36*EFU36</f>
        <v>1000000</v>
      </c>
      <c r="EFX36" s="9" t="s">
        <v>2066</v>
      </c>
      <c r="EFY36" s="1">
        <v>65</v>
      </c>
      <c r="EFZ36" s="619" t="s">
        <v>2063</v>
      </c>
      <c r="EGA36" s="148" t="s">
        <v>2064</v>
      </c>
      <c r="EGB36" s="9" t="s">
        <v>2065</v>
      </c>
      <c r="EGC36" s="619">
        <v>1</v>
      </c>
      <c r="EGD36" s="4">
        <v>1000000</v>
      </c>
      <c r="EGE36" s="4">
        <f>EGD36*EGC36</f>
        <v>1000000</v>
      </c>
      <c r="EGF36" s="9" t="s">
        <v>2066</v>
      </c>
      <c r="EGG36" s="1">
        <v>65</v>
      </c>
      <c r="EGH36" s="619" t="s">
        <v>2063</v>
      </c>
      <c r="EGI36" s="148" t="s">
        <v>2064</v>
      </c>
      <c r="EGJ36" s="9" t="s">
        <v>2065</v>
      </c>
      <c r="EGK36" s="619">
        <v>1</v>
      </c>
      <c r="EGL36" s="4">
        <v>1000000</v>
      </c>
      <c r="EGM36" s="4">
        <f>EGL36*EGK36</f>
        <v>1000000</v>
      </c>
      <c r="EGN36" s="9" t="s">
        <v>2066</v>
      </c>
      <c r="EGO36" s="1">
        <v>65</v>
      </c>
      <c r="EGP36" s="619" t="s">
        <v>2063</v>
      </c>
      <c r="EGQ36" s="148" t="s">
        <v>2064</v>
      </c>
      <c r="EGR36" s="9" t="s">
        <v>2065</v>
      </c>
      <c r="EGS36" s="619">
        <v>1</v>
      </c>
      <c r="EGT36" s="4">
        <v>1000000</v>
      </c>
      <c r="EGU36" s="4">
        <f>EGT36*EGS36</f>
        <v>1000000</v>
      </c>
      <c r="EGV36" s="9" t="s">
        <v>2066</v>
      </c>
      <c r="EGW36" s="1">
        <v>65</v>
      </c>
      <c r="EGX36" s="619" t="s">
        <v>2063</v>
      </c>
      <c r="EGY36" s="148" t="s">
        <v>2064</v>
      </c>
      <c r="EGZ36" s="9" t="s">
        <v>2065</v>
      </c>
      <c r="EHA36" s="619">
        <v>1</v>
      </c>
      <c r="EHB36" s="4">
        <v>1000000</v>
      </c>
      <c r="EHC36" s="4">
        <f>EHB36*EHA36</f>
        <v>1000000</v>
      </c>
      <c r="EHD36" s="9" t="s">
        <v>2066</v>
      </c>
      <c r="EHE36" s="1">
        <v>65</v>
      </c>
      <c r="EHF36" s="619" t="s">
        <v>2063</v>
      </c>
      <c r="EHG36" s="148" t="s">
        <v>2064</v>
      </c>
      <c r="EHH36" s="9" t="s">
        <v>2065</v>
      </c>
      <c r="EHI36" s="619">
        <v>1</v>
      </c>
      <c r="EHJ36" s="4">
        <v>1000000</v>
      </c>
      <c r="EHK36" s="4">
        <f>EHJ36*EHI36</f>
        <v>1000000</v>
      </c>
      <c r="EHL36" s="9" t="s">
        <v>2066</v>
      </c>
      <c r="EHM36" s="1">
        <v>65</v>
      </c>
      <c r="EHN36" s="619" t="s">
        <v>2063</v>
      </c>
      <c r="EHO36" s="148" t="s">
        <v>2064</v>
      </c>
      <c r="EHP36" s="9" t="s">
        <v>2065</v>
      </c>
      <c r="EHQ36" s="619">
        <v>1</v>
      </c>
      <c r="EHR36" s="4">
        <v>1000000</v>
      </c>
      <c r="EHS36" s="4">
        <f>EHR36*EHQ36</f>
        <v>1000000</v>
      </c>
      <c r="EHT36" s="9" t="s">
        <v>2066</v>
      </c>
      <c r="EHU36" s="1">
        <v>65</v>
      </c>
      <c r="EHV36" s="619" t="s">
        <v>2063</v>
      </c>
      <c r="EHW36" s="148" t="s">
        <v>2064</v>
      </c>
      <c r="EHX36" s="9" t="s">
        <v>2065</v>
      </c>
      <c r="EHY36" s="619">
        <v>1</v>
      </c>
      <c r="EHZ36" s="4">
        <v>1000000</v>
      </c>
      <c r="EIA36" s="4">
        <f>EHZ36*EHY36</f>
        <v>1000000</v>
      </c>
      <c r="EIB36" s="9" t="s">
        <v>2066</v>
      </c>
      <c r="EIC36" s="1">
        <v>65</v>
      </c>
      <c r="EID36" s="619" t="s">
        <v>2063</v>
      </c>
      <c r="EIE36" s="148" t="s">
        <v>2064</v>
      </c>
      <c r="EIF36" s="9" t="s">
        <v>2065</v>
      </c>
      <c r="EIG36" s="619">
        <v>1</v>
      </c>
      <c r="EIH36" s="4">
        <v>1000000</v>
      </c>
      <c r="EII36" s="4">
        <f>EIH36*EIG36</f>
        <v>1000000</v>
      </c>
      <c r="EIJ36" s="9" t="s">
        <v>2066</v>
      </c>
      <c r="EIK36" s="1">
        <v>65</v>
      </c>
      <c r="EIL36" s="619" t="s">
        <v>2063</v>
      </c>
      <c r="EIM36" s="148" t="s">
        <v>2064</v>
      </c>
      <c r="EIN36" s="9" t="s">
        <v>2065</v>
      </c>
      <c r="EIO36" s="619">
        <v>1</v>
      </c>
      <c r="EIP36" s="4">
        <v>1000000</v>
      </c>
      <c r="EIQ36" s="4">
        <f>EIP36*EIO36</f>
        <v>1000000</v>
      </c>
      <c r="EIR36" s="9" t="s">
        <v>2066</v>
      </c>
      <c r="EIS36" s="1">
        <v>65</v>
      </c>
      <c r="EIT36" s="619" t="s">
        <v>2063</v>
      </c>
      <c r="EIU36" s="148" t="s">
        <v>2064</v>
      </c>
      <c r="EIV36" s="9" t="s">
        <v>2065</v>
      </c>
      <c r="EIW36" s="619">
        <v>1</v>
      </c>
      <c r="EIX36" s="4">
        <v>1000000</v>
      </c>
      <c r="EIY36" s="4">
        <f>EIX36*EIW36</f>
        <v>1000000</v>
      </c>
      <c r="EIZ36" s="9" t="s">
        <v>2066</v>
      </c>
      <c r="EJA36" s="1">
        <v>65</v>
      </c>
      <c r="EJB36" s="619" t="s">
        <v>2063</v>
      </c>
      <c r="EJC36" s="148" t="s">
        <v>2064</v>
      </c>
      <c r="EJD36" s="9" t="s">
        <v>2065</v>
      </c>
      <c r="EJE36" s="619">
        <v>1</v>
      </c>
      <c r="EJF36" s="4">
        <v>1000000</v>
      </c>
      <c r="EJG36" s="4">
        <f>EJF36*EJE36</f>
        <v>1000000</v>
      </c>
      <c r="EJH36" s="9" t="s">
        <v>2066</v>
      </c>
      <c r="EJI36" s="1">
        <v>65</v>
      </c>
      <c r="EJJ36" s="619" t="s">
        <v>2063</v>
      </c>
      <c r="EJK36" s="148" t="s">
        <v>2064</v>
      </c>
      <c r="EJL36" s="9" t="s">
        <v>2065</v>
      </c>
      <c r="EJM36" s="619">
        <v>1</v>
      </c>
      <c r="EJN36" s="4">
        <v>1000000</v>
      </c>
      <c r="EJO36" s="4">
        <f>EJN36*EJM36</f>
        <v>1000000</v>
      </c>
      <c r="EJP36" s="9" t="s">
        <v>2066</v>
      </c>
      <c r="EJQ36" s="1">
        <v>65</v>
      </c>
      <c r="EJR36" s="619" t="s">
        <v>2063</v>
      </c>
      <c r="EJS36" s="148" t="s">
        <v>2064</v>
      </c>
      <c r="EJT36" s="9" t="s">
        <v>2065</v>
      </c>
      <c r="EJU36" s="619">
        <v>1</v>
      </c>
      <c r="EJV36" s="4">
        <v>1000000</v>
      </c>
      <c r="EJW36" s="4">
        <f>EJV36*EJU36</f>
        <v>1000000</v>
      </c>
      <c r="EJX36" s="9" t="s">
        <v>2066</v>
      </c>
      <c r="EJY36" s="1">
        <v>65</v>
      </c>
      <c r="EJZ36" s="619" t="s">
        <v>2063</v>
      </c>
      <c r="EKA36" s="148" t="s">
        <v>2064</v>
      </c>
      <c r="EKB36" s="9" t="s">
        <v>2065</v>
      </c>
      <c r="EKC36" s="619">
        <v>1</v>
      </c>
      <c r="EKD36" s="4">
        <v>1000000</v>
      </c>
      <c r="EKE36" s="4">
        <f>EKD36*EKC36</f>
        <v>1000000</v>
      </c>
      <c r="EKF36" s="9" t="s">
        <v>2066</v>
      </c>
      <c r="EKG36" s="1">
        <v>65</v>
      </c>
      <c r="EKH36" s="619" t="s">
        <v>2063</v>
      </c>
      <c r="EKI36" s="148" t="s">
        <v>2064</v>
      </c>
      <c r="EKJ36" s="9" t="s">
        <v>2065</v>
      </c>
      <c r="EKK36" s="619">
        <v>1</v>
      </c>
      <c r="EKL36" s="4">
        <v>1000000</v>
      </c>
      <c r="EKM36" s="4">
        <f>EKL36*EKK36</f>
        <v>1000000</v>
      </c>
      <c r="EKN36" s="9" t="s">
        <v>2066</v>
      </c>
      <c r="EKO36" s="1">
        <v>65</v>
      </c>
      <c r="EKP36" s="619" t="s">
        <v>2063</v>
      </c>
      <c r="EKQ36" s="148" t="s">
        <v>2064</v>
      </c>
      <c r="EKR36" s="9" t="s">
        <v>2065</v>
      </c>
      <c r="EKS36" s="619">
        <v>1</v>
      </c>
      <c r="EKT36" s="4">
        <v>1000000</v>
      </c>
      <c r="EKU36" s="4">
        <f>EKT36*EKS36</f>
        <v>1000000</v>
      </c>
      <c r="EKV36" s="9" t="s">
        <v>2066</v>
      </c>
      <c r="EKW36" s="1">
        <v>65</v>
      </c>
      <c r="EKX36" s="619" t="s">
        <v>2063</v>
      </c>
      <c r="EKY36" s="148" t="s">
        <v>2064</v>
      </c>
      <c r="EKZ36" s="9" t="s">
        <v>2065</v>
      </c>
      <c r="ELA36" s="619">
        <v>1</v>
      </c>
      <c r="ELB36" s="4">
        <v>1000000</v>
      </c>
      <c r="ELC36" s="4">
        <f>ELB36*ELA36</f>
        <v>1000000</v>
      </c>
      <c r="ELD36" s="9" t="s">
        <v>2066</v>
      </c>
      <c r="ELE36" s="1">
        <v>65</v>
      </c>
      <c r="ELF36" s="619" t="s">
        <v>2063</v>
      </c>
      <c r="ELG36" s="148" t="s">
        <v>2064</v>
      </c>
      <c r="ELH36" s="9" t="s">
        <v>2065</v>
      </c>
      <c r="ELI36" s="619">
        <v>1</v>
      </c>
      <c r="ELJ36" s="4">
        <v>1000000</v>
      </c>
      <c r="ELK36" s="4">
        <f>ELJ36*ELI36</f>
        <v>1000000</v>
      </c>
      <c r="ELL36" s="9" t="s">
        <v>2066</v>
      </c>
      <c r="ELM36" s="1">
        <v>65</v>
      </c>
      <c r="ELN36" s="619" t="s">
        <v>2063</v>
      </c>
      <c r="ELO36" s="148" t="s">
        <v>2064</v>
      </c>
      <c r="ELP36" s="9" t="s">
        <v>2065</v>
      </c>
      <c r="ELQ36" s="619">
        <v>1</v>
      </c>
      <c r="ELR36" s="4">
        <v>1000000</v>
      </c>
      <c r="ELS36" s="4">
        <f>ELR36*ELQ36</f>
        <v>1000000</v>
      </c>
      <c r="ELT36" s="9" t="s">
        <v>2066</v>
      </c>
      <c r="ELU36" s="1">
        <v>65</v>
      </c>
      <c r="ELV36" s="619" t="s">
        <v>2063</v>
      </c>
      <c r="ELW36" s="148" t="s">
        <v>2064</v>
      </c>
      <c r="ELX36" s="9" t="s">
        <v>2065</v>
      </c>
      <c r="ELY36" s="619">
        <v>1</v>
      </c>
      <c r="ELZ36" s="4">
        <v>1000000</v>
      </c>
      <c r="EMA36" s="4">
        <f>ELZ36*ELY36</f>
        <v>1000000</v>
      </c>
      <c r="EMB36" s="9" t="s">
        <v>2066</v>
      </c>
      <c r="EMC36" s="1">
        <v>65</v>
      </c>
      <c r="EMD36" s="619" t="s">
        <v>2063</v>
      </c>
      <c r="EME36" s="148" t="s">
        <v>2064</v>
      </c>
      <c r="EMF36" s="9" t="s">
        <v>2065</v>
      </c>
      <c r="EMG36" s="619">
        <v>1</v>
      </c>
      <c r="EMH36" s="4">
        <v>1000000</v>
      </c>
      <c r="EMI36" s="4">
        <f>EMH36*EMG36</f>
        <v>1000000</v>
      </c>
      <c r="EMJ36" s="9" t="s">
        <v>2066</v>
      </c>
      <c r="EMK36" s="1">
        <v>65</v>
      </c>
      <c r="EML36" s="619" t="s">
        <v>2063</v>
      </c>
      <c r="EMM36" s="148" t="s">
        <v>2064</v>
      </c>
      <c r="EMN36" s="9" t="s">
        <v>2065</v>
      </c>
      <c r="EMO36" s="619">
        <v>1</v>
      </c>
      <c r="EMP36" s="4">
        <v>1000000</v>
      </c>
      <c r="EMQ36" s="4">
        <f>EMP36*EMO36</f>
        <v>1000000</v>
      </c>
      <c r="EMR36" s="9" t="s">
        <v>2066</v>
      </c>
      <c r="EMS36" s="1">
        <v>65</v>
      </c>
      <c r="EMT36" s="619" t="s">
        <v>2063</v>
      </c>
      <c r="EMU36" s="148" t="s">
        <v>2064</v>
      </c>
      <c r="EMV36" s="9" t="s">
        <v>2065</v>
      </c>
      <c r="EMW36" s="619">
        <v>1</v>
      </c>
      <c r="EMX36" s="4">
        <v>1000000</v>
      </c>
      <c r="EMY36" s="4">
        <f>EMX36*EMW36</f>
        <v>1000000</v>
      </c>
      <c r="EMZ36" s="9" t="s">
        <v>2066</v>
      </c>
      <c r="ENA36" s="1">
        <v>65</v>
      </c>
      <c r="ENB36" s="619" t="s">
        <v>2063</v>
      </c>
      <c r="ENC36" s="148" t="s">
        <v>2064</v>
      </c>
      <c r="END36" s="9" t="s">
        <v>2065</v>
      </c>
      <c r="ENE36" s="619">
        <v>1</v>
      </c>
      <c r="ENF36" s="4">
        <v>1000000</v>
      </c>
      <c r="ENG36" s="4">
        <f>ENF36*ENE36</f>
        <v>1000000</v>
      </c>
      <c r="ENH36" s="9" t="s">
        <v>2066</v>
      </c>
      <c r="ENI36" s="1">
        <v>65</v>
      </c>
      <c r="ENJ36" s="619" t="s">
        <v>2063</v>
      </c>
      <c r="ENK36" s="148" t="s">
        <v>2064</v>
      </c>
      <c r="ENL36" s="9" t="s">
        <v>2065</v>
      </c>
      <c r="ENM36" s="619">
        <v>1</v>
      </c>
      <c r="ENN36" s="4">
        <v>1000000</v>
      </c>
      <c r="ENO36" s="4">
        <f>ENN36*ENM36</f>
        <v>1000000</v>
      </c>
      <c r="ENP36" s="9" t="s">
        <v>2066</v>
      </c>
      <c r="ENQ36" s="1">
        <v>65</v>
      </c>
      <c r="ENR36" s="619" t="s">
        <v>2063</v>
      </c>
      <c r="ENS36" s="148" t="s">
        <v>2064</v>
      </c>
      <c r="ENT36" s="9" t="s">
        <v>2065</v>
      </c>
      <c r="ENU36" s="619">
        <v>1</v>
      </c>
      <c r="ENV36" s="4">
        <v>1000000</v>
      </c>
      <c r="ENW36" s="4">
        <f>ENV36*ENU36</f>
        <v>1000000</v>
      </c>
      <c r="ENX36" s="9" t="s">
        <v>2066</v>
      </c>
      <c r="ENY36" s="1">
        <v>65</v>
      </c>
      <c r="ENZ36" s="619" t="s">
        <v>2063</v>
      </c>
      <c r="EOA36" s="148" t="s">
        <v>2064</v>
      </c>
      <c r="EOB36" s="9" t="s">
        <v>2065</v>
      </c>
      <c r="EOC36" s="619">
        <v>1</v>
      </c>
      <c r="EOD36" s="4">
        <v>1000000</v>
      </c>
      <c r="EOE36" s="4">
        <f>EOD36*EOC36</f>
        <v>1000000</v>
      </c>
      <c r="EOF36" s="9" t="s">
        <v>2066</v>
      </c>
      <c r="EOG36" s="1">
        <v>65</v>
      </c>
      <c r="EOH36" s="619" t="s">
        <v>2063</v>
      </c>
      <c r="EOI36" s="148" t="s">
        <v>2064</v>
      </c>
      <c r="EOJ36" s="9" t="s">
        <v>2065</v>
      </c>
      <c r="EOK36" s="619">
        <v>1</v>
      </c>
      <c r="EOL36" s="4">
        <v>1000000</v>
      </c>
      <c r="EOM36" s="4">
        <f>EOL36*EOK36</f>
        <v>1000000</v>
      </c>
      <c r="EON36" s="9" t="s">
        <v>2066</v>
      </c>
      <c r="EOO36" s="1">
        <v>65</v>
      </c>
      <c r="EOP36" s="619" t="s">
        <v>2063</v>
      </c>
      <c r="EOQ36" s="148" t="s">
        <v>2064</v>
      </c>
      <c r="EOR36" s="9" t="s">
        <v>2065</v>
      </c>
      <c r="EOS36" s="619">
        <v>1</v>
      </c>
      <c r="EOT36" s="4">
        <v>1000000</v>
      </c>
      <c r="EOU36" s="4">
        <f>EOT36*EOS36</f>
        <v>1000000</v>
      </c>
      <c r="EOV36" s="9" t="s">
        <v>2066</v>
      </c>
      <c r="EOW36" s="1">
        <v>65</v>
      </c>
      <c r="EOX36" s="619" t="s">
        <v>2063</v>
      </c>
      <c r="EOY36" s="148" t="s">
        <v>2064</v>
      </c>
      <c r="EOZ36" s="9" t="s">
        <v>2065</v>
      </c>
      <c r="EPA36" s="619">
        <v>1</v>
      </c>
      <c r="EPB36" s="4">
        <v>1000000</v>
      </c>
      <c r="EPC36" s="4">
        <f>EPB36*EPA36</f>
        <v>1000000</v>
      </c>
      <c r="EPD36" s="9" t="s">
        <v>2066</v>
      </c>
      <c r="EPE36" s="1">
        <v>65</v>
      </c>
      <c r="EPF36" s="619" t="s">
        <v>2063</v>
      </c>
      <c r="EPG36" s="148" t="s">
        <v>2064</v>
      </c>
      <c r="EPH36" s="9" t="s">
        <v>2065</v>
      </c>
      <c r="EPI36" s="619">
        <v>1</v>
      </c>
      <c r="EPJ36" s="4">
        <v>1000000</v>
      </c>
      <c r="EPK36" s="4">
        <f>EPJ36*EPI36</f>
        <v>1000000</v>
      </c>
      <c r="EPL36" s="9" t="s">
        <v>2066</v>
      </c>
      <c r="EPM36" s="1">
        <v>65</v>
      </c>
      <c r="EPN36" s="619" t="s">
        <v>2063</v>
      </c>
      <c r="EPO36" s="148" t="s">
        <v>2064</v>
      </c>
      <c r="EPP36" s="9" t="s">
        <v>2065</v>
      </c>
      <c r="EPQ36" s="619">
        <v>1</v>
      </c>
      <c r="EPR36" s="4">
        <v>1000000</v>
      </c>
      <c r="EPS36" s="4">
        <f>EPR36*EPQ36</f>
        <v>1000000</v>
      </c>
      <c r="EPT36" s="9" t="s">
        <v>2066</v>
      </c>
      <c r="EPU36" s="1">
        <v>65</v>
      </c>
      <c r="EPV36" s="619" t="s">
        <v>2063</v>
      </c>
      <c r="EPW36" s="148" t="s">
        <v>2064</v>
      </c>
      <c r="EPX36" s="9" t="s">
        <v>2065</v>
      </c>
      <c r="EPY36" s="619">
        <v>1</v>
      </c>
      <c r="EPZ36" s="4">
        <v>1000000</v>
      </c>
      <c r="EQA36" s="4">
        <f>EPZ36*EPY36</f>
        <v>1000000</v>
      </c>
      <c r="EQB36" s="9" t="s">
        <v>2066</v>
      </c>
      <c r="EQC36" s="1">
        <v>65</v>
      </c>
      <c r="EQD36" s="619" t="s">
        <v>2063</v>
      </c>
      <c r="EQE36" s="148" t="s">
        <v>2064</v>
      </c>
      <c r="EQF36" s="9" t="s">
        <v>2065</v>
      </c>
      <c r="EQG36" s="619">
        <v>1</v>
      </c>
      <c r="EQH36" s="4">
        <v>1000000</v>
      </c>
      <c r="EQI36" s="4">
        <f>EQH36*EQG36</f>
        <v>1000000</v>
      </c>
      <c r="EQJ36" s="9" t="s">
        <v>2066</v>
      </c>
      <c r="EQK36" s="1">
        <v>65</v>
      </c>
      <c r="EQL36" s="619" t="s">
        <v>2063</v>
      </c>
      <c r="EQM36" s="148" t="s">
        <v>2064</v>
      </c>
      <c r="EQN36" s="9" t="s">
        <v>2065</v>
      </c>
      <c r="EQO36" s="619">
        <v>1</v>
      </c>
      <c r="EQP36" s="4">
        <v>1000000</v>
      </c>
      <c r="EQQ36" s="4">
        <f>EQP36*EQO36</f>
        <v>1000000</v>
      </c>
      <c r="EQR36" s="9" t="s">
        <v>2066</v>
      </c>
      <c r="EQS36" s="1">
        <v>65</v>
      </c>
      <c r="EQT36" s="619" t="s">
        <v>2063</v>
      </c>
      <c r="EQU36" s="148" t="s">
        <v>2064</v>
      </c>
      <c r="EQV36" s="9" t="s">
        <v>2065</v>
      </c>
      <c r="EQW36" s="619">
        <v>1</v>
      </c>
      <c r="EQX36" s="4">
        <v>1000000</v>
      </c>
      <c r="EQY36" s="4">
        <f>EQX36*EQW36</f>
        <v>1000000</v>
      </c>
      <c r="EQZ36" s="9" t="s">
        <v>2066</v>
      </c>
      <c r="ERA36" s="1">
        <v>65</v>
      </c>
      <c r="ERB36" s="619" t="s">
        <v>2063</v>
      </c>
      <c r="ERC36" s="148" t="s">
        <v>2064</v>
      </c>
      <c r="ERD36" s="9" t="s">
        <v>2065</v>
      </c>
      <c r="ERE36" s="619">
        <v>1</v>
      </c>
      <c r="ERF36" s="4">
        <v>1000000</v>
      </c>
      <c r="ERG36" s="4">
        <f>ERF36*ERE36</f>
        <v>1000000</v>
      </c>
      <c r="ERH36" s="9" t="s">
        <v>2066</v>
      </c>
      <c r="ERI36" s="1">
        <v>65</v>
      </c>
      <c r="ERJ36" s="619" t="s">
        <v>2063</v>
      </c>
      <c r="ERK36" s="148" t="s">
        <v>2064</v>
      </c>
      <c r="ERL36" s="9" t="s">
        <v>2065</v>
      </c>
      <c r="ERM36" s="619">
        <v>1</v>
      </c>
      <c r="ERN36" s="4">
        <v>1000000</v>
      </c>
      <c r="ERO36" s="4">
        <f>ERN36*ERM36</f>
        <v>1000000</v>
      </c>
      <c r="ERP36" s="9" t="s">
        <v>2066</v>
      </c>
      <c r="ERQ36" s="1">
        <v>65</v>
      </c>
      <c r="ERR36" s="619" t="s">
        <v>2063</v>
      </c>
      <c r="ERS36" s="148" t="s">
        <v>2064</v>
      </c>
      <c r="ERT36" s="9" t="s">
        <v>2065</v>
      </c>
      <c r="ERU36" s="619">
        <v>1</v>
      </c>
      <c r="ERV36" s="4">
        <v>1000000</v>
      </c>
      <c r="ERW36" s="4">
        <f>ERV36*ERU36</f>
        <v>1000000</v>
      </c>
      <c r="ERX36" s="9" t="s">
        <v>2066</v>
      </c>
      <c r="ERY36" s="1">
        <v>65</v>
      </c>
      <c r="ERZ36" s="619" t="s">
        <v>2063</v>
      </c>
      <c r="ESA36" s="148" t="s">
        <v>2064</v>
      </c>
      <c r="ESB36" s="9" t="s">
        <v>2065</v>
      </c>
      <c r="ESC36" s="619">
        <v>1</v>
      </c>
      <c r="ESD36" s="4">
        <v>1000000</v>
      </c>
      <c r="ESE36" s="4">
        <f>ESD36*ESC36</f>
        <v>1000000</v>
      </c>
      <c r="ESF36" s="9" t="s">
        <v>2066</v>
      </c>
      <c r="ESG36" s="1">
        <v>65</v>
      </c>
      <c r="ESH36" s="619" t="s">
        <v>2063</v>
      </c>
      <c r="ESI36" s="148" t="s">
        <v>2064</v>
      </c>
      <c r="ESJ36" s="9" t="s">
        <v>2065</v>
      </c>
      <c r="ESK36" s="619">
        <v>1</v>
      </c>
      <c r="ESL36" s="4">
        <v>1000000</v>
      </c>
      <c r="ESM36" s="4">
        <f>ESL36*ESK36</f>
        <v>1000000</v>
      </c>
      <c r="ESN36" s="9" t="s">
        <v>2066</v>
      </c>
      <c r="ESO36" s="1">
        <v>65</v>
      </c>
      <c r="ESP36" s="619" t="s">
        <v>2063</v>
      </c>
      <c r="ESQ36" s="148" t="s">
        <v>2064</v>
      </c>
      <c r="ESR36" s="9" t="s">
        <v>2065</v>
      </c>
      <c r="ESS36" s="619">
        <v>1</v>
      </c>
      <c r="EST36" s="4">
        <v>1000000</v>
      </c>
      <c r="ESU36" s="4">
        <f>EST36*ESS36</f>
        <v>1000000</v>
      </c>
      <c r="ESV36" s="9" t="s">
        <v>2066</v>
      </c>
      <c r="ESW36" s="1">
        <v>65</v>
      </c>
      <c r="ESX36" s="619" t="s">
        <v>2063</v>
      </c>
      <c r="ESY36" s="148" t="s">
        <v>2064</v>
      </c>
      <c r="ESZ36" s="9" t="s">
        <v>2065</v>
      </c>
      <c r="ETA36" s="619">
        <v>1</v>
      </c>
      <c r="ETB36" s="4">
        <v>1000000</v>
      </c>
      <c r="ETC36" s="4">
        <f>ETB36*ETA36</f>
        <v>1000000</v>
      </c>
      <c r="ETD36" s="9" t="s">
        <v>2066</v>
      </c>
      <c r="ETE36" s="1">
        <v>65</v>
      </c>
      <c r="ETF36" s="619" t="s">
        <v>2063</v>
      </c>
      <c r="ETG36" s="148" t="s">
        <v>2064</v>
      </c>
      <c r="ETH36" s="9" t="s">
        <v>2065</v>
      </c>
      <c r="ETI36" s="619">
        <v>1</v>
      </c>
      <c r="ETJ36" s="4">
        <v>1000000</v>
      </c>
      <c r="ETK36" s="4">
        <f>ETJ36*ETI36</f>
        <v>1000000</v>
      </c>
      <c r="ETL36" s="9" t="s">
        <v>2066</v>
      </c>
      <c r="ETM36" s="1">
        <v>65</v>
      </c>
      <c r="ETN36" s="619" t="s">
        <v>2063</v>
      </c>
      <c r="ETO36" s="148" t="s">
        <v>2064</v>
      </c>
      <c r="ETP36" s="9" t="s">
        <v>2065</v>
      </c>
      <c r="ETQ36" s="619">
        <v>1</v>
      </c>
      <c r="ETR36" s="4">
        <v>1000000</v>
      </c>
      <c r="ETS36" s="4">
        <f>ETR36*ETQ36</f>
        <v>1000000</v>
      </c>
      <c r="ETT36" s="9" t="s">
        <v>2066</v>
      </c>
      <c r="ETU36" s="1">
        <v>65</v>
      </c>
      <c r="ETV36" s="619" t="s">
        <v>2063</v>
      </c>
      <c r="ETW36" s="148" t="s">
        <v>2064</v>
      </c>
      <c r="ETX36" s="9" t="s">
        <v>2065</v>
      </c>
      <c r="ETY36" s="619">
        <v>1</v>
      </c>
      <c r="ETZ36" s="4">
        <v>1000000</v>
      </c>
      <c r="EUA36" s="4">
        <f>ETZ36*ETY36</f>
        <v>1000000</v>
      </c>
      <c r="EUB36" s="9" t="s">
        <v>2066</v>
      </c>
      <c r="EUC36" s="1">
        <v>65</v>
      </c>
      <c r="EUD36" s="619" t="s">
        <v>2063</v>
      </c>
      <c r="EUE36" s="148" t="s">
        <v>2064</v>
      </c>
      <c r="EUF36" s="9" t="s">
        <v>2065</v>
      </c>
      <c r="EUG36" s="619">
        <v>1</v>
      </c>
      <c r="EUH36" s="4">
        <v>1000000</v>
      </c>
      <c r="EUI36" s="4">
        <f>EUH36*EUG36</f>
        <v>1000000</v>
      </c>
      <c r="EUJ36" s="9" t="s">
        <v>2066</v>
      </c>
      <c r="EUK36" s="1">
        <v>65</v>
      </c>
      <c r="EUL36" s="619" t="s">
        <v>2063</v>
      </c>
      <c r="EUM36" s="148" t="s">
        <v>2064</v>
      </c>
      <c r="EUN36" s="9" t="s">
        <v>2065</v>
      </c>
      <c r="EUO36" s="619">
        <v>1</v>
      </c>
      <c r="EUP36" s="4">
        <v>1000000</v>
      </c>
      <c r="EUQ36" s="4">
        <f>EUP36*EUO36</f>
        <v>1000000</v>
      </c>
      <c r="EUR36" s="9" t="s">
        <v>2066</v>
      </c>
      <c r="EUS36" s="1">
        <v>65</v>
      </c>
      <c r="EUT36" s="619" t="s">
        <v>2063</v>
      </c>
      <c r="EUU36" s="148" t="s">
        <v>2064</v>
      </c>
      <c r="EUV36" s="9" t="s">
        <v>2065</v>
      </c>
      <c r="EUW36" s="619">
        <v>1</v>
      </c>
      <c r="EUX36" s="4">
        <v>1000000</v>
      </c>
      <c r="EUY36" s="4">
        <f>EUX36*EUW36</f>
        <v>1000000</v>
      </c>
      <c r="EUZ36" s="9" t="s">
        <v>2066</v>
      </c>
      <c r="EVA36" s="1">
        <v>65</v>
      </c>
      <c r="EVB36" s="619" t="s">
        <v>2063</v>
      </c>
      <c r="EVC36" s="148" t="s">
        <v>2064</v>
      </c>
      <c r="EVD36" s="9" t="s">
        <v>2065</v>
      </c>
      <c r="EVE36" s="619">
        <v>1</v>
      </c>
      <c r="EVF36" s="4">
        <v>1000000</v>
      </c>
      <c r="EVG36" s="4">
        <f>EVF36*EVE36</f>
        <v>1000000</v>
      </c>
      <c r="EVH36" s="9" t="s">
        <v>2066</v>
      </c>
      <c r="EVI36" s="1">
        <v>65</v>
      </c>
      <c r="EVJ36" s="619" t="s">
        <v>2063</v>
      </c>
      <c r="EVK36" s="148" t="s">
        <v>2064</v>
      </c>
      <c r="EVL36" s="9" t="s">
        <v>2065</v>
      </c>
      <c r="EVM36" s="619">
        <v>1</v>
      </c>
      <c r="EVN36" s="4">
        <v>1000000</v>
      </c>
      <c r="EVO36" s="4">
        <f>EVN36*EVM36</f>
        <v>1000000</v>
      </c>
      <c r="EVP36" s="9" t="s">
        <v>2066</v>
      </c>
      <c r="EVQ36" s="1">
        <v>65</v>
      </c>
      <c r="EVR36" s="619" t="s">
        <v>2063</v>
      </c>
      <c r="EVS36" s="148" t="s">
        <v>2064</v>
      </c>
      <c r="EVT36" s="9" t="s">
        <v>2065</v>
      </c>
      <c r="EVU36" s="619">
        <v>1</v>
      </c>
      <c r="EVV36" s="4">
        <v>1000000</v>
      </c>
      <c r="EVW36" s="4">
        <f>EVV36*EVU36</f>
        <v>1000000</v>
      </c>
      <c r="EVX36" s="9" t="s">
        <v>2066</v>
      </c>
      <c r="EVY36" s="1">
        <v>65</v>
      </c>
      <c r="EVZ36" s="619" t="s">
        <v>2063</v>
      </c>
      <c r="EWA36" s="148" t="s">
        <v>2064</v>
      </c>
      <c r="EWB36" s="9" t="s">
        <v>2065</v>
      </c>
      <c r="EWC36" s="619">
        <v>1</v>
      </c>
      <c r="EWD36" s="4">
        <v>1000000</v>
      </c>
      <c r="EWE36" s="4">
        <f>EWD36*EWC36</f>
        <v>1000000</v>
      </c>
      <c r="EWF36" s="9" t="s">
        <v>2066</v>
      </c>
      <c r="EWG36" s="1">
        <v>65</v>
      </c>
      <c r="EWH36" s="619" t="s">
        <v>2063</v>
      </c>
      <c r="EWI36" s="148" t="s">
        <v>2064</v>
      </c>
      <c r="EWJ36" s="9" t="s">
        <v>2065</v>
      </c>
      <c r="EWK36" s="619">
        <v>1</v>
      </c>
      <c r="EWL36" s="4">
        <v>1000000</v>
      </c>
      <c r="EWM36" s="4">
        <f>EWL36*EWK36</f>
        <v>1000000</v>
      </c>
      <c r="EWN36" s="9" t="s">
        <v>2066</v>
      </c>
      <c r="EWO36" s="1">
        <v>65</v>
      </c>
      <c r="EWP36" s="619" t="s">
        <v>2063</v>
      </c>
      <c r="EWQ36" s="148" t="s">
        <v>2064</v>
      </c>
      <c r="EWR36" s="9" t="s">
        <v>2065</v>
      </c>
      <c r="EWS36" s="619">
        <v>1</v>
      </c>
      <c r="EWT36" s="4">
        <v>1000000</v>
      </c>
      <c r="EWU36" s="4">
        <f>EWT36*EWS36</f>
        <v>1000000</v>
      </c>
      <c r="EWV36" s="9" t="s">
        <v>2066</v>
      </c>
      <c r="EWW36" s="1">
        <v>65</v>
      </c>
      <c r="EWX36" s="619" t="s">
        <v>2063</v>
      </c>
      <c r="EWY36" s="148" t="s">
        <v>2064</v>
      </c>
      <c r="EWZ36" s="9" t="s">
        <v>2065</v>
      </c>
      <c r="EXA36" s="619">
        <v>1</v>
      </c>
      <c r="EXB36" s="4">
        <v>1000000</v>
      </c>
      <c r="EXC36" s="4">
        <f>EXB36*EXA36</f>
        <v>1000000</v>
      </c>
      <c r="EXD36" s="9" t="s">
        <v>2066</v>
      </c>
      <c r="EXE36" s="1">
        <v>65</v>
      </c>
      <c r="EXF36" s="619" t="s">
        <v>2063</v>
      </c>
      <c r="EXG36" s="148" t="s">
        <v>2064</v>
      </c>
      <c r="EXH36" s="9" t="s">
        <v>2065</v>
      </c>
      <c r="EXI36" s="619">
        <v>1</v>
      </c>
      <c r="EXJ36" s="4">
        <v>1000000</v>
      </c>
      <c r="EXK36" s="4">
        <f>EXJ36*EXI36</f>
        <v>1000000</v>
      </c>
      <c r="EXL36" s="9" t="s">
        <v>2066</v>
      </c>
      <c r="EXM36" s="1">
        <v>65</v>
      </c>
      <c r="EXN36" s="619" t="s">
        <v>2063</v>
      </c>
      <c r="EXO36" s="148" t="s">
        <v>2064</v>
      </c>
      <c r="EXP36" s="9" t="s">
        <v>2065</v>
      </c>
      <c r="EXQ36" s="619">
        <v>1</v>
      </c>
      <c r="EXR36" s="4">
        <v>1000000</v>
      </c>
      <c r="EXS36" s="4">
        <f>EXR36*EXQ36</f>
        <v>1000000</v>
      </c>
      <c r="EXT36" s="9" t="s">
        <v>2066</v>
      </c>
      <c r="EXU36" s="1">
        <v>65</v>
      </c>
      <c r="EXV36" s="619" t="s">
        <v>2063</v>
      </c>
      <c r="EXW36" s="148" t="s">
        <v>2064</v>
      </c>
      <c r="EXX36" s="9" t="s">
        <v>2065</v>
      </c>
      <c r="EXY36" s="619">
        <v>1</v>
      </c>
      <c r="EXZ36" s="4">
        <v>1000000</v>
      </c>
      <c r="EYA36" s="4">
        <f>EXZ36*EXY36</f>
        <v>1000000</v>
      </c>
      <c r="EYB36" s="9" t="s">
        <v>2066</v>
      </c>
      <c r="EYC36" s="1">
        <v>65</v>
      </c>
      <c r="EYD36" s="619" t="s">
        <v>2063</v>
      </c>
      <c r="EYE36" s="148" t="s">
        <v>2064</v>
      </c>
      <c r="EYF36" s="9" t="s">
        <v>2065</v>
      </c>
      <c r="EYG36" s="619">
        <v>1</v>
      </c>
      <c r="EYH36" s="4">
        <v>1000000</v>
      </c>
      <c r="EYI36" s="4">
        <f>EYH36*EYG36</f>
        <v>1000000</v>
      </c>
      <c r="EYJ36" s="9" t="s">
        <v>2066</v>
      </c>
      <c r="EYK36" s="1">
        <v>65</v>
      </c>
      <c r="EYL36" s="619" t="s">
        <v>2063</v>
      </c>
      <c r="EYM36" s="148" t="s">
        <v>2064</v>
      </c>
      <c r="EYN36" s="9" t="s">
        <v>2065</v>
      </c>
      <c r="EYO36" s="619">
        <v>1</v>
      </c>
      <c r="EYP36" s="4">
        <v>1000000</v>
      </c>
      <c r="EYQ36" s="4">
        <f>EYP36*EYO36</f>
        <v>1000000</v>
      </c>
      <c r="EYR36" s="9" t="s">
        <v>2066</v>
      </c>
      <c r="EYS36" s="1">
        <v>65</v>
      </c>
      <c r="EYT36" s="619" t="s">
        <v>2063</v>
      </c>
      <c r="EYU36" s="148" t="s">
        <v>2064</v>
      </c>
      <c r="EYV36" s="9" t="s">
        <v>2065</v>
      </c>
      <c r="EYW36" s="619">
        <v>1</v>
      </c>
      <c r="EYX36" s="4">
        <v>1000000</v>
      </c>
      <c r="EYY36" s="4">
        <f>EYX36*EYW36</f>
        <v>1000000</v>
      </c>
      <c r="EYZ36" s="9" t="s">
        <v>2066</v>
      </c>
      <c r="EZA36" s="1">
        <v>65</v>
      </c>
      <c r="EZB36" s="619" t="s">
        <v>2063</v>
      </c>
      <c r="EZC36" s="148" t="s">
        <v>2064</v>
      </c>
      <c r="EZD36" s="9" t="s">
        <v>2065</v>
      </c>
      <c r="EZE36" s="619">
        <v>1</v>
      </c>
      <c r="EZF36" s="4">
        <v>1000000</v>
      </c>
      <c r="EZG36" s="4">
        <f>EZF36*EZE36</f>
        <v>1000000</v>
      </c>
      <c r="EZH36" s="9" t="s">
        <v>2066</v>
      </c>
      <c r="EZI36" s="1">
        <v>65</v>
      </c>
      <c r="EZJ36" s="619" t="s">
        <v>2063</v>
      </c>
      <c r="EZK36" s="148" t="s">
        <v>2064</v>
      </c>
      <c r="EZL36" s="9" t="s">
        <v>2065</v>
      </c>
      <c r="EZM36" s="619">
        <v>1</v>
      </c>
      <c r="EZN36" s="4">
        <v>1000000</v>
      </c>
      <c r="EZO36" s="4">
        <f>EZN36*EZM36</f>
        <v>1000000</v>
      </c>
      <c r="EZP36" s="9" t="s">
        <v>2066</v>
      </c>
      <c r="EZQ36" s="1">
        <v>65</v>
      </c>
      <c r="EZR36" s="619" t="s">
        <v>2063</v>
      </c>
      <c r="EZS36" s="148" t="s">
        <v>2064</v>
      </c>
      <c r="EZT36" s="9" t="s">
        <v>2065</v>
      </c>
      <c r="EZU36" s="619">
        <v>1</v>
      </c>
      <c r="EZV36" s="4">
        <v>1000000</v>
      </c>
      <c r="EZW36" s="4">
        <f>EZV36*EZU36</f>
        <v>1000000</v>
      </c>
      <c r="EZX36" s="9" t="s">
        <v>2066</v>
      </c>
      <c r="EZY36" s="1">
        <v>65</v>
      </c>
      <c r="EZZ36" s="619" t="s">
        <v>2063</v>
      </c>
      <c r="FAA36" s="148" t="s">
        <v>2064</v>
      </c>
      <c r="FAB36" s="9" t="s">
        <v>2065</v>
      </c>
      <c r="FAC36" s="619">
        <v>1</v>
      </c>
      <c r="FAD36" s="4">
        <v>1000000</v>
      </c>
      <c r="FAE36" s="4">
        <f>FAD36*FAC36</f>
        <v>1000000</v>
      </c>
      <c r="FAF36" s="9" t="s">
        <v>2066</v>
      </c>
      <c r="FAG36" s="1">
        <v>65</v>
      </c>
      <c r="FAH36" s="619" t="s">
        <v>2063</v>
      </c>
      <c r="FAI36" s="148" t="s">
        <v>2064</v>
      </c>
      <c r="FAJ36" s="9" t="s">
        <v>2065</v>
      </c>
      <c r="FAK36" s="619">
        <v>1</v>
      </c>
      <c r="FAL36" s="4">
        <v>1000000</v>
      </c>
      <c r="FAM36" s="4">
        <f>FAL36*FAK36</f>
        <v>1000000</v>
      </c>
      <c r="FAN36" s="9" t="s">
        <v>2066</v>
      </c>
      <c r="FAO36" s="1">
        <v>65</v>
      </c>
      <c r="FAP36" s="619" t="s">
        <v>2063</v>
      </c>
      <c r="FAQ36" s="148" t="s">
        <v>2064</v>
      </c>
      <c r="FAR36" s="9" t="s">
        <v>2065</v>
      </c>
      <c r="FAS36" s="619">
        <v>1</v>
      </c>
      <c r="FAT36" s="4">
        <v>1000000</v>
      </c>
      <c r="FAU36" s="4">
        <f>FAT36*FAS36</f>
        <v>1000000</v>
      </c>
      <c r="FAV36" s="9" t="s">
        <v>2066</v>
      </c>
      <c r="FAW36" s="1">
        <v>65</v>
      </c>
      <c r="FAX36" s="619" t="s">
        <v>2063</v>
      </c>
      <c r="FAY36" s="148" t="s">
        <v>2064</v>
      </c>
      <c r="FAZ36" s="9" t="s">
        <v>2065</v>
      </c>
      <c r="FBA36" s="619">
        <v>1</v>
      </c>
      <c r="FBB36" s="4">
        <v>1000000</v>
      </c>
      <c r="FBC36" s="4">
        <f>FBB36*FBA36</f>
        <v>1000000</v>
      </c>
      <c r="FBD36" s="9" t="s">
        <v>2066</v>
      </c>
      <c r="FBE36" s="1">
        <v>65</v>
      </c>
      <c r="FBF36" s="619" t="s">
        <v>2063</v>
      </c>
      <c r="FBG36" s="148" t="s">
        <v>2064</v>
      </c>
      <c r="FBH36" s="9" t="s">
        <v>2065</v>
      </c>
      <c r="FBI36" s="619">
        <v>1</v>
      </c>
      <c r="FBJ36" s="4">
        <v>1000000</v>
      </c>
      <c r="FBK36" s="4">
        <f>FBJ36*FBI36</f>
        <v>1000000</v>
      </c>
      <c r="FBL36" s="9" t="s">
        <v>2066</v>
      </c>
      <c r="FBM36" s="1">
        <v>65</v>
      </c>
      <c r="FBN36" s="619" t="s">
        <v>2063</v>
      </c>
      <c r="FBO36" s="148" t="s">
        <v>2064</v>
      </c>
      <c r="FBP36" s="9" t="s">
        <v>2065</v>
      </c>
      <c r="FBQ36" s="619">
        <v>1</v>
      </c>
      <c r="FBR36" s="4">
        <v>1000000</v>
      </c>
      <c r="FBS36" s="4">
        <f>FBR36*FBQ36</f>
        <v>1000000</v>
      </c>
      <c r="FBT36" s="9" t="s">
        <v>2066</v>
      </c>
      <c r="FBU36" s="1">
        <v>65</v>
      </c>
      <c r="FBV36" s="619" t="s">
        <v>2063</v>
      </c>
      <c r="FBW36" s="148" t="s">
        <v>2064</v>
      </c>
      <c r="FBX36" s="9" t="s">
        <v>2065</v>
      </c>
      <c r="FBY36" s="619">
        <v>1</v>
      </c>
      <c r="FBZ36" s="4">
        <v>1000000</v>
      </c>
      <c r="FCA36" s="4">
        <f>FBZ36*FBY36</f>
        <v>1000000</v>
      </c>
      <c r="FCB36" s="9" t="s">
        <v>2066</v>
      </c>
      <c r="FCC36" s="1">
        <v>65</v>
      </c>
      <c r="FCD36" s="619" t="s">
        <v>2063</v>
      </c>
      <c r="FCE36" s="148" t="s">
        <v>2064</v>
      </c>
      <c r="FCF36" s="9" t="s">
        <v>2065</v>
      </c>
      <c r="FCG36" s="619">
        <v>1</v>
      </c>
      <c r="FCH36" s="4">
        <v>1000000</v>
      </c>
      <c r="FCI36" s="4">
        <f>FCH36*FCG36</f>
        <v>1000000</v>
      </c>
      <c r="FCJ36" s="9" t="s">
        <v>2066</v>
      </c>
      <c r="FCK36" s="1">
        <v>65</v>
      </c>
      <c r="FCL36" s="619" t="s">
        <v>2063</v>
      </c>
      <c r="FCM36" s="148" t="s">
        <v>2064</v>
      </c>
      <c r="FCN36" s="9" t="s">
        <v>2065</v>
      </c>
      <c r="FCO36" s="619">
        <v>1</v>
      </c>
      <c r="FCP36" s="4">
        <v>1000000</v>
      </c>
      <c r="FCQ36" s="4">
        <f>FCP36*FCO36</f>
        <v>1000000</v>
      </c>
      <c r="FCR36" s="9" t="s">
        <v>2066</v>
      </c>
      <c r="FCS36" s="1">
        <v>65</v>
      </c>
      <c r="FCT36" s="619" t="s">
        <v>2063</v>
      </c>
      <c r="FCU36" s="148" t="s">
        <v>2064</v>
      </c>
      <c r="FCV36" s="9" t="s">
        <v>2065</v>
      </c>
      <c r="FCW36" s="619">
        <v>1</v>
      </c>
      <c r="FCX36" s="4">
        <v>1000000</v>
      </c>
      <c r="FCY36" s="4">
        <f>FCX36*FCW36</f>
        <v>1000000</v>
      </c>
      <c r="FCZ36" s="9" t="s">
        <v>2066</v>
      </c>
      <c r="FDA36" s="1">
        <v>65</v>
      </c>
      <c r="FDB36" s="619" t="s">
        <v>2063</v>
      </c>
      <c r="FDC36" s="148" t="s">
        <v>2064</v>
      </c>
      <c r="FDD36" s="9" t="s">
        <v>2065</v>
      </c>
      <c r="FDE36" s="619">
        <v>1</v>
      </c>
      <c r="FDF36" s="4">
        <v>1000000</v>
      </c>
      <c r="FDG36" s="4">
        <f>FDF36*FDE36</f>
        <v>1000000</v>
      </c>
      <c r="FDH36" s="9" t="s">
        <v>2066</v>
      </c>
      <c r="FDI36" s="1">
        <v>65</v>
      </c>
      <c r="FDJ36" s="619" t="s">
        <v>2063</v>
      </c>
      <c r="FDK36" s="148" t="s">
        <v>2064</v>
      </c>
      <c r="FDL36" s="9" t="s">
        <v>2065</v>
      </c>
      <c r="FDM36" s="619">
        <v>1</v>
      </c>
      <c r="FDN36" s="4">
        <v>1000000</v>
      </c>
      <c r="FDO36" s="4">
        <f>FDN36*FDM36</f>
        <v>1000000</v>
      </c>
      <c r="FDP36" s="9" t="s">
        <v>2066</v>
      </c>
      <c r="FDQ36" s="1">
        <v>65</v>
      </c>
      <c r="FDR36" s="619" t="s">
        <v>2063</v>
      </c>
      <c r="FDS36" s="148" t="s">
        <v>2064</v>
      </c>
      <c r="FDT36" s="9" t="s">
        <v>2065</v>
      </c>
      <c r="FDU36" s="619">
        <v>1</v>
      </c>
      <c r="FDV36" s="4">
        <v>1000000</v>
      </c>
      <c r="FDW36" s="4">
        <f>FDV36*FDU36</f>
        <v>1000000</v>
      </c>
      <c r="FDX36" s="9" t="s">
        <v>2066</v>
      </c>
      <c r="FDY36" s="1">
        <v>65</v>
      </c>
      <c r="FDZ36" s="619" t="s">
        <v>2063</v>
      </c>
      <c r="FEA36" s="148" t="s">
        <v>2064</v>
      </c>
      <c r="FEB36" s="9" t="s">
        <v>2065</v>
      </c>
      <c r="FEC36" s="619">
        <v>1</v>
      </c>
      <c r="FED36" s="4">
        <v>1000000</v>
      </c>
      <c r="FEE36" s="4">
        <f>FED36*FEC36</f>
        <v>1000000</v>
      </c>
      <c r="FEF36" s="9" t="s">
        <v>2066</v>
      </c>
      <c r="FEG36" s="1">
        <v>65</v>
      </c>
      <c r="FEH36" s="619" t="s">
        <v>2063</v>
      </c>
      <c r="FEI36" s="148" t="s">
        <v>2064</v>
      </c>
      <c r="FEJ36" s="9" t="s">
        <v>2065</v>
      </c>
      <c r="FEK36" s="619">
        <v>1</v>
      </c>
      <c r="FEL36" s="4">
        <v>1000000</v>
      </c>
      <c r="FEM36" s="4">
        <f>FEL36*FEK36</f>
        <v>1000000</v>
      </c>
      <c r="FEN36" s="9" t="s">
        <v>2066</v>
      </c>
      <c r="FEO36" s="1">
        <v>65</v>
      </c>
      <c r="FEP36" s="619" t="s">
        <v>2063</v>
      </c>
      <c r="FEQ36" s="148" t="s">
        <v>2064</v>
      </c>
      <c r="FER36" s="9" t="s">
        <v>2065</v>
      </c>
      <c r="FES36" s="619">
        <v>1</v>
      </c>
      <c r="FET36" s="4">
        <v>1000000</v>
      </c>
      <c r="FEU36" s="4">
        <f>FET36*FES36</f>
        <v>1000000</v>
      </c>
      <c r="FEV36" s="9" t="s">
        <v>2066</v>
      </c>
      <c r="FEW36" s="1">
        <v>65</v>
      </c>
      <c r="FEX36" s="619" t="s">
        <v>2063</v>
      </c>
      <c r="FEY36" s="148" t="s">
        <v>2064</v>
      </c>
      <c r="FEZ36" s="9" t="s">
        <v>2065</v>
      </c>
      <c r="FFA36" s="619">
        <v>1</v>
      </c>
      <c r="FFB36" s="4">
        <v>1000000</v>
      </c>
      <c r="FFC36" s="4">
        <f>FFB36*FFA36</f>
        <v>1000000</v>
      </c>
      <c r="FFD36" s="9" t="s">
        <v>2066</v>
      </c>
      <c r="FFE36" s="1">
        <v>65</v>
      </c>
      <c r="FFF36" s="619" t="s">
        <v>2063</v>
      </c>
      <c r="FFG36" s="148" t="s">
        <v>2064</v>
      </c>
      <c r="FFH36" s="9" t="s">
        <v>2065</v>
      </c>
      <c r="FFI36" s="619">
        <v>1</v>
      </c>
      <c r="FFJ36" s="4">
        <v>1000000</v>
      </c>
      <c r="FFK36" s="4">
        <f>FFJ36*FFI36</f>
        <v>1000000</v>
      </c>
      <c r="FFL36" s="9" t="s">
        <v>2066</v>
      </c>
      <c r="FFM36" s="1">
        <v>65</v>
      </c>
      <c r="FFN36" s="619" t="s">
        <v>2063</v>
      </c>
      <c r="FFO36" s="148" t="s">
        <v>2064</v>
      </c>
      <c r="FFP36" s="9" t="s">
        <v>2065</v>
      </c>
      <c r="FFQ36" s="619">
        <v>1</v>
      </c>
      <c r="FFR36" s="4">
        <v>1000000</v>
      </c>
      <c r="FFS36" s="4">
        <f>FFR36*FFQ36</f>
        <v>1000000</v>
      </c>
      <c r="FFT36" s="9" t="s">
        <v>2066</v>
      </c>
      <c r="FFU36" s="1">
        <v>65</v>
      </c>
      <c r="FFV36" s="619" t="s">
        <v>2063</v>
      </c>
      <c r="FFW36" s="148" t="s">
        <v>2064</v>
      </c>
      <c r="FFX36" s="9" t="s">
        <v>2065</v>
      </c>
      <c r="FFY36" s="619">
        <v>1</v>
      </c>
      <c r="FFZ36" s="4">
        <v>1000000</v>
      </c>
      <c r="FGA36" s="4">
        <f>FFZ36*FFY36</f>
        <v>1000000</v>
      </c>
      <c r="FGB36" s="9" t="s">
        <v>2066</v>
      </c>
      <c r="FGC36" s="1">
        <v>65</v>
      </c>
      <c r="FGD36" s="619" t="s">
        <v>2063</v>
      </c>
      <c r="FGE36" s="148" t="s">
        <v>2064</v>
      </c>
      <c r="FGF36" s="9" t="s">
        <v>2065</v>
      </c>
      <c r="FGG36" s="619">
        <v>1</v>
      </c>
      <c r="FGH36" s="4">
        <v>1000000</v>
      </c>
      <c r="FGI36" s="4">
        <f>FGH36*FGG36</f>
        <v>1000000</v>
      </c>
      <c r="FGJ36" s="9" t="s">
        <v>2066</v>
      </c>
      <c r="FGK36" s="1">
        <v>65</v>
      </c>
      <c r="FGL36" s="619" t="s">
        <v>2063</v>
      </c>
      <c r="FGM36" s="148" t="s">
        <v>2064</v>
      </c>
      <c r="FGN36" s="9" t="s">
        <v>2065</v>
      </c>
      <c r="FGO36" s="619">
        <v>1</v>
      </c>
      <c r="FGP36" s="4">
        <v>1000000</v>
      </c>
      <c r="FGQ36" s="4">
        <f>FGP36*FGO36</f>
        <v>1000000</v>
      </c>
      <c r="FGR36" s="9" t="s">
        <v>2066</v>
      </c>
      <c r="FGS36" s="1">
        <v>65</v>
      </c>
      <c r="FGT36" s="619" t="s">
        <v>2063</v>
      </c>
      <c r="FGU36" s="148" t="s">
        <v>2064</v>
      </c>
      <c r="FGV36" s="9" t="s">
        <v>2065</v>
      </c>
      <c r="FGW36" s="619">
        <v>1</v>
      </c>
      <c r="FGX36" s="4">
        <v>1000000</v>
      </c>
      <c r="FGY36" s="4">
        <f>FGX36*FGW36</f>
        <v>1000000</v>
      </c>
      <c r="FGZ36" s="9" t="s">
        <v>2066</v>
      </c>
      <c r="FHA36" s="1">
        <v>65</v>
      </c>
      <c r="FHB36" s="619" t="s">
        <v>2063</v>
      </c>
      <c r="FHC36" s="148" t="s">
        <v>2064</v>
      </c>
      <c r="FHD36" s="9" t="s">
        <v>2065</v>
      </c>
      <c r="FHE36" s="619">
        <v>1</v>
      </c>
      <c r="FHF36" s="4">
        <v>1000000</v>
      </c>
      <c r="FHG36" s="4">
        <f>FHF36*FHE36</f>
        <v>1000000</v>
      </c>
      <c r="FHH36" s="9" t="s">
        <v>2066</v>
      </c>
      <c r="FHI36" s="1">
        <v>65</v>
      </c>
      <c r="FHJ36" s="619" t="s">
        <v>2063</v>
      </c>
      <c r="FHK36" s="148" t="s">
        <v>2064</v>
      </c>
      <c r="FHL36" s="9" t="s">
        <v>2065</v>
      </c>
      <c r="FHM36" s="619">
        <v>1</v>
      </c>
      <c r="FHN36" s="4">
        <v>1000000</v>
      </c>
      <c r="FHO36" s="4">
        <f>FHN36*FHM36</f>
        <v>1000000</v>
      </c>
      <c r="FHP36" s="9" t="s">
        <v>2066</v>
      </c>
      <c r="FHQ36" s="1">
        <v>65</v>
      </c>
      <c r="FHR36" s="619" t="s">
        <v>2063</v>
      </c>
      <c r="FHS36" s="148" t="s">
        <v>2064</v>
      </c>
      <c r="FHT36" s="9" t="s">
        <v>2065</v>
      </c>
      <c r="FHU36" s="619">
        <v>1</v>
      </c>
      <c r="FHV36" s="4">
        <v>1000000</v>
      </c>
      <c r="FHW36" s="4">
        <f>FHV36*FHU36</f>
        <v>1000000</v>
      </c>
      <c r="FHX36" s="9" t="s">
        <v>2066</v>
      </c>
      <c r="FHY36" s="1">
        <v>65</v>
      </c>
      <c r="FHZ36" s="619" t="s">
        <v>2063</v>
      </c>
      <c r="FIA36" s="148" t="s">
        <v>2064</v>
      </c>
      <c r="FIB36" s="9" t="s">
        <v>2065</v>
      </c>
      <c r="FIC36" s="619">
        <v>1</v>
      </c>
      <c r="FID36" s="4">
        <v>1000000</v>
      </c>
      <c r="FIE36" s="4">
        <f>FID36*FIC36</f>
        <v>1000000</v>
      </c>
      <c r="FIF36" s="9" t="s">
        <v>2066</v>
      </c>
      <c r="FIG36" s="1">
        <v>65</v>
      </c>
      <c r="FIH36" s="619" t="s">
        <v>2063</v>
      </c>
      <c r="FII36" s="148" t="s">
        <v>2064</v>
      </c>
      <c r="FIJ36" s="9" t="s">
        <v>2065</v>
      </c>
      <c r="FIK36" s="619">
        <v>1</v>
      </c>
      <c r="FIL36" s="4">
        <v>1000000</v>
      </c>
      <c r="FIM36" s="4">
        <f>FIL36*FIK36</f>
        <v>1000000</v>
      </c>
      <c r="FIN36" s="9" t="s">
        <v>2066</v>
      </c>
      <c r="FIO36" s="1">
        <v>65</v>
      </c>
      <c r="FIP36" s="619" t="s">
        <v>2063</v>
      </c>
      <c r="FIQ36" s="148" t="s">
        <v>2064</v>
      </c>
      <c r="FIR36" s="9" t="s">
        <v>2065</v>
      </c>
      <c r="FIS36" s="619">
        <v>1</v>
      </c>
      <c r="FIT36" s="4">
        <v>1000000</v>
      </c>
      <c r="FIU36" s="4">
        <f>FIT36*FIS36</f>
        <v>1000000</v>
      </c>
      <c r="FIV36" s="9" t="s">
        <v>2066</v>
      </c>
      <c r="FIW36" s="1">
        <v>65</v>
      </c>
      <c r="FIX36" s="619" t="s">
        <v>2063</v>
      </c>
      <c r="FIY36" s="148" t="s">
        <v>2064</v>
      </c>
      <c r="FIZ36" s="9" t="s">
        <v>2065</v>
      </c>
      <c r="FJA36" s="619">
        <v>1</v>
      </c>
      <c r="FJB36" s="4">
        <v>1000000</v>
      </c>
      <c r="FJC36" s="4">
        <f>FJB36*FJA36</f>
        <v>1000000</v>
      </c>
      <c r="FJD36" s="9" t="s">
        <v>2066</v>
      </c>
      <c r="FJE36" s="1">
        <v>65</v>
      </c>
      <c r="FJF36" s="619" t="s">
        <v>2063</v>
      </c>
      <c r="FJG36" s="148" t="s">
        <v>2064</v>
      </c>
      <c r="FJH36" s="9" t="s">
        <v>2065</v>
      </c>
      <c r="FJI36" s="619">
        <v>1</v>
      </c>
      <c r="FJJ36" s="4">
        <v>1000000</v>
      </c>
      <c r="FJK36" s="4">
        <f>FJJ36*FJI36</f>
        <v>1000000</v>
      </c>
      <c r="FJL36" s="9" t="s">
        <v>2066</v>
      </c>
      <c r="FJM36" s="1">
        <v>65</v>
      </c>
      <c r="FJN36" s="619" t="s">
        <v>2063</v>
      </c>
      <c r="FJO36" s="148" t="s">
        <v>2064</v>
      </c>
      <c r="FJP36" s="9" t="s">
        <v>2065</v>
      </c>
      <c r="FJQ36" s="619">
        <v>1</v>
      </c>
      <c r="FJR36" s="4">
        <v>1000000</v>
      </c>
      <c r="FJS36" s="4">
        <f>FJR36*FJQ36</f>
        <v>1000000</v>
      </c>
      <c r="FJT36" s="9" t="s">
        <v>2066</v>
      </c>
      <c r="FJU36" s="1">
        <v>65</v>
      </c>
      <c r="FJV36" s="619" t="s">
        <v>2063</v>
      </c>
      <c r="FJW36" s="148" t="s">
        <v>2064</v>
      </c>
      <c r="FJX36" s="9" t="s">
        <v>2065</v>
      </c>
      <c r="FJY36" s="619">
        <v>1</v>
      </c>
      <c r="FJZ36" s="4">
        <v>1000000</v>
      </c>
      <c r="FKA36" s="4">
        <f>FJZ36*FJY36</f>
        <v>1000000</v>
      </c>
      <c r="FKB36" s="9" t="s">
        <v>2066</v>
      </c>
      <c r="FKC36" s="1">
        <v>65</v>
      </c>
      <c r="FKD36" s="619" t="s">
        <v>2063</v>
      </c>
      <c r="FKE36" s="148" t="s">
        <v>2064</v>
      </c>
      <c r="FKF36" s="9" t="s">
        <v>2065</v>
      </c>
      <c r="FKG36" s="619">
        <v>1</v>
      </c>
      <c r="FKH36" s="4">
        <v>1000000</v>
      </c>
      <c r="FKI36" s="4">
        <f>FKH36*FKG36</f>
        <v>1000000</v>
      </c>
      <c r="FKJ36" s="9" t="s">
        <v>2066</v>
      </c>
      <c r="FKK36" s="1">
        <v>65</v>
      </c>
      <c r="FKL36" s="619" t="s">
        <v>2063</v>
      </c>
      <c r="FKM36" s="148" t="s">
        <v>2064</v>
      </c>
      <c r="FKN36" s="9" t="s">
        <v>2065</v>
      </c>
      <c r="FKO36" s="619">
        <v>1</v>
      </c>
      <c r="FKP36" s="4">
        <v>1000000</v>
      </c>
      <c r="FKQ36" s="4">
        <f>FKP36*FKO36</f>
        <v>1000000</v>
      </c>
      <c r="FKR36" s="9" t="s">
        <v>2066</v>
      </c>
      <c r="FKS36" s="1">
        <v>65</v>
      </c>
      <c r="FKT36" s="619" t="s">
        <v>2063</v>
      </c>
      <c r="FKU36" s="148" t="s">
        <v>2064</v>
      </c>
      <c r="FKV36" s="9" t="s">
        <v>2065</v>
      </c>
      <c r="FKW36" s="619">
        <v>1</v>
      </c>
      <c r="FKX36" s="4">
        <v>1000000</v>
      </c>
      <c r="FKY36" s="4">
        <f>FKX36*FKW36</f>
        <v>1000000</v>
      </c>
      <c r="FKZ36" s="9" t="s">
        <v>2066</v>
      </c>
      <c r="FLA36" s="1">
        <v>65</v>
      </c>
      <c r="FLB36" s="619" t="s">
        <v>2063</v>
      </c>
      <c r="FLC36" s="148" t="s">
        <v>2064</v>
      </c>
      <c r="FLD36" s="9" t="s">
        <v>2065</v>
      </c>
      <c r="FLE36" s="619">
        <v>1</v>
      </c>
      <c r="FLF36" s="4">
        <v>1000000</v>
      </c>
      <c r="FLG36" s="4">
        <f>FLF36*FLE36</f>
        <v>1000000</v>
      </c>
      <c r="FLH36" s="9" t="s">
        <v>2066</v>
      </c>
      <c r="FLI36" s="1">
        <v>65</v>
      </c>
      <c r="FLJ36" s="619" t="s">
        <v>2063</v>
      </c>
      <c r="FLK36" s="148" t="s">
        <v>2064</v>
      </c>
      <c r="FLL36" s="9" t="s">
        <v>2065</v>
      </c>
      <c r="FLM36" s="619">
        <v>1</v>
      </c>
      <c r="FLN36" s="4">
        <v>1000000</v>
      </c>
      <c r="FLO36" s="4">
        <f>FLN36*FLM36</f>
        <v>1000000</v>
      </c>
      <c r="FLP36" s="9" t="s">
        <v>2066</v>
      </c>
      <c r="FLQ36" s="1">
        <v>65</v>
      </c>
      <c r="FLR36" s="619" t="s">
        <v>2063</v>
      </c>
      <c r="FLS36" s="148" t="s">
        <v>2064</v>
      </c>
      <c r="FLT36" s="9" t="s">
        <v>2065</v>
      </c>
      <c r="FLU36" s="619">
        <v>1</v>
      </c>
      <c r="FLV36" s="4">
        <v>1000000</v>
      </c>
      <c r="FLW36" s="4">
        <f>FLV36*FLU36</f>
        <v>1000000</v>
      </c>
      <c r="FLX36" s="9" t="s">
        <v>2066</v>
      </c>
      <c r="FLY36" s="1">
        <v>65</v>
      </c>
      <c r="FLZ36" s="619" t="s">
        <v>2063</v>
      </c>
      <c r="FMA36" s="148" t="s">
        <v>2064</v>
      </c>
      <c r="FMB36" s="9" t="s">
        <v>2065</v>
      </c>
      <c r="FMC36" s="619">
        <v>1</v>
      </c>
      <c r="FMD36" s="4">
        <v>1000000</v>
      </c>
      <c r="FME36" s="4">
        <f>FMD36*FMC36</f>
        <v>1000000</v>
      </c>
      <c r="FMF36" s="9" t="s">
        <v>2066</v>
      </c>
      <c r="FMG36" s="1">
        <v>65</v>
      </c>
      <c r="FMH36" s="619" t="s">
        <v>2063</v>
      </c>
      <c r="FMI36" s="148" t="s">
        <v>2064</v>
      </c>
      <c r="FMJ36" s="9" t="s">
        <v>2065</v>
      </c>
      <c r="FMK36" s="619">
        <v>1</v>
      </c>
      <c r="FML36" s="4">
        <v>1000000</v>
      </c>
      <c r="FMM36" s="4">
        <f>FML36*FMK36</f>
        <v>1000000</v>
      </c>
      <c r="FMN36" s="9" t="s">
        <v>2066</v>
      </c>
      <c r="FMO36" s="1">
        <v>65</v>
      </c>
      <c r="FMP36" s="619" t="s">
        <v>2063</v>
      </c>
      <c r="FMQ36" s="148" t="s">
        <v>2064</v>
      </c>
      <c r="FMR36" s="9" t="s">
        <v>2065</v>
      </c>
      <c r="FMS36" s="619">
        <v>1</v>
      </c>
      <c r="FMT36" s="4">
        <v>1000000</v>
      </c>
      <c r="FMU36" s="4">
        <f>FMT36*FMS36</f>
        <v>1000000</v>
      </c>
      <c r="FMV36" s="9" t="s">
        <v>2066</v>
      </c>
      <c r="FMW36" s="1">
        <v>65</v>
      </c>
      <c r="FMX36" s="619" t="s">
        <v>2063</v>
      </c>
      <c r="FMY36" s="148" t="s">
        <v>2064</v>
      </c>
      <c r="FMZ36" s="9" t="s">
        <v>2065</v>
      </c>
      <c r="FNA36" s="619">
        <v>1</v>
      </c>
      <c r="FNB36" s="4">
        <v>1000000</v>
      </c>
      <c r="FNC36" s="4">
        <f>FNB36*FNA36</f>
        <v>1000000</v>
      </c>
      <c r="FND36" s="9" t="s">
        <v>2066</v>
      </c>
      <c r="FNE36" s="1">
        <v>65</v>
      </c>
      <c r="FNF36" s="619" t="s">
        <v>2063</v>
      </c>
      <c r="FNG36" s="148" t="s">
        <v>2064</v>
      </c>
      <c r="FNH36" s="9" t="s">
        <v>2065</v>
      </c>
      <c r="FNI36" s="619">
        <v>1</v>
      </c>
      <c r="FNJ36" s="4">
        <v>1000000</v>
      </c>
      <c r="FNK36" s="4">
        <f>FNJ36*FNI36</f>
        <v>1000000</v>
      </c>
      <c r="FNL36" s="9" t="s">
        <v>2066</v>
      </c>
      <c r="FNM36" s="1">
        <v>65</v>
      </c>
      <c r="FNN36" s="619" t="s">
        <v>2063</v>
      </c>
      <c r="FNO36" s="148" t="s">
        <v>2064</v>
      </c>
      <c r="FNP36" s="9" t="s">
        <v>2065</v>
      </c>
      <c r="FNQ36" s="619">
        <v>1</v>
      </c>
      <c r="FNR36" s="4">
        <v>1000000</v>
      </c>
      <c r="FNS36" s="4">
        <f>FNR36*FNQ36</f>
        <v>1000000</v>
      </c>
      <c r="FNT36" s="9" t="s">
        <v>2066</v>
      </c>
      <c r="FNU36" s="1">
        <v>65</v>
      </c>
      <c r="FNV36" s="619" t="s">
        <v>2063</v>
      </c>
      <c r="FNW36" s="148" t="s">
        <v>2064</v>
      </c>
      <c r="FNX36" s="9" t="s">
        <v>2065</v>
      </c>
      <c r="FNY36" s="619">
        <v>1</v>
      </c>
      <c r="FNZ36" s="4">
        <v>1000000</v>
      </c>
      <c r="FOA36" s="4">
        <f>FNZ36*FNY36</f>
        <v>1000000</v>
      </c>
      <c r="FOB36" s="9" t="s">
        <v>2066</v>
      </c>
      <c r="FOC36" s="1">
        <v>65</v>
      </c>
      <c r="FOD36" s="619" t="s">
        <v>2063</v>
      </c>
      <c r="FOE36" s="148" t="s">
        <v>2064</v>
      </c>
      <c r="FOF36" s="9" t="s">
        <v>2065</v>
      </c>
      <c r="FOG36" s="619">
        <v>1</v>
      </c>
      <c r="FOH36" s="4">
        <v>1000000</v>
      </c>
      <c r="FOI36" s="4">
        <f>FOH36*FOG36</f>
        <v>1000000</v>
      </c>
      <c r="FOJ36" s="9" t="s">
        <v>2066</v>
      </c>
      <c r="FOK36" s="1">
        <v>65</v>
      </c>
      <c r="FOL36" s="619" t="s">
        <v>2063</v>
      </c>
      <c r="FOM36" s="148" t="s">
        <v>2064</v>
      </c>
      <c r="FON36" s="9" t="s">
        <v>2065</v>
      </c>
      <c r="FOO36" s="619">
        <v>1</v>
      </c>
      <c r="FOP36" s="4">
        <v>1000000</v>
      </c>
      <c r="FOQ36" s="4">
        <f>FOP36*FOO36</f>
        <v>1000000</v>
      </c>
      <c r="FOR36" s="9" t="s">
        <v>2066</v>
      </c>
      <c r="FOS36" s="1">
        <v>65</v>
      </c>
      <c r="FOT36" s="619" t="s">
        <v>2063</v>
      </c>
      <c r="FOU36" s="148" t="s">
        <v>2064</v>
      </c>
      <c r="FOV36" s="9" t="s">
        <v>2065</v>
      </c>
      <c r="FOW36" s="619">
        <v>1</v>
      </c>
      <c r="FOX36" s="4">
        <v>1000000</v>
      </c>
      <c r="FOY36" s="4">
        <f>FOX36*FOW36</f>
        <v>1000000</v>
      </c>
      <c r="FOZ36" s="9" t="s">
        <v>2066</v>
      </c>
      <c r="FPA36" s="1">
        <v>65</v>
      </c>
      <c r="FPB36" s="619" t="s">
        <v>2063</v>
      </c>
      <c r="FPC36" s="148" t="s">
        <v>2064</v>
      </c>
      <c r="FPD36" s="9" t="s">
        <v>2065</v>
      </c>
      <c r="FPE36" s="619">
        <v>1</v>
      </c>
      <c r="FPF36" s="4">
        <v>1000000</v>
      </c>
      <c r="FPG36" s="4">
        <f>FPF36*FPE36</f>
        <v>1000000</v>
      </c>
      <c r="FPH36" s="9" t="s">
        <v>2066</v>
      </c>
      <c r="FPI36" s="1">
        <v>65</v>
      </c>
      <c r="FPJ36" s="619" t="s">
        <v>2063</v>
      </c>
      <c r="FPK36" s="148" t="s">
        <v>2064</v>
      </c>
      <c r="FPL36" s="9" t="s">
        <v>2065</v>
      </c>
      <c r="FPM36" s="619">
        <v>1</v>
      </c>
      <c r="FPN36" s="4">
        <v>1000000</v>
      </c>
      <c r="FPO36" s="4">
        <f>FPN36*FPM36</f>
        <v>1000000</v>
      </c>
      <c r="FPP36" s="9" t="s">
        <v>2066</v>
      </c>
      <c r="FPQ36" s="1">
        <v>65</v>
      </c>
      <c r="FPR36" s="619" t="s">
        <v>2063</v>
      </c>
      <c r="FPS36" s="148" t="s">
        <v>2064</v>
      </c>
      <c r="FPT36" s="9" t="s">
        <v>2065</v>
      </c>
      <c r="FPU36" s="619">
        <v>1</v>
      </c>
      <c r="FPV36" s="4">
        <v>1000000</v>
      </c>
      <c r="FPW36" s="4">
        <f>FPV36*FPU36</f>
        <v>1000000</v>
      </c>
      <c r="FPX36" s="9" t="s">
        <v>2066</v>
      </c>
      <c r="FPY36" s="1">
        <v>65</v>
      </c>
      <c r="FPZ36" s="619" t="s">
        <v>2063</v>
      </c>
      <c r="FQA36" s="148" t="s">
        <v>2064</v>
      </c>
      <c r="FQB36" s="9" t="s">
        <v>2065</v>
      </c>
      <c r="FQC36" s="619">
        <v>1</v>
      </c>
      <c r="FQD36" s="4">
        <v>1000000</v>
      </c>
      <c r="FQE36" s="4">
        <f>FQD36*FQC36</f>
        <v>1000000</v>
      </c>
      <c r="FQF36" s="9" t="s">
        <v>2066</v>
      </c>
      <c r="FQG36" s="1">
        <v>65</v>
      </c>
      <c r="FQH36" s="619" t="s">
        <v>2063</v>
      </c>
      <c r="FQI36" s="148" t="s">
        <v>2064</v>
      </c>
      <c r="FQJ36" s="9" t="s">
        <v>2065</v>
      </c>
      <c r="FQK36" s="619">
        <v>1</v>
      </c>
      <c r="FQL36" s="4">
        <v>1000000</v>
      </c>
      <c r="FQM36" s="4">
        <f>FQL36*FQK36</f>
        <v>1000000</v>
      </c>
      <c r="FQN36" s="9" t="s">
        <v>2066</v>
      </c>
      <c r="FQO36" s="1">
        <v>65</v>
      </c>
      <c r="FQP36" s="619" t="s">
        <v>2063</v>
      </c>
      <c r="FQQ36" s="148" t="s">
        <v>2064</v>
      </c>
      <c r="FQR36" s="9" t="s">
        <v>2065</v>
      </c>
      <c r="FQS36" s="619">
        <v>1</v>
      </c>
      <c r="FQT36" s="4">
        <v>1000000</v>
      </c>
      <c r="FQU36" s="4">
        <f>FQT36*FQS36</f>
        <v>1000000</v>
      </c>
      <c r="FQV36" s="9" t="s">
        <v>2066</v>
      </c>
      <c r="FQW36" s="1">
        <v>65</v>
      </c>
      <c r="FQX36" s="619" t="s">
        <v>2063</v>
      </c>
      <c r="FQY36" s="148" t="s">
        <v>2064</v>
      </c>
      <c r="FQZ36" s="9" t="s">
        <v>2065</v>
      </c>
      <c r="FRA36" s="619">
        <v>1</v>
      </c>
      <c r="FRB36" s="4">
        <v>1000000</v>
      </c>
      <c r="FRC36" s="4">
        <f>FRB36*FRA36</f>
        <v>1000000</v>
      </c>
      <c r="FRD36" s="9" t="s">
        <v>2066</v>
      </c>
      <c r="FRE36" s="1">
        <v>65</v>
      </c>
      <c r="FRF36" s="619" t="s">
        <v>2063</v>
      </c>
      <c r="FRG36" s="148" t="s">
        <v>2064</v>
      </c>
      <c r="FRH36" s="9" t="s">
        <v>2065</v>
      </c>
      <c r="FRI36" s="619">
        <v>1</v>
      </c>
      <c r="FRJ36" s="4">
        <v>1000000</v>
      </c>
      <c r="FRK36" s="4">
        <f>FRJ36*FRI36</f>
        <v>1000000</v>
      </c>
      <c r="FRL36" s="9" t="s">
        <v>2066</v>
      </c>
      <c r="FRM36" s="1">
        <v>65</v>
      </c>
      <c r="FRN36" s="619" t="s">
        <v>2063</v>
      </c>
      <c r="FRO36" s="148" t="s">
        <v>2064</v>
      </c>
      <c r="FRP36" s="9" t="s">
        <v>2065</v>
      </c>
      <c r="FRQ36" s="619">
        <v>1</v>
      </c>
      <c r="FRR36" s="4">
        <v>1000000</v>
      </c>
      <c r="FRS36" s="4">
        <f>FRR36*FRQ36</f>
        <v>1000000</v>
      </c>
      <c r="FRT36" s="9" t="s">
        <v>2066</v>
      </c>
      <c r="FRU36" s="1">
        <v>65</v>
      </c>
      <c r="FRV36" s="619" t="s">
        <v>2063</v>
      </c>
      <c r="FRW36" s="148" t="s">
        <v>2064</v>
      </c>
      <c r="FRX36" s="9" t="s">
        <v>2065</v>
      </c>
      <c r="FRY36" s="619">
        <v>1</v>
      </c>
      <c r="FRZ36" s="4">
        <v>1000000</v>
      </c>
      <c r="FSA36" s="4">
        <f>FRZ36*FRY36</f>
        <v>1000000</v>
      </c>
      <c r="FSB36" s="9" t="s">
        <v>2066</v>
      </c>
      <c r="FSC36" s="1">
        <v>65</v>
      </c>
      <c r="FSD36" s="619" t="s">
        <v>2063</v>
      </c>
      <c r="FSE36" s="148" t="s">
        <v>2064</v>
      </c>
      <c r="FSF36" s="9" t="s">
        <v>2065</v>
      </c>
      <c r="FSG36" s="619">
        <v>1</v>
      </c>
      <c r="FSH36" s="4">
        <v>1000000</v>
      </c>
      <c r="FSI36" s="4">
        <f>FSH36*FSG36</f>
        <v>1000000</v>
      </c>
      <c r="FSJ36" s="9" t="s">
        <v>2066</v>
      </c>
      <c r="FSK36" s="1">
        <v>65</v>
      </c>
      <c r="FSL36" s="619" t="s">
        <v>2063</v>
      </c>
      <c r="FSM36" s="148" t="s">
        <v>2064</v>
      </c>
      <c r="FSN36" s="9" t="s">
        <v>2065</v>
      </c>
      <c r="FSO36" s="619">
        <v>1</v>
      </c>
      <c r="FSP36" s="4">
        <v>1000000</v>
      </c>
      <c r="FSQ36" s="4">
        <f>FSP36*FSO36</f>
        <v>1000000</v>
      </c>
      <c r="FSR36" s="9" t="s">
        <v>2066</v>
      </c>
      <c r="FSS36" s="1">
        <v>65</v>
      </c>
      <c r="FST36" s="619" t="s">
        <v>2063</v>
      </c>
      <c r="FSU36" s="148" t="s">
        <v>2064</v>
      </c>
      <c r="FSV36" s="9" t="s">
        <v>2065</v>
      </c>
      <c r="FSW36" s="619">
        <v>1</v>
      </c>
      <c r="FSX36" s="4">
        <v>1000000</v>
      </c>
      <c r="FSY36" s="4">
        <f>FSX36*FSW36</f>
        <v>1000000</v>
      </c>
      <c r="FSZ36" s="9" t="s">
        <v>2066</v>
      </c>
      <c r="FTA36" s="1">
        <v>65</v>
      </c>
      <c r="FTB36" s="619" t="s">
        <v>2063</v>
      </c>
      <c r="FTC36" s="148" t="s">
        <v>2064</v>
      </c>
      <c r="FTD36" s="9" t="s">
        <v>2065</v>
      </c>
      <c r="FTE36" s="619">
        <v>1</v>
      </c>
      <c r="FTF36" s="4">
        <v>1000000</v>
      </c>
      <c r="FTG36" s="4">
        <f>FTF36*FTE36</f>
        <v>1000000</v>
      </c>
      <c r="FTH36" s="9" t="s">
        <v>2066</v>
      </c>
      <c r="FTI36" s="1">
        <v>65</v>
      </c>
      <c r="FTJ36" s="619" t="s">
        <v>2063</v>
      </c>
      <c r="FTK36" s="148" t="s">
        <v>2064</v>
      </c>
      <c r="FTL36" s="9" t="s">
        <v>2065</v>
      </c>
      <c r="FTM36" s="619">
        <v>1</v>
      </c>
      <c r="FTN36" s="4">
        <v>1000000</v>
      </c>
      <c r="FTO36" s="4">
        <f>FTN36*FTM36</f>
        <v>1000000</v>
      </c>
      <c r="FTP36" s="9" t="s">
        <v>2066</v>
      </c>
      <c r="FTQ36" s="1">
        <v>65</v>
      </c>
      <c r="FTR36" s="619" t="s">
        <v>2063</v>
      </c>
      <c r="FTS36" s="148" t="s">
        <v>2064</v>
      </c>
      <c r="FTT36" s="9" t="s">
        <v>2065</v>
      </c>
      <c r="FTU36" s="619">
        <v>1</v>
      </c>
      <c r="FTV36" s="4">
        <v>1000000</v>
      </c>
      <c r="FTW36" s="4">
        <f>FTV36*FTU36</f>
        <v>1000000</v>
      </c>
      <c r="FTX36" s="9" t="s">
        <v>2066</v>
      </c>
      <c r="FTY36" s="1">
        <v>65</v>
      </c>
      <c r="FTZ36" s="619" t="s">
        <v>2063</v>
      </c>
      <c r="FUA36" s="148" t="s">
        <v>2064</v>
      </c>
      <c r="FUB36" s="9" t="s">
        <v>2065</v>
      </c>
      <c r="FUC36" s="619">
        <v>1</v>
      </c>
      <c r="FUD36" s="4">
        <v>1000000</v>
      </c>
      <c r="FUE36" s="4">
        <f>FUD36*FUC36</f>
        <v>1000000</v>
      </c>
      <c r="FUF36" s="9" t="s">
        <v>2066</v>
      </c>
      <c r="FUG36" s="1">
        <v>65</v>
      </c>
      <c r="FUH36" s="619" t="s">
        <v>2063</v>
      </c>
      <c r="FUI36" s="148" t="s">
        <v>2064</v>
      </c>
      <c r="FUJ36" s="9" t="s">
        <v>2065</v>
      </c>
      <c r="FUK36" s="619">
        <v>1</v>
      </c>
      <c r="FUL36" s="4">
        <v>1000000</v>
      </c>
      <c r="FUM36" s="4">
        <f>FUL36*FUK36</f>
        <v>1000000</v>
      </c>
      <c r="FUN36" s="9" t="s">
        <v>2066</v>
      </c>
      <c r="FUO36" s="1">
        <v>65</v>
      </c>
      <c r="FUP36" s="619" t="s">
        <v>2063</v>
      </c>
      <c r="FUQ36" s="148" t="s">
        <v>2064</v>
      </c>
      <c r="FUR36" s="9" t="s">
        <v>2065</v>
      </c>
      <c r="FUS36" s="619">
        <v>1</v>
      </c>
      <c r="FUT36" s="4">
        <v>1000000</v>
      </c>
      <c r="FUU36" s="4">
        <f>FUT36*FUS36</f>
        <v>1000000</v>
      </c>
      <c r="FUV36" s="9" t="s">
        <v>2066</v>
      </c>
      <c r="FUW36" s="1">
        <v>65</v>
      </c>
      <c r="FUX36" s="619" t="s">
        <v>2063</v>
      </c>
      <c r="FUY36" s="148" t="s">
        <v>2064</v>
      </c>
      <c r="FUZ36" s="9" t="s">
        <v>2065</v>
      </c>
      <c r="FVA36" s="619">
        <v>1</v>
      </c>
      <c r="FVB36" s="4">
        <v>1000000</v>
      </c>
      <c r="FVC36" s="4">
        <f>FVB36*FVA36</f>
        <v>1000000</v>
      </c>
      <c r="FVD36" s="9" t="s">
        <v>2066</v>
      </c>
      <c r="FVE36" s="1">
        <v>65</v>
      </c>
      <c r="FVF36" s="619" t="s">
        <v>2063</v>
      </c>
      <c r="FVG36" s="148" t="s">
        <v>2064</v>
      </c>
      <c r="FVH36" s="9" t="s">
        <v>2065</v>
      </c>
      <c r="FVI36" s="619">
        <v>1</v>
      </c>
      <c r="FVJ36" s="4">
        <v>1000000</v>
      </c>
      <c r="FVK36" s="4">
        <f>FVJ36*FVI36</f>
        <v>1000000</v>
      </c>
      <c r="FVL36" s="9" t="s">
        <v>2066</v>
      </c>
      <c r="FVM36" s="1">
        <v>65</v>
      </c>
      <c r="FVN36" s="619" t="s">
        <v>2063</v>
      </c>
      <c r="FVO36" s="148" t="s">
        <v>2064</v>
      </c>
      <c r="FVP36" s="9" t="s">
        <v>2065</v>
      </c>
      <c r="FVQ36" s="619">
        <v>1</v>
      </c>
      <c r="FVR36" s="4">
        <v>1000000</v>
      </c>
      <c r="FVS36" s="4">
        <f>FVR36*FVQ36</f>
        <v>1000000</v>
      </c>
      <c r="FVT36" s="9" t="s">
        <v>2066</v>
      </c>
      <c r="FVU36" s="1">
        <v>65</v>
      </c>
      <c r="FVV36" s="619" t="s">
        <v>2063</v>
      </c>
      <c r="FVW36" s="148" t="s">
        <v>2064</v>
      </c>
      <c r="FVX36" s="9" t="s">
        <v>2065</v>
      </c>
      <c r="FVY36" s="619">
        <v>1</v>
      </c>
      <c r="FVZ36" s="4">
        <v>1000000</v>
      </c>
      <c r="FWA36" s="4">
        <f>FVZ36*FVY36</f>
        <v>1000000</v>
      </c>
      <c r="FWB36" s="9" t="s">
        <v>2066</v>
      </c>
      <c r="FWC36" s="1">
        <v>65</v>
      </c>
      <c r="FWD36" s="619" t="s">
        <v>2063</v>
      </c>
      <c r="FWE36" s="148" t="s">
        <v>2064</v>
      </c>
      <c r="FWF36" s="9" t="s">
        <v>2065</v>
      </c>
      <c r="FWG36" s="619">
        <v>1</v>
      </c>
      <c r="FWH36" s="4">
        <v>1000000</v>
      </c>
      <c r="FWI36" s="4">
        <f>FWH36*FWG36</f>
        <v>1000000</v>
      </c>
      <c r="FWJ36" s="9" t="s">
        <v>2066</v>
      </c>
      <c r="FWK36" s="1">
        <v>65</v>
      </c>
      <c r="FWL36" s="619" t="s">
        <v>2063</v>
      </c>
      <c r="FWM36" s="148" t="s">
        <v>2064</v>
      </c>
      <c r="FWN36" s="9" t="s">
        <v>2065</v>
      </c>
      <c r="FWO36" s="619">
        <v>1</v>
      </c>
      <c r="FWP36" s="4">
        <v>1000000</v>
      </c>
      <c r="FWQ36" s="4">
        <f>FWP36*FWO36</f>
        <v>1000000</v>
      </c>
      <c r="FWR36" s="9" t="s">
        <v>2066</v>
      </c>
      <c r="FWS36" s="1">
        <v>65</v>
      </c>
      <c r="FWT36" s="619" t="s">
        <v>2063</v>
      </c>
      <c r="FWU36" s="148" t="s">
        <v>2064</v>
      </c>
      <c r="FWV36" s="9" t="s">
        <v>2065</v>
      </c>
      <c r="FWW36" s="619">
        <v>1</v>
      </c>
      <c r="FWX36" s="4">
        <v>1000000</v>
      </c>
      <c r="FWY36" s="4">
        <f>FWX36*FWW36</f>
        <v>1000000</v>
      </c>
      <c r="FWZ36" s="9" t="s">
        <v>2066</v>
      </c>
      <c r="FXA36" s="1">
        <v>65</v>
      </c>
      <c r="FXB36" s="619" t="s">
        <v>2063</v>
      </c>
      <c r="FXC36" s="148" t="s">
        <v>2064</v>
      </c>
      <c r="FXD36" s="9" t="s">
        <v>2065</v>
      </c>
      <c r="FXE36" s="619">
        <v>1</v>
      </c>
      <c r="FXF36" s="4">
        <v>1000000</v>
      </c>
      <c r="FXG36" s="4">
        <f>FXF36*FXE36</f>
        <v>1000000</v>
      </c>
      <c r="FXH36" s="9" t="s">
        <v>2066</v>
      </c>
      <c r="FXI36" s="1">
        <v>65</v>
      </c>
      <c r="FXJ36" s="619" t="s">
        <v>2063</v>
      </c>
      <c r="FXK36" s="148" t="s">
        <v>2064</v>
      </c>
      <c r="FXL36" s="9" t="s">
        <v>2065</v>
      </c>
      <c r="FXM36" s="619">
        <v>1</v>
      </c>
      <c r="FXN36" s="4">
        <v>1000000</v>
      </c>
      <c r="FXO36" s="4">
        <f>FXN36*FXM36</f>
        <v>1000000</v>
      </c>
      <c r="FXP36" s="9" t="s">
        <v>2066</v>
      </c>
      <c r="FXQ36" s="1">
        <v>65</v>
      </c>
      <c r="FXR36" s="619" t="s">
        <v>2063</v>
      </c>
      <c r="FXS36" s="148" t="s">
        <v>2064</v>
      </c>
      <c r="FXT36" s="9" t="s">
        <v>2065</v>
      </c>
      <c r="FXU36" s="619">
        <v>1</v>
      </c>
      <c r="FXV36" s="4">
        <v>1000000</v>
      </c>
      <c r="FXW36" s="4">
        <f>FXV36*FXU36</f>
        <v>1000000</v>
      </c>
      <c r="FXX36" s="9" t="s">
        <v>2066</v>
      </c>
      <c r="FXY36" s="1">
        <v>65</v>
      </c>
      <c r="FXZ36" s="619" t="s">
        <v>2063</v>
      </c>
      <c r="FYA36" s="148" t="s">
        <v>2064</v>
      </c>
      <c r="FYB36" s="9" t="s">
        <v>2065</v>
      </c>
      <c r="FYC36" s="619">
        <v>1</v>
      </c>
      <c r="FYD36" s="4">
        <v>1000000</v>
      </c>
      <c r="FYE36" s="4">
        <f>FYD36*FYC36</f>
        <v>1000000</v>
      </c>
      <c r="FYF36" s="9" t="s">
        <v>2066</v>
      </c>
      <c r="FYG36" s="1">
        <v>65</v>
      </c>
      <c r="FYH36" s="619" t="s">
        <v>2063</v>
      </c>
      <c r="FYI36" s="148" t="s">
        <v>2064</v>
      </c>
      <c r="FYJ36" s="9" t="s">
        <v>2065</v>
      </c>
      <c r="FYK36" s="619">
        <v>1</v>
      </c>
      <c r="FYL36" s="4">
        <v>1000000</v>
      </c>
      <c r="FYM36" s="4">
        <f>FYL36*FYK36</f>
        <v>1000000</v>
      </c>
      <c r="FYN36" s="9" t="s">
        <v>2066</v>
      </c>
      <c r="FYO36" s="1">
        <v>65</v>
      </c>
      <c r="FYP36" s="619" t="s">
        <v>2063</v>
      </c>
      <c r="FYQ36" s="148" t="s">
        <v>2064</v>
      </c>
      <c r="FYR36" s="9" t="s">
        <v>2065</v>
      </c>
      <c r="FYS36" s="619">
        <v>1</v>
      </c>
      <c r="FYT36" s="4">
        <v>1000000</v>
      </c>
      <c r="FYU36" s="4">
        <f>FYT36*FYS36</f>
        <v>1000000</v>
      </c>
      <c r="FYV36" s="9" t="s">
        <v>2066</v>
      </c>
      <c r="FYW36" s="1">
        <v>65</v>
      </c>
      <c r="FYX36" s="619" t="s">
        <v>2063</v>
      </c>
      <c r="FYY36" s="148" t="s">
        <v>2064</v>
      </c>
      <c r="FYZ36" s="9" t="s">
        <v>2065</v>
      </c>
      <c r="FZA36" s="619">
        <v>1</v>
      </c>
      <c r="FZB36" s="4">
        <v>1000000</v>
      </c>
      <c r="FZC36" s="4">
        <f>FZB36*FZA36</f>
        <v>1000000</v>
      </c>
      <c r="FZD36" s="9" t="s">
        <v>2066</v>
      </c>
      <c r="FZE36" s="1">
        <v>65</v>
      </c>
      <c r="FZF36" s="619" t="s">
        <v>2063</v>
      </c>
      <c r="FZG36" s="148" t="s">
        <v>2064</v>
      </c>
      <c r="FZH36" s="9" t="s">
        <v>2065</v>
      </c>
      <c r="FZI36" s="619">
        <v>1</v>
      </c>
      <c r="FZJ36" s="4">
        <v>1000000</v>
      </c>
      <c r="FZK36" s="4">
        <f>FZJ36*FZI36</f>
        <v>1000000</v>
      </c>
      <c r="FZL36" s="9" t="s">
        <v>2066</v>
      </c>
      <c r="FZM36" s="1">
        <v>65</v>
      </c>
      <c r="FZN36" s="619" t="s">
        <v>2063</v>
      </c>
      <c r="FZO36" s="148" t="s">
        <v>2064</v>
      </c>
      <c r="FZP36" s="9" t="s">
        <v>2065</v>
      </c>
      <c r="FZQ36" s="619">
        <v>1</v>
      </c>
      <c r="FZR36" s="4">
        <v>1000000</v>
      </c>
      <c r="FZS36" s="4">
        <f>FZR36*FZQ36</f>
        <v>1000000</v>
      </c>
      <c r="FZT36" s="9" t="s">
        <v>2066</v>
      </c>
      <c r="FZU36" s="1">
        <v>65</v>
      </c>
      <c r="FZV36" s="619" t="s">
        <v>2063</v>
      </c>
      <c r="FZW36" s="148" t="s">
        <v>2064</v>
      </c>
      <c r="FZX36" s="9" t="s">
        <v>2065</v>
      </c>
      <c r="FZY36" s="619">
        <v>1</v>
      </c>
      <c r="FZZ36" s="4">
        <v>1000000</v>
      </c>
      <c r="GAA36" s="4">
        <f>FZZ36*FZY36</f>
        <v>1000000</v>
      </c>
      <c r="GAB36" s="9" t="s">
        <v>2066</v>
      </c>
      <c r="GAC36" s="1">
        <v>65</v>
      </c>
      <c r="GAD36" s="619" t="s">
        <v>2063</v>
      </c>
      <c r="GAE36" s="148" t="s">
        <v>2064</v>
      </c>
      <c r="GAF36" s="9" t="s">
        <v>2065</v>
      </c>
      <c r="GAG36" s="619">
        <v>1</v>
      </c>
      <c r="GAH36" s="4">
        <v>1000000</v>
      </c>
      <c r="GAI36" s="4">
        <f>GAH36*GAG36</f>
        <v>1000000</v>
      </c>
      <c r="GAJ36" s="9" t="s">
        <v>2066</v>
      </c>
      <c r="GAK36" s="1">
        <v>65</v>
      </c>
      <c r="GAL36" s="619" t="s">
        <v>2063</v>
      </c>
      <c r="GAM36" s="148" t="s">
        <v>2064</v>
      </c>
      <c r="GAN36" s="9" t="s">
        <v>2065</v>
      </c>
      <c r="GAO36" s="619">
        <v>1</v>
      </c>
      <c r="GAP36" s="4">
        <v>1000000</v>
      </c>
      <c r="GAQ36" s="4">
        <f>GAP36*GAO36</f>
        <v>1000000</v>
      </c>
      <c r="GAR36" s="9" t="s">
        <v>2066</v>
      </c>
      <c r="GAS36" s="1">
        <v>65</v>
      </c>
      <c r="GAT36" s="619" t="s">
        <v>2063</v>
      </c>
      <c r="GAU36" s="148" t="s">
        <v>2064</v>
      </c>
      <c r="GAV36" s="9" t="s">
        <v>2065</v>
      </c>
      <c r="GAW36" s="619">
        <v>1</v>
      </c>
      <c r="GAX36" s="4">
        <v>1000000</v>
      </c>
      <c r="GAY36" s="4">
        <f>GAX36*GAW36</f>
        <v>1000000</v>
      </c>
      <c r="GAZ36" s="9" t="s">
        <v>2066</v>
      </c>
      <c r="GBA36" s="1">
        <v>65</v>
      </c>
      <c r="GBB36" s="619" t="s">
        <v>2063</v>
      </c>
      <c r="GBC36" s="148" t="s">
        <v>2064</v>
      </c>
      <c r="GBD36" s="9" t="s">
        <v>2065</v>
      </c>
      <c r="GBE36" s="619">
        <v>1</v>
      </c>
      <c r="GBF36" s="4">
        <v>1000000</v>
      </c>
      <c r="GBG36" s="4">
        <f>GBF36*GBE36</f>
        <v>1000000</v>
      </c>
      <c r="GBH36" s="9" t="s">
        <v>2066</v>
      </c>
      <c r="GBI36" s="1">
        <v>65</v>
      </c>
      <c r="GBJ36" s="619" t="s">
        <v>2063</v>
      </c>
      <c r="GBK36" s="148" t="s">
        <v>2064</v>
      </c>
      <c r="GBL36" s="9" t="s">
        <v>2065</v>
      </c>
      <c r="GBM36" s="619">
        <v>1</v>
      </c>
      <c r="GBN36" s="4">
        <v>1000000</v>
      </c>
      <c r="GBO36" s="4">
        <f>GBN36*GBM36</f>
        <v>1000000</v>
      </c>
      <c r="GBP36" s="9" t="s">
        <v>2066</v>
      </c>
      <c r="GBQ36" s="1">
        <v>65</v>
      </c>
      <c r="GBR36" s="619" t="s">
        <v>2063</v>
      </c>
      <c r="GBS36" s="148" t="s">
        <v>2064</v>
      </c>
      <c r="GBT36" s="9" t="s">
        <v>2065</v>
      </c>
      <c r="GBU36" s="619">
        <v>1</v>
      </c>
      <c r="GBV36" s="4">
        <v>1000000</v>
      </c>
      <c r="GBW36" s="4">
        <f>GBV36*GBU36</f>
        <v>1000000</v>
      </c>
      <c r="GBX36" s="9" t="s">
        <v>2066</v>
      </c>
      <c r="GBY36" s="1">
        <v>65</v>
      </c>
      <c r="GBZ36" s="619" t="s">
        <v>2063</v>
      </c>
      <c r="GCA36" s="148" t="s">
        <v>2064</v>
      </c>
      <c r="GCB36" s="9" t="s">
        <v>2065</v>
      </c>
      <c r="GCC36" s="619">
        <v>1</v>
      </c>
      <c r="GCD36" s="4">
        <v>1000000</v>
      </c>
      <c r="GCE36" s="4">
        <f>GCD36*GCC36</f>
        <v>1000000</v>
      </c>
      <c r="GCF36" s="9" t="s">
        <v>2066</v>
      </c>
      <c r="GCG36" s="1">
        <v>65</v>
      </c>
      <c r="GCH36" s="619" t="s">
        <v>2063</v>
      </c>
      <c r="GCI36" s="148" t="s">
        <v>2064</v>
      </c>
      <c r="GCJ36" s="9" t="s">
        <v>2065</v>
      </c>
      <c r="GCK36" s="619">
        <v>1</v>
      </c>
      <c r="GCL36" s="4">
        <v>1000000</v>
      </c>
      <c r="GCM36" s="4">
        <f>GCL36*GCK36</f>
        <v>1000000</v>
      </c>
      <c r="GCN36" s="9" t="s">
        <v>2066</v>
      </c>
      <c r="GCO36" s="1">
        <v>65</v>
      </c>
      <c r="GCP36" s="619" t="s">
        <v>2063</v>
      </c>
      <c r="GCQ36" s="148" t="s">
        <v>2064</v>
      </c>
      <c r="GCR36" s="9" t="s">
        <v>2065</v>
      </c>
      <c r="GCS36" s="619">
        <v>1</v>
      </c>
      <c r="GCT36" s="4">
        <v>1000000</v>
      </c>
      <c r="GCU36" s="4">
        <f>GCT36*GCS36</f>
        <v>1000000</v>
      </c>
      <c r="GCV36" s="9" t="s">
        <v>2066</v>
      </c>
      <c r="GCW36" s="1">
        <v>65</v>
      </c>
      <c r="GCX36" s="619" t="s">
        <v>2063</v>
      </c>
      <c r="GCY36" s="148" t="s">
        <v>2064</v>
      </c>
      <c r="GCZ36" s="9" t="s">
        <v>2065</v>
      </c>
      <c r="GDA36" s="619">
        <v>1</v>
      </c>
      <c r="GDB36" s="4">
        <v>1000000</v>
      </c>
      <c r="GDC36" s="4">
        <f>GDB36*GDA36</f>
        <v>1000000</v>
      </c>
      <c r="GDD36" s="9" t="s">
        <v>2066</v>
      </c>
      <c r="GDE36" s="1">
        <v>65</v>
      </c>
      <c r="GDF36" s="619" t="s">
        <v>2063</v>
      </c>
      <c r="GDG36" s="148" t="s">
        <v>2064</v>
      </c>
      <c r="GDH36" s="9" t="s">
        <v>2065</v>
      </c>
      <c r="GDI36" s="619">
        <v>1</v>
      </c>
      <c r="GDJ36" s="4">
        <v>1000000</v>
      </c>
      <c r="GDK36" s="4">
        <f>GDJ36*GDI36</f>
        <v>1000000</v>
      </c>
      <c r="GDL36" s="9" t="s">
        <v>2066</v>
      </c>
      <c r="GDM36" s="1">
        <v>65</v>
      </c>
      <c r="GDN36" s="619" t="s">
        <v>2063</v>
      </c>
      <c r="GDO36" s="148" t="s">
        <v>2064</v>
      </c>
      <c r="GDP36" s="9" t="s">
        <v>2065</v>
      </c>
      <c r="GDQ36" s="619">
        <v>1</v>
      </c>
      <c r="GDR36" s="4">
        <v>1000000</v>
      </c>
      <c r="GDS36" s="4">
        <f>GDR36*GDQ36</f>
        <v>1000000</v>
      </c>
      <c r="GDT36" s="9" t="s">
        <v>2066</v>
      </c>
      <c r="GDU36" s="1">
        <v>65</v>
      </c>
      <c r="GDV36" s="619" t="s">
        <v>2063</v>
      </c>
      <c r="GDW36" s="148" t="s">
        <v>2064</v>
      </c>
      <c r="GDX36" s="9" t="s">
        <v>2065</v>
      </c>
      <c r="GDY36" s="619">
        <v>1</v>
      </c>
      <c r="GDZ36" s="4">
        <v>1000000</v>
      </c>
      <c r="GEA36" s="4">
        <f>GDZ36*GDY36</f>
        <v>1000000</v>
      </c>
      <c r="GEB36" s="9" t="s">
        <v>2066</v>
      </c>
      <c r="GEC36" s="1">
        <v>65</v>
      </c>
      <c r="GED36" s="619" t="s">
        <v>2063</v>
      </c>
      <c r="GEE36" s="148" t="s">
        <v>2064</v>
      </c>
      <c r="GEF36" s="9" t="s">
        <v>2065</v>
      </c>
      <c r="GEG36" s="619">
        <v>1</v>
      </c>
      <c r="GEH36" s="4">
        <v>1000000</v>
      </c>
      <c r="GEI36" s="4">
        <f>GEH36*GEG36</f>
        <v>1000000</v>
      </c>
      <c r="GEJ36" s="9" t="s">
        <v>2066</v>
      </c>
      <c r="GEK36" s="1">
        <v>65</v>
      </c>
      <c r="GEL36" s="619" t="s">
        <v>2063</v>
      </c>
      <c r="GEM36" s="148" t="s">
        <v>2064</v>
      </c>
      <c r="GEN36" s="9" t="s">
        <v>2065</v>
      </c>
      <c r="GEO36" s="619">
        <v>1</v>
      </c>
      <c r="GEP36" s="4">
        <v>1000000</v>
      </c>
      <c r="GEQ36" s="4">
        <f>GEP36*GEO36</f>
        <v>1000000</v>
      </c>
      <c r="GER36" s="9" t="s">
        <v>2066</v>
      </c>
      <c r="GES36" s="1">
        <v>65</v>
      </c>
      <c r="GET36" s="619" t="s">
        <v>2063</v>
      </c>
      <c r="GEU36" s="148" t="s">
        <v>2064</v>
      </c>
      <c r="GEV36" s="9" t="s">
        <v>2065</v>
      </c>
      <c r="GEW36" s="619">
        <v>1</v>
      </c>
      <c r="GEX36" s="4">
        <v>1000000</v>
      </c>
      <c r="GEY36" s="4">
        <f>GEX36*GEW36</f>
        <v>1000000</v>
      </c>
      <c r="GEZ36" s="9" t="s">
        <v>2066</v>
      </c>
      <c r="GFA36" s="1">
        <v>65</v>
      </c>
      <c r="GFB36" s="619" t="s">
        <v>2063</v>
      </c>
      <c r="GFC36" s="148" t="s">
        <v>2064</v>
      </c>
      <c r="GFD36" s="9" t="s">
        <v>2065</v>
      </c>
      <c r="GFE36" s="619">
        <v>1</v>
      </c>
      <c r="GFF36" s="4">
        <v>1000000</v>
      </c>
      <c r="GFG36" s="4">
        <f>GFF36*GFE36</f>
        <v>1000000</v>
      </c>
      <c r="GFH36" s="9" t="s">
        <v>2066</v>
      </c>
      <c r="GFI36" s="1">
        <v>65</v>
      </c>
      <c r="GFJ36" s="619" t="s">
        <v>2063</v>
      </c>
      <c r="GFK36" s="148" t="s">
        <v>2064</v>
      </c>
      <c r="GFL36" s="9" t="s">
        <v>2065</v>
      </c>
      <c r="GFM36" s="619">
        <v>1</v>
      </c>
      <c r="GFN36" s="4">
        <v>1000000</v>
      </c>
      <c r="GFO36" s="4">
        <f>GFN36*GFM36</f>
        <v>1000000</v>
      </c>
      <c r="GFP36" s="9" t="s">
        <v>2066</v>
      </c>
      <c r="GFQ36" s="1">
        <v>65</v>
      </c>
      <c r="GFR36" s="619" t="s">
        <v>2063</v>
      </c>
      <c r="GFS36" s="148" t="s">
        <v>2064</v>
      </c>
      <c r="GFT36" s="9" t="s">
        <v>2065</v>
      </c>
      <c r="GFU36" s="619">
        <v>1</v>
      </c>
      <c r="GFV36" s="4">
        <v>1000000</v>
      </c>
      <c r="GFW36" s="4">
        <f>GFV36*GFU36</f>
        <v>1000000</v>
      </c>
      <c r="GFX36" s="9" t="s">
        <v>2066</v>
      </c>
      <c r="GFY36" s="1">
        <v>65</v>
      </c>
      <c r="GFZ36" s="619" t="s">
        <v>2063</v>
      </c>
      <c r="GGA36" s="148" t="s">
        <v>2064</v>
      </c>
      <c r="GGB36" s="9" t="s">
        <v>2065</v>
      </c>
      <c r="GGC36" s="619">
        <v>1</v>
      </c>
      <c r="GGD36" s="4">
        <v>1000000</v>
      </c>
      <c r="GGE36" s="4">
        <f>GGD36*GGC36</f>
        <v>1000000</v>
      </c>
      <c r="GGF36" s="9" t="s">
        <v>2066</v>
      </c>
      <c r="GGG36" s="1">
        <v>65</v>
      </c>
      <c r="GGH36" s="619" t="s">
        <v>2063</v>
      </c>
      <c r="GGI36" s="148" t="s">
        <v>2064</v>
      </c>
      <c r="GGJ36" s="9" t="s">
        <v>2065</v>
      </c>
      <c r="GGK36" s="619">
        <v>1</v>
      </c>
      <c r="GGL36" s="4">
        <v>1000000</v>
      </c>
      <c r="GGM36" s="4">
        <f>GGL36*GGK36</f>
        <v>1000000</v>
      </c>
      <c r="GGN36" s="9" t="s">
        <v>2066</v>
      </c>
      <c r="GGO36" s="1">
        <v>65</v>
      </c>
      <c r="GGP36" s="619" t="s">
        <v>2063</v>
      </c>
      <c r="GGQ36" s="148" t="s">
        <v>2064</v>
      </c>
      <c r="GGR36" s="9" t="s">
        <v>2065</v>
      </c>
      <c r="GGS36" s="619">
        <v>1</v>
      </c>
      <c r="GGT36" s="4">
        <v>1000000</v>
      </c>
      <c r="GGU36" s="4">
        <f>GGT36*GGS36</f>
        <v>1000000</v>
      </c>
      <c r="GGV36" s="9" t="s">
        <v>2066</v>
      </c>
      <c r="GGW36" s="1">
        <v>65</v>
      </c>
      <c r="GGX36" s="619" t="s">
        <v>2063</v>
      </c>
      <c r="GGY36" s="148" t="s">
        <v>2064</v>
      </c>
      <c r="GGZ36" s="9" t="s">
        <v>2065</v>
      </c>
      <c r="GHA36" s="619">
        <v>1</v>
      </c>
      <c r="GHB36" s="4">
        <v>1000000</v>
      </c>
      <c r="GHC36" s="4">
        <f>GHB36*GHA36</f>
        <v>1000000</v>
      </c>
      <c r="GHD36" s="9" t="s">
        <v>2066</v>
      </c>
      <c r="GHE36" s="1">
        <v>65</v>
      </c>
      <c r="GHF36" s="619" t="s">
        <v>2063</v>
      </c>
      <c r="GHG36" s="148" t="s">
        <v>2064</v>
      </c>
      <c r="GHH36" s="9" t="s">
        <v>2065</v>
      </c>
      <c r="GHI36" s="619">
        <v>1</v>
      </c>
      <c r="GHJ36" s="4">
        <v>1000000</v>
      </c>
      <c r="GHK36" s="4">
        <f>GHJ36*GHI36</f>
        <v>1000000</v>
      </c>
      <c r="GHL36" s="9" t="s">
        <v>2066</v>
      </c>
      <c r="GHM36" s="1">
        <v>65</v>
      </c>
      <c r="GHN36" s="619" t="s">
        <v>2063</v>
      </c>
      <c r="GHO36" s="148" t="s">
        <v>2064</v>
      </c>
      <c r="GHP36" s="9" t="s">
        <v>2065</v>
      </c>
      <c r="GHQ36" s="619">
        <v>1</v>
      </c>
      <c r="GHR36" s="4">
        <v>1000000</v>
      </c>
      <c r="GHS36" s="4">
        <f>GHR36*GHQ36</f>
        <v>1000000</v>
      </c>
      <c r="GHT36" s="9" t="s">
        <v>2066</v>
      </c>
      <c r="GHU36" s="1">
        <v>65</v>
      </c>
      <c r="GHV36" s="619" t="s">
        <v>2063</v>
      </c>
      <c r="GHW36" s="148" t="s">
        <v>2064</v>
      </c>
      <c r="GHX36" s="9" t="s">
        <v>2065</v>
      </c>
      <c r="GHY36" s="619">
        <v>1</v>
      </c>
      <c r="GHZ36" s="4">
        <v>1000000</v>
      </c>
      <c r="GIA36" s="4">
        <f>GHZ36*GHY36</f>
        <v>1000000</v>
      </c>
      <c r="GIB36" s="9" t="s">
        <v>2066</v>
      </c>
      <c r="GIC36" s="1">
        <v>65</v>
      </c>
      <c r="GID36" s="619" t="s">
        <v>2063</v>
      </c>
      <c r="GIE36" s="148" t="s">
        <v>2064</v>
      </c>
      <c r="GIF36" s="9" t="s">
        <v>2065</v>
      </c>
      <c r="GIG36" s="619">
        <v>1</v>
      </c>
      <c r="GIH36" s="4">
        <v>1000000</v>
      </c>
      <c r="GII36" s="4">
        <f>GIH36*GIG36</f>
        <v>1000000</v>
      </c>
      <c r="GIJ36" s="9" t="s">
        <v>2066</v>
      </c>
      <c r="GIK36" s="1">
        <v>65</v>
      </c>
      <c r="GIL36" s="619" t="s">
        <v>2063</v>
      </c>
      <c r="GIM36" s="148" t="s">
        <v>2064</v>
      </c>
      <c r="GIN36" s="9" t="s">
        <v>2065</v>
      </c>
      <c r="GIO36" s="619">
        <v>1</v>
      </c>
      <c r="GIP36" s="4">
        <v>1000000</v>
      </c>
      <c r="GIQ36" s="4">
        <f>GIP36*GIO36</f>
        <v>1000000</v>
      </c>
      <c r="GIR36" s="9" t="s">
        <v>2066</v>
      </c>
      <c r="GIS36" s="1">
        <v>65</v>
      </c>
      <c r="GIT36" s="619" t="s">
        <v>2063</v>
      </c>
      <c r="GIU36" s="148" t="s">
        <v>2064</v>
      </c>
      <c r="GIV36" s="9" t="s">
        <v>2065</v>
      </c>
      <c r="GIW36" s="619">
        <v>1</v>
      </c>
      <c r="GIX36" s="4">
        <v>1000000</v>
      </c>
      <c r="GIY36" s="4">
        <f>GIX36*GIW36</f>
        <v>1000000</v>
      </c>
      <c r="GIZ36" s="9" t="s">
        <v>2066</v>
      </c>
      <c r="GJA36" s="1">
        <v>65</v>
      </c>
      <c r="GJB36" s="619" t="s">
        <v>2063</v>
      </c>
      <c r="GJC36" s="148" t="s">
        <v>2064</v>
      </c>
      <c r="GJD36" s="9" t="s">
        <v>2065</v>
      </c>
      <c r="GJE36" s="619">
        <v>1</v>
      </c>
      <c r="GJF36" s="4">
        <v>1000000</v>
      </c>
      <c r="GJG36" s="4">
        <f>GJF36*GJE36</f>
        <v>1000000</v>
      </c>
      <c r="GJH36" s="9" t="s">
        <v>2066</v>
      </c>
      <c r="GJI36" s="1">
        <v>65</v>
      </c>
      <c r="GJJ36" s="619" t="s">
        <v>2063</v>
      </c>
      <c r="GJK36" s="148" t="s">
        <v>2064</v>
      </c>
      <c r="GJL36" s="9" t="s">
        <v>2065</v>
      </c>
      <c r="GJM36" s="619">
        <v>1</v>
      </c>
      <c r="GJN36" s="4">
        <v>1000000</v>
      </c>
      <c r="GJO36" s="4">
        <f>GJN36*GJM36</f>
        <v>1000000</v>
      </c>
      <c r="GJP36" s="9" t="s">
        <v>2066</v>
      </c>
      <c r="GJQ36" s="1">
        <v>65</v>
      </c>
      <c r="GJR36" s="619" t="s">
        <v>2063</v>
      </c>
      <c r="GJS36" s="148" t="s">
        <v>2064</v>
      </c>
      <c r="GJT36" s="9" t="s">
        <v>2065</v>
      </c>
      <c r="GJU36" s="619">
        <v>1</v>
      </c>
      <c r="GJV36" s="4">
        <v>1000000</v>
      </c>
      <c r="GJW36" s="4">
        <f>GJV36*GJU36</f>
        <v>1000000</v>
      </c>
      <c r="GJX36" s="9" t="s">
        <v>2066</v>
      </c>
      <c r="GJY36" s="1">
        <v>65</v>
      </c>
      <c r="GJZ36" s="619" t="s">
        <v>2063</v>
      </c>
      <c r="GKA36" s="148" t="s">
        <v>2064</v>
      </c>
      <c r="GKB36" s="9" t="s">
        <v>2065</v>
      </c>
      <c r="GKC36" s="619">
        <v>1</v>
      </c>
      <c r="GKD36" s="4">
        <v>1000000</v>
      </c>
      <c r="GKE36" s="4">
        <f>GKD36*GKC36</f>
        <v>1000000</v>
      </c>
      <c r="GKF36" s="9" t="s">
        <v>2066</v>
      </c>
      <c r="GKG36" s="1">
        <v>65</v>
      </c>
      <c r="GKH36" s="619" t="s">
        <v>2063</v>
      </c>
      <c r="GKI36" s="148" t="s">
        <v>2064</v>
      </c>
      <c r="GKJ36" s="9" t="s">
        <v>2065</v>
      </c>
      <c r="GKK36" s="619">
        <v>1</v>
      </c>
      <c r="GKL36" s="4">
        <v>1000000</v>
      </c>
      <c r="GKM36" s="4">
        <f>GKL36*GKK36</f>
        <v>1000000</v>
      </c>
      <c r="GKN36" s="9" t="s">
        <v>2066</v>
      </c>
      <c r="GKO36" s="1">
        <v>65</v>
      </c>
      <c r="GKP36" s="619" t="s">
        <v>2063</v>
      </c>
      <c r="GKQ36" s="148" t="s">
        <v>2064</v>
      </c>
      <c r="GKR36" s="9" t="s">
        <v>2065</v>
      </c>
      <c r="GKS36" s="619">
        <v>1</v>
      </c>
      <c r="GKT36" s="4">
        <v>1000000</v>
      </c>
      <c r="GKU36" s="4">
        <f>GKT36*GKS36</f>
        <v>1000000</v>
      </c>
      <c r="GKV36" s="9" t="s">
        <v>2066</v>
      </c>
      <c r="GKW36" s="1">
        <v>65</v>
      </c>
      <c r="GKX36" s="619" t="s">
        <v>2063</v>
      </c>
      <c r="GKY36" s="148" t="s">
        <v>2064</v>
      </c>
      <c r="GKZ36" s="9" t="s">
        <v>2065</v>
      </c>
      <c r="GLA36" s="619">
        <v>1</v>
      </c>
      <c r="GLB36" s="4">
        <v>1000000</v>
      </c>
      <c r="GLC36" s="4">
        <f>GLB36*GLA36</f>
        <v>1000000</v>
      </c>
      <c r="GLD36" s="9" t="s">
        <v>2066</v>
      </c>
      <c r="GLE36" s="1">
        <v>65</v>
      </c>
      <c r="GLF36" s="619" t="s">
        <v>2063</v>
      </c>
      <c r="GLG36" s="148" t="s">
        <v>2064</v>
      </c>
      <c r="GLH36" s="9" t="s">
        <v>2065</v>
      </c>
      <c r="GLI36" s="619">
        <v>1</v>
      </c>
      <c r="GLJ36" s="4">
        <v>1000000</v>
      </c>
      <c r="GLK36" s="4">
        <f>GLJ36*GLI36</f>
        <v>1000000</v>
      </c>
      <c r="GLL36" s="9" t="s">
        <v>2066</v>
      </c>
      <c r="GLM36" s="1">
        <v>65</v>
      </c>
      <c r="GLN36" s="619" t="s">
        <v>2063</v>
      </c>
      <c r="GLO36" s="148" t="s">
        <v>2064</v>
      </c>
      <c r="GLP36" s="9" t="s">
        <v>2065</v>
      </c>
      <c r="GLQ36" s="619">
        <v>1</v>
      </c>
      <c r="GLR36" s="4">
        <v>1000000</v>
      </c>
      <c r="GLS36" s="4">
        <f>GLR36*GLQ36</f>
        <v>1000000</v>
      </c>
      <c r="GLT36" s="9" t="s">
        <v>2066</v>
      </c>
      <c r="GLU36" s="1">
        <v>65</v>
      </c>
      <c r="GLV36" s="619" t="s">
        <v>2063</v>
      </c>
      <c r="GLW36" s="148" t="s">
        <v>2064</v>
      </c>
      <c r="GLX36" s="9" t="s">
        <v>2065</v>
      </c>
      <c r="GLY36" s="619">
        <v>1</v>
      </c>
      <c r="GLZ36" s="4">
        <v>1000000</v>
      </c>
      <c r="GMA36" s="4">
        <f>GLZ36*GLY36</f>
        <v>1000000</v>
      </c>
      <c r="GMB36" s="9" t="s">
        <v>2066</v>
      </c>
      <c r="GMC36" s="1">
        <v>65</v>
      </c>
      <c r="GMD36" s="619" t="s">
        <v>2063</v>
      </c>
      <c r="GME36" s="148" t="s">
        <v>2064</v>
      </c>
      <c r="GMF36" s="9" t="s">
        <v>2065</v>
      </c>
      <c r="GMG36" s="619">
        <v>1</v>
      </c>
      <c r="GMH36" s="4">
        <v>1000000</v>
      </c>
      <c r="GMI36" s="4">
        <f>GMH36*GMG36</f>
        <v>1000000</v>
      </c>
      <c r="GMJ36" s="9" t="s">
        <v>2066</v>
      </c>
      <c r="GMK36" s="1">
        <v>65</v>
      </c>
      <c r="GML36" s="619" t="s">
        <v>2063</v>
      </c>
      <c r="GMM36" s="148" t="s">
        <v>2064</v>
      </c>
      <c r="GMN36" s="9" t="s">
        <v>2065</v>
      </c>
      <c r="GMO36" s="619">
        <v>1</v>
      </c>
      <c r="GMP36" s="4">
        <v>1000000</v>
      </c>
      <c r="GMQ36" s="4">
        <f>GMP36*GMO36</f>
        <v>1000000</v>
      </c>
      <c r="GMR36" s="9" t="s">
        <v>2066</v>
      </c>
      <c r="GMS36" s="1">
        <v>65</v>
      </c>
      <c r="GMT36" s="619" t="s">
        <v>2063</v>
      </c>
      <c r="GMU36" s="148" t="s">
        <v>2064</v>
      </c>
      <c r="GMV36" s="9" t="s">
        <v>2065</v>
      </c>
      <c r="GMW36" s="619">
        <v>1</v>
      </c>
      <c r="GMX36" s="4">
        <v>1000000</v>
      </c>
      <c r="GMY36" s="4">
        <f>GMX36*GMW36</f>
        <v>1000000</v>
      </c>
      <c r="GMZ36" s="9" t="s">
        <v>2066</v>
      </c>
      <c r="GNA36" s="1">
        <v>65</v>
      </c>
      <c r="GNB36" s="619" t="s">
        <v>2063</v>
      </c>
      <c r="GNC36" s="148" t="s">
        <v>2064</v>
      </c>
      <c r="GND36" s="9" t="s">
        <v>2065</v>
      </c>
      <c r="GNE36" s="619">
        <v>1</v>
      </c>
      <c r="GNF36" s="4">
        <v>1000000</v>
      </c>
      <c r="GNG36" s="4">
        <f>GNF36*GNE36</f>
        <v>1000000</v>
      </c>
      <c r="GNH36" s="9" t="s">
        <v>2066</v>
      </c>
      <c r="GNI36" s="1">
        <v>65</v>
      </c>
      <c r="GNJ36" s="619" t="s">
        <v>2063</v>
      </c>
      <c r="GNK36" s="148" t="s">
        <v>2064</v>
      </c>
      <c r="GNL36" s="9" t="s">
        <v>2065</v>
      </c>
      <c r="GNM36" s="619">
        <v>1</v>
      </c>
      <c r="GNN36" s="4">
        <v>1000000</v>
      </c>
      <c r="GNO36" s="4">
        <f>GNN36*GNM36</f>
        <v>1000000</v>
      </c>
      <c r="GNP36" s="9" t="s">
        <v>2066</v>
      </c>
      <c r="GNQ36" s="1">
        <v>65</v>
      </c>
      <c r="GNR36" s="619" t="s">
        <v>2063</v>
      </c>
      <c r="GNS36" s="148" t="s">
        <v>2064</v>
      </c>
      <c r="GNT36" s="9" t="s">
        <v>2065</v>
      </c>
      <c r="GNU36" s="619">
        <v>1</v>
      </c>
      <c r="GNV36" s="4">
        <v>1000000</v>
      </c>
      <c r="GNW36" s="4">
        <f>GNV36*GNU36</f>
        <v>1000000</v>
      </c>
      <c r="GNX36" s="9" t="s">
        <v>2066</v>
      </c>
      <c r="GNY36" s="1">
        <v>65</v>
      </c>
      <c r="GNZ36" s="619" t="s">
        <v>2063</v>
      </c>
      <c r="GOA36" s="148" t="s">
        <v>2064</v>
      </c>
      <c r="GOB36" s="9" t="s">
        <v>2065</v>
      </c>
      <c r="GOC36" s="619">
        <v>1</v>
      </c>
      <c r="GOD36" s="4">
        <v>1000000</v>
      </c>
      <c r="GOE36" s="4">
        <f>GOD36*GOC36</f>
        <v>1000000</v>
      </c>
      <c r="GOF36" s="9" t="s">
        <v>2066</v>
      </c>
      <c r="GOG36" s="1">
        <v>65</v>
      </c>
      <c r="GOH36" s="619" t="s">
        <v>2063</v>
      </c>
      <c r="GOI36" s="148" t="s">
        <v>2064</v>
      </c>
      <c r="GOJ36" s="9" t="s">
        <v>2065</v>
      </c>
      <c r="GOK36" s="619">
        <v>1</v>
      </c>
      <c r="GOL36" s="4">
        <v>1000000</v>
      </c>
      <c r="GOM36" s="4">
        <f>GOL36*GOK36</f>
        <v>1000000</v>
      </c>
      <c r="GON36" s="9" t="s">
        <v>2066</v>
      </c>
      <c r="GOO36" s="1">
        <v>65</v>
      </c>
      <c r="GOP36" s="619" t="s">
        <v>2063</v>
      </c>
      <c r="GOQ36" s="148" t="s">
        <v>2064</v>
      </c>
      <c r="GOR36" s="9" t="s">
        <v>2065</v>
      </c>
      <c r="GOS36" s="619">
        <v>1</v>
      </c>
      <c r="GOT36" s="4">
        <v>1000000</v>
      </c>
      <c r="GOU36" s="4">
        <f>GOT36*GOS36</f>
        <v>1000000</v>
      </c>
      <c r="GOV36" s="9" t="s">
        <v>2066</v>
      </c>
      <c r="GOW36" s="1">
        <v>65</v>
      </c>
      <c r="GOX36" s="619" t="s">
        <v>2063</v>
      </c>
      <c r="GOY36" s="148" t="s">
        <v>2064</v>
      </c>
      <c r="GOZ36" s="9" t="s">
        <v>2065</v>
      </c>
      <c r="GPA36" s="619">
        <v>1</v>
      </c>
      <c r="GPB36" s="4">
        <v>1000000</v>
      </c>
      <c r="GPC36" s="4">
        <f>GPB36*GPA36</f>
        <v>1000000</v>
      </c>
      <c r="GPD36" s="9" t="s">
        <v>2066</v>
      </c>
      <c r="GPE36" s="1">
        <v>65</v>
      </c>
      <c r="GPF36" s="619" t="s">
        <v>2063</v>
      </c>
      <c r="GPG36" s="148" t="s">
        <v>2064</v>
      </c>
      <c r="GPH36" s="9" t="s">
        <v>2065</v>
      </c>
      <c r="GPI36" s="619">
        <v>1</v>
      </c>
      <c r="GPJ36" s="4">
        <v>1000000</v>
      </c>
      <c r="GPK36" s="4">
        <f>GPJ36*GPI36</f>
        <v>1000000</v>
      </c>
      <c r="GPL36" s="9" t="s">
        <v>2066</v>
      </c>
      <c r="GPM36" s="1">
        <v>65</v>
      </c>
      <c r="GPN36" s="619" t="s">
        <v>2063</v>
      </c>
      <c r="GPO36" s="148" t="s">
        <v>2064</v>
      </c>
      <c r="GPP36" s="9" t="s">
        <v>2065</v>
      </c>
      <c r="GPQ36" s="619">
        <v>1</v>
      </c>
      <c r="GPR36" s="4">
        <v>1000000</v>
      </c>
      <c r="GPS36" s="4">
        <f>GPR36*GPQ36</f>
        <v>1000000</v>
      </c>
      <c r="GPT36" s="9" t="s">
        <v>2066</v>
      </c>
      <c r="GPU36" s="1">
        <v>65</v>
      </c>
      <c r="GPV36" s="619" t="s">
        <v>2063</v>
      </c>
      <c r="GPW36" s="148" t="s">
        <v>2064</v>
      </c>
      <c r="GPX36" s="9" t="s">
        <v>2065</v>
      </c>
      <c r="GPY36" s="619">
        <v>1</v>
      </c>
      <c r="GPZ36" s="4">
        <v>1000000</v>
      </c>
      <c r="GQA36" s="4">
        <f>GPZ36*GPY36</f>
        <v>1000000</v>
      </c>
      <c r="GQB36" s="9" t="s">
        <v>2066</v>
      </c>
      <c r="GQC36" s="1">
        <v>65</v>
      </c>
      <c r="GQD36" s="619" t="s">
        <v>2063</v>
      </c>
      <c r="GQE36" s="148" t="s">
        <v>2064</v>
      </c>
      <c r="GQF36" s="9" t="s">
        <v>2065</v>
      </c>
      <c r="GQG36" s="619">
        <v>1</v>
      </c>
      <c r="GQH36" s="4">
        <v>1000000</v>
      </c>
      <c r="GQI36" s="4">
        <f>GQH36*GQG36</f>
        <v>1000000</v>
      </c>
      <c r="GQJ36" s="9" t="s">
        <v>2066</v>
      </c>
      <c r="GQK36" s="1">
        <v>65</v>
      </c>
      <c r="GQL36" s="619" t="s">
        <v>2063</v>
      </c>
      <c r="GQM36" s="148" t="s">
        <v>2064</v>
      </c>
      <c r="GQN36" s="9" t="s">
        <v>2065</v>
      </c>
      <c r="GQO36" s="619">
        <v>1</v>
      </c>
      <c r="GQP36" s="4">
        <v>1000000</v>
      </c>
      <c r="GQQ36" s="4">
        <f>GQP36*GQO36</f>
        <v>1000000</v>
      </c>
      <c r="GQR36" s="9" t="s">
        <v>2066</v>
      </c>
      <c r="GQS36" s="1">
        <v>65</v>
      </c>
      <c r="GQT36" s="619" t="s">
        <v>2063</v>
      </c>
      <c r="GQU36" s="148" t="s">
        <v>2064</v>
      </c>
      <c r="GQV36" s="9" t="s">
        <v>2065</v>
      </c>
      <c r="GQW36" s="619">
        <v>1</v>
      </c>
      <c r="GQX36" s="4">
        <v>1000000</v>
      </c>
      <c r="GQY36" s="4">
        <f>GQX36*GQW36</f>
        <v>1000000</v>
      </c>
      <c r="GQZ36" s="9" t="s">
        <v>2066</v>
      </c>
      <c r="GRA36" s="1">
        <v>65</v>
      </c>
      <c r="GRB36" s="619" t="s">
        <v>2063</v>
      </c>
      <c r="GRC36" s="148" t="s">
        <v>2064</v>
      </c>
      <c r="GRD36" s="9" t="s">
        <v>2065</v>
      </c>
      <c r="GRE36" s="619">
        <v>1</v>
      </c>
      <c r="GRF36" s="4">
        <v>1000000</v>
      </c>
      <c r="GRG36" s="4">
        <f>GRF36*GRE36</f>
        <v>1000000</v>
      </c>
      <c r="GRH36" s="9" t="s">
        <v>2066</v>
      </c>
      <c r="GRI36" s="1">
        <v>65</v>
      </c>
      <c r="GRJ36" s="619" t="s">
        <v>2063</v>
      </c>
      <c r="GRK36" s="148" t="s">
        <v>2064</v>
      </c>
      <c r="GRL36" s="9" t="s">
        <v>2065</v>
      </c>
      <c r="GRM36" s="619">
        <v>1</v>
      </c>
      <c r="GRN36" s="4">
        <v>1000000</v>
      </c>
      <c r="GRO36" s="4">
        <f>GRN36*GRM36</f>
        <v>1000000</v>
      </c>
      <c r="GRP36" s="9" t="s">
        <v>2066</v>
      </c>
      <c r="GRQ36" s="1">
        <v>65</v>
      </c>
      <c r="GRR36" s="619" t="s">
        <v>2063</v>
      </c>
      <c r="GRS36" s="148" t="s">
        <v>2064</v>
      </c>
      <c r="GRT36" s="9" t="s">
        <v>2065</v>
      </c>
      <c r="GRU36" s="619">
        <v>1</v>
      </c>
      <c r="GRV36" s="4">
        <v>1000000</v>
      </c>
      <c r="GRW36" s="4">
        <f>GRV36*GRU36</f>
        <v>1000000</v>
      </c>
      <c r="GRX36" s="9" t="s">
        <v>2066</v>
      </c>
      <c r="GRY36" s="1">
        <v>65</v>
      </c>
      <c r="GRZ36" s="619" t="s">
        <v>2063</v>
      </c>
      <c r="GSA36" s="148" t="s">
        <v>2064</v>
      </c>
      <c r="GSB36" s="9" t="s">
        <v>2065</v>
      </c>
      <c r="GSC36" s="619">
        <v>1</v>
      </c>
      <c r="GSD36" s="4">
        <v>1000000</v>
      </c>
      <c r="GSE36" s="4">
        <f>GSD36*GSC36</f>
        <v>1000000</v>
      </c>
      <c r="GSF36" s="9" t="s">
        <v>2066</v>
      </c>
      <c r="GSG36" s="1">
        <v>65</v>
      </c>
      <c r="GSH36" s="619" t="s">
        <v>2063</v>
      </c>
      <c r="GSI36" s="148" t="s">
        <v>2064</v>
      </c>
      <c r="GSJ36" s="9" t="s">
        <v>2065</v>
      </c>
      <c r="GSK36" s="619">
        <v>1</v>
      </c>
      <c r="GSL36" s="4">
        <v>1000000</v>
      </c>
      <c r="GSM36" s="4">
        <f>GSL36*GSK36</f>
        <v>1000000</v>
      </c>
      <c r="GSN36" s="9" t="s">
        <v>2066</v>
      </c>
      <c r="GSO36" s="1">
        <v>65</v>
      </c>
      <c r="GSP36" s="619" t="s">
        <v>2063</v>
      </c>
      <c r="GSQ36" s="148" t="s">
        <v>2064</v>
      </c>
      <c r="GSR36" s="9" t="s">
        <v>2065</v>
      </c>
      <c r="GSS36" s="619">
        <v>1</v>
      </c>
      <c r="GST36" s="4">
        <v>1000000</v>
      </c>
      <c r="GSU36" s="4">
        <f>GST36*GSS36</f>
        <v>1000000</v>
      </c>
      <c r="GSV36" s="9" t="s">
        <v>2066</v>
      </c>
      <c r="GSW36" s="1">
        <v>65</v>
      </c>
      <c r="GSX36" s="619" t="s">
        <v>2063</v>
      </c>
      <c r="GSY36" s="148" t="s">
        <v>2064</v>
      </c>
      <c r="GSZ36" s="9" t="s">
        <v>2065</v>
      </c>
      <c r="GTA36" s="619">
        <v>1</v>
      </c>
      <c r="GTB36" s="4">
        <v>1000000</v>
      </c>
      <c r="GTC36" s="4">
        <f>GTB36*GTA36</f>
        <v>1000000</v>
      </c>
      <c r="GTD36" s="9" t="s">
        <v>2066</v>
      </c>
      <c r="GTE36" s="1">
        <v>65</v>
      </c>
      <c r="GTF36" s="619" t="s">
        <v>2063</v>
      </c>
      <c r="GTG36" s="148" t="s">
        <v>2064</v>
      </c>
      <c r="GTH36" s="9" t="s">
        <v>2065</v>
      </c>
      <c r="GTI36" s="619">
        <v>1</v>
      </c>
      <c r="GTJ36" s="4">
        <v>1000000</v>
      </c>
      <c r="GTK36" s="4">
        <f>GTJ36*GTI36</f>
        <v>1000000</v>
      </c>
      <c r="GTL36" s="9" t="s">
        <v>2066</v>
      </c>
      <c r="GTM36" s="1">
        <v>65</v>
      </c>
      <c r="GTN36" s="619" t="s">
        <v>2063</v>
      </c>
      <c r="GTO36" s="148" t="s">
        <v>2064</v>
      </c>
      <c r="GTP36" s="9" t="s">
        <v>2065</v>
      </c>
      <c r="GTQ36" s="619">
        <v>1</v>
      </c>
      <c r="GTR36" s="4">
        <v>1000000</v>
      </c>
      <c r="GTS36" s="4">
        <f>GTR36*GTQ36</f>
        <v>1000000</v>
      </c>
      <c r="GTT36" s="9" t="s">
        <v>2066</v>
      </c>
      <c r="GTU36" s="1">
        <v>65</v>
      </c>
      <c r="GTV36" s="619" t="s">
        <v>2063</v>
      </c>
      <c r="GTW36" s="148" t="s">
        <v>2064</v>
      </c>
      <c r="GTX36" s="9" t="s">
        <v>2065</v>
      </c>
      <c r="GTY36" s="619">
        <v>1</v>
      </c>
      <c r="GTZ36" s="4">
        <v>1000000</v>
      </c>
      <c r="GUA36" s="4">
        <f>GTZ36*GTY36</f>
        <v>1000000</v>
      </c>
      <c r="GUB36" s="9" t="s">
        <v>2066</v>
      </c>
      <c r="GUC36" s="1">
        <v>65</v>
      </c>
      <c r="GUD36" s="619" t="s">
        <v>2063</v>
      </c>
      <c r="GUE36" s="148" t="s">
        <v>2064</v>
      </c>
      <c r="GUF36" s="9" t="s">
        <v>2065</v>
      </c>
      <c r="GUG36" s="619">
        <v>1</v>
      </c>
      <c r="GUH36" s="4">
        <v>1000000</v>
      </c>
      <c r="GUI36" s="4">
        <f>GUH36*GUG36</f>
        <v>1000000</v>
      </c>
      <c r="GUJ36" s="9" t="s">
        <v>2066</v>
      </c>
      <c r="GUK36" s="1">
        <v>65</v>
      </c>
      <c r="GUL36" s="619" t="s">
        <v>2063</v>
      </c>
      <c r="GUM36" s="148" t="s">
        <v>2064</v>
      </c>
      <c r="GUN36" s="9" t="s">
        <v>2065</v>
      </c>
      <c r="GUO36" s="619">
        <v>1</v>
      </c>
      <c r="GUP36" s="4">
        <v>1000000</v>
      </c>
      <c r="GUQ36" s="4">
        <f>GUP36*GUO36</f>
        <v>1000000</v>
      </c>
      <c r="GUR36" s="9" t="s">
        <v>2066</v>
      </c>
      <c r="GUS36" s="1">
        <v>65</v>
      </c>
      <c r="GUT36" s="619" t="s">
        <v>2063</v>
      </c>
      <c r="GUU36" s="148" t="s">
        <v>2064</v>
      </c>
      <c r="GUV36" s="9" t="s">
        <v>2065</v>
      </c>
      <c r="GUW36" s="619">
        <v>1</v>
      </c>
      <c r="GUX36" s="4">
        <v>1000000</v>
      </c>
      <c r="GUY36" s="4">
        <f>GUX36*GUW36</f>
        <v>1000000</v>
      </c>
      <c r="GUZ36" s="9" t="s">
        <v>2066</v>
      </c>
      <c r="GVA36" s="1">
        <v>65</v>
      </c>
      <c r="GVB36" s="619" t="s">
        <v>2063</v>
      </c>
      <c r="GVC36" s="148" t="s">
        <v>2064</v>
      </c>
      <c r="GVD36" s="9" t="s">
        <v>2065</v>
      </c>
      <c r="GVE36" s="619">
        <v>1</v>
      </c>
      <c r="GVF36" s="4">
        <v>1000000</v>
      </c>
      <c r="GVG36" s="4">
        <f>GVF36*GVE36</f>
        <v>1000000</v>
      </c>
      <c r="GVH36" s="9" t="s">
        <v>2066</v>
      </c>
      <c r="GVI36" s="1">
        <v>65</v>
      </c>
      <c r="GVJ36" s="619" t="s">
        <v>2063</v>
      </c>
      <c r="GVK36" s="148" t="s">
        <v>2064</v>
      </c>
      <c r="GVL36" s="9" t="s">
        <v>2065</v>
      </c>
      <c r="GVM36" s="619">
        <v>1</v>
      </c>
      <c r="GVN36" s="4">
        <v>1000000</v>
      </c>
      <c r="GVO36" s="4">
        <f>GVN36*GVM36</f>
        <v>1000000</v>
      </c>
      <c r="GVP36" s="9" t="s">
        <v>2066</v>
      </c>
      <c r="GVQ36" s="1">
        <v>65</v>
      </c>
      <c r="GVR36" s="619" t="s">
        <v>2063</v>
      </c>
      <c r="GVS36" s="148" t="s">
        <v>2064</v>
      </c>
      <c r="GVT36" s="9" t="s">
        <v>2065</v>
      </c>
      <c r="GVU36" s="619">
        <v>1</v>
      </c>
      <c r="GVV36" s="4">
        <v>1000000</v>
      </c>
      <c r="GVW36" s="4">
        <f>GVV36*GVU36</f>
        <v>1000000</v>
      </c>
      <c r="GVX36" s="9" t="s">
        <v>2066</v>
      </c>
      <c r="GVY36" s="1">
        <v>65</v>
      </c>
      <c r="GVZ36" s="619" t="s">
        <v>2063</v>
      </c>
      <c r="GWA36" s="148" t="s">
        <v>2064</v>
      </c>
      <c r="GWB36" s="9" t="s">
        <v>2065</v>
      </c>
      <c r="GWC36" s="619">
        <v>1</v>
      </c>
      <c r="GWD36" s="4">
        <v>1000000</v>
      </c>
      <c r="GWE36" s="4">
        <f>GWD36*GWC36</f>
        <v>1000000</v>
      </c>
      <c r="GWF36" s="9" t="s">
        <v>2066</v>
      </c>
      <c r="GWG36" s="1">
        <v>65</v>
      </c>
      <c r="GWH36" s="619" t="s">
        <v>2063</v>
      </c>
      <c r="GWI36" s="148" t="s">
        <v>2064</v>
      </c>
      <c r="GWJ36" s="9" t="s">
        <v>2065</v>
      </c>
      <c r="GWK36" s="619">
        <v>1</v>
      </c>
      <c r="GWL36" s="4">
        <v>1000000</v>
      </c>
      <c r="GWM36" s="4">
        <f>GWL36*GWK36</f>
        <v>1000000</v>
      </c>
      <c r="GWN36" s="9" t="s">
        <v>2066</v>
      </c>
      <c r="GWO36" s="1">
        <v>65</v>
      </c>
      <c r="GWP36" s="619" t="s">
        <v>2063</v>
      </c>
      <c r="GWQ36" s="148" t="s">
        <v>2064</v>
      </c>
      <c r="GWR36" s="9" t="s">
        <v>2065</v>
      </c>
      <c r="GWS36" s="619">
        <v>1</v>
      </c>
      <c r="GWT36" s="4">
        <v>1000000</v>
      </c>
      <c r="GWU36" s="4">
        <f>GWT36*GWS36</f>
        <v>1000000</v>
      </c>
      <c r="GWV36" s="9" t="s">
        <v>2066</v>
      </c>
      <c r="GWW36" s="1">
        <v>65</v>
      </c>
      <c r="GWX36" s="619" t="s">
        <v>2063</v>
      </c>
      <c r="GWY36" s="148" t="s">
        <v>2064</v>
      </c>
      <c r="GWZ36" s="9" t="s">
        <v>2065</v>
      </c>
      <c r="GXA36" s="619">
        <v>1</v>
      </c>
      <c r="GXB36" s="4">
        <v>1000000</v>
      </c>
      <c r="GXC36" s="4">
        <f>GXB36*GXA36</f>
        <v>1000000</v>
      </c>
      <c r="GXD36" s="9" t="s">
        <v>2066</v>
      </c>
      <c r="GXE36" s="1">
        <v>65</v>
      </c>
      <c r="GXF36" s="619" t="s">
        <v>2063</v>
      </c>
      <c r="GXG36" s="148" t="s">
        <v>2064</v>
      </c>
      <c r="GXH36" s="9" t="s">
        <v>2065</v>
      </c>
      <c r="GXI36" s="619">
        <v>1</v>
      </c>
      <c r="GXJ36" s="4">
        <v>1000000</v>
      </c>
      <c r="GXK36" s="4">
        <f>GXJ36*GXI36</f>
        <v>1000000</v>
      </c>
      <c r="GXL36" s="9" t="s">
        <v>2066</v>
      </c>
      <c r="GXM36" s="1">
        <v>65</v>
      </c>
      <c r="GXN36" s="619" t="s">
        <v>2063</v>
      </c>
      <c r="GXO36" s="148" t="s">
        <v>2064</v>
      </c>
      <c r="GXP36" s="9" t="s">
        <v>2065</v>
      </c>
      <c r="GXQ36" s="619">
        <v>1</v>
      </c>
      <c r="GXR36" s="4">
        <v>1000000</v>
      </c>
      <c r="GXS36" s="4">
        <f>GXR36*GXQ36</f>
        <v>1000000</v>
      </c>
      <c r="GXT36" s="9" t="s">
        <v>2066</v>
      </c>
      <c r="GXU36" s="1">
        <v>65</v>
      </c>
      <c r="GXV36" s="619" t="s">
        <v>2063</v>
      </c>
      <c r="GXW36" s="148" t="s">
        <v>2064</v>
      </c>
      <c r="GXX36" s="9" t="s">
        <v>2065</v>
      </c>
      <c r="GXY36" s="619">
        <v>1</v>
      </c>
      <c r="GXZ36" s="4">
        <v>1000000</v>
      </c>
      <c r="GYA36" s="4">
        <f>GXZ36*GXY36</f>
        <v>1000000</v>
      </c>
      <c r="GYB36" s="9" t="s">
        <v>2066</v>
      </c>
      <c r="GYC36" s="1">
        <v>65</v>
      </c>
      <c r="GYD36" s="619" t="s">
        <v>2063</v>
      </c>
      <c r="GYE36" s="148" t="s">
        <v>2064</v>
      </c>
      <c r="GYF36" s="9" t="s">
        <v>2065</v>
      </c>
      <c r="GYG36" s="619">
        <v>1</v>
      </c>
      <c r="GYH36" s="4">
        <v>1000000</v>
      </c>
      <c r="GYI36" s="4">
        <f>GYH36*GYG36</f>
        <v>1000000</v>
      </c>
      <c r="GYJ36" s="9" t="s">
        <v>2066</v>
      </c>
      <c r="GYK36" s="1">
        <v>65</v>
      </c>
      <c r="GYL36" s="619" t="s">
        <v>2063</v>
      </c>
      <c r="GYM36" s="148" t="s">
        <v>2064</v>
      </c>
      <c r="GYN36" s="9" t="s">
        <v>2065</v>
      </c>
      <c r="GYO36" s="619">
        <v>1</v>
      </c>
      <c r="GYP36" s="4">
        <v>1000000</v>
      </c>
      <c r="GYQ36" s="4">
        <f>GYP36*GYO36</f>
        <v>1000000</v>
      </c>
      <c r="GYR36" s="9" t="s">
        <v>2066</v>
      </c>
      <c r="GYS36" s="1">
        <v>65</v>
      </c>
      <c r="GYT36" s="619" t="s">
        <v>2063</v>
      </c>
      <c r="GYU36" s="148" t="s">
        <v>2064</v>
      </c>
      <c r="GYV36" s="9" t="s">
        <v>2065</v>
      </c>
      <c r="GYW36" s="619">
        <v>1</v>
      </c>
      <c r="GYX36" s="4">
        <v>1000000</v>
      </c>
      <c r="GYY36" s="4">
        <f>GYX36*GYW36</f>
        <v>1000000</v>
      </c>
      <c r="GYZ36" s="9" t="s">
        <v>2066</v>
      </c>
      <c r="GZA36" s="1">
        <v>65</v>
      </c>
      <c r="GZB36" s="619" t="s">
        <v>2063</v>
      </c>
      <c r="GZC36" s="148" t="s">
        <v>2064</v>
      </c>
      <c r="GZD36" s="9" t="s">
        <v>2065</v>
      </c>
      <c r="GZE36" s="619">
        <v>1</v>
      </c>
      <c r="GZF36" s="4">
        <v>1000000</v>
      </c>
      <c r="GZG36" s="4">
        <f>GZF36*GZE36</f>
        <v>1000000</v>
      </c>
      <c r="GZH36" s="9" t="s">
        <v>2066</v>
      </c>
      <c r="GZI36" s="1">
        <v>65</v>
      </c>
      <c r="GZJ36" s="619" t="s">
        <v>2063</v>
      </c>
      <c r="GZK36" s="148" t="s">
        <v>2064</v>
      </c>
      <c r="GZL36" s="9" t="s">
        <v>2065</v>
      </c>
      <c r="GZM36" s="619">
        <v>1</v>
      </c>
      <c r="GZN36" s="4">
        <v>1000000</v>
      </c>
      <c r="GZO36" s="4">
        <f>GZN36*GZM36</f>
        <v>1000000</v>
      </c>
      <c r="GZP36" s="9" t="s">
        <v>2066</v>
      </c>
      <c r="GZQ36" s="1">
        <v>65</v>
      </c>
      <c r="GZR36" s="619" t="s">
        <v>2063</v>
      </c>
      <c r="GZS36" s="148" t="s">
        <v>2064</v>
      </c>
      <c r="GZT36" s="9" t="s">
        <v>2065</v>
      </c>
      <c r="GZU36" s="619">
        <v>1</v>
      </c>
      <c r="GZV36" s="4">
        <v>1000000</v>
      </c>
      <c r="GZW36" s="4">
        <f>GZV36*GZU36</f>
        <v>1000000</v>
      </c>
      <c r="GZX36" s="9" t="s">
        <v>2066</v>
      </c>
      <c r="GZY36" s="1">
        <v>65</v>
      </c>
      <c r="GZZ36" s="619" t="s">
        <v>2063</v>
      </c>
      <c r="HAA36" s="148" t="s">
        <v>2064</v>
      </c>
      <c r="HAB36" s="9" t="s">
        <v>2065</v>
      </c>
      <c r="HAC36" s="619">
        <v>1</v>
      </c>
      <c r="HAD36" s="4">
        <v>1000000</v>
      </c>
      <c r="HAE36" s="4">
        <f>HAD36*HAC36</f>
        <v>1000000</v>
      </c>
      <c r="HAF36" s="9" t="s">
        <v>2066</v>
      </c>
      <c r="HAG36" s="1">
        <v>65</v>
      </c>
      <c r="HAH36" s="619" t="s">
        <v>2063</v>
      </c>
      <c r="HAI36" s="148" t="s">
        <v>2064</v>
      </c>
      <c r="HAJ36" s="9" t="s">
        <v>2065</v>
      </c>
      <c r="HAK36" s="619">
        <v>1</v>
      </c>
      <c r="HAL36" s="4">
        <v>1000000</v>
      </c>
      <c r="HAM36" s="4">
        <f>HAL36*HAK36</f>
        <v>1000000</v>
      </c>
      <c r="HAN36" s="9" t="s">
        <v>2066</v>
      </c>
      <c r="HAO36" s="1">
        <v>65</v>
      </c>
      <c r="HAP36" s="619" t="s">
        <v>2063</v>
      </c>
      <c r="HAQ36" s="148" t="s">
        <v>2064</v>
      </c>
      <c r="HAR36" s="9" t="s">
        <v>2065</v>
      </c>
      <c r="HAS36" s="619">
        <v>1</v>
      </c>
      <c r="HAT36" s="4">
        <v>1000000</v>
      </c>
      <c r="HAU36" s="4">
        <f>HAT36*HAS36</f>
        <v>1000000</v>
      </c>
      <c r="HAV36" s="9" t="s">
        <v>2066</v>
      </c>
      <c r="HAW36" s="1">
        <v>65</v>
      </c>
      <c r="HAX36" s="619" t="s">
        <v>2063</v>
      </c>
      <c r="HAY36" s="148" t="s">
        <v>2064</v>
      </c>
      <c r="HAZ36" s="9" t="s">
        <v>2065</v>
      </c>
      <c r="HBA36" s="619">
        <v>1</v>
      </c>
      <c r="HBB36" s="4">
        <v>1000000</v>
      </c>
      <c r="HBC36" s="4">
        <f>HBB36*HBA36</f>
        <v>1000000</v>
      </c>
      <c r="HBD36" s="9" t="s">
        <v>2066</v>
      </c>
      <c r="HBE36" s="1">
        <v>65</v>
      </c>
      <c r="HBF36" s="619" t="s">
        <v>2063</v>
      </c>
      <c r="HBG36" s="148" t="s">
        <v>2064</v>
      </c>
      <c r="HBH36" s="9" t="s">
        <v>2065</v>
      </c>
      <c r="HBI36" s="619">
        <v>1</v>
      </c>
      <c r="HBJ36" s="4">
        <v>1000000</v>
      </c>
      <c r="HBK36" s="4">
        <f>HBJ36*HBI36</f>
        <v>1000000</v>
      </c>
      <c r="HBL36" s="9" t="s">
        <v>2066</v>
      </c>
      <c r="HBM36" s="1">
        <v>65</v>
      </c>
      <c r="HBN36" s="619" t="s">
        <v>2063</v>
      </c>
      <c r="HBO36" s="148" t="s">
        <v>2064</v>
      </c>
      <c r="HBP36" s="9" t="s">
        <v>2065</v>
      </c>
      <c r="HBQ36" s="619">
        <v>1</v>
      </c>
      <c r="HBR36" s="4">
        <v>1000000</v>
      </c>
      <c r="HBS36" s="4">
        <f>HBR36*HBQ36</f>
        <v>1000000</v>
      </c>
      <c r="HBT36" s="9" t="s">
        <v>2066</v>
      </c>
      <c r="HBU36" s="1">
        <v>65</v>
      </c>
      <c r="HBV36" s="619" t="s">
        <v>2063</v>
      </c>
      <c r="HBW36" s="148" t="s">
        <v>2064</v>
      </c>
      <c r="HBX36" s="9" t="s">
        <v>2065</v>
      </c>
      <c r="HBY36" s="619">
        <v>1</v>
      </c>
      <c r="HBZ36" s="4">
        <v>1000000</v>
      </c>
      <c r="HCA36" s="4">
        <f>HBZ36*HBY36</f>
        <v>1000000</v>
      </c>
      <c r="HCB36" s="9" t="s">
        <v>2066</v>
      </c>
      <c r="HCC36" s="1">
        <v>65</v>
      </c>
      <c r="HCD36" s="619" t="s">
        <v>2063</v>
      </c>
      <c r="HCE36" s="148" t="s">
        <v>2064</v>
      </c>
      <c r="HCF36" s="9" t="s">
        <v>2065</v>
      </c>
      <c r="HCG36" s="619">
        <v>1</v>
      </c>
      <c r="HCH36" s="4">
        <v>1000000</v>
      </c>
      <c r="HCI36" s="4">
        <f>HCH36*HCG36</f>
        <v>1000000</v>
      </c>
      <c r="HCJ36" s="9" t="s">
        <v>2066</v>
      </c>
      <c r="HCK36" s="1">
        <v>65</v>
      </c>
      <c r="HCL36" s="619" t="s">
        <v>2063</v>
      </c>
      <c r="HCM36" s="148" t="s">
        <v>2064</v>
      </c>
      <c r="HCN36" s="9" t="s">
        <v>2065</v>
      </c>
      <c r="HCO36" s="619">
        <v>1</v>
      </c>
      <c r="HCP36" s="4">
        <v>1000000</v>
      </c>
      <c r="HCQ36" s="4">
        <f>HCP36*HCO36</f>
        <v>1000000</v>
      </c>
      <c r="HCR36" s="9" t="s">
        <v>2066</v>
      </c>
      <c r="HCS36" s="1">
        <v>65</v>
      </c>
      <c r="HCT36" s="619" t="s">
        <v>2063</v>
      </c>
      <c r="HCU36" s="148" t="s">
        <v>2064</v>
      </c>
      <c r="HCV36" s="9" t="s">
        <v>2065</v>
      </c>
      <c r="HCW36" s="619">
        <v>1</v>
      </c>
      <c r="HCX36" s="4">
        <v>1000000</v>
      </c>
      <c r="HCY36" s="4">
        <f>HCX36*HCW36</f>
        <v>1000000</v>
      </c>
      <c r="HCZ36" s="9" t="s">
        <v>2066</v>
      </c>
      <c r="HDA36" s="1">
        <v>65</v>
      </c>
      <c r="HDB36" s="619" t="s">
        <v>2063</v>
      </c>
      <c r="HDC36" s="148" t="s">
        <v>2064</v>
      </c>
      <c r="HDD36" s="9" t="s">
        <v>2065</v>
      </c>
      <c r="HDE36" s="619">
        <v>1</v>
      </c>
      <c r="HDF36" s="4">
        <v>1000000</v>
      </c>
      <c r="HDG36" s="4">
        <f>HDF36*HDE36</f>
        <v>1000000</v>
      </c>
      <c r="HDH36" s="9" t="s">
        <v>2066</v>
      </c>
      <c r="HDI36" s="1">
        <v>65</v>
      </c>
      <c r="HDJ36" s="619" t="s">
        <v>2063</v>
      </c>
      <c r="HDK36" s="148" t="s">
        <v>2064</v>
      </c>
      <c r="HDL36" s="9" t="s">
        <v>2065</v>
      </c>
      <c r="HDM36" s="619">
        <v>1</v>
      </c>
      <c r="HDN36" s="4">
        <v>1000000</v>
      </c>
      <c r="HDO36" s="4">
        <f>HDN36*HDM36</f>
        <v>1000000</v>
      </c>
      <c r="HDP36" s="9" t="s">
        <v>2066</v>
      </c>
      <c r="HDQ36" s="1">
        <v>65</v>
      </c>
      <c r="HDR36" s="619" t="s">
        <v>2063</v>
      </c>
      <c r="HDS36" s="148" t="s">
        <v>2064</v>
      </c>
      <c r="HDT36" s="9" t="s">
        <v>2065</v>
      </c>
      <c r="HDU36" s="619">
        <v>1</v>
      </c>
      <c r="HDV36" s="4">
        <v>1000000</v>
      </c>
      <c r="HDW36" s="4">
        <f>HDV36*HDU36</f>
        <v>1000000</v>
      </c>
      <c r="HDX36" s="9" t="s">
        <v>2066</v>
      </c>
      <c r="HDY36" s="1">
        <v>65</v>
      </c>
      <c r="HDZ36" s="619" t="s">
        <v>2063</v>
      </c>
      <c r="HEA36" s="148" t="s">
        <v>2064</v>
      </c>
      <c r="HEB36" s="9" t="s">
        <v>2065</v>
      </c>
      <c r="HEC36" s="619">
        <v>1</v>
      </c>
      <c r="HED36" s="4">
        <v>1000000</v>
      </c>
      <c r="HEE36" s="4">
        <f>HED36*HEC36</f>
        <v>1000000</v>
      </c>
      <c r="HEF36" s="9" t="s">
        <v>2066</v>
      </c>
      <c r="HEG36" s="1">
        <v>65</v>
      </c>
      <c r="HEH36" s="619" t="s">
        <v>2063</v>
      </c>
      <c r="HEI36" s="148" t="s">
        <v>2064</v>
      </c>
      <c r="HEJ36" s="9" t="s">
        <v>2065</v>
      </c>
      <c r="HEK36" s="619">
        <v>1</v>
      </c>
      <c r="HEL36" s="4">
        <v>1000000</v>
      </c>
      <c r="HEM36" s="4">
        <f>HEL36*HEK36</f>
        <v>1000000</v>
      </c>
      <c r="HEN36" s="9" t="s">
        <v>2066</v>
      </c>
      <c r="HEO36" s="1">
        <v>65</v>
      </c>
      <c r="HEP36" s="619" t="s">
        <v>2063</v>
      </c>
      <c r="HEQ36" s="148" t="s">
        <v>2064</v>
      </c>
      <c r="HER36" s="9" t="s">
        <v>2065</v>
      </c>
      <c r="HES36" s="619">
        <v>1</v>
      </c>
      <c r="HET36" s="4">
        <v>1000000</v>
      </c>
      <c r="HEU36" s="4">
        <f>HET36*HES36</f>
        <v>1000000</v>
      </c>
      <c r="HEV36" s="9" t="s">
        <v>2066</v>
      </c>
      <c r="HEW36" s="1">
        <v>65</v>
      </c>
      <c r="HEX36" s="619" t="s">
        <v>2063</v>
      </c>
      <c r="HEY36" s="148" t="s">
        <v>2064</v>
      </c>
      <c r="HEZ36" s="9" t="s">
        <v>2065</v>
      </c>
      <c r="HFA36" s="619">
        <v>1</v>
      </c>
      <c r="HFB36" s="4">
        <v>1000000</v>
      </c>
      <c r="HFC36" s="4">
        <f>HFB36*HFA36</f>
        <v>1000000</v>
      </c>
      <c r="HFD36" s="9" t="s">
        <v>2066</v>
      </c>
      <c r="HFE36" s="1">
        <v>65</v>
      </c>
      <c r="HFF36" s="619" t="s">
        <v>2063</v>
      </c>
      <c r="HFG36" s="148" t="s">
        <v>2064</v>
      </c>
      <c r="HFH36" s="9" t="s">
        <v>2065</v>
      </c>
      <c r="HFI36" s="619">
        <v>1</v>
      </c>
      <c r="HFJ36" s="4">
        <v>1000000</v>
      </c>
      <c r="HFK36" s="4">
        <f>HFJ36*HFI36</f>
        <v>1000000</v>
      </c>
      <c r="HFL36" s="9" t="s">
        <v>2066</v>
      </c>
      <c r="HFM36" s="1">
        <v>65</v>
      </c>
      <c r="HFN36" s="619" t="s">
        <v>2063</v>
      </c>
      <c r="HFO36" s="148" t="s">
        <v>2064</v>
      </c>
      <c r="HFP36" s="9" t="s">
        <v>2065</v>
      </c>
      <c r="HFQ36" s="619">
        <v>1</v>
      </c>
      <c r="HFR36" s="4">
        <v>1000000</v>
      </c>
      <c r="HFS36" s="4">
        <f>HFR36*HFQ36</f>
        <v>1000000</v>
      </c>
      <c r="HFT36" s="9" t="s">
        <v>2066</v>
      </c>
      <c r="HFU36" s="1">
        <v>65</v>
      </c>
      <c r="HFV36" s="619" t="s">
        <v>2063</v>
      </c>
      <c r="HFW36" s="148" t="s">
        <v>2064</v>
      </c>
      <c r="HFX36" s="9" t="s">
        <v>2065</v>
      </c>
      <c r="HFY36" s="619">
        <v>1</v>
      </c>
      <c r="HFZ36" s="4">
        <v>1000000</v>
      </c>
      <c r="HGA36" s="4">
        <f>HFZ36*HFY36</f>
        <v>1000000</v>
      </c>
      <c r="HGB36" s="9" t="s">
        <v>2066</v>
      </c>
      <c r="HGC36" s="1">
        <v>65</v>
      </c>
      <c r="HGD36" s="619" t="s">
        <v>2063</v>
      </c>
      <c r="HGE36" s="148" t="s">
        <v>2064</v>
      </c>
      <c r="HGF36" s="9" t="s">
        <v>2065</v>
      </c>
      <c r="HGG36" s="619">
        <v>1</v>
      </c>
      <c r="HGH36" s="4">
        <v>1000000</v>
      </c>
      <c r="HGI36" s="4">
        <f>HGH36*HGG36</f>
        <v>1000000</v>
      </c>
      <c r="HGJ36" s="9" t="s">
        <v>2066</v>
      </c>
      <c r="HGK36" s="1">
        <v>65</v>
      </c>
      <c r="HGL36" s="619" t="s">
        <v>2063</v>
      </c>
      <c r="HGM36" s="148" t="s">
        <v>2064</v>
      </c>
      <c r="HGN36" s="9" t="s">
        <v>2065</v>
      </c>
      <c r="HGO36" s="619">
        <v>1</v>
      </c>
      <c r="HGP36" s="4">
        <v>1000000</v>
      </c>
      <c r="HGQ36" s="4">
        <f>HGP36*HGO36</f>
        <v>1000000</v>
      </c>
      <c r="HGR36" s="9" t="s">
        <v>2066</v>
      </c>
      <c r="HGS36" s="1">
        <v>65</v>
      </c>
      <c r="HGT36" s="619" t="s">
        <v>2063</v>
      </c>
      <c r="HGU36" s="148" t="s">
        <v>2064</v>
      </c>
      <c r="HGV36" s="9" t="s">
        <v>2065</v>
      </c>
      <c r="HGW36" s="619">
        <v>1</v>
      </c>
      <c r="HGX36" s="4">
        <v>1000000</v>
      </c>
      <c r="HGY36" s="4">
        <f>HGX36*HGW36</f>
        <v>1000000</v>
      </c>
      <c r="HGZ36" s="9" t="s">
        <v>2066</v>
      </c>
      <c r="HHA36" s="1">
        <v>65</v>
      </c>
      <c r="HHB36" s="619" t="s">
        <v>2063</v>
      </c>
      <c r="HHC36" s="148" t="s">
        <v>2064</v>
      </c>
      <c r="HHD36" s="9" t="s">
        <v>2065</v>
      </c>
      <c r="HHE36" s="619">
        <v>1</v>
      </c>
      <c r="HHF36" s="4">
        <v>1000000</v>
      </c>
      <c r="HHG36" s="4">
        <f>HHF36*HHE36</f>
        <v>1000000</v>
      </c>
      <c r="HHH36" s="9" t="s">
        <v>2066</v>
      </c>
      <c r="HHI36" s="1">
        <v>65</v>
      </c>
      <c r="HHJ36" s="619" t="s">
        <v>2063</v>
      </c>
      <c r="HHK36" s="148" t="s">
        <v>2064</v>
      </c>
      <c r="HHL36" s="9" t="s">
        <v>2065</v>
      </c>
      <c r="HHM36" s="619">
        <v>1</v>
      </c>
      <c r="HHN36" s="4">
        <v>1000000</v>
      </c>
      <c r="HHO36" s="4">
        <f>HHN36*HHM36</f>
        <v>1000000</v>
      </c>
      <c r="HHP36" s="9" t="s">
        <v>2066</v>
      </c>
      <c r="HHQ36" s="1">
        <v>65</v>
      </c>
      <c r="HHR36" s="619" t="s">
        <v>2063</v>
      </c>
      <c r="HHS36" s="148" t="s">
        <v>2064</v>
      </c>
      <c r="HHT36" s="9" t="s">
        <v>2065</v>
      </c>
      <c r="HHU36" s="619">
        <v>1</v>
      </c>
      <c r="HHV36" s="4">
        <v>1000000</v>
      </c>
      <c r="HHW36" s="4">
        <f>HHV36*HHU36</f>
        <v>1000000</v>
      </c>
      <c r="HHX36" s="9" t="s">
        <v>2066</v>
      </c>
      <c r="HHY36" s="1">
        <v>65</v>
      </c>
      <c r="HHZ36" s="619" t="s">
        <v>2063</v>
      </c>
      <c r="HIA36" s="148" t="s">
        <v>2064</v>
      </c>
      <c r="HIB36" s="9" t="s">
        <v>2065</v>
      </c>
      <c r="HIC36" s="619">
        <v>1</v>
      </c>
      <c r="HID36" s="4">
        <v>1000000</v>
      </c>
      <c r="HIE36" s="4">
        <f>HID36*HIC36</f>
        <v>1000000</v>
      </c>
      <c r="HIF36" s="9" t="s">
        <v>2066</v>
      </c>
      <c r="HIG36" s="1">
        <v>65</v>
      </c>
      <c r="HIH36" s="619" t="s">
        <v>2063</v>
      </c>
      <c r="HII36" s="148" t="s">
        <v>2064</v>
      </c>
      <c r="HIJ36" s="9" t="s">
        <v>2065</v>
      </c>
      <c r="HIK36" s="619">
        <v>1</v>
      </c>
      <c r="HIL36" s="4">
        <v>1000000</v>
      </c>
      <c r="HIM36" s="4">
        <f>HIL36*HIK36</f>
        <v>1000000</v>
      </c>
      <c r="HIN36" s="9" t="s">
        <v>2066</v>
      </c>
      <c r="HIO36" s="1">
        <v>65</v>
      </c>
      <c r="HIP36" s="619" t="s">
        <v>2063</v>
      </c>
      <c r="HIQ36" s="148" t="s">
        <v>2064</v>
      </c>
      <c r="HIR36" s="9" t="s">
        <v>2065</v>
      </c>
      <c r="HIS36" s="619">
        <v>1</v>
      </c>
      <c r="HIT36" s="4">
        <v>1000000</v>
      </c>
      <c r="HIU36" s="4">
        <f>HIT36*HIS36</f>
        <v>1000000</v>
      </c>
      <c r="HIV36" s="9" t="s">
        <v>2066</v>
      </c>
      <c r="HIW36" s="1">
        <v>65</v>
      </c>
      <c r="HIX36" s="619" t="s">
        <v>2063</v>
      </c>
      <c r="HIY36" s="148" t="s">
        <v>2064</v>
      </c>
      <c r="HIZ36" s="9" t="s">
        <v>2065</v>
      </c>
      <c r="HJA36" s="619">
        <v>1</v>
      </c>
      <c r="HJB36" s="4">
        <v>1000000</v>
      </c>
      <c r="HJC36" s="4">
        <f>HJB36*HJA36</f>
        <v>1000000</v>
      </c>
      <c r="HJD36" s="9" t="s">
        <v>2066</v>
      </c>
      <c r="HJE36" s="1">
        <v>65</v>
      </c>
      <c r="HJF36" s="619" t="s">
        <v>2063</v>
      </c>
      <c r="HJG36" s="148" t="s">
        <v>2064</v>
      </c>
      <c r="HJH36" s="9" t="s">
        <v>2065</v>
      </c>
      <c r="HJI36" s="619">
        <v>1</v>
      </c>
      <c r="HJJ36" s="4">
        <v>1000000</v>
      </c>
      <c r="HJK36" s="4">
        <f>HJJ36*HJI36</f>
        <v>1000000</v>
      </c>
      <c r="HJL36" s="9" t="s">
        <v>2066</v>
      </c>
      <c r="HJM36" s="1">
        <v>65</v>
      </c>
      <c r="HJN36" s="619" t="s">
        <v>2063</v>
      </c>
      <c r="HJO36" s="148" t="s">
        <v>2064</v>
      </c>
      <c r="HJP36" s="9" t="s">
        <v>2065</v>
      </c>
      <c r="HJQ36" s="619">
        <v>1</v>
      </c>
      <c r="HJR36" s="4">
        <v>1000000</v>
      </c>
      <c r="HJS36" s="4">
        <f>HJR36*HJQ36</f>
        <v>1000000</v>
      </c>
      <c r="HJT36" s="9" t="s">
        <v>2066</v>
      </c>
      <c r="HJU36" s="1">
        <v>65</v>
      </c>
      <c r="HJV36" s="619" t="s">
        <v>2063</v>
      </c>
      <c r="HJW36" s="148" t="s">
        <v>2064</v>
      </c>
      <c r="HJX36" s="9" t="s">
        <v>2065</v>
      </c>
      <c r="HJY36" s="619">
        <v>1</v>
      </c>
      <c r="HJZ36" s="4">
        <v>1000000</v>
      </c>
      <c r="HKA36" s="4">
        <f>HJZ36*HJY36</f>
        <v>1000000</v>
      </c>
      <c r="HKB36" s="9" t="s">
        <v>2066</v>
      </c>
      <c r="HKC36" s="1">
        <v>65</v>
      </c>
      <c r="HKD36" s="619" t="s">
        <v>2063</v>
      </c>
      <c r="HKE36" s="148" t="s">
        <v>2064</v>
      </c>
      <c r="HKF36" s="9" t="s">
        <v>2065</v>
      </c>
      <c r="HKG36" s="619">
        <v>1</v>
      </c>
      <c r="HKH36" s="4">
        <v>1000000</v>
      </c>
      <c r="HKI36" s="4">
        <f>HKH36*HKG36</f>
        <v>1000000</v>
      </c>
      <c r="HKJ36" s="9" t="s">
        <v>2066</v>
      </c>
      <c r="HKK36" s="1">
        <v>65</v>
      </c>
      <c r="HKL36" s="619" t="s">
        <v>2063</v>
      </c>
      <c r="HKM36" s="148" t="s">
        <v>2064</v>
      </c>
      <c r="HKN36" s="9" t="s">
        <v>2065</v>
      </c>
      <c r="HKO36" s="619">
        <v>1</v>
      </c>
      <c r="HKP36" s="4">
        <v>1000000</v>
      </c>
      <c r="HKQ36" s="4">
        <f>HKP36*HKO36</f>
        <v>1000000</v>
      </c>
      <c r="HKR36" s="9" t="s">
        <v>2066</v>
      </c>
      <c r="HKS36" s="1">
        <v>65</v>
      </c>
      <c r="HKT36" s="619" t="s">
        <v>2063</v>
      </c>
      <c r="HKU36" s="148" t="s">
        <v>2064</v>
      </c>
      <c r="HKV36" s="9" t="s">
        <v>2065</v>
      </c>
      <c r="HKW36" s="619">
        <v>1</v>
      </c>
      <c r="HKX36" s="4">
        <v>1000000</v>
      </c>
      <c r="HKY36" s="4">
        <f>HKX36*HKW36</f>
        <v>1000000</v>
      </c>
      <c r="HKZ36" s="9" t="s">
        <v>2066</v>
      </c>
      <c r="HLA36" s="1">
        <v>65</v>
      </c>
      <c r="HLB36" s="619" t="s">
        <v>2063</v>
      </c>
      <c r="HLC36" s="148" t="s">
        <v>2064</v>
      </c>
      <c r="HLD36" s="9" t="s">
        <v>2065</v>
      </c>
      <c r="HLE36" s="619">
        <v>1</v>
      </c>
      <c r="HLF36" s="4">
        <v>1000000</v>
      </c>
      <c r="HLG36" s="4">
        <f>HLF36*HLE36</f>
        <v>1000000</v>
      </c>
      <c r="HLH36" s="9" t="s">
        <v>2066</v>
      </c>
      <c r="HLI36" s="1">
        <v>65</v>
      </c>
      <c r="HLJ36" s="619" t="s">
        <v>2063</v>
      </c>
      <c r="HLK36" s="148" t="s">
        <v>2064</v>
      </c>
      <c r="HLL36" s="9" t="s">
        <v>2065</v>
      </c>
      <c r="HLM36" s="619">
        <v>1</v>
      </c>
      <c r="HLN36" s="4">
        <v>1000000</v>
      </c>
      <c r="HLO36" s="4">
        <f>HLN36*HLM36</f>
        <v>1000000</v>
      </c>
      <c r="HLP36" s="9" t="s">
        <v>2066</v>
      </c>
      <c r="HLQ36" s="1">
        <v>65</v>
      </c>
      <c r="HLR36" s="619" t="s">
        <v>2063</v>
      </c>
      <c r="HLS36" s="148" t="s">
        <v>2064</v>
      </c>
      <c r="HLT36" s="9" t="s">
        <v>2065</v>
      </c>
      <c r="HLU36" s="619">
        <v>1</v>
      </c>
      <c r="HLV36" s="4">
        <v>1000000</v>
      </c>
      <c r="HLW36" s="4">
        <f>HLV36*HLU36</f>
        <v>1000000</v>
      </c>
      <c r="HLX36" s="9" t="s">
        <v>2066</v>
      </c>
      <c r="HLY36" s="1">
        <v>65</v>
      </c>
      <c r="HLZ36" s="619" t="s">
        <v>2063</v>
      </c>
      <c r="HMA36" s="148" t="s">
        <v>2064</v>
      </c>
      <c r="HMB36" s="9" t="s">
        <v>2065</v>
      </c>
      <c r="HMC36" s="619">
        <v>1</v>
      </c>
      <c r="HMD36" s="4">
        <v>1000000</v>
      </c>
      <c r="HME36" s="4">
        <f>HMD36*HMC36</f>
        <v>1000000</v>
      </c>
      <c r="HMF36" s="9" t="s">
        <v>2066</v>
      </c>
      <c r="HMG36" s="1">
        <v>65</v>
      </c>
      <c r="HMH36" s="619" t="s">
        <v>2063</v>
      </c>
      <c r="HMI36" s="148" t="s">
        <v>2064</v>
      </c>
      <c r="HMJ36" s="9" t="s">
        <v>2065</v>
      </c>
      <c r="HMK36" s="619">
        <v>1</v>
      </c>
      <c r="HML36" s="4">
        <v>1000000</v>
      </c>
      <c r="HMM36" s="4">
        <f>HML36*HMK36</f>
        <v>1000000</v>
      </c>
      <c r="HMN36" s="9" t="s">
        <v>2066</v>
      </c>
      <c r="HMO36" s="1">
        <v>65</v>
      </c>
      <c r="HMP36" s="619" t="s">
        <v>2063</v>
      </c>
      <c r="HMQ36" s="148" t="s">
        <v>2064</v>
      </c>
      <c r="HMR36" s="9" t="s">
        <v>2065</v>
      </c>
      <c r="HMS36" s="619">
        <v>1</v>
      </c>
      <c r="HMT36" s="4">
        <v>1000000</v>
      </c>
      <c r="HMU36" s="4">
        <f>HMT36*HMS36</f>
        <v>1000000</v>
      </c>
      <c r="HMV36" s="9" t="s">
        <v>2066</v>
      </c>
      <c r="HMW36" s="1">
        <v>65</v>
      </c>
      <c r="HMX36" s="619" t="s">
        <v>2063</v>
      </c>
      <c r="HMY36" s="148" t="s">
        <v>2064</v>
      </c>
      <c r="HMZ36" s="9" t="s">
        <v>2065</v>
      </c>
      <c r="HNA36" s="619">
        <v>1</v>
      </c>
      <c r="HNB36" s="4">
        <v>1000000</v>
      </c>
      <c r="HNC36" s="4">
        <f>HNB36*HNA36</f>
        <v>1000000</v>
      </c>
      <c r="HND36" s="9" t="s">
        <v>2066</v>
      </c>
      <c r="HNE36" s="1">
        <v>65</v>
      </c>
      <c r="HNF36" s="619" t="s">
        <v>2063</v>
      </c>
      <c r="HNG36" s="148" t="s">
        <v>2064</v>
      </c>
      <c r="HNH36" s="9" t="s">
        <v>2065</v>
      </c>
      <c r="HNI36" s="619">
        <v>1</v>
      </c>
      <c r="HNJ36" s="4">
        <v>1000000</v>
      </c>
      <c r="HNK36" s="4">
        <f>HNJ36*HNI36</f>
        <v>1000000</v>
      </c>
      <c r="HNL36" s="9" t="s">
        <v>2066</v>
      </c>
      <c r="HNM36" s="1">
        <v>65</v>
      </c>
      <c r="HNN36" s="619" t="s">
        <v>2063</v>
      </c>
      <c r="HNO36" s="148" t="s">
        <v>2064</v>
      </c>
      <c r="HNP36" s="9" t="s">
        <v>2065</v>
      </c>
      <c r="HNQ36" s="619">
        <v>1</v>
      </c>
      <c r="HNR36" s="4">
        <v>1000000</v>
      </c>
      <c r="HNS36" s="4">
        <f>HNR36*HNQ36</f>
        <v>1000000</v>
      </c>
      <c r="HNT36" s="9" t="s">
        <v>2066</v>
      </c>
      <c r="HNU36" s="1">
        <v>65</v>
      </c>
      <c r="HNV36" s="619" t="s">
        <v>2063</v>
      </c>
      <c r="HNW36" s="148" t="s">
        <v>2064</v>
      </c>
      <c r="HNX36" s="9" t="s">
        <v>2065</v>
      </c>
      <c r="HNY36" s="619">
        <v>1</v>
      </c>
      <c r="HNZ36" s="4">
        <v>1000000</v>
      </c>
      <c r="HOA36" s="4">
        <f>HNZ36*HNY36</f>
        <v>1000000</v>
      </c>
      <c r="HOB36" s="9" t="s">
        <v>2066</v>
      </c>
      <c r="HOC36" s="1">
        <v>65</v>
      </c>
      <c r="HOD36" s="619" t="s">
        <v>2063</v>
      </c>
      <c r="HOE36" s="148" t="s">
        <v>2064</v>
      </c>
      <c r="HOF36" s="9" t="s">
        <v>2065</v>
      </c>
      <c r="HOG36" s="619">
        <v>1</v>
      </c>
      <c r="HOH36" s="4">
        <v>1000000</v>
      </c>
      <c r="HOI36" s="4">
        <f>HOH36*HOG36</f>
        <v>1000000</v>
      </c>
      <c r="HOJ36" s="9" t="s">
        <v>2066</v>
      </c>
      <c r="HOK36" s="1">
        <v>65</v>
      </c>
      <c r="HOL36" s="619" t="s">
        <v>2063</v>
      </c>
      <c r="HOM36" s="148" t="s">
        <v>2064</v>
      </c>
      <c r="HON36" s="9" t="s">
        <v>2065</v>
      </c>
      <c r="HOO36" s="619">
        <v>1</v>
      </c>
      <c r="HOP36" s="4">
        <v>1000000</v>
      </c>
      <c r="HOQ36" s="4">
        <f>HOP36*HOO36</f>
        <v>1000000</v>
      </c>
      <c r="HOR36" s="9" t="s">
        <v>2066</v>
      </c>
      <c r="HOS36" s="1">
        <v>65</v>
      </c>
      <c r="HOT36" s="619" t="s">
        <v>2063</v>
      </c>
      <c r="HOU36" s="148" t="s">
        <v>2064</v>
      </c>
      <c r="HOV36" s="9" t="s">
        <v>2065</v>
      </c>
      <c r="HOW36" s="619">
        <v>1</v>
      </c>
      <c r="HOX36" s="4">
        <v>1000000</v>
      </c>
      <c r="HOY36" s="4">
        <f>HOX36*HOW36</f>
        <v>1000000</v>
      </c>
      <c r="HOZ36" s="9" t="s">
        <v>2066</v>
      </c>
      <c r="HPA36" s="1">
        <v>65</v>
      </c>
      <c r="HPB36" s="619" t="s">
        <v>2063</v>
      </c>
      <c r="HPC36" s="148" t="s">
        <v>2064</v>
      </c>
      <c r="HPD36" s="9" t="s">
        <v>2065</v>
      </c>
      <c r="HPE36" s="619">
        <v>1</v>
      </c>
      <c r="HPF36" s="4">
        <v>1000000</v>
      </c>
      <c r="HPG36" s="4">
        <f>HPF36*HPE36</f>
        <v>1000000</v>
      </c>
      <c r="HPH36" s="9" t="s">
        <v>2066</v>
      </c>
      <c r="HPI36" s="1">
        <v>65</v>
      </c>
      <c r="HPJ36" s="619" t="s">
        <v>2063</v>
      </c>
      <c r="HPK36" s="148" t="s">
        <v>2064</v>
      </c>
      <c r="HPL36" s="9" t="s">
        <v>2065</v>
      </c>
      <c r="HPM36" s="619">
        <v>1</v>
      </c>
      <c r="HPN36" s="4">
        <v>1000000</v>
      </c>
      <c r="HPO36" s="4">
        <f>HPN36*HPM36</f>
        <v>1000000</v>
      </c>
      <c r="HPP36" s="9" t="s">
        <v>2066</v>
      </c>
      <c r="HPQ36" s="1">
        <v>65</v>
      </c>
      <c r="HPR36" s="619" t="s">
        <v>2063</v>
      </c>
      <c r="HPS36" s="148" t="s">
        <v>2064</v>
      </c>
      <c r="HPT36" s="9" t="s">
        <v>2065</v>
      </c>
      <c r="HPU36" s="619">
        <v>1</v>
      </c>
      <c r="HPV36" s="4">
        <v>1000000</v>
      </c>
      <c r="HPW36" s="4">
        <f>HPV36*HPU36</f>
        <v>1000000</v>
      </c>
      <c r="HPX36" s="9" t="s">
        <v>2066</v>
      </c>
      <c r="HPY36" s="1">
        <v>65</v>
      </c>
      <c r="HPZ36" s="619" t="s">
        <v>2063</v>
      </c>
      <c r="HQA36" s="148" t="s">
        <v>2064</v>
      </c>
      <c r="HQB36" s="9" t="s">
        <v>2065</v>
      </c>
      <c r="HQC36" s="619">
        <v>1</v>
      </c>
      <c r="HQD36" s="4">
        <v>1000000</v>
      </c>
      <c r="HQE36" s="4">
        <f>HQD36*HQC36</f>
        <v>1000000</v>
      </c>
      <c r="HQF36" s="9" t="s">
        <v>2066</v>
      </c>
      <c r="HQG36" s="1">
        <v>65</v>
      </c>
      <c r="HQH36" s="619" t="s">
        <v>2063</v>
      </c>
      <c r="HQI36" s="148" t="s">
        <v>2064</v>
      </c>
      <c r="HQJ36" s="9" t="s">
        <v>2065</v>
      </c>
      <c r="HQK36" s="619">
        <v>1</v>
      </c>
      <c r="HQL36" s="4">
        <v>1000000</v>
      </c>
      <c r="HQM36" s="4">
        <f>HQL36*HQK36</f>
        <v>1000000</v>
      </c>
      <c r="HQN36" s="9" t="s">
        <v>2066</v>
      </c>
      <c r="HQO36" s="1">
        <v>65</v>
      </c>
      <c r="HQP36" s="619" t="s">
        <v>2063</v>
      </c>
      <c r="HQQ36" s="148" t="s">
        <v>2064</v>
      </c>
      <c r="HQR36" s="9" t="s">
        <v>2065</v>
      </c>
      <c r="HQS36" s="619">
        <v>1</v>
      </c>
      <c r="HQT36" s="4">
        <v>1000000</v>
      </c>
      <c r="HQU36" s="4">
        <f>HQT36*HQS36</f>
        <v>1000000</v>
      </c>
      <c r="HQV36" s="9" t="s">
        <v>2066</v>
      </c>
      <c r="HQW36" s="1">
        <v>65</v>
      </c>
      <c r="HQX36" s="619" t="s">
        <v>2063</v>
      </c>
      <c r="HQY36" s="148" t="s">
        <v>2064</v>
      </c>
      <c r="HQZ36" s="9" t="s">
        <v>2065</v>
      </c>
      <c r="HRA36" s="619">
        <v>1</v>
      </c>
      <c r="HRB36" s="4">
        <v>1000000</v>
      </c>
      <c r="HRC36" s="4">
        <f>HRB36*HRA36</f>
        <v>1000000</v>
      </c>
      <c r="HRD36" s="9" t="s">
        <v>2066</v>
      </c>
      <c r="HRE36" s="1">
        <v>65</v>
      </c>
      <c r="HRF36" s="619" t="s">
        <v>2063</v>
      </c>
      <c r="HRG36" s="148" t="s">
        <v>2064</v>
      </c>
      <c r="HRH36" s="9" t="s">
        <v>2065</v>
      </c>
      <c r="HRI36" s="619">
        <v>1</v>
      </c>
      <c r="HRJ36" s="4">
        <v>1000000</v>
      </c>
      <c r="HRK36" s="4">
        <f>HRJ36*HRI36</f>
        <v>1000000</v>
      </c>
      <c r="HRL36" s="9" t="s">
        <v>2066</v>
      </c>
      <c r="HRM36" s="1">
        <v>65</v>
      </c>
      <c r="HRN36" s="619" t="s">
        <v>2063</v>
      </c>
      <c r="HRO36" s="148" t="s">
        <v>2064</v>
      </c>
      <c r="HRP36" s="9" t="s">
        <v>2065</v>
      </c>
      <c r="HRQ36" s="619">
        <v>1</v>
      </c>
      <c r="HRR36" s="4">
        <v>1000000</v>
      </c>
      <c r="HRS36" s="4">
        <f>HRR36*HRQ36</f>
        <v>1000000</v>
      </c>
      <c r="HRT36" s="9" t="s">
        <v>2066</v>
      </c>
      <c r="HRU36" s="1">
        <v>65</v>
      </c>
      <c r="HRV36" s="619" t="s">
        <v>2063</v>
      </c>
      <c r="HRW36" s="148" t="s">
        <v>2064</v>
      </c>
      <c r="HRX36" s="9" t="s">
        <v>2065</v>
      </c>
      <c r="HRY36" s="619">
        <v>1</v>
      </c>
      <c r="HRZ36" s="4">
        <v>1000000</v>
      </c>
      <c r="HSA36" s="4">
        <f>HRZ36*HRY36</f>
        <v>1000000</v>
      </c>
      <c r="HSB36" s="9" t="s">
        <v>2066</v>
      </c>
      <c r="HSC36" s="1">
        <v>65</v>
      </c>
      <c r="HSD36" s="619" t="s">
        <v>2063</v>
      </c>
      <c r="HSE36" s="148" t="s">
        <v>2064</v>
      </c>
      <c r="HSF36" s="9" t="s">
        <v>2065</v>
      </c>
      <c r="HSG36" s="619">
        <v>1</v>
      </c>
      <c r="HSH36" s="4">
        <v>1000000</v>
      </c>
      <c r="HSI36" s="4">
        <f>HSH36*HSG36</f>
        <v>1000000</v>
      </c>
      <c r="HSJ36" s="9" t="s">
        <v>2066</v>
      </c>
      <c r="HSK36" s="1">
        <v>65</v>
      </c>
      <c r="HSL36" s="619" t="s">
        <v>2063</v>
      </c>
      <c r="HSM36" s="148" t="s">
        <v>2064</v>
      </c>
      <c r="HSN36" s="9" t="s">
        <v>2065</v>
      </c>
      <c r="HSO36" s="619">
        <v>1</v>
      </c>
      <c r="HSP36" s="4">
        <v>1000000</v>
      </c>
      <c r="HSQ36" s="4">
        <f>HSP36*HSO36</f>
        <v>1000000</v>
      </c>
      <c r="HSR36" s="9" t="s">
        <v>2066</v>
      </c>
      <c r="HSS36" s="1">
        <v>65</v>
      </c>
      <c r="HST36" s="619" t="s">
        <v>2063</v>
      </c>
      <c r="HSU36" s="148" t="s">
        <v>2064</v>
      </c>
      <c r="HSV36" s="9" t="s">
        <v>2065</v>
      </c>
      <c r="HSW36" s="619">
        <v>1</v>
      </c>
      <c r="HSX36" s="4">
        <v>1000000</v>
      </c>
      <c r="HSY36" s="4">
        <f>HSX36*HSW36</f>
        <v>1000000</v>
      </c>
      <c r="HSZ36" s="9" t="s">
        <v>2066</v>
      </c>
      <c r="HTA36" s="1">
        <v>65</v>
      </c>
      <c r="HTB36" s="619" t="s">
        <v>2063</v>
      </c>
      <c r="HTC36" s="148" t="s">
        <v>2064</v>
      </c>
      <c r="HTD36" s="9" t="s">
        <v>2065</v>
      </c>
      <c r="HTE36" s="619">
        <v>1</v>
      </c>
      <c r="HTF36" s="4">
        <v>1000000</v>
      </c>
      <c r="HTG36" s="4">
        <f>HTF36*HTE36</f>
        <v>1000000</v>
      </c>
      <c r="HTH36" s="9" t="s">
        <v>2066</v>
      </c>
      <c r="HTI36" s="1">
        <v>65</v>
      </c>
      <c r="HTJ36" s="619" t="s">
        <v>2063</v>
      </c>
      <c r="HTK36" s="148" t="s">
        <v>2064</v>
      </c>
      <c r="HTL36" s="9" t="s">
        <v>2065</v>
      </c>
      <c r="HTM36" s="619">
        <v>1</v>
      </c>
      <c r="HTN36" s="4">
        <v>1000000</v>
      </c>
      <c r="HTO36" s="4">
        <f>HTN36*HTM36</f>
        <v>1000000</v>
      </c>
      <c r="HTP36" s="9" t="s">
        <v>2066</v>
      </c>
      <c r="HTQ36" s="1">
        <v>65</v>
      </c>
      <c r="HTR36" s="619" t="s">
        <v>2063</v>
      </c>
      <c r="HTS36" s="148" t="s">
        <v>2064</v>
      </c>
      <c r="HTT36" s="9" t="s">
        <v>2065</v>
      </c>
      <c r="HTU36" s="619">
        <v>1</v>
      </c>
      <c r="HTV36" s="4">
        <v>1000000</v>
      </c>
      <c r="HTW36" s="4">
        <f>HTV36*HTU36</f>
        <v>1000000</v>
      </c>
      <c r="HTX36" s="9" t="s">
        <v>2066</v>
      </c>
      <c r="HTY36" s="1">
        <v>65</v>
      </c>
      <c r="HTZ36" s="619" t="s">
        <v>2063</v>
      </c>
      <c r="HUA36" s="148" t="s">
        <v>2064</v>
      </c>
      <c r="HUB36" s="9" t="s">
        <v>2065</v>
      </c>
      <c r="HUC36" s="619">
        <v>1</v>
      </c>
      <c r="HUD36" s="4">
        <v>1000000</v>
      </c>
      <c r="HUE36" s="4">
        <f>HUD36*HUC36</f>
        <v>1000000</v>
      </c>
      <c r="HUF36" s="9" t="s">
        <v>2066</v>
      </c>
      <c r="HUG36" s="1">
        <v>65</v>
      </c>
      <c r="HUH36" s="619" t="s">
        <v>2063</v>
      </c>
      <c r="HUI36" s="148" t="s">
        <v>2064</v>
      </c>
      <c r="HUJ36" s="9" t="s">
        <v>2065</v>
      </c>
      <c r="HUK36" s="619">
        <v>1</v>
      </c>
      <c r="HUL36" s="4">
        <v>1000000</v>
      </c>
      <c r="HUM36" s="4">
        <f>HUL36*HUK36</f>
        <v>1000000</v>
      </c>
      <c r="HUN36" s="9" t="s">
        <v>2066</v>
      </c>
      <c r="HUO36" s="1">
        <v>65</v>
      </c>
      <c r="HUP36" s="619" t="s">
        <v>2063</v>
      </c>
      <c r="HUQ36" s="148" t="s">
        <v>2064</v>
      </c>
      <c r="HUR36" s="9" t="s">
        <v>2065</v>
      </c>
      <c r="HUS36" s="619">
        <v>1</v>
      </c>
      <c r="HUT36" s="4">
        <v>1000000</v>
      </c>
      <c r="HUU36" s="4">
        <f>HUT36*HUS36</f>
        <v>1000000</v>
      </c>
      <c r="HUV36" s="9" t="s">
        <v>2066</v>
      </c>
      <c r="HUW36" s="1">
        <v>65</v>
      </c>
      <c r="HUX36" s="619" t="s">
        <v>2063</v>
      </c>
      <c r="HUY36" s="148" t="s">
        <v>2064</v>
      </c>
      <c r="HUZ36" s="9" t="s">
        <v>2065</v>
      </c>
      <c r="HVA36" s="619">
        <v>1</v>
      </c>
      <c r="HVB36" s="4">
        <v>1000000</v>
      </c>
      <c r="HVC36" s="4">
        <f>HVB36*HVA36</f>
        <v>1000000</v>
      </c>
      <c r="HVD36" s="9" t="s">
        <v>2066</v>
      </c>
      <c r="HVE36" s="1">
        <v>65</v>
      </c>
      <c r="HVF36" s="619" t="s">
        <v>2063</v>
      </c>
      <c r="HVG36" s="148" t="s">
        <v>2064</v>
      </c>
      <c r="HVH36" s="9" t="s">
        <v>2065</v>
      </c>
      <c r="HVI36" s="619">
        <v>1</v>
      </c>
      <c r="HVJ36" s="4">
        <v>1000000</v>
      </c>
      <c r="HVK36" s="4">
        <f>HVJ36*HVI36</f>
        <v>1000000</v>
      </c>
      <c r="HVL36" s="9" t="s">
        <v>2066</v>
      </c>
      <c r="HVM36" s="1">
        <v>65</v>
      </c>
      <c r="HVN36" s="619" t="s">
        <v>2063</v>
      </c>
      <c r="HVO36" s="148" t="s">
        <v>2064</v>
      </c>
      <c r="HVP36" s="9" t="s">
        <v>2065</v>
      </c>
      <c r="HVQ36" s="619">
        <v>1</v>
      </c>
      <c r="HVR36" s="4">
        <v>1000000</v>
      </c>
      <c r="HVS36" s="4">
        <f>HVR36*HVQ36</f>
        <v>1000000</v>
      </c>
      <c r="HVT36" s="9" t="s">
        <v>2066</v>
      </c>
      <c r="HVU36" s="1">
        <v>65</v>
      </c>
      <c r="HVV36" s="619" t="s">
        <v>2063</v>
      </c>
      <c r="HVW36" s="148" t="s">
        <v>2064</v>
      </c>
      <c r="HVX36" s="9" t="s">
        <v>2065</v>
      </c>
      <c r="HVY36" s="619">
        <v>1</v>
      </c>
      <c r="HVZ36" s="4">
        <v>1000000</v>
      </c>
      <c r="HWA36" s="4">
        <f>HVZ36*HVY36</f>
        <v>1000000</v>
      </c>
      <c r="HWB36" s="9" t="s">
        <v>2066</v>
      </c>
      <c r="HWC36" s="1">
        <v>65</v>
      </c>
      <c r="HWD36" s="619" t="s">
        <v>2063</v>
      </c>
      <c r="HWE36" s="148" t="s">
        <v>2064</v>
      </c>
      <c r="HWF36" s="9" t="s">
        <v>2065</v>
      </c>
      <c r="HWG36" s="619">
        <v>1</v>
      </c>
      <c r="HWH36" s="4">
        <v>1000000</v>
      </c>
      <c r="HWI36" s="4">
        <f>HWH36*HWG36</f>
        <v>1000000</v>
      </c>
      <c r="HWJ36" s="9" t="s">
        <v>2066</v>
      </c>
      <c r="HWK36" s="1">
        <v>65</v>
      </c>
      <c r="HWL36" s="619" t="s">
        <v>2063</v>
      </c>
      <c r="HWM36" s="148" t="s">
        <v>2064</v>
      </c>
      <c r="HWN36" s="9" t="s">
        <v>2065</v>
      </c>
      <c r="HWO36" s="619">
        <v>1</v>
      </c>
      <c r="HWP36" s="4">
        <v>1000000</v>
      </c>
      <c r="HWQ36" s="4">
        <f>HWP36*HWO36</f>
        <v>1000000</v>
      </c>
      <c r="HWR36" s="9" t="s">
        <v>2066</v>
      </c>
      <c r="HWS36" s="1">
        <v>65</v>
      </c>
      <c r="HWT36" s="619" t="s">
        <v>2063</v>
      </c>
      <c r="HWU36" s="148" t="s">
        <v>2064</v>
      </c>
      <c r="HWV36" s="9" t="s">
        <v>2065</v>
      </c>
      <c r="HWW36" s="619">
        <v>1</v>
      </c>
      <c r="HWX36" s="4">
        <v>1000000</v>
      </c>
      <c r="HWY36" s="4">
        <f>HWX36*HWW36</f>
        <v>1000000</v>
      </c>
      <c r="HWZ36" s="9" t="s">
        <v>2066</v>
      </c>
      <c r="HXA36" s="1">
        <v>65</v>
      </c>
      <c r="HXB36" s="619" t="s">
        <v>2063</v>
      </c>
      <c r="HXC36" s="148" t="s">
        <v>2064</v>
      </c>
      <c r="HXD36" s="9" t="s">
        <v>2065</v>
      </c>
      <c r="HXE36" s="619">
        <v>1</v>
      </c>
      <c r="HXF36" s="4">
        <v>1000000</v>
      </c>
      <c r="HXG36" s="4">
        <f>HXF36*HXE36</f>
        <v>1000000</v>
      </c>
      <c r="HXH36" s="9" t="s">
        <v>2066</v>
      </c>
      <c r="HXI36" s="1">
        <v>65</v>
      </c>
      <c r="HXJ36" s="619" t="s">
        <v>2063</v>
      </c>
      <c r="HXK36" s="148" t="s">
        <v>2064</v>
      </c>
      <c r="HXL36" s="9" t="s">
        <v>2065</v>
      </c>
      <c r="HXM36" s="619">
        <v>1</v>
      </c>
      <c r="HXN36" s="4">
        <v>1000000</v>
      </c>
      <c r="HXO36" s="4">
        <f>HXN36*HXM36</f>
        <v>1000000</v>
      </c>
      <c r="HXP36" s="9" t="s">
        <v>2066</v>
      </c>
      <c r="HXQ36" s="1">
        <v>65</v>
      </c>
      <c r="HXR36" s="619" t="s">
        <v>2063</v>
      </c>
      <c r="HXS36" s="148" t="s">
        <v>2064</v>
      </c>
      <c r="HXT36" s="9" t="s">
        <v>2065</v>
      </c>
      <c r="HXU36" s="619">
        <v>1</v>
      </c>
      <c r="HXV36" s="4">
        <v>1000000</v>
      </c>
      <c r="HXW36" s="4">
        <f>HXV36*HXU36</f>
        <v>1000000</v>
      </c>
      <c r="HXX36" s="9" t="s">
        <v>2066</v>
      </c>
      <c r="HXY36" s="1">
        <v>65</v>
      </c>
      <c r="HXZ36" s="619" t="s">
        <v>2063</v>
      </c>
      <c r="HYA36" s="148" t="s">
        <v>2064</v>
      </c>
      <c r="HYB36" s="9" t="s">
        <v>2065</v>
      </c>
      <c r="HYC36" s="619">
        <v>1</v>
      </c>
      <c r="HYD36" s="4">
        <v>1000000</v>
      </c>
      <c r="HYE36" s="4">
        <f>HYD36*HYC36</f>
        <v>1000000</v>
      </c>
      <c r="HYF36" s="9" t="s">
        <v>2066</v>
      </c>
      <c r="HYG36" s="1">
        <v>65</v>
      </c>
      <c r="HYH36" s="619" t="s">
        <v>2063</v>
      </c>
      <c r="HYI36" s="148" t="s">
        <v>2064</v>
      </c>
      <c r="HYJ36" s="9" t="s">
        <v>2065</v>
      </c>
      <c r="HYK36" s="619">
        <v>1</v>
      </c>
      <c r="HYL36" s="4">
        <v>1000000</v>
      </c>
      <c r="HYM36" s="4">
        <f>HYL36*HYK36</f>
        <v>1000000</v>
      </c>
      <c r="HYN36" s="9" t="s">
        <v>2066</v>
      </c>
      <c r="HYO36" s="1">
        <v>65</v>
      </c>
      <c r="HYP36" s="619" t="s">
        <v>2063</v>
      </c>
      <c r="HYQ36" s="148" t="s">
        <v>2064</v>
      </c>
      <c r="HYR36" s="9" t="s">
        <v>2065</v>
      </c>
      <c r="HYS36" s="619">
        <v>1</v>
      </c>
      <c r="HYT36" s="4">
        <v>1000000</v>
      </c>
      <c r="HYU36" s="4">
        <f>HYT36*HYS36</f>
        <v>1000000</v>
      </c>
      <c r="HYV36" s="9" t="s">
        <v>2066</v>
      </c>
      <c r="HYW36" s="1">
        <v>65</v>
      </c>
      <c r="HYX36" s="619" t="s">
        <v>2063</v>
      </c>
      <c r="HYY36" s="148" t="s">
        <v>2064</v>
      </c>
      <c r="HYZ36" s="9" t="s">
        <v>2065</v>
      </c>
      <c r="HZA36" s="619">
        <v>1</v>
      </c>
      <c r="HZB36" s="4">
        <v>1000000</v>
      </c>
      <c r="HZC36" s="4">
        <f>HZB36*HZA36</f>
        <v>1000000</v>
      </c>
      <c r="HZD36" s="9" t="s">
        <v>2066</v>
      </c>
      <c r="HZE36" s="1">
        <v>65</v>
      </c>
      <c r="HZF36" s="619" t="s">
        <v>2063</v>
      </c>
      <c r="HZG36" s="148" t="s">
        <v>2064</v>
      </c>
      <c r="HZH36" s="9" t="s">
        <v>2065</v>
      </c>
      <c r="HZI36" s="619">
        <v>1</v>
      </c>
      <c r="HZJ36" s="4">
        <v>1000000</v>
      </c>
      <c r="HZK36" s="4">
        <f>HZJ36*HZI36</f>
        <v>1000000</v>
      </c>
      <c r="HZL36" s="9" t="s">
        <v>2066</v>
      </c>
      <c r="HZM36" s="1">
        <v>65</v>
      </c>
      <c r="HZN36" s="619" t="s">
        <v>2063</v>
      </c>
      <c r="HZO36" s="148" t="s">
        <v>2064</v>
      </c>
      <c r="HZP36" s="9" t="s">
        <v>2065</v>
      </c>
      <c r="HZQ36" s="619">
        <v>1</v>
      </c>
      <c r="HZR36" s="4">
        <v>1000000</v>
      </c>
      <c r="HZS36" s="4">
        <f>HZR36*HZQ36</f>
        <v>1000000</v>
      </c>
      <c r="HZT36" s="9" t="s">
        <v>2066</v>
      </c>
      <c r="HZU36" s="1">
        <v>65</v>
      </c>
      <c r="HZV36" s="619" t="s">
        <v>2063</v>
      </c>
      <c r="HZW36" s="148" t="s">
        <v>2064</v>
      </c>
      <c r="HZX36" s="9" t="s">
        <v>2065</v>
      </c>
      <c r="HZY36" s="619">
        <v>1</v>
      </c>
      <c r="HZZ36" s="4">
        <v>1000000</v>
      </c>
      <c r="IAA36" s="4">
        <f>HZZ36*HZY36</f>
        <v>1000000</v>
      </c>
      <c r="IAB36" s="9" t="s">
        <v>2066</v>
      </c>
      <c r="IAC36" s="1">
        <v>65</v>
      </c>
      <c r="IAD36" s="619" t="s">
        <v>2063</v>
      </c>
      <c r="IAE36" s="148" t="s">
        <v>2064</v>
      </c>
      <c r="IAF36" s="9" t="s">
        <v>2065</v>
      </c>
      <c r="IAG36" s="619">
        <v>1</v>
      </c>
      <c r="IAH36" s="4">
        <v>1000000</v>
      </c>
      <c r="IAI36" s="4">
        <f>IAH36*IAG36</f>
        <v>1000000</v>
      </c>
      <c r="IAJ36" s="9" t="s">
        <v>2066</v>
      </c>
      <c r="IAK36" s="1">
        <v>65</v>
      </c>
      <c r="IAL36" s="619" t="s">
        <v>2063</v>
      </c>
      <c r="IAM36" s="148" t="s">
        <v>2064</v>
      </c>
      <c r="IAN36" s="9" t="s">
        <v>2065</v>
      </c>
      <c r="IAO36" s="619">
        <v>1</v>
      </c>
      <c r="IAP36" s="4">
        <v>1000000</v>
      </c>
      <c r="IAQ36" s="4">
        <f>IAP36*IAO36</f>
        <v>1000000</v>
      </c>
      <c r="IAR36" s="9" t="s">
        <v>2066</v>
      </c>
      <c r="IAS36" s="1">
        <v>65</v>
      </c>
      <c r="IAT36" s="619" t="s">
        <v>2063</v>
      </c>
      <c r="IAU36" s="148" t="s">
        <v>2064</v>
      </c>
      <c r="IAV36" s="9" t="s">
        <v>2065</v>
      </c>
      <c r="IAW36" s="619">
        <v>1</v>
      </c>
      <c r="IAX36" s="4">
        <v>1000000</v>
      </c>
      <c r="IAY36" s="4">
        <f>IAX36*IAW36</f>
        <v>1000000</v>
      </c>
      <c r="IAZ36" s="9" t="s">
        <v>2066</v>
      </c>
      <c r="IBA36" s="1">
        <v>65</v>
      </c>
      <c r="IBB36" s="619" t="s">
        <v>2063</v>
      </c>
      <c r="IBC36" s="148" t="s">
        <v>2064</v>
      </c>
      <c r="IBD36" s="9" t="s">
        <v>2065</v>
      </c>
      <c r="IBE36" s="619">
        <v>1</v>
      </c>
      <c r="IBF36" s="4">
        <v>1000000</v>
      </c>
      <c r="IBG36" s="4">
        <f>IBF36*IBE36</f>
        <v>1000000</v>
      </c>
      <c r="IBH36" s="9" t="s">
        <v>2066</v>
      </c>
      <c r="IBI36" s="1">
        <v>65</v>
      </c>
      <c r="IBJ36" s="619" t="s">
        <v>2063</v>
      </c>
      <c r="IBK36" s="148" t="s">
        <v>2064</v>
      </c>
      <c r="IBL36" s="9" t="s">
        <v>2065</v>
      </c>
      <c r="IBM36" s="619">
        <v>1</v>
      </c>
      <c r="IBN36" s="4">
        <v>1000000</v>
      </c>
      <c r="IBO36" s="4">
        <f>IBN36*IBM36</f>
        <v>1000000</v>
      </c>
      <c r="IBP36" s="9" t="s">
        <v>2066</v>
      </c>
      <c r="IBQ36" s="1">
        <v>65</v>
      </c>
      <c r="IBR36" s="619" t="s">
        <v>2063</v>
      </c>
      <c r="IBS36" s="148" t="s">
        <v>2064</v>
      </c>
      <c r="IBT36" s="9" t="s">
        <v>2065</v>
      </c>
      <c r="IBU36" s="619">
        <v>1</v>
      </c>
      <c r="IBV36" s="4">
        <v>1000000</v>
      </c>
      <c r="IBW36" s="4">
        <f>IBV36*IBU36</f>
        <v>1000000</v>
      </c>
      <c r="IBX36" s="9" t="s">
        <v>2066</v>
      </c>
      <c r="IBY36" s="1">
        <v>65</v>
      </c>
      <c r="IBZ36" s="619" t="s">
        <v>2063</v>
      </c>
      <c r="ICA36" s="148" t="s">
        <v>2064</v>
      </c>
      <c r="ICB36" s="9" t="s">
        <v>2065</v>
      </c>
      <c r="ICC36" s="619">
        <v>1</v>
      </c>
      <c r="ICD36" s="4">
        <v>1000000</v>
      </c>
      <c r="ICE36" s="4">
        <f>ICD36*ICC36</f>
        <v>1000000</v>
      </c>
      <c r="ICF36" s="9" t="s">
        <v>2066</v>
      </c>
      <c r="ICG36" s="1">
        <v>65</v>
      </c>
      <c r="ICH36" s="619" t="s">
        <v>2063</v>
      </c>
      <c r="ICI36" s="148" t="s">
        <v>2064</v>
      </c>
      <c r="ICJ36" s="9" t="s">
        <v>2065</v>
      </c>
      <c r="ICK36" s="619">
        <v>1</v>
      </c>
      <c r="ICL36" s="4">
        <v>1000000</v>
      </c>
      <c r="ICM36" s="4">
        <f>ICL36*ICK36</f>
        <v>1000000</v>
      </c>
      <c r="ICN36" s="9" t="s">
        <v>2066</v>
      </c>
      <c r="ICO36" s="1">
        <v>65</v>
      </c>
      <c r="ICP36" s="619" t="s">
        <v>2063</v>
      </c>
      <c r="ICQ36" s="148" t="s">
        <v>2064</v>
      </c>
      <c r="ICR36" s="9" t="s">
        <v>2065</v>
      </c>
      <c r="ICS36" s="619">
        <v>1</v>
      </c>
      <c r="ICT36" s="4">
        <v>1000000</v>
      </c>
      <c r="ICU36" s="4">
        <f>ICT36*ICS36</f>
        <v>1000000</v>
      </c>
      <c r="ICV36" s="9" t="s">
        <v>2066</v>
      </c>
      <c r="ICW36" s="1">
        <v>65</v>
      </c>
      <c r="ICX36" s="619" t="s">
        <v>2063</v>
      </c>
      <c r="ICY36" s="148" t="s">
        <v>2064</v>
      </c>
      <c r="ICZ36" s="9" t="s">
        <v>2065</v>
      </c>
      <c r="IDA36" s="619">
        <v>1</v>
      </c>
      <c r="IDB36" s="4">
        <v>1000000</v>
      </c>
      <c r="IDC36" s="4">
        <f>IDB36*IDA36</f>
        <v>1000000</v>
      </c>
      <c r="IDD36" s="9" t="s">
        <v>2066</v>
      </c>
      <c r="IDE36" s="1">
        <v>65</v>
      </c>
      <c r="IDF36" s="619" t="s">
        <v>2063</v>
      </c>
      <c r="IDG36" s="148" t="s">
        <v>2064</v>
      </c>
      <c r="IDH36" s="9" t="s">
        <v>2065</v>
      </c>
      <c r="IDI36" s="619">
        <v>1</v>
      </c>
      <c r="IDJ36" s="4">
        <v>1000000</v>
      </c>
      <c r="IDK36" s="4">
        <f>IDJ36*IDI36</f>
        <v>1000000</v>
      </c>
      <c r="IDL36" s="9" t="s">
        <v>2066</v>
      </c>
      <c r="IDM36" s="1">
        <v>65</v>
      </c>
      <c r="IDN36" s="619" t="s">
        <v>2063</v>
      </c>
      <c r="IDO36" s="148" t="s">
        <v>2064</v>
      </c>
      <c r="IDP36" s="9" t="s">
        <v>2065</v>
      </c>
      <c r="IDQ36" s="619">
        <v>1</v>
      </c>
      <c r="IDR36" s="4">
        <v>1000000</v>
      </c>
      <c r="IDS36" s="4">
        <f>IDR36*IDQ36</f>
        <v>1000000</v>
      </c>
      <c r="IDT36" s="9" t="s">
        <v>2066</v>
      </c>
      <c r="IDU36" s="1">
        <v>65</v>
      </c>
      <c r="IDV36" s="619" t="s">
        <v>2063</v>
      </c>
      <c r="IDW36" s="148" t="s">
        <v>2064</v>
      </c>
      <c r="IDX36" s="9" t="s">
        <v>2065</v>
      </c>
      <c r="IDY36" s="619">
        <v>1</v>
      </c>
      <c r="IDZ36" s="4">
        <v>1000000</v>
      </c>
      <c r="IEA36" s="4">
        <f>IDZ36*IDY36</f>
        <v>1000000</v>
      </c>
      <c r="IEB36" s="9" t="s">
        <v>2066</v>
      </c>
      <c r="IEC36" s="1">
        <v>65</v>
      </c>
      <c r="IED36" s="619" t="s">
        <v>2063</v>
      </c>
      <c r="IEE36" s="148" t="s">
        <v>2064</v>
      </c>
      <c r="IEF36" s="9" t="s">
        <v>2065</v>
      </c>
      <c r="IEG36" s="619">
        <v>1</v>
      </c>
      <c r="IEH36" s="4">
        <v>1000000</v>
      </c>
      <c r="IEI36" s="4">
        <f>IEH36*IEG36</f>
        <v>1000000</v>
      </c>
      <c r="IEJ36" s="9" t="s">
        <v>2066</v>
      </c>
      <c r="IEK36" s="1">
        <v>65</v>
      </c>
      <c r="IEL36" s="619" t="s">
        <v>2063</v>
      </c>
      <c r="IEM36" s="148" t="s">
        <v>2064</v>
      </c>
      <c r="IEN36" s="9" t="s">
        <v>2065</v>
      </c>
      <c r="IEO36" s="619">
        <v>1</v>
      </c>
      <c r="IEP36" s="4">
        <v>1000000</v>
      </c>
      <c r="IEQ36" s="4">
        <f>IEP36*IEO36</f>
        <v>1000000</v>
      </c>
      <c r="IER36" s="9" t="s">
        <v>2066</v>
      </c>
      <c r="IES36" s="1">
        <v>65</v>
      </c>
      <c r="IET36" s="619" t="s">
        <v>2063</v>
      </c>
      <c r="IEU36" s="148" t="s">
        <v>2064</v>
      </c>
      <c r="IEV36" s="9" t="s">
        <v>2065</v>
      </c>
      <c r="IEW36" s="619">
        <v>1</v>
      </c>
      <c r="IEX36" s="4">
        <v>1000000</v>
      </c>
      <c r="IEY36" s="4">
        <f>IEX36*IEW36</f>
        <v>1000000</v>
      </c>
      <c r="IEZ36" s="9" t="s">
        <v>2066</v>
      </c>
      <c r="IFA36" s="1">
        <v>65</v>
      </c>
      <c r="IFB36" s="619" t="s">
        <v>2063</v>
      </c>
      <c r="IFC36" s="148" t="s">
        <v>2064</v>
      </c>
      <c r="IFD36" s="9" t="s">
        <v>2065</v>
      </c>
      <c r="IFE36" s="619">
        <v>1</v>
      </c>
      <c r="IFF36" s="4">
        <v>1000000</v>
      </c>
      <c r="IFG36" s="4">
        <f>IFF36*IFE36</f>
        <v>1000000</v>
      </c>
      <c r="IFH36" s="9" t="s">
        <v>2066</v>
      </c>
      <c r="IFI36" s="1">
        <v>65</v>
      </c>
      <c r="IFJ36" s="619" t="s">
        <v>2063</v>
      </c>
      <c r="IFK36" s="148" t="s">
        <v>2064</v>
      </c>
      <c r="IFL36" s="9" t="s">
        <v>2065</v>
      </c>
      <c r="IFM36" s="619">
        <v>1</v>
      </c>
      <c r="IFN36" s="4">
        <v>1000000</v>
      </c>
      <c r="IFO36" s="4">
        <f>IFN36*IFM36</f>
        <v>1000000</v>
      </c>
      <c r="IFP36" s="9" t="s">
        <v>2066</v>
      </c>
      <c r="IFQ36" s="1">
        <v>65</v>
      </c>
      <c r="IFR36" s="619" t="s">
        <v>2063</v>
      </c>
      <c r="IFS36" s="148" t="s">
        <v>2064</v>
      </c>
      <c r="IFT36" s="9" t="s">
        <v>2065</v>
      </c>
      <c r="IFU36" s="619">
        <v>1</v>
      </c>
      <c r="IFV36" s="4">
        <v>1000000</v>
      </c>
      <c r="IFW36" s="4">
        <f>IFV36*IFU36</f>
        <v>1000000</v>
      </c>
      <c r="IFX36" s="9" t="s">
        <v>2066</v>
      </c>
      <c r="IFY36" s="1">
        <v>65</v>
      </c>
      <c r="IFZ36" s="619" t="s">
        <v>2063</v>
      </c>
      <c r="IGA36" s="148" t="s">
        <v>2064</v>
      </c>
      <c r="IGB36" s="9" t="s">
        <v>2065</v>
      </c>
      <c r="IGC36" s="619">
        <v>1</v>
      </c>
      <c r="IGD36" s="4">
        <v>1000000</v>
      </c>
      <c r="IGE36" s="4">
        <f>IGD36*IGC36</f>
        <v>1000000</v>
      </c>
      <c r="IGF36" s="9" t="s">
        <v>2066</v>
      </c>
      <c r="IGG36" s="1">
        <v>65</v>
      </c>
      <c r="IGH36" s="619" t="s">
        <v>2063</v>
      </c>
      <c r="IGI36" s="148" t="s">
        <v>2064</v>
      </c>
      <c r="IGJ36" s="9" t="s">
        <v>2065</v>
      </c>
      <c r="IGK36" s="619">
        <v>1</v>
      </c>
      <c r="IGL36" s="4">
        <v>1000000</v>
      </c>
      <c r="IGM36" s="4">
        <f>IGL36*IGK36</f>
        <v>1000000</v>
      </c>
      <c r="IGN36" s="9" t="s">
        <v>2066</v>
      </c>
      <c r="IGO36" s="1">
        <v>65</v>
      </c>
      <c r="IGP36" s="619" t="s">
        <v>2063</v>
      </c>
      <c r="IGQ36" s="148" t="s">
        <v>2064</v>
      </c>
      <c r="IGR36" s="9" t="s">
        <v>2065</v>
      </c>
      <c r="IGS36" s="619">
        <v>1</v>
      </c>
      <c r="IGT36" s="4">
        <v>1000000</v>
      </c>
      <c r="IGU36" s="4">
        <f>IGT36*IGS36</f>
        <v>1000000</v>
      </c>
      <c r="IGV36" s="9" t="s">
        <v>2066</v>
      </c>
      <c r="IGW36" s="1">
        <v>65</v>
      </c>
      <c r="IGX36" s="619" t="s">
        <v>2063</v>
      </c>
      <c r="IGY36" s="148" t="s">
        <v>2064</v>
      </c>
      <c r="IGZ36" s="9" t="s">
        <v>2065</v>
      </c>
      <c r="IHA36" s="619">
        <v>1</v>
      </c>
      <c r="IHB36" s="4">
        <v>1000000</v>
      </c>
      <c r="IHC36" s="4">
        <f>IHB36*IHA36</f>
        <v>1000000</v>
      </c>
      <c r="IHD36" s="9" t="s">
        <v>2066</v>
      </c>
      <c r="IHE36" s="1">
        <v>65</v>
      </c>
      <c r="IHF36" s="619" t="s">
        <v>2063</v>
      </c>
      <c r="IHG36" s="148" t="s">
        <v>2064</v>
      </c>
      <c r="IHH36" s="9" t="s">
        <v>2065</v>
      </c>
      <c r="IHI36" s="619">
        <v>1</v>
      </c>
      <c r="IHJ36" s="4">
        <v>1000000</v>
      </c>
      <c r="IHK36" s="4">
        <f>IHJ36*IHI36</f>
        <v>1000000</v>
      </c>
      <c r="IHL36" s="9" t="s">
        <v>2066</v>
      </c>
      <c r="IHM36" s="1">
        <v>65</v>
      </c>
      <c r="IHN36" s="619" t="s">
        <v>2063</v>
      </c>
      <c r="IHO36" s="148" t="s">
        <v>2064</v>
      </c>
      <c r="IHP36" s="9" t="s">
        <v>2065</v>
      </c>
      <c r="IHQ36" s="619">
        <v>1</v>
      </c>
      <c r="IHR36" s="4">
        <v>1000000</v>
      </c>
      <c r="IHS36" s="4">
        <f>IHR36*IHQ36</f>
        <v>1000000</v>
      </c>
      <c r="IHT36" s="9" t="s">
        <v>2066</v>
      </c>
      <c r="IHU36" s="1">
        <v>65</v>
      </c>
      <c r="IHV36" s="619" t="s">
        <v>2063</v>
      </c>
      <c r="IHW36" s="148" t="s">
        <v>2064</v>
      </c>
      <c r="IHX36" s="9" t="s">
        <v>2065</v>
      </c>
      <c r="IHY36" s="619">
        <v>1</v>
      </c>
      <c r="IHZ36" s="4">
        <v>1000000</v>
      </c>
      <c r="IIA36" s="4">
        <f>IHZ36*IHY36</f>
        <v>1000000</v>
      </c>
      <c r="IIB36" s="9" t="s">
        <v>2066</v>
      </c>
      <c r="IIC36" s="1">
        <v>65</v>
      </c>
      <c r="IID36" s="619" t="s">
        <v>2063</v>
      </c>
      <c r="IIE36" s="148" t="s">
        <v>2064</v>
      </c>
      <c r="IIF36" s="9" t="s">
        <v>2065</v>
      </c>
      <c r="IIG36" s="619">
        <v>1</v>
      </c>
      <c r="IIH36" s="4">
        <v>1000000</v>
      </c>
      <c r="III36" s="4">
        <f>IIH36*IIG36</f>
        <v>1000000</v>
      </c>
      <c r="IIJ36" s="9" t="s">
        <v>2066</v>
      </c>
      <c r="IIK36" s="1">
        <v>65</v>
      </c>
      <c r="IIL36" s="619" t="s">
        <v>2063</v>
      </c>
      <c r="IIM36" s="148" t="s">
        <v>2064</v>
      </c>
      <c r="IIN36" s="9" t="s">
        <v>2065</v>
      </c>
      <c r="IIO36" s="619">
        <v>1</v>
      </c>
      <c r="IIP36" s="4">
        <v>1000000</v>
      </c>
      <c r="IIQ36" s="4">
        <f>IIP36*IIO36</f>
        <v>1000000</v>
      </c>
      <c r="IIR36" s="9" t="s">
        <v>2066</v>
      </c>
      <c r="IIS36" s="1">
        <v>65</v>
      </c>
      <c r="IIT36" s="619" t="s">
        <v>2063</v>
      </c>
      <c r="IIU36" s="148" t="s">
        <v>2064</v>
      </c>
      <c r="IIV36" s="9" t="s">
        <v>2065</v>
      </c>
      <c r="IIW36" s="619">
        <v>1</v>
      </c>
      <c r="IIX36" s="4">
        <v>1000000</v>
      </c>
      <c r="IIY36" s="4">
        <f>IIX36*IIW36</f>
        <v>1000000</v>
      </c>
      <c r="IIZ36" s="9" t="s">
        <v>2066</v>
      </c>
      <c r="IJA36" s="1">
        <v>65</v>
      </c>
      <c r="IJB36" s="619" t="s">
        <v>2063</v>
      </c>
      <c r="IJC36" s="148" t="s">
        <v>2064</v>
      </c>
      <c r="IJD36" s="9" t="s">
        <v>2065</v>
      </c>
      <c r="IJE36" s="619">
        <v>1</v>
      </c>
      <c r="IJF36" s="4">
        <v>1000000</v>
      </c>
      <c r="IJG36" s="4">
        <f>IJF36*IJE36</f>
        <v>1000000</v>
      </c>
      <c r="IJH36" s="9" t="s">
        <v>2066</v>
      </c>
      <c r="IJI36" s="1">
        <v>65</v>
      </c>
      <c r="IJJ36" s="619" t="s">
        <v>2063</v>
      </c>
      <c r="IJK36" s="148" t="s">
        <v>2064</v>
      </c>
      <c r="IJL36" s="9" t="s">
        <v>2065</v>
      </c>
      <c r="IJM36" s="619">
        <v>1</v>
      </c>
      <c r="IJN36" s="4">
        <v>1000000</v>
      </c>
      <c r="IJO36" s="4">
        <f>IJN36*IJM36</f>
        <v>1000000</v>
      </c>
      <c r="IJP36" s="9" t="s">
        <v>2066</v>
      </c>
      <c r="IJQ36" s="1">
        <v>65</v>
      </c>
      <c r="IJR36" s="619" t="s">
        <v>2063</v>
      </c>
      <c r="IJS36" s="148" t="s">
        <v>2064</v>
      </c>
      <c r="IJT36" s="9" t="s">
        <v>2065</v>
      </c>
      <c r="IJU36" s="619">
        <v>1</v>
      </c>
      <c r="IJV36" s="4">
        <v>1000000</v>
      </c>
      <c r="IJW36" s="4">
        <f>IJV36*IJU36</f>
        <v>1000000</v>
      </c>
      <c r="IJX36" s="9" t="s">
        <v>2066</v>
      </c>
      <c r="IJY36" s="1">
        <v>65</v>
      </c>
      <c r="IJZ36" s="619" t="s">
        <v>2063</v>
      </c>
      <c r="IKA36" s="148" t="s">
        <v>2064</v>
      </c>
      <c r="IKB36" s="9" t="s">
        <v>2065</v>
      </c>
      <c r="IKC36" s="619">
        <v>1</v>
      </c>
      <c r="IKD36" s="4">
        <v>1000000</v>
      </c>
      <c r="IKE36" s="4">
        <f>IKD36*IKC36</f>
        <v>1000000</v>
      </c>
      <c r="IKF36" s="9" t="s">
        <v>2066</v>
      </c>
      <c r="IKG36" s="1">
        <v>65</v>
      </c>
      <c r="IKH36" s="619" t="s">
        <v>2063</v>
      </c>
      <c r="IKI36" s="148" t="s">
        <v>2064</v>
      </c>
      <c r="IKJ36" s="9" t="s">
        <v>2065</v>
      </c>
      <c r="IKK36" s="619">
        <v>1</v>
      </c>
      <c r="IKL36" s="4">
        <v>1000000</v>
      </c>
      <c r="IKM36" s="4">
        <f>IKL36*IKK36</f>
        <v>1000000</v>
      </c>
      <c r="IKN36" s="9" t="s">
        <v>2066</v>
      </c>
      <c r="IKO36" s="1">
        <v>65</v>
      </c>
      <c r="IKP36" s="619" t="s">
        <v>2063</v>
      </c>
      <c r="IKQ36" s="148" t="s">
        <v>2064</v>
      </c>
      <c r="IKR36" s="9" t="s">
        <v>2065</v>
      </c>
      <c r="IKS36" s="619">
        <v>1</v>
      </c>
      <c r="IKT36" s="4">
        <v>1000000</v>
      </c>
      <c r="IKU36" s="4">
        <f>IKT36*IKS36</f>
        <v>1000000</v>
      </c>
      <c r="IKV36" s="9" t="s">
        <v>2066</v>
      </c>
      <c r="IKW36" s="1">
        <v>65</v>
      </c>
      <c r="IKX36" s="619" t="s">
        <v>2063</v>
      </c>
      <c r="IKY36" s="148" t="s">
        <v>2064</v>
      </c>
      <c r="IKZ36" s="9" t="s">
        <v>2065</v>
      </c>
      <c r="ILA36" s="619">
        <v>1</v>
      </c>
      <c r="ILB36" s="4">
        <v>1000000</v>
      </c>
      <c r="ILC36" s="4">
        <f>ILB36*ILA36</f>
        <v>1000000</v>
      </c>
      <c r="ILD36" s="9" t="s">
        <v>2066</v>
      </c>
      <c r="ILE36" s="1">
        <v>65</v>
      </c>
      <c r="ILF36" s="619" t="s">
        <v>2063</v>
      </c>
      <c r="ILG36" s="148" t="s">
        <v>2064</v>
      </c>
      <c r="ILH36" s="9" t="s">
        <v>2065</v>
      </c>
      <c r="ILI36" s="619">
        <v>1</v>
      </c>
      <c r="ILJ36" s="4">
        <v>1000000</v>
      </c>
      <c r="ILK36" s="4">
        <f>ILJ36*ILI36</f>
        <v>1000000</v>
      </c>
      <c r="ILL36" s="9" t="s">
        <v>2066</v>
      </c>
      <c r="ILM36" s="1">
        <v>65</v>
      </c>
      <c r="ILN36" s="619" t="s">
        <v>2063</v>
      </c>
      <c r="ILO36" s="148" t="s">
        <v>2064</v>
      </c>
      <c r="ILP36" s="9" t="s">
        <v>2065</v>
      </c>
      <c r="ILQ36" s="619">
        <v>1</v>
      </c>
      <c r="ILR36" s="4">
        <v>1000000</v>
      </c>
      <c r="ILS36" s="4">
        <f>ILR36*ILQ36</f>
        <v>1000000</v>
      </c>
      <c r="ILT36" s="9" t="s">
        <v>2066</v>
      </c>
      <c r="ILU36" s="1">
        <v>65</v>
      </c>
      <c r="ILV36" s="619" t="s">
        <v>2063</v>
      </c>
      <c r="ILW36" s="148" t="s">
        <v>2064</v>
      </c>
      <c r="ILX36" s="9" t="s">
        <v>2065</v>
      </c>
      <c r="ILY36" s="619">
        <v>1</v>
      </c>
      <c r="ILZ36" s="4">
        <v>1000000</v>
      </c>
      <c r="IMA36" s="4">
        <f>ILZ36*ILY36</f>
        <v>1000000</v>
      </c>
      <c r="IMB36" s="9" t="s">
        <v>2066</v>
      </c>
      <c r="IMC36" s="1">
        <v>65</v>
      </c>
      <c r="IMD36" s="619" t="s">
        <v>2063</v>
      </c>
      <c r="IME36" s="148" t="s">
        <v>2064</v>
      </c>
      <c r="IMF36" s="9" t="s">
        <v>2065</v>
      </c>
      <c r="IMG36" s="619">
        <v>1</v>
      </c>
      <c r="IMH36" s="4">
        <v>1000000</v>
      </c>
      <c r="IMI36" s="4">
        <f>IMH36*IMG36</f>
        <v>1000000</v>
      </c>
      <c r="IMJ36" s="9" t="s">
        <v>2066</v>
      </c>
      <c r="IMK36" s="1">
        <v>65</v>
      </c>
      <c r="IML36" s="619" t="s">
        <v>2063</v>
      </c>
      <c r="IMM36" s="148" t="s">
        <v>2064</v>
      </c>
      <c r="IMN36" s="9" t="s">
        <v>2065</v>
      </c>
      <c r="IMO36" s="619">
        <v>1</v>
      </c>
      <c r="IMP36" s="4">
        <v>1000000</v>
      </c>
      <c r="IMQ36" s="4">
        <f>IMP36*IMO36</f>
        <v>1000000</v>
      </c>
      <c r="IMR36" s="9" t="s">
        <v>2066</v>
      </c>
      <c r="IMS36" s="1">
        <v>65</v>
      </c>
      <c r="IMT36" s="619" t="s">
        <v>2063</v>
      </c>
      <c r="IMU36" s="148" t="s">
        <v>2064</v>
      </c>
      <c r="IMV36" s="9" t="s">
        <v>2065</v>
      </c>
      <c r="IMW36" s="619">
        <v>1</v>
      </c>
      <c r="IMX36" s="4">
        <v>1000000</v>
      </c>
      <c r="IMY36" s="4">
        <f>IMX36*IMW36</f>
        <v>1000000</v>
      </c>
      <c r="IMZ36" s="9" t="s">
        <v>2066</v>
      </c>
      <c r="INA36" s="1">
        <v>65</v>
      </c>
      <c r="INB36" s="619" t="s">
        <v>2063</v>
      </c>
      <c r="INC36" s="148" t="s">
        <v>2064</v>
      </c>
      <c r="IND36" s="9" t="s">
        <v>2065</v>
      </c>
      <c r="INE36" s="619">
        <v>1</v>
      </c>
      <c r="INF36" s="4">
        <v>1000000</v>
      </c>
      <c r="ING36" s="4">
        <f>INF36*INE36</f>
        <v>1000000</v>
      </c>
      <c r="INH36" s="9" t="s">
        <v>2066</v>
      </c>
      <c r="INI36" s="1">
        <v>65</v>
      </c>
      <c r="INJ36" s="619" t="s">
        <v>2063</v>
      </c>
      <c r="INK36" s="148" t="s">
        <v>2064</v>
      </c>
      <c r="INL36" s="9" t="s">
        <v>2065</v>
      </c>
      <c r="INM36" s="619">
        <v>1</v>
      </c>
      <c r="INN36" s="4">
        <v>1000000</v>
      </c>
      <c r="INO36" s="4">
        <f>INN36*INM36</f>
        <v>1000000</v>
      </c>
      <c r="INP36" s="9" t="s">
        <v>2066</v>
      </c>
      <c r="INQ36" s="1">
        <v>65</v>
      </c>
      <c r="INR36" s="619" t="s">
        <v>2063</v>
      </c>
      <c r="INS36" s="148" t="s">
        <v>2064</v>
      </c>
      <c r="INT36" s="9" t="s">
        <v>2065</v>
      </c>
      <c r="INU36" s="619">
        <v>1</v>
      </c>
      <c r="INV36" s="4">
        <v>1000000</v>
      </c>
      <c r="INW36" s="4">
        <f>INV36*INU36</f>
        <v>1000000</v>
      </c>
      <c r="INX36" s="9" t="s">
        <v>2066</v>
      </c>
      <c r="INY36" s="1">
        <v>65</v>
      </c>
      <c r="INZ36" s="619" t="s">
        <v>2063</v>
      </c>
      <c r="IOA36" s="148" t="s">
        <v>2064</v>
      </c>
      <c r="IOB36" s="9" t="s">
        <v>2065</v>
      </c>
      <c r="IOC36" s="619">
        <v>1</v>
      </c>
      <c r="IOD36" s="4">
        <v>1000000</v>
      </c>
      <c r="IOE36" s="4">
        <f>IOD36*IOC36</f>
        <v>1000000</v>
      </c>
      <c r="IOF36" s="9" t="s">
        <v>2066</v>
      </c>
      <c r="IOG36" s="1">
        <v>65</v>
      </c>
      <c r="IOH36" s="619" t="s">
        <v>2063</v>
      </c>
      <c r="IOI36" s="148" t="s">
        <v>2064</v>
      </c>
      <c r="IOJ36" s="9" t="s">
        <v>2065</v>
      </c>
      <c r="IOK36" s="619">
        <v>1</v>
      </c>
      <c r="IOL36" s="4">
        <v>1000000</v>
      </c>
      <c r="IOM36" s="4">
        <f>IOL36*IOK36</f>
        <v>1000000</v>
      </c>
      <c r="ION36" s="9" t="s">
        <v>2066</v>
      </c>
      <c r="IOO36" s="1">
        <v>65</v>
      </c>
      <c r="IOP36" s="619" t="s">
        <v>2063</v>
      </c>
      <c r="IOQ36" s="148" t="s">
        <v>2064</v>
      </c>
      <c r="IOR36" s="9" t="s">
        <v>2065</v>
      </c>
      <c r="IOS36" s="619">
        <v>1</v>
      </c>
      <c r="IOT36" s="4">
        <v>1000000</v>
      </c>
      <c r="IOU36" s="4">
        <f>IOT36*IOS36</f>
        <v>1000000</v>
      </c>
      <c r="IOV36" s="9" t="s">
        <v>2066</v>
      </c>
      <c r="IOW36" s="1">
        <v>65</v>
      </c>
      <c r="IOX36" s="619" t="s">
        <v>2063</v>
      </c>
      <c r="IOY36" s="148" t="s">
        <v>2064</v>
      </c>
      <c r="IOZ36" s="9" t="s">
        <v>2065</v>
      </c>
      <c r="IPA36" s="619">
        <v>1</v>
      </c>
      <c r="IPB36" s="4">
        <v>1000000</v>
      </c>
      <c r="IPC36" s="4">
        <f>IPB36*IPA36</f>
        <v>1000000</v>
      </c>
      <c r="IPD36" s="9" t="s">
        <v>2066</v>
      </c>
      <c r="IPE36" s="1">
        <v>65</v>
      </c>
      <c r="IPF36" s="619" t="s">
        <v>2063</v>
      </c>
      <c r="IPG36" s="148" t="s">
        <v>2064</v>
      </c>
      <c r="IPH36" s="9" t="s">
        <v>2065</v>
      </c>
      <c r="IPI36" s="619">
        <v>1</v>
      </c>
      <c r="IPJ36" s="4">
        <v>1000000</v>
      </c>
      <c r="IPK36" s="4">
        <f>IPJ36*IPI36</f>
        <v>1000000</v>
      </c>
      <c r="IPL36" s="9" t="s">
        <v>2066</v>
      </c>
      <c r="IPM36" s="1">
        <v>65</v>
      </c>
      <c r="IPN36" s="619" t="s">
        <v>2063</v>
      </c>
      <c r="IPO36" s="148" t="s">
        <v>2064</v>
      </c>
      <c r="IPP36" s="9" t="s">
        <v>2065</v>
      </c>
      <c r="IPQ36" s="619">
        <v>1</v>
      </c>
      <c r="IPR36" s="4">
        <v>1000000</v>
      </c>
      <c r="IPS36" s="4">
        <f>IPR36*IPQ36</f>
        <v>1000000</v>
      </c>
      <c r="IPT36" s="9" t="s">
        <v>2066</v>
      </c>
      <c r="IPU36" s="1">
        <v>65</v>
      </c>
      <c r="IPV36" s="619" t="s">
        <v>2063</v>
      </c>
      <c r="IPW36" s="148" t="s">
        <v>2064</v>
      </c>
      <c r="IPX36" s="9" t="s">
        <v>2065</v>
      </c>
      <c r="IPY36" s="619">
        <v>1</v>
      </c>
      <c r="IPZ36" s="4">
        <v>1000000</v>
      </c>
      <c r="IQA36" s="4">
        <f>IPZ36*IPY36</f>
        <v>1000000</v>
      </c>
      <c r="IQB36" s="9" t="s">
        <v>2066</v>
      </c>
      <c r="IQC36" s="1">
        <v>65</v>
      </c>
      <c r="IQD36" s="619" t="s">
        <v>2063</v>
      </c>
      <c r="IQE36" s="148" t="s">
        <v>2064</v>
      </c>
      <c r="IQF36" s="9" t="s">
        <v>2065</v>
      </c>
      <c r="IQG36" s="619">
        <v>1</v>
      </c>
      <c r="IQH36" s="4">
        <v>1000000</v>
      </c>
      <c r="IQI36" s="4">
        <f>IQH36*IQG36</f>
        <v>1000000</v>
      </c>
      <c r="IQJ36" s="9" t="s">
        <v>2066</v>
      </c>
      <c r="IQK36" s="1">
        <v>65</v>
      </c>
      <c r="IQL36" s="619" t="s">
        <v>2063</v>
      </c>
      <c r="IQM36" s="148" t="s">
        <v>2064</v>
      </c>
      <c r="IQN36" s="9" t="s">
        <v>2065</v>
      </c>
      <c r="IQO36" s="619">
        <v>1</v>
      </c>
      <c r="IQP36" s="4">
        <v>1000000</v>
      </c>
      <c r="IQQ36" s="4">
        <f>IQP36*IQO36</f>
        <v>1000000</v>
      </c>
      <c r="IQR36" s="9" t="s">
        <v>2066</v>
      </c>
      <c r="IQS36" s="1">
        <v>65</v>
      </c>
      <c r="IQT36" s="619" t="s">
        <v>2063</v>
      </c>
      <c r="IQU36" s="148" t="s">
        <v>2064</v>
      </c>
      <c r="IQV36" s="9" t="s">
        <v>2065</v>
      </c>
      <c r="IQW36" s="619">
        <v>1</v>
      </c>
      <c r="IQX36" s="4">
        <v>1000000</v>
      </c>
      <c r="IQY36" s="4">
        <f>IQX36*IQW36</f>
        <v>1000000</v>
      </c>
      <c r="IQZ36" s="9" t="s">
        <v>2066</v>
      </c>
      <c r="IRA36" s="1">
        <v>65</v>
      </c>
      <c r="IRB36" s="619" t="s">
        <v>2063</v>
      </c>
      <c r="IRC36" s="148" t="s">
        <v>2064</v>
      </c>
      <c r="IRD36" s="9" t="s">
        <v>2065</v>
      </c>
      <c r="IRE36" s="619">
        <v>1</v>
      </c>
      <c r="IRF36" s="4">
        <v>1000000</v>
      </c>
      <c r="IRG36" s="4">
        <f>IRF36*IRE36</f>
        <v>1000000</v>
      </c>
      <c r="IRH36" s="9" t="s">
        <v>2066</v>
      </c>
      <c r="IRI36" s="1">
        <v>65</v>
      </c>
      <c r="IRJ36" s="619" t="s">
        <v>2063</v>
      </c>
      <c r="IRK36" s="148" t="s">
        <v>2064</v>
      </c>
      <c r="IRL36" s="9" t="s">
        <v>2065</v>
      </c>
      <c r="IRM36" s="619">
        <v>1</v>
      </c>
      <c r="IRN36" s="4">
        <v>1000000</v>
      </c>
      <c r="IRO36" s="4">
        <f>IRN36*IRM36</f>
        <v>1000000</v>
      </c>
      <c r="IRP36" s="9" t="s">
        <v>2066</v>
      </c>
      <c r="IRQ36" s="1">
        <v>65</v>
      </c>
      <c r="IRR36" s="619" t="s">
        <v>2063</v>
      </c>
      <c r="IRS36" s="148" t="s">
        <v>2064</v>
      </c>
      <c r="IRT36" s="9" t="s">
        <v>2065</v>
      </c>
      <c r="IRU36" s="619">
        <v>1</v>
      </c>
      <c r="IRV36" s="4">
        <v>1000000</v>
      </c>
      <c r="IRW36" s="4">
        <f>IRV36*IRU36</f>
        <v>1000000</v>
      </c>
      <c r="IRX36" s="9" t="s">
        <v>2066</v>
      </c>
      <c r="IRY36" s="1">
        <v>65</v>
      </c>
      <c r="IRZ36" s="619" t="s">
        <v>2063</v>
      </c>
      <c r="ISA36" s="148" t="s">
        <v>2064</v>
      </c>
      <c r="ISB36" s="9" t="s">
        <v>2065</v>
      </c>
      <c r="ISC36" s="619">
        <v>1</v>
      </c>
      <c r="ISD36" s="4">
        <v>1000000</v>
      </c>
      <c r="ISE36" s="4">
        <f>ISD36*ISC36</f>
        <v>1000000</v>
      </c>
      <c r="ISF36" s="9" t="s">
        <v>2066</v>
      </c>
      <c r="ISG36" s="1">
        <v>65</v>
      </c>
      <c r="ISH36" s="619" t="s">
        <v>2063</v>
      </c>
      <c r="ISI36" s="148" t="s">
        <v>2064</v>
      </c>
      <c r="ISJ36" s="9" t="s">
        <v>2065</v>
      </c>
      <c r="ISK36" s="619">
        <v>1</v>
      </c>
      <c r="ISL36" s="4">
        <v>1000000</v>
      </c>
      <c r="ISM36" s="4">
        <f>ISL36*ISK36</f>
        <v>1000000</v>
      </c>
      <c r="ISN36" s="9" t="s">
        <v>2066</v>
      </c>
      <c r="ISO36" s="1">
        <v>65</v>
      </c>
      <c r="ISP36" s="619" t="s">
        <v>2063</v>
      </c>
      <c r="ISQ36" s="148" t="s">
        <v>2064</v>
      </c>
      <c r="ISR36" s="9" t="s">
        <v>2065</v>
      </c>
      <c r="ISS36" s="619">
        <v>1</v>
      </c>
      <c r="IST36" s="4">
        <v>1000000</v>
      </c>
      <c r="ISU36" s="4">
        <f>IST36*ISS36</f>
        <v>1000000</v>
      </c>
      <c r="ISV36" s="9" t="s">
        <v>2066</v>
      </c>
      <c r="ISW36" s="1">
        <v>65</v>
      </c>
      <c r="ISX36" s="619" t="s">
        <v>2063</v>
      </c>
      <c r="ISY36" s="148" t="s">
        <v>2064</v>
      </c>
      <c r="ISZ36" s="9" t="s">
        <v>2065</v>
      </c>
      <c r="ITA36" s="619">
        <v>1</v>
      </c>
      <c r="ITB36" s="4">
        <v>1000000</v>
      </c>
      <c r="ITC36" s="4">
        <f>ITB36*ITA36</f>
        <v>1000000</v>
      </c>
      <c r="ITD36" s="9" t="s">
        <v>2066</v>
      </c>
      <c r="ITE36" s="1">
        <v>65</v>
      </c>
      <c r="ITF36" s="619" t="s">
        <v>2063</v>
      </c>
      <c r="ITG36" s="148" t="s">
        <v>2064</v>
      </c>
      <c r="ITH36" s="9" t="s">
        <v>2065</v>
      </c>
      <c r="ITI36" s="619">
        <v>1</v>
      </c>
      <c r="ITJ36" s="4">
        <v>1000000</v>
      </c>
      <c r="ITK36" s="4">
        <f>ITJ36*ITI36</f>
        <v>1000000</v>
      </c>
      <c r="ITL36" s="9" t="s">
        <v>2066</v>
      </c>
      <c r="ITM36" s="1">
        <v>65</v>
      </c>
      <c r="ITN36" s="619" t="s">
        <v>2063</v>
      </c>
      <c r="ITO36" s="148" t="s">
        <v>2064</v>
      </c>
      <c r="ITP36" s="9" t="s">
        <v>2065</v>
      </c>
      <c r="ITQ36" s="619">
        <v>1</v>
      </c>
      <c r="ITR36" s="4">
        <v>1000000</v>
      </c>
      <c r="ITS36" s="4">
        <f>ITR36*ITQ36</f>
        <v>1000000</v>
      </c>
      <c r="ITT36" s="9" t="s">
        <v>2066</v>
      </c>
      <c r="ITU36" s="1">
        <v>65</v>
      </c>
      <c r="ITV36" s="619" t="s">
        <v>2063</v>
      </c>
      <c r="ITW36" s="148" t="s">
        <v>2064</v>
      </c>
      <c r="ITX36" s="9" t="s">
        <v>2065</v>
      </c>
      <c r="ITY36" s="619">
        <v>1</v>
      </c>
      <c r="ITZ36" s="4">
        <v>1000000</v>
      </c>
      <c r="IUA36" s="4">
        <f>ITZ36*ITY36</f>
        <v>1000000</v>
      </c>
      <c r="IUB36" s="9" t="s">
        <v>2066</v>
      </c>
      <c r="IUC36" s="1">
        <v>65</v>
      </c>
      <c r="IUD36" s="619" t="s">
        <v>2063</v>
      </c>
      <c r="IUE36" s="148" t="s">
        <v>2064</v>
      </c>
      <c r="IUF36" s="9" t="s">
        <v>2065</v>
      </c>
      <c r="IUG36" s="619">
        <v>1</v>
      </c>
      <c r="IUH36" s="4">
        <v>1000000</v>
      </c>
      <c r="IUI36" s="4">
        <f>IUH36*IUG36</f>
        <v>1000000</v>
      </c>
      <c r="IUJ36" s="9" t="s">
        <v>2066</v>
      </c>
      <c r="IUK36" s="1">
        <v>65</v>
      </c>
      <c r="IUL36" s="619" t="s">
        <v>2063</v>
      </c>
      <c r="IUM36" s="148" t="s">
        <v>2064</v>
      </c>
      <c r="IUN36" s="9" t="s">
        <v>2065</v>
      </c>
      <c r="IUO36" s="619">
        <v>1</v>
      </c>
      <c r="IUP36" s="4">
        <v>1000000</v>
      </c>
      <c r="IUQ36" s="4">
        <f>IUP36*IUO36</f>
        <v>1000000</v>
      </c>
      <c r="IUR36" s="9" t="s">
        <v>2066</v>
      </c>
      <c r="IUS36" s="1">
        <v>65</v>
      </c>
      <c r="IUT36" s="619" t="s">
        <v>2063</v>
      </c>
      <c r="IUU36" s="148" t="s">
        <v>2064</v>
      </c>
      <c r="IUV36" s="9" t="s">
        <v>2065</v>
      </c>
      <c r="IUW36" s="619">
        <v>1</v>
      </c>
      <c r="IUX36" s="4">
        <v>1000000</v>
      </c>
      <c r="IUY36" s="4">
        <f>IUX36*IUW36</f>
        <v>1000000</v>
      </c>
      <c r="IUZ36" s="9" t="s">
        <v>2066</v>
      </c>
      <c r="IVA36" s="1">
        <v>65</v>
      </c>
      <c r="IVB36" s="619" t="s">
        <v>2063</v>
      </c>
      <c r="IVC36" s="148" t="s">
        <v>2064</v>
      </c>
      <c r="IVD36" s="9" t="s">
        <v>2065</v>
      </c>
      <c r="IVE36" s="619">
        <v>1</v>
      </c>
      <c r="IVF36" s="4">
        <v>1000000</v>
      </c>
      <c r="IVG36" s="4">
        <f>IVF36*IVE36</f>
        <v>1000000</v>
      </c>
      <c r="IVH36" s="9" t="s">
        <v>2066</v>
      </c>
      <c r="IVI36" s="1">
        <v>65</v>
      </c>
      <c r="IVJ36" s="619" t="s">
        <v>2063</v>
      </c>
      <c r="IVK36" s="148" t="s">
        <v>2064</v>
      </c>
      <c r="IVL36" s="9" t="s">
        <v>2065</v>
      </c>
      <c r="IVM36" s="619">
        <v>1</v>
      </c>
      <c r="IVN36" s="4">
        <v>1000000</v>
      </c>
      <c r="IVO36" s="4">
        <f>IVN36*IVM36</f>
        <v>1000000</v>
      </c>
      <c r="IVP36" s="9" t="s">
        <v>2066</v>
      </c>
      <c r="IVQ36" s="1">
        <v>65</v>
      </c>
      <c r="IVR36" s="619" t="s">
        <v>2063</v>
      </c>
      <c r="IVS36" s="148" t="s">
        <v>2064</v>
      </c>
      <c r="IVT36" s="9" t="s">
        <v>2065</v>
      </c>
      <c r="IVU36" s="619">
        <v>1</v>
      </c>
      <c r="IVV36" s="4">
        <v>1000000</v>
      </c>
      <c r="IVW36" s="4">
        <f>IVV36*IVU36</f>
        <v>1000000</v>
      </c>
      <c r="IVX36" s="9" t="s">
        <v>2066</v>
      </c>
      <c r="IVY36" s="1">
        <v>65</v>
      </c>
      <c r="IVZ36" s="619" t="s">
        <v>2063</v>
      </c>
      <c r="IWA36" s="148" t="s">
        <v>2064</v>
      </c>
      <c r="IWB36" s="9" t="s">
        <v>2065</v>
      </c>
      <c r="IWC36" s="619">
        <v>1</v>
      </c>
      <c r="IWD36" s="4">
        <v>1000000</v>
      </c>
      <c r="IWE36" s="4">
        <f>IWD36*IWC36</f>
        <v>1000000</v>
      </c>
      <c r="IWF36" s="9" t="s">
        <v>2066</v>
      </c>
      <c r="IWG36" s="1">
        <v>65</v>
      </c>
      <c r="IWH36" s="619" t="s">
        <v>2063</v>
      </c>
      <c r="IWI36" s="148" t="s">
        <v>2064</v>
      </c>
      <c r="IWJ36" s="9" t="s">
        <v>2065</v>
      </c>
      <c r="IWK36" s="619">
        <v>1</v>
      </c>
      <c r="IWL36" s="4">
        <v>1000000</v>
      </c>
      <c r="IWM36" s="4">
        <f>IWL36*IWK36</f>
        <v>1000000</v>
      </c>
      <c r="IWN36" s="9" t="s">
        <v>2066</v>
      </c>
      <c r="IWO36" s="1">
        <v>65</v>
      </c>
      <c r="IWP36" s="619" t="s">
        <v>2063</v>
      </c>
      <c r="IWQ36" s="148" t="s">
        <v>2064</v>
      </c>
      <c r="IWR36" s="9" t="s">
        <v>2065</v>
      </c>
      <c r="IWS36" s="619">
        <v>1</v>
      </c>
      <c r="IWT36" s="4">
        <v>1000000</v>
      </c>
      <c r="IWU36" s="4">
        <f>IWT36*IWS36</f>
        <v>1000000</v>
      </c>
      <c r="IWV36" s="9" t="s">
        <v>2066</v>
      </c>
      <c r="IWW36" s="1">
        <v>65</v>
      </c>
      <c r="IWX36" s="619" t="s">
        <v>2063</v>
      </c>
      <c r="IWY36" s="148" t="s">
        <v>2064</v>
      </c>
      <c r="IWZ36" s="9" t="s">
        <v>2065</v>
      </c>
      <c r="IXA36" s="619">
        <v>1</v>
      </c>
      <c r="IXB36" s="4">
        <v>1000000</v>
      </c>
      <c r="IXC36" s="4">
        <f>IXB36*IXA36</f>
        <v>1000000</v>
      </c>
      <c r="IXD36" s="9" t="s">
        <v>2066</v>
      </c>
      <c r="IXE36" s="1">
        <v>65</v>
      </c>
      <c r="IXF36" s="619" t="s">
        <v>2063</v>
      </c>
      <c r="IXG36" s="148" t="s">
        <v>2064</v>
      </c>
      <c r="IXH36" s="9" t="s">
        <v>2065</v>
      </c>
      <c r="IXI36" s="619">
        <v>1</v>
      </c>
      <c r="IXJ36" s="4">
        <v>1000000</v>
      </c>
      <c r="IXK36" s="4">
        <f>IXJ36*IXI36</f>
        <v>1000000</v>
      </c>
      <c r="IXL36" s="9" t="s">
        <v>2066</v>
      </c>
      <c r="IXM36" s="1">
        <v>65</v>
      </c>
      <c r="IXN36" s="619" t="s">
        <v>2063</v>
      </c>
      <c r="IXO36" s="148" t="s">
        <v>2064</v>
      </c>
      <c r="IXP36" s="9" t="s">
        <v>2065</v>
      </c>
      <c r="IXQ36" s="619">
        <v>1</v>
      </c>
      <c r="IXR36" s="4">
        <v>1000000</v>
      </c>
      <c r="IXS36" s="4">
        <f>IXR36*IXQ36</f>
        <v>1000000</v>
      </c>
      <c r="IXT36" s="9" t="s">
        <v>2066</v>
      </c>
      <c r="IXU36" s="1">
        <v>65</v>
      </c>
      <c r="IXV36" s="619" t="s">
        <v>2063</v>
      </c>
      <c r="IXW36" s="148" t="s">
        <v>2064</v>
      </c>
      <c r="IXX36" s="9" t="s">
        <v>2065</v>
      </c>
      <c r="IXY36" s="619">
        <v>1</v>
      </c>
      <c r="IXZ36" s="4">
        <v>1000000</v>
      </c>
      <c r="IYA36" s="4">
        <f>IXZ36*IXY36</f>
        <v>1000000</v>
      </c>
      <c r="IYB36" s="9" t="s">
        <v>2066</v>
      </c>
      <c r="IYC36" s="1">
        <v>65</v>
      </c>
      <c r="IYD36" s="619" t="s">
        <v>2063</v>
      </c>
      <c r="IYE36" s="148" t="s">
        <v>2064</v>
      </c>
      <c r="IYF36" s="9" t="s">
        <v>2065</v>
      </c>
      <c r="IYG36" s="619">
        <v>1</v>
      </c>
      <c r="IYH36" s="4">
        <v>1000000</v>
      </c>
      <c r="IYI36" s="4">
        <f>IYH36*IYG36</f>
        <v>1000000</v>
      </c>
      <c r="IYJ36" s="9" t="s">
        <v>2066</v>
      </c>
      <c r="IYK36" s="1">
        <v>65</v>
      </c>
      <c r="IYL36" s="619" t="s">
        <v>2063</v>
      </c>
      <c r="IYM36" s="148" t="s">
        <v>2064</v>
      </c>
      <c r="IYN36" s="9" t="s">
        <v>2065</v>
      </c>
      <c r="IYO36" s="619">
        <v>1</v>
      </c>
      <c r="IYP36" s="4">
        <v>1000000</v>
      </c>
      <c r="IYQ36" s="4">
        <f>IYP36*IYO36</f>
        <v>1000000</v>
      </c>
      <c r="IYR36" s="9" t="s">
        <v>2066</v>
      </c>
      <c r="IYS36" s="1">
        <v>65</v>
      </c>
      <c r="IYT36" s="619" t="s">
        <v>2063</v>
      </c>
      <c r="IYU36" s="148" t="s">
        <v>2064</v>
      </c>
      <c r="IYV36" s="9" t="s">
        <v>2065</v>
      </c>
      <c r="IYW36" s="619">
        <v>1</v>
      </c>
      <c r="IYX36" s="4">
        <v>1000000</v>
      </c>
      <c r="IYY36" s="4">
        <f>IYX36*IYW36</f>
        <v>1000000</v>
      </c>
      <c r="IYZ36" s="9" t="s">
        <v>2066</v>
      </c>
      <c r="IZA36" s="1">
        <v>65</v>
      </c>
      <c r="IZB36" s="619" t="s">
        <v>2063</v>
      </c>
      <c r="IZC36" s="148" t="s">
        <v>2064</v>
      </c>
      <c r="IZD36" s="9" t="s">
        <v>2065</v>
      </c>
      <c r="IZE36" s="619">
        <v>1</v>
      </c>
      <c r="IZF36" s="4">
        <v>1000000</v>
      </c>
      <c r="IZG36" s="4">
        <f>IZF36*IZE36</f>
        <v>1000000</v>
      </c>
      <c r="IZH36" s="9" t="s">
        <v>2066</v>
      </c>
      <c r="IZI36" s="1">
        <v>65</v>
      </c>
      <c r="IZJ36" s="619" t="s">
        <v>2063</v>
      </c>
      <c r="IZK36" s="148" t="s">
        <v>2064</v>
      </c>
      <c r="IZL36" s="9" t="s">
        <v>2065</v>
      </c>
      <c r="IZM36" s="619">
        <v>1</v>
      </c>
      <c r="IZN36" s="4">
        <v>1000000</v>
      </c>
      <c r="IZO36" s="4">
        <f>IZN36*IZM36</f>
        <v>1000000</v>
      </c>
      <c r="IZP36" s="9" t="s">
        <v>2066</v>
      </c>
      <c r="IZQ36" s="1">
        <v>65</v>
      </c>
      <c r="IZR36" s="619" t="s">
        <v>2063</v>
      </c>
      <c r="IZS36" s="148" t="s">
        <v>2064</v>
      </c>
      <c r="IZT36" s="9" t="s">
        <v>2065</v>
      </c>
      <c r="IZU36" s="619">
        <v>1</v>
      </c>
      <c r="IZV36" s="4">
        <v>1000000</v>
      </c>
      <c r="IZW36" s="4">
        <f>IZV36*IZU36</f>
        <v>1000000</v>
      </c>
      <c r="IZX36" s="9" t="s">
        <v>2066</v>
      </c>
      <c r="IZY36" s="1">
        <v>65</v>
      </c>
      <c r="IZZ36" s="619" t="s">
        <v>2063</v>
      </c>
      <c r="JAA36" s="148" t="s">
        <v>2064</v>
      </c>
      <c r="JAB36" s="9" t="s">
        <v>2065</v>
      </c>
      <c r="JAC36" s="619">
        <v>1</v>
      </c>
      <c r="JAD36" s="4">
        <v>1000000</v>
      </c>
      <c r="JAE36" s="4">
        <f>JAD36*JAC36</f>
        <v>1000000</v>
      </c>
      <c r="JAF36" s="9" t="s">
        <v>2066</v>
      </c>
      <c r="JAG36" s="1">
        <v>65</v>
      </c>
      <c r="JAH36" s="619" t="s">
        <v>2063</v>
      </c>
      <c r="JAI36" s="148" t="s">
        <v>2064</v>
      </c>
      <c r="JAJ36" s="9" t="s">
        <v>2065</v>
      </c>
      <c r="JAK36" s="619">
        <v>1</v>
      </c>
      <c r="JAL36" s="4">
        <v>1000000</v>
      </c>
      <c r="JAM36" s="4">
        <f>JAL36*JAK36</f>
        <v>1000000</v>
      </c>
      <c r="JAN36" s="9" t="s">
        <v>2066</v>
      </c>
      <c r="JAO36" s="1">
        <v>65</v>
      </c>
      <c r="JAP36" s="619" t="s">
        <v>2063</v>
      </c>
      <c r="JAQ36" s="148" t="s">
        <v>2064</v>
      </c>
      <c r="JAR36" s="9" t="s">
        <v>2065</v>
      </c>
      <c r="JAS36" s="619">
        <v>1</v>
      </c>
      <c r="JAT36" s="4">
        <v>1000000</v>
      </c>
      <c r="JAU36" s="4">
        <f>JAT36*JAS36</f>
        <v>1000000</v>
      </c>
      <c r="JAV36" s="9" t="s">
        <v>2066</v>
      </c>
      <c r="JAW36" s="1">
        <v>65</v>
      </c>
      <c r="JAX36" s="619" t="s">
        <v>2063</v>
      </c>
      <c r="JAY36" s="148" t="s">
        <v>2064</v>
      </c>
      <c r="JAZ36" s="9" t="s">
        <v>2065</v>
      </c>
      <c r="JBA36" s="619">
        <v>1</v>
      </c>
      <c r="JBB36" s="4">
        <v>1000000</v>
      </c>
      <c r="JBC36" s="4">
        <f>JBB36*JBA36</f>
        <v>1000000</v>
      </c>
      <c r="JBD36" s="9" t="s">
        <v>2066</v>
      </c>
      <c r="JBE36" s="1">
        <v>65</v>
      </c>
      <c r="JBF36" s="619" t="s">
        <v>2063</v>
      </c>
      <c r="JBG36" s="148" t="s">
        <v>2064</v>
      </c>
      <c r="JBH36" s="9" t="s">
        <v>2065</v>
      </c>
      <c r="JBI36" s="619">
        <v>1</v>
      </c>
      <c r="JBJ36" s="4">
        <v>1000000</v>
      </c>
      <c r="JBK36" s="4">
        <f>JBJ36*JBI36</f>
        <v>1000000</v>
      </c>
      <c r="JBL36" s="9" t="s">
        <v>2066</v>
      </c>
      <c r="JBM36" s="1">
        <v>65</v>
      </c>
      <c r="JBN36" s="619" t="s">
        <v>2063</v>
      </c>
      <c r="JBO36" s="148" t="s">
        <v>2064</v>
      </c>
      <c r="JBP36" s="9" t="s">
        <v>2065</v>
      </c>
      <c r="JBQ36" s="619">
        <v>1</v>
      </c>
      <c r="JBR36" s="4">
        <v>1000000</v>
      </c>
      <c r="JBS36" s="4">
        <f>JBR36*JBQ36</f>
        <v>1000000</v>
      </c>
      <c r="JBT36" s="9" t="s">
        <v>2066</v>
      </c>
      <c r="JBU36" s="1">
        <v>65</v>
      </c>
      <c r="JBV36" s="619" t="s">
        <v>2063</v>
      </c>
      <c r="JBW36" s="148" t="s">
        <v>2064</v>
      </c>
      <c r="JBX36" s="9" t="s">
        <v>2065</v>
      </c>
      <c r="JBY36" s="619">
        <v>1</v>
      </c>
      <c r="JBZ36" s="4">
        <v>1000000</v>
      </c>
      <c r="JCA36" s="4">
        <f>JBZ36*JBY36</f>
        <v>1000000</v>
      </c>
      <c r="JCB36" s="9" t="s">
        <v>2066</v>
      </c>
      <c r="JCC36" s="1">
        <v>65</v>
      </c>
      <c r="JCD36" s="619" t="s">
        <v>2063</v>
      </c>
      <c r="JCE36" s="148" t="s">
        <v>2064</v>
      </c>
      <c r="JCF36" s="9" t="s">
        <v>2065</v>
      </c>
      <c r="JCG36" s="619">
        <v>1</v>
      </c>
      <c r="JCH36" s="4">
        <v>1000000</v>
      </c>
      <c r="JCI36" s="4">
        <f>JCH36*JCG36</f>
        <v>1000000</v>
      </c>
      <c r="JCJ36" s="9" t="s">
        <v>2066</v>
      </c>
      <c r="JCK36" s="1">
        <v>65</v>
      </c>
      <c r="JCL36" s="619" t="s">
        <v>2063</v>
      </c>
      <c r="JCM36" s="148" t="s">
        <v>2064</v>
      </c>
      <c r="JCN36" s="9" t="s">
        <v>2065</v>
      </c>
      <c r="JCO36" s="619">
        <v>1</v>
      </c>
      <c r="JCP36" s="4">
        <v>1000000</v>
      </c>
      <c r="JCQ36" s="4">
        <f>JCP36*JCO36</f>
        <v>1000000</v>
      </c>
      <c r="JCR36" s="9" t="s">
        <v>2066</v>
      </c>
      <c r="JCS36" s="1">
        <v>65</v>
      </c>
      <c r="JCT36" s="619" t="s">
        <v>2063</v>
      </c>
      <c r="JCU36" s="148" t="s">
        <v>2064</v>
      </c>
      <c r="JCV36" s="9" t="s">
        <v>2065</v>
      </c>
      <c r="JCW36" s="619">
        <v>1</v>
      </c>
      <c r="JCX36" s="4">
        <v>1000000</v>
      </c>
      <c r="JCY36" s="4">
        <f>JCX36*JCW36</f>
        <v>1000000</v>
      </c>
      <c r="JCZ36" s="9" t="s">
        <v>2066</v>
      </c>
      <c r="JDA36" s="1">
        <v>65</v>
      </c>
      <c r="JDB36" s="619" t="s">
        <v>2063</v>
      </c>
      <c r="JDC36" s="148" t="s">
        <v>2064</v>
      </c>
      <c r="JDD36" s="9" t="s">
        <v>2065</v>
      </c>
      <c r="JDE36" s="619">
        <v>1</v>
      </c>
      <c r="JDF36" s="4">
        <v>1000000</v>
      </c>
      <c r="JDG36" s="4">
        <f>JDF36*JDE36</f>
        <v>1000000</v>
      </c>
      <c r="JDH36" s="9" t="s">
        <v>2066</v>
      </c>
      <c r="JDI36" s="1">
        <v>65</v>
      </c>
      <c r="JDJ36" s="619" t="s">
        <v>2063</v>
      </c>
      <c r="JDK36" s="148" t="s">
        <v>2064</v>
      </c>
      <c r="JDL36" s="9" t="s">
        <v>2065</v>
      </c>
      <c r="JDM36" s="619">
        <v>1</v>
      </c>
      <c r="JDN36" s="4">
        <v>1000000</v>
      </c>
      <c r="JDO36" s="4">
        <f>JDN36*JDM36</f>
        <v>1000000</v>
      </c>
      <c r="JDP36" s="9" t="s">
        <v>2066</v>
      </c>
      <c r="JDQ36" s="1">
        <v>65</v>
      </c>
      <c r="JDR36" s="619" t="s">
        <v>2063</v>
      </c>
      <c r="JDS36" s="148" t="s">
        <v>2064</v>
      </c>
      <c r="JDT36" s="9" t="s">
        <v>2065</v>
      </c>
      <c r="JDU36" s="619">
        <v>1</v>
      </c>
      <c r="JDV36" s="4">
        <v>1000000</v>
      </c>
      <c r="JDW36" s="4">
        <f>JDV36*JDU36</f>
        <v>1000000</v>
      </c>
      <c r="JDX36" s="9" t="s">
        <v>2066</v>
      </c>
      <c r="JDY36" s="1">
        <v>65</v>
      </c>
      <c r="JDZ36" s="619" t="s">
        <v>2063</v>
      </c>
      <c r="JEA36" s="148" t="s">
        <v>2064</v>
      </c>
      <c r="JEB36" s="9" t="s">
        <v>2065</v>
      </c>
      <c r="JEC36" s="619">
        <v>1</v>
      </c>
      <c r="JED36" s="4">
        <v>1000000</v>
      </c>
      <c r="JEE36" s="4">
        <f>JED36*JEC36</f>
        <v>1000000</v>
      </c>
      <c r="JEF36" s="9" t="s">
        <v>2066</v>
      </c>
      <c r="JEG36" s="1">
        <v>65</v>
      </c>
      <c r="JEH36" s="619" t="s">
        <v>2063</v>
      </c>
      <c r="JEI36" s="148" t="s">
        <v>2064</v>
      </c>
      <c r="JEJ36" s="9" t="s">
        <v>2065</v>
      </c>
      <c r="JEK36" s="619">
        <v>1</v>
      </c>
      <c r="JEL36" s="4">
        <v>1000000</v>
      </c>
      <c r="JEM36" s="4">
        <f>JEL36*JEK36</f>
        <v>1000000</v>
      </c>
      <c r="JEN36" s="9" t="s">
        <v>2066</v>
      </c>
      <c r="JEO36" s="1">
        <v>65</v>
      </c>
      <c r="JEP36" s="619" t="s">
        <v>2063</v>
      </c>
      <c r="JEQ36" s="148" t="s">
        <v>2064</v>
      </c>
      <c r="JER36" s="9" t="s">
        <v>2065</v>
      </c>
      <c r="JES36" s="619">
        <v>1</v>
      </c>
      <c r="JET36" s="4">
        <v>1000000</v>
      </c>
      <c r="JEU36" s="4">
        <f>JET36*JES36</f>
        <v>1000000</v>
      </c>
      <c r="JEV36" s="9" t="s">
        <v>2066</v>
      </c>
      <c r="JEW36" s="1">
        <v>65</v>
      </c>
      <c r="JEX36" s="619" t="s">
        <v>2063</v>
      </c>
      <c r="JEY36" s="148" t="s">
        <v>2064</v>
      </c>
      <c r="JEZ36" s="9" t="s">
        <v>2065</v>
      </c>
      <c r="JFA36" s="619">
        <v>1</v>
      </c>
      <c r="JFB36" s="4">
        <v>1000000</v>
      </c>
      <c r="JFC36" s="4">
        <f>JFB36*JFA36</f>
        <v>1000000</v>
      </c>
      <c r="JFD36" s="9" t="s">
        <v>2066</v>
      </c>
      <c r="JFE36" s="1">
        <v>65</v>
      </c>
      <c r="JFF36" s="619" t="s">
        <v>2063</v>
      </c>
      <c r="JFG36" s="148" t="s">
        <v>2064</v>
      </c>
      <c r="JFH36" s="9" t="s">
        <v>2065</v>
      </c>
      <c r="JFI36" s="619">
        <v>1</v>
      </c>
      <c r="JFJ36" s="4">
        <v>1000000</v>
      </c>
      <c r="JFK36" s="4">
        <f>JFJ36*JFI36</f>
        <v>1000000</v>
      </c>
      <c r="JFL36" s="9" t="s">
        <v>2066</v>
      </c>
      <c r="JFM36" s="1">
        <v>65</v>
      </c>
      <c r="JFN36" s="619" t="s">
        <v>2063</v>
      </c>
      <c r="JFO36" s="148" t="s">
        <v>2064</v>
      </c>
      <c r="JFP36" s="9" t="s">
        <v>2065</v>
      </c>
      <c r="JFQ36" s="619">
        <v>1</v>
      </c>
      <c r="JFR36" s="4">
        <v>1000000</v>
      </c>
      <c r="JFS36" s="4">
        <f>JFR36*JFQ36</f>
        <v>1000000</v>
      </c>
      <c r="JFT36" s="9" t="s">
        <v>2066</v>
      </c>
      <c r="JFU36" s="1">
        <v>65</v>
      </c>
      <c r="JFV36" s="619" t="s">
        <v>2063</v>
      </c>
      <c r="JFW36" s="148" t="s">
        <v>2064</v>
      </c>
      <c r="JFX36" s="9" t="s">
        <v>2065</v>
      </c>
      <c r="JFY36" s="619">
        <v>1</v>
      </c>
      <c r="JFZ36" s="4">
        <v>1000000</v>
      </c>
      <c r="JGA36" s="4">
        <f>JFZ36*JFY36</f>
        <v>1000000</v>
      </c>
      <c r="JGB36" s="9" t="s">
        <v>2066</v>
      </c>
      <c r="JGC36" s="1">
        <v>65</v>
      </c>
      <c r="JGD36" s="619" t="s">
        <v>2063</v>
      </c>
      <c r="JGE36" s="148" t="s">
        <v>2064</v>
      </c>
      <c r="JGF36" s="9" t="s">
        <v>2065</v>
      </c>
      <c r="JGG36" s="619">
        <v>1</v>
      </c>
      <c r="JGH36" s="4">
        <v>1000000</v>
      </c>
      <c r="JGI36" s="4">
        <f>JGH36*JGG36</f>
        <v>1000000</v>
      </c>
      <c r="JGJ36" s="9" t="s">
        <v>2066</v>
      </c>
      <c r="JGK36" s="1">
        <v>65</v>
      </c>
      <c r="JGL36" s="619" t="s">
        <v>2063</v>
      </c>
      <c r="JGM36" s="148" t="s">
        <v>2064</v>
      </c>
      <c r="JGN36" s="9" t="s">
        <v>2065</v>
      </c>
      <c r="JGO36" s="619">
        <v>1</v>
      </c>
      <c r="JGP36" s="4">
        <v>1000000</v>
      </c>
      <c r="JGQ36" s="4">
        <f>JGP36*JGO36</f>
        <v>1000000</v>
      </c>
      <c r="JGR36" s="9" t="s">
        <v>2066</v>
      </c>
      <c r="JGS36" s="1">
        <v>65</v>
      </c>
      <c r="JGT36" s="619" t="s">
        <v>2063</v>
      </c>
      <c r="JGU36" s="148" t="s">
        <v>2064</v>
      </c>
      <c r="JGV36" s="9" t="s">
        <v>2065</v>
      </c>
      <c r="JGW36" s="619">
        <v>1</v>
      </c>
      <c r="JGX36" s="4">
        <v>1000000</v>
      </c>
      <c r="JGY36" s="4">
        <f>JGX36*JGW36</f>
        <v>1000000</v>
      </c>
      <c r="JGZ36" s="9" t="s">
        <v>2066</v>
      </c>
      <c r="JHA36" s="1">
        <v>65</v>
      </c>
      <c r="JHB36" s="619" t="s">
        <v>2063</v>
      </c>
      <c r="JHC36" s="148" t="s">
        <v>2064</v>
      </c>
      <c r="JHD36" s="9" t="s">
        <v>2065</v>
      </c>
      <c r="JHE36" s="619">
        <v>1</v>
      </c>
      <c r="JHF36" s="4">
        <v>1000000</v>
      </c>
      <c r="JHG36" s="4">
        <f>JHF36*JHE36</f>
        <v>1000000</v>
      </c>
      <c r="JHH36" s="9" t="s">
        <v>2066</v>
      </c>
      <c r="JHI36" s="1">
        <v>65</v>
      </c>
      <c r="JHJ36" s="619" t="s">
        <v>2063</v>
      </c>
      <c r="JHK36" s="148" t="s">
        <v>2064</v>
      </c>
      <c r="JHL36" s="9" t="s">
        <v>2065</v>
      </c>
      <c r="JHM36" s="619">
        <v>1</v>
      </c>
      <c r="JHN36" s="4">
        <v>1000000</v>
      </c>
      <c r="JHO36" s="4">
        <f>JHN36*JHM36</f>
        <v>1000000</v>
      </c>
      <c r="JHP36" s="9" t="s">
        <v>2066</v>
      </c>
      <c r="JHQ36" s="1">
        <v>65</v>
      </c>
      <c r="JHR36" s="619" t="s">
        <v>2063</v>
      </c>
      <c r="JHS36" s="148" t="s">
        <v>2064</v>
      </c>
      <c r="JHT36" s="9" t="s">
        <v>2065</v>
      </c>
      <c r="JHU36" s="619">
        <v>1</v>
      </c>
      <c r="JHV36" s="4">
        <v>1000000</v>
      </c>
      <c r="JHW36" s="4">
        <f>JHV36*JHU36</f>
        <v>1000000</v>
      </c>
      <c r="JHX36" s="9" t="s">
        <v>2066</v>
      </c>
      <c r="JHY36" s="1">
        <v>65</v>
      </c>
      <c r="JHZ36" s="619" t="s">
        <v>2063</v>
      </c>
      <c r="JIA36" s="148" t="s">
        <v>2064</v>
      </c>
      <c r="JIB36" s="9" t="s">
        <v>2065</v>
      </c>
      <c r="JIC36" s="619">
        <v>1</v>
      </c>
      <c r="JID36" s="4">
        <v>1000000</v>
      </c>
      <c r="JIE36" s="4">
        <f>JID36*JIC36</f>
        <v>1000000</v>
      </c>
      <c r="JIF36" s="9" t="s">
        <v>2066</v>
      </c>
      <c r="JIG36" s="1">
        <v>65</v>
      </c>
      <c r="JIH36" s="619" t="s">
        <v>2063</v>
      </c>
      <c r="JII36" s="148" t="s">
        <v>2064</v>
      </c>
      <c r="JIJ36" s="9" t="s">
        <v>2065</v>
      </c>
      <c r="JIK36" s="619">
        <v>1</v>
      </c>
      <c r="JIL36" s="4">
        <v>1000000</v>
      </c>
      <c r="JIM36" s="4">
        <f>JIL36*JIK36</f>
        <v>1000000</v>
      </c>
      <c r="JIN36" s="9" t="s">
        <v>2066</v>
      </c>
      <c r="JIO36" s="1">
        <v>65</v>
      </c>
      <c r="JIP36" s="619" t="s">
        <v>2063</v>
      </c>
      <c r="JIQ36" s="148" t="s">
        <v>2064</v>
      </c>
      <c r="JIR36" s="9" t="s">
        <v>2065</v>
      </c>
      <c r="JIS36" s="619">
        <v>1</v>
      </c>
      <c r="JIT36" s="4">
        <v>1000000</v>
      </c>
      <c r="JIU36" s="4">
        <f>JIT36*JIS36</f>
        <v>1000000</v>
      </c>
      <c r="JIV36" s="9" t="s">
        <v>2066</v>
      </c>
      <c r="JIW36" s="1">
        <v>65</v>
      </c>
      <c r="JIX36" s="619" t="s">
        <v>2063</v>
      </c>
      <c r="JIY36" s="148" t="s">
        <v>2064</v>
      </c>
      <c r="JIZ36" s="9" t="s">
        <v>2065</v>
      </c>
      <c r="JJA36" s="619">
        <v>1</v>
      </c>
      <c r="JJB36" s="4">
        <v>1000000</v>
      </c>
      <c r="JJC36" s="4">
        <f>JJB36*JJA36</f>
        <v>1000000</v>
      </c>
      <c r="JJD36" s="9" t="s">
        <v>2066</v>
      </c>
      <c r="JJE36" s="1">
        <v>65</v>
      </c>
      <c r="JJF36" s="619" t="s">
        <v>2063</v>
      </c>
      <c r="JJG36" s="148" t="s">
        <v>2064</v>
      </c>
      <c r="JJH36" s="9" t="s">
        <v>2065</v>
      </c>
      <c r="JJI36" s="619">
        <v>1</v>
      </c>
      <c r="JJJ36" s="4">
        <v>1000000</v>
      </c>
      <c r="JJK36" s="4">
        <f>JJJ36*JJI36</f>
        <v>1000000</v>
      </c>
      <c r="JJL36" s="9" t="s">
        <v>2066</v>
      </c>
      <c r="JJM36" s="1">
        <v>65</v>
      </c>
      <c r="JJN36" s="619" t="s">
        <v>2063</v>
      </c>
      <c r="JJO36" s="148" t="s">
        <v>2064</v>
      </c>
      <c r="JJP36" s="9" t="s">
        <v>2065</v>
      </c>
      <c r="JJQ36" s="619">
        <v>1</v>
      </c>
      <c r="JJR36" s="4">
        <v>1000000</v>
      </c>
      <c r="JJS36" s="4">
        <f>JJR36*JJQ36</f>
        <v>1000000</v>
      </c>
      <c r="JJT36" s="9" t="s">
        <v>2066</v>
      </c>
      <c r="JJU36" s="1">
        <v>65</v>
      </c>
      <c r="JJV36" s="619" t="s">
        <v>2063</v>
      </c>
      <c r="JJW36" s="148" t="s">
        <v>2064</v>
      </c>
      <c r="JJX36" s="9" t="s">
        <v>2065</v>
      </c>
      <c r="JJY36" s="619">
        <v>1</v>
      </c>
      <c r="JJZ36" s="4">
        <v>1000000</v>
      </c>
      <c r="JKA36" s="4">
        <f>JJZ36*JJY36</f>
        <v>1000000</v>
      </c>
      <c r="JKB36" s="9" t="s">
        <v>2066</v>
      </c>
      <c r="JKC36" s="1">
        <v>65</v>
      </c>
      <c r="JKD36" s="619" t="s">
        <v>2063</v>
      </c>
      <c r="JKE36" s="148" t="s">
        <v>2064</v>
      </c>
      <c r="JKF36" s="9" t="s">
        <v>2065</v>
      </c>
      <c r="JKG36" s="619">
        <v>1</v>
      </c>
      <c r="JKH36" s="4">
        <v>1000000</v>
      </c>
      <c r="JKI36" s="4">
        <f>JKH36*JKG36</f>
        <v>1000000</v>
      </c>
      <c r="JKJ36" s="9" t="s">
        <v>2066</v>
      </c>
      <c r="JKK36" s="1">
        <v>65</v>
      </c>
      <c r="JKL36" s="619" t="s">
        <v>2063</v>
      </c>
      <c r="JKM36" s="148" t="s">
        <v>2064</v>
      </c>
      <c r="JKN36" s="9" t="s">
        <v>2065</v>
      </c>
      <c r="JKO36" s="619">
        <v>1</v>
      </c>
      <c r="JKP36" s="4">
        <v>1000000</v>
      </c>
      <c r="JKQ36" s="4">
        <f>JKP36*JKO36</f>
        <v>1000000</v>
      </c>
      <c r="JKR36" s="9" t="s">
        <v>2066</v>
      </c>
      <c r="JKS36" s="1">
        <v>65</v>
      </c>
      <c r="JKT36" s="619" t="s">
        <v>2063</v>
      </c>
      <c r="JKU36" s="148" t="s">
        <v>2064</v>
      </c>
      <c r="JKV36" s="9" t="s">
        <v>2065</v>
      </c>
      <c r="JKW36" s="619">
        <v>1</v>
      </c>
      <c r="JKX36" s="4">
        <v>1000000</v>
      </c>
      <c r="JKY36" s="4">
        <f>JKX36*JKW36</f>
        <v>1000000</v>
      </c>
      <c r="JKZ36" s="9" t="s">
        <v>2066</v>
      </c>
      <c r="JLA36" s="1">
        <v>65</v>
      </c>
      <c r="JLB36" s="619" t="s">
        <v>2063</v>
      </c>
      <c r="JLC36" s="148" t="s">
        <v>2064</v>
      </c>
      <c r="JLD36" s="9" t="s">
        <v>2065</v>
      </c>
      <c r="JLE36" s="619">
        <v>1</v>
      </c>
      <c r="JLF36" s="4">
        <v>1000000</v>
      </c>
      <c r="JLG36" s="4">
        <f>JLF36*JLE36</f>
        <v>1000000</v>
      </c>
      <c r="JLH36" s="9" t="s">
        <v>2066</v>
      </c>
      <c r="JLI36" s="1">
        <v>65</v>
      </c>
      <c r="JLJ36" s="619" t="s">
        <v>2063</v>
      </c>
      <c r="JLK36" s="148" t="s">
        <v>2064</v>
      </c>
      <c r="JLL36" s="9" t="s">
        <v>2065</v>
      </c>
      <c r="JLM36" s="619">
        <v>1</v>
      </c>
      <c r="JLN36" s="4">
        <v>1000000</v>
      </c>
      <c r="JLO36" s="4">
        <f>JLN36*JLM36</f>
        <v>1000000</v>
      </c>
      <c r="JLP36" s="9" t="s">
        <v>2066</v>
      </c>
      <c r="JLQ36" s="1">
        <v>65</v>
      </c>
      <c r="JLR36" s="619" t="s">
        <v>2063</v>
      </c>
      <c r="JLS36" s="148" t="s">
        <v>2064</v>
      </c>
      <c r="JLT36" s="9" t="s">
        <v>2065</v>
      </c>
      <c r="JLU36" s="619">
        <v>1</v>
      </c>
      <c r="JLV36" s="4">
        <v>1000000</v>
      </c>
      <c r="JLW36" s="4">
        <f>JLV36*JLU36</f>
        <v>1000000</v>
      </c>
      <c r="JLX36" s="9" t="s">
        <v>2066</v>
      </c>
      <c r="JLY36" s="1">
        <v>65</v>
      </c>
      <c r="JLZ36" s="619" t="s">
        <v>2063</v>
      </c>
      <c r="JMA36" s="148" t="s">
        <v>2064</v>
      </c>
      <c r="JMB36" s="9" t="s">
        <v>2065</v>
      </c>
      <c r="JMC36" s="619">
        <v>1</v>
      </c>
      <c r="JMD36" s="4">
        <v>1000000</v>
      </c>
      <c r="JME36" s="4">
        <f>JMD36*JMC36</f>
        <v>1000000</v>
      </c>
      <c r="JMF36" s="9" t="s">
        <v>2066</v>
      </c>
      <c r="JMG36" s="1">
        <v>65</v>
      </c>
      <c r="JMH36" s="619" t="s">
        <v>2063</v>
      </c>
      <c r="JMI36" s="148" t="s">
        <v>2064</v>
      </c>
      <c r="JMJ36" s="9" t="s">
        <v>2065</v>
      </c>
      <c r="JMK36" s="619">
        <v>1</v>
      </c>
      <c r="JML36" s="4">
        <v>1000000</v>
      </c>
      <c r="JMM36" s="4">
        <f>JML36*JMK36</f>
        <v>1000000</v>
      </c>
      <c r="JMN36" s="9" t="s">
        <v>2066</v>
      </c>
      <c r="JMO36" s="1">
        <v>65</v>
      </c>
      <c r="JMP36" s="619" t="s">
        <v>2063</v>
      </c>
      <c r="JMQ36" s="148" t="s">
        <v>2064</v>
      </c>
      <c r="JMR36" s="9" t="s">
        <v>2065</v>
      </c>
      <c r="JMS36" s="619">
        <v>1</v>
      </c>
      <c r="JMT36" s="4">
        <v>1000000</v>
      </c>
      <c r="JMU36" s="4">
        <f>JMT36*JMS36</f>
        <v>1000000</v>
      </c>
      <c r="JMV36" s="9" t="s">
        <v>2066</v>
      </c>
      <c r="JMW36" s="1">
        <v>65</v>
      </c>
      <c r="JMX36" s="619" t="s">
        <v>2063</v>
      </c>
      <c r="JMY36" s="148" t="s">
        <v>2064</v>
      </c>
      <c r="JMZ36" s="9" t="s">
        <v>2065</v>
      </c>
      <c r="JNA36" s="619">
        <v>1</v>
      </c>
      <c r="JNB36" s="4">
        <v>1000000</v>
      </c>
      <c r="JNC36" s="4">
        <f>JNB36*JNA36</f>
        <v>1000000</v>
      </c>
      <c r="JND36" s="9" t="s">
        <v>2066</v>
      </c>
      <c r="JNE36" s="1">
        <v>65</v>
      </c>
      <c r="JNF36" s="619" t="s">
        <v>2063</v>
      </c>
      <c r="JNG36" s="148" t="s">
        <v>2064</v>
      </c>
      <c r="JNH36" s="9" t="s">
        <v>2065</v>
      </c>
      <c r="JNI36" s="619">
        <v>1</v>
      </c>
      <c r="JNJ36" s="4">
        <v>1000000</v>
      </c>
      <c r="JNK36" s="4">
        <f>JNJ36*JNI36</f>
        <v>1000000</v>
      </c>
      <c r="JNL36" s="9" t="s">
        <v>2066</v>
      </c>
      <c r="JNM36" s="1">
        <v>65</v>
      </c>
      <c r="JNN36" s="619" t="s">
        <v>2063</v>
      </c>
      <c r="JNO36" s="148" t="s">
        <v>2064</v>
      </c>
      <c r="JNP36" s="9" t="s">
        <v>2065</v>
      </c>
      <c r="JNQ36" s="619">
        <v>1</v>
      </c>
      <c r="JNR36" s="4">
        <v>1000000</v>
      </c>
      <c r="JNS36" s="4">
        <f>JNR36*JNQ36</f>
        <v>1000000</v>
      </c>
      <c r="JNT36" s="9" t="s">
        <v>2066</v>
      </c>
      <c r="JNU36" s="1">
        <v>65</v>
      </c>
      <c r="JNV36" s="619" t="s">
        <v>2063</v>
      </c>
      <c r="JNW36" s="148" t="s">
        <v>2064</v>
      </c>
      <c r="JNX36" s="9" t="s">
        <v>2065</v>
      </c>
      <c r="JNY36" s="619">
        <v>1</v>
      </c>
      <c r="JNZ36" s="4">
        <v>1000000</v>
      </c>
      <c r="JOA36" s="4">
        <f>JNZ36*JNY36</f>
        <v>1000000</v>
      </c>
      <c r="JOB36" s="9" t="s">
        <v>2066</v>
      </c>
      <c r="JOC36" s="1">
        <v>65</v>
      </c>
      <c r="JOD36" s="619" t="s">
        <v>2063</v>
      </c>
      <c r="JOE36" s="148" t="s">
        <v>2064</v>
      </c>
      <c r="JOF36" s="9" t="s">
        <v>2065</v>
      </c>
      <c r="JOG36" s="619">
        <v>1</v>
      </c>
      <c r="JOH36" s="4">
        <v>1000000</v>
      </c>
      <c r="JOI36" s="4">
        <f>JOH36*JOG36</f>
        <v>1000000</v>
      </c>
      <c r="JOJ36" s="9" t="s">
        <v>2066</v>
      </c>
      <c r="JOK36" s="1">
        <v>65</v>
      </c>
      <c r="JOL36" s="619" t="s">
        <v>2063</v>
      </c>
      <c r="JOM36" s="148" t="s">
        <v>2064</v>
      </c>
      <c r="JON36" s="9" t="s">
        <v>2065</v>
      </c>
      <c r="JOO36" s="619">
        <v>1</v>
      </c>
      <c r="JOP36" s="4">
        <v>1000000</v>
      </c>
      <c r="JOQ36" s="4">
        <f>JOP36*JOO36</f>
        <v>1000000</v>
      </c>
      <c r="JOR36" s="9" t="s">
        <v>2066</v>
      </c>
      <c r="JOS36" s="1">
        <v>65</v>
      </c>
      <c r="JOT36" s="619" t="s">
        <v>2063</v>
      </c>
      <c r="JOU36" s="148" t="s">
        <v>2064</v>
      </c>
      <c r="JOV36" s="9" t="s">
        <v>2065</v>
      </c>
      <c r="JOW36" s="619">
        <v>1</v>
      </c>
      <c r="JOX36" s="4">
        <v>1000000</v>
      </c>
      <c r="JOY36" s="4">
        <f>JOX36*JOW36</f>
        <v>1000000</v>
      </c>
      <c r="JOZ36" s="9" t="s">
        <v>2066</v>
      </c>
      <c r="JPA36" s="1">
        <v>65</v>
      </c>
      <c r="JPB36" s="619" t="s">
        <v>2063</v>
      </c>
      <c r="JPC36" s="148" t="s">
        <v>2064</v>
      </c>
      <c r="JPD36" s="9" t="s">
        <v>2065</v>
      </c>
      <c r="JPE36" s="619">
        <v>1</v>
      </c>
      <c r="JPF36" s="4">
        <v>1000000</v>
      </c>
      <c r="JPG36" s="4">
        <f>JPF36*JPE36</f>
        <v>1000000</v>
      </c>
      <c r="JPH36" s="9" t="s">
        <v>2066</v>
      </c>
      <c r="JPI36" s="1">
        <v>65</v>
      </c>
      <c r="JPJ36" s="619" t="s">
        <v>2063</v>
      </c>
      <c r="JPK36" s="148" t="s">
        <v>2064</v>
      </c>
      <c r="JPL36" s="9" t="s">
        <v>2065</v>
      </c>
      <c r="JPM36" s="619">
        <v>1</v>
      </c>
      <c r="JPN36" s="4">
        <v>1000000</v>
      </c>
      <c r="JPO36" s="4">
        <f>JPN36*JPM36</f>
        <v>1000000</v>
      </c>
      <c r="JPP36" s="9" t="s">
        <v>2066</v>
      </c>
      <c r="JPQ36" s="1">
        <v>65</v>
      </c>
      <c r="JPR36" s="619" t="s">
        <v>2063</v>
      </c>
      <c r="JPS36" s="148" t="s">
        <v>2064</v>
      </c>
      <c r="JPT36" s="9" t="s">
        <v>2065</v>
      </c>
      <c r="JPU36" s="619">
        <v>1</v>
      </c>
      <c r="JPV36" s="4">
        <v>1000000</v>
      </c>
      <c r="JPW36" s="4">
        <f>JPV36*JPU36</f>
        <v>1000000</v>
      </c>
      <c r="JPX36" s="9" t="s">
        <v>2066</v>
      </c>
      <c r="JPY36" s="1">
        <v>65</v>
      </c>
      <c r="JPZ36" s="619" t="s">
        <v>2063</v>
      </c>
      <c r="JQA36" s="148" t="s">
        <v>2064</v>
      </c>
      <c r="JQB36" s="9" t="s">
        <v>2065</v>
      </c>
      <c r="JQC36" s="619">
        <v>1</v>
      </c>
      <c r="JQD36" s="4">
        <v>1000000</v>
      </c>
      <c r="JQE36" s="4">
        <f>JQD36*JQC36</f>
        <v>1000000</v>
      </c>
      <c r="JQF36" s="9" t="s">
        <v>2066</v>
      </c>
      <c r="JQG36" s="1">
        <v>65</v>
      </c>
      <c r="JQH36" s="619" t="s">
        <v>2063</v>
      </c>
      <c r="JQI36" s="148" t="s">
        <v>2064</v>
      </c>
      <c r="JQJ36" s="9" t="s">
        <v>2065</v>
      </c>
      <c r="JQK36" s="619">
        <v>1</v>
      </c>
      <c r="JQL36" s="4">
        <v>1000000</v>
      </c>
      <c r="JQM36" s="4">
        <f>JQL36*JQK36</f>
        <v>1000000</v>
      </c>
      <c r="JQN36" s="9" t="s">
        <v>2066</v>
      </c>
      <c r="JQO36" s="1">
        <v>65</v>
      </c>
      <c r="JQP36" s="619" t="s">
        <v>2063</v>
      </c>
      <c r="JQQ36" s="148" t="s">
        <v>2064</v>
      </c>
      <c r="JQR36" s="9" t="s">
        <v>2065</v>
      </c>
      <c r="JQS36" s="619">
        <v>1</v>
      </c>
      <c r="JQT36" s="4">
        <v>1000000</v>
      </c>
      <c r="JQU36" s="4">
        <f>JQT36*JQS36</f>
        <v>1000000</v>
      </c>
      <c r="JQV36" s="9" t="s">
        <v>2066</v>
      </c>
      <c r="JQW36" s="1">
        <v>65</v>
      </c>
      <c r="JQX36" s="619" t="s">
        <v>2063</v>
      </c>
      <c r="JQY36" s="148" t="s">
        <v>2064</v>
      </c>
      <c r="JQZ36" s="9" t="s">
        <v>2065</v>
      </c>
      <c r="JRA36" s="619">
        <v>1</v>
      </c>
      <c r="JRB36" s="4">
        <v>1000000</v>
      </c>
      <c r="JRC36" s="4">
        <f>JRB36*JRA36</f>
        <v>1000000</v>
      </c>
      <c r="JRD36" s="9" t="s">
        <v>2066</v>
      </c>
      <c r="JRE36" s="1">
        <v>65</v>
      </c>
      <c r="JRF36" s="619" t="s">
        <v>2063</v>
      </c>
      <c r="JRG36" s="148" t="s">
        <v>2064</v>
      </c>
      <c r="JRH36" s="9" t="s">
        <v>2065</v>
      </c>
      <c r="JRI36" s="619">
        <v>1</v>
      </c>
      <c r="JRJ36" s="4">
        <v>1000000</v>
      </c>
      <c r="JRK36" s="4">
        <f>JRJ36*JRI36</f>
        <v>1000000</v>
      </c>
      <c r="JRL36" s="9" t="s">
        <v>2066</v>
      </c>
      <c r="JRM36" s="1">
        <v>65</v>
      </c>
      <c r="JRN36" s="619" t="s">
        <v>2063</v>
      </c>
      <c r="JRO36" s="148" t="s">
        <v>2064</v>
      </c>
      <c r="JRP36" s="9" t="s">
        <v>2065</v>
      </c>
      <c r="JRQ36" s="619">
        <v>1</v>
      </c>
      <c r="JRR36" s="4">
        <v>1000000</v>
      </c>
      <c r="JRS36" s="4">
        <f>JRR36*JRQ36</f>
        <v>1000000</v>
      </c>
      <c r="JRT36" s="9" t="s">
        <v>2066</v>
      </c>
      <c r="JRU36" s="1">
        <v>65</v>
      </c>
      <c r="JRV36" s="619" t="s">
        <v>2063</v>
      </c>
      <c r="JRW36" s="148" t="s">
        <v>2064</v>
      </c>
      <c r="JRX36" s="9" t="s">
        <v>2065</v>
      </c>
      <c r="JRY36" s="619">
        <v>1</v>
      </c>
      <c r="JRZ36" s="4">
        <v>1000000</v>
      </c>
      <c r="JSA36" s="4">
        <f>JRZ36*JRY36</f>
        <v>1000000</v>
      </c>
      <c r="JSB36" s="9" t="s">
        <v>2066</v>
      </c>
      <c r="JSC36" s="1">
        <v>65</v>
      </c>
      <c r="JSD36" s="619" t="s">
        <v>2063</v>
      </c>
      <c r="JSE36" s="148" t="s">
        <v>2064</v>
      </c>
      <c r="JSF36" s="9" t="s">
        <v>2065</v>
      </c>
      <c r="JSG36" s="619">
        <v>1</v>
      </c>
      <c r="JSH36" s="4">
        <v>1000000</v>
      </c>
      <c r="JSI36" s="4">
        <f>JSH36*JSG36</f>
        <v>1000000</v>
      </c>
      <c r="JSJ36" s="9" t="s">
        <v>2066</v>
      </c>
      <c r="JSK36" s="1">
        <v>65</v>
      </c>
      <c r="JSL36" s="619" t="s">
        <v>2063</v>
      </c>
      <c r="JSM36" s="148" t="s">
        <v>2064</v>
      </c>
      <c r="JSN36" s="9" t="s">
        <v>2065</v>
      </c>
      <c r="JSO36" s="619">
        <v>1</v>
      </c>
      <c r="JSP36" s="4">
        <v>1000000</v>
      </c>
      <c r="JSQ36" s="4">
        <f>JSP36*JSO36</f>
        <v>1000000</v>
      </c>
      <c r="JSR36" s="9" t="s">
        <v>2066</v>
      </c>
      <c r="JSS36" s="1">
        <v>65</v>
      </c>
      <c r="JST36" s="619" t="s">
        <v>2063</v>
      </c>
      <c r="JSU36" s="148" t="s">
        <v>2064</v>
      </c>
      <c r="JSV36" s="9" t="s">
        <v>2065</v>
      </c>
      <c r="JSW36" s="619">
        <v>1</v>
      </c>
      <c r="JSX36" s="4">
        <v>1000000</v>
      </c>
      <c r="JSY36" s="4">
        <f>JSX36*JSW36</f>
        <v>1000000</v>
      </c>
      <c r="JSZ36" s="9" t="s">
        <v>2066</v>
      </c>
      <c r="JTA36" s="1">
        <v>65</v>
      </c>
      <c r="JTB36" s="619" t="s">
        <v>2063</v>
      </c>
      <c r="JTC36" s="148" t="s">
        <v>2064</v>
      </c>
      <c r="JTD36" s="9" t="s">
        <v>2065</v>
      </c>
      <c r="JTE36" s="619">
        <v>1</v>
      </c>
      <c r="JTF36" s="4">
        <v>1000000</v>
      </c>
      <c r="JTG36" s="4">
        <f>JTF36*JTE36</f>
        <v>1000000</v>
      </c>
      <c r="JTH36" s="9" t="s">
        <v>2066</v>
      </c>
      <c r="JTI36" s="1">
        <v>65</v>
      </c>
      <c r="JTJ36" s="619" t="s">
        <v>2063</v>
      </c>
      <c r="JTK36" s="148" t="s">
        <v>2064</v>
      </c>
      <c r="JTL36" s="9" t="s">
        <v>2065</v>
      </c>
      <c r="JTM36" s="619">
        <v>1</v>
      </c>
      <c r="JTN36" s="4">
        <v>1000000</v>
      </c>
      <c r="JTO36" s="4">
        <f>JTN36*JTM36</f>
        <v>1000000</v>
      </c>
      <c r="JTP36" s="9" t="s">
        <v>2066</v>
      </c>
      <c r="JTQ36" s="1">
        <v>65</v>
      </c>
      <c r="JTR36" s="619" t="s">
        <v>2063</v>
      </c>
      <c r="JTS36" s="148" t="s">
        <v>2064</v>
      </c>
      <c r="JTT36" s="9" t="s">
        <v>2065</v>
      </c>
      <c r="JTU36" s="619">
        <v>1</v>
      </c>
      <c r="JTV36" s="4">
        <v>1000000</v>
      </c>
      <c r="JTW36" s="4">
        <f>JTV36*JTU36</f>
        <v>1000000</v>
      </c>
      <c r="JTX36" s="9" t="s">
        <v>2066</v>
      </c>
      <c r="JTY36" s="1">
        <v>65</v>
      </c>
      <c r="JTZ36" s="619" t="s">
        <v>2063</v>
      </c>
      <c r="JUA36" s="148" t="s">
        <v>2064</v>
      </c>
      <c r="JUB36" s="9" t="s">
        <v>2065</v>
      </c>
      <c r="JUC36" s="619">
        <v>1</v>
      </c>
      <c r="JUD36" s="4">
        <v>1000000</v>
      </c>
      <c r="JUE36" s="4">
        <f>JUD36*JUC36</f>
        <v>1000000</v>
      </c>
      <c r="JUF36" s="9" t="s">
        <v>2066</v>
      </c>
      <c r="JUG36" s="1">
        <v>65</v>
      </c>
      <c r="JUH36" s="619" t="s">
        <v>2063</v>
      </c>
      <c r="JUI36" s="148" t="s">
        <v>2064</v>
      </c>
      <c r="JUJ36" s="9" t="s">
        <v>2065</v>
      </c>
      <c r="JUK36" s="619">
        <v>1</v>
      </c>
      <c r="JUL36" s="4">
        <v>1000000</v>
      </c>
      <c r="JUM36" s="4">
        <f>JUL36*JUK36</f>
        <v>1000000</v>
      </c>
      <c r="JUN36" s="9" t="s">
        <v>2066</v>
      </c>
      <c r="JUO36" s="1">
        <v>65</v>
      </c>
      <c r="JUP36" s="619" t="s">
        <v>2063</v>
      </c>
      <c r="JUQ36" s="148" t="s">
        <v>2064</v>
      </c>
      <c r="JUR36" s="9" t="s">
        <v>2065</v>
      </c>
      <c r="JUS36" s="619">
        <v>1</v>
      </c>
      <c r="JUT36" s="4">
        <v>1000000</v>
      </c>
      <c r="JUU36" s="4">
        <f>JUT36*JUS36</f>
        <v>1000000</v>
      </c>
      <c r="JUV36" s="9" t="s">
        <v>2066</v>
      </c>
      <c r="JUW36" s="1">
        <v>65</v>
      </c>
      <c r="JUX36" s="619" t="s">
        <v>2063</v>
      </c>
      <c r="JUY36" s="148" t="s">
        <v>2064</v>
      </c>
      <c r="JUZ36" s="9" t="s">
        <v>2065</v>
      </c>
      <c r="JVA36" s="619">
        <v>1</v>
      </c>
      <c r="JVB36" s="4">
        <v>1000000</v>
      </c>
      <c r="JVC36" s="4">
        <f>JVB36*JVA36</f>
        <v>1000000</v>
      </c>
      <c r="JVD36" s="9" t="s">
        <v>2066</v>
      </c>
      <c r="JVE36" s="1">
        <v>65</v>
      </c>
      <c r="JVF36" s="619" t="s">
        <v>2063</v>
      </c>
      <c r="JVG36" s="148" t="s">
        <v>2064</v>
      </c>
      <c r="JVH36" s="9" t="s">
        <v>2065</v>
      </c>
      <c r="JVI36" s="619">
        <v>1</v>
      </c>
      <c r="JVJ36" s="4">
        <v>1000000</v>
      </c>
      <c r="JVK36" s="4">
        <f>JVJ36*JVI36</f>
        <v>1000000</v>
      </c>
      <c r="JVL36" s="9" t="s">
        <v>2066</v>
      </c>
      <c r="JVM36" s="1">
        <v>65</v>
      </c>
      <c r="JVN36" s="619" t="s">
        <v>2063</v>
      </c>
      <c r="JVO36" s="148" t="s">
        <v>2064</v>
      </c>
      <c r="JVP36" s="9" t="s">
        <v>2065</v>
      </c>
      <c r="JVQ36" s="619">
        <v>1</v>
      </c>
      <c r="JVR36" s="4">
        <v>1000000</v>
      </c>
      <c r="JVS36" s="4">
        <f>JVR36*JVQ36</f>
        <v>1000000</v>
      </c>
      <c r="JVT36" s="9" t="s">
        <v>2066</v>
      </c>
      <c r="JVU36" s="1">
        <v>65</v>
      </c>
      <c r="JVV36" s="619" t="s">
        <v>2063</v>
      </c>
      <c r="JVW36" s="148" t="s">
        <v>2064</v>
      </c>
      <c r="JVX36" s="9" t="s">
        <v>2065</v>
      </c>
      <c r="JVY36" s="619">
        <v>1</v>
      </c>
      <c r="JVZ36" s="4">
        <v>1000000</v>
      </c>
      <c r="JWA36" s="4">
        <f>JVZ36*JVY36</f>
        <v>1000000</v>
      </c>
      <c r="JWB36" s="9" t="s">
        <v>2066</v>
      </c>
      <c r="JWC36" s="1">
        <v>65</v>
      </c>
      <c r="JWD36" s="619" t="s">
        <v>2063</v>
      </c>
      <c r="JWE36" s="148" t="s">
        <v>2064</v>
      </c>
      <c r="JWF36" s="9" t="s">
        <v>2065</v>
      </c>
      <c r="JWG36" s="619">
        <v>1</v>
      </c>
      <c r="JWH36" s="4">
        <v>1000000</v>
      </c>
      <c r="JWI36" s="4">
        <f>JWH36*JWG36</f>
        <v>1000000</v>
      </c>
      <c r="JWJ36" s="9" t="s">
        <v>2066</v>
      </c>
      <c r="JWK36" s="1">
        <v>65</v>
      </c>
      <c r="JWL36" s="619" t="s">
        <v>2063</v>
      </c>
      <c r="JWM36" s="148" t="s">
        <v>2064</v>
      </c>
      <c r="JWN36" s="9" t="s">
        <v>2065</v>
      </c>
      <c r="JWO36" s="619">
        <v>1</v>
      </c>
      <c r="JWP36" s="4">
        <v>1000000</v>
      </c>
      <c r="JWQ36" s="4">
        <f>JWP36*JWO36</f>
        <v>1000000</v>
      </c>
      <c r="JWR36" s="9" t="s">
        <v>2066</v>
      </c>
      <c r="JWS36" s="1">
        <v>65</v>
      </c>
      <c r="JWT36" s="619" t="s">
        <v>2063</v>
      </c>
      <c r="JWU36" s="148" t="s">
        <v>2064</v>
      </c>
      <c r="JWV36" s="9" t="s">
        <v>2065</v>
      </c>
      <c r="JWW36" s="619">
        <v>1</v>
      </c>
      <c r="JWX36" s="4">
        <v>1000000</v>
      </c>
      <c r="JWY36" s="4">
        <f>JWX36*JWW36</f>
        <v>1000000</v>
      </c>
      <c r="JWZ36" s="9" t="s">
        <v>2066</v>
      </c>
      <c r="JXA36" s="1">
        <v>65</v>
      </c>
      <c r="JXB36" s="619" t="s">
        <v>2063</v>
      </c>
      <c r="JXC36" s="148" t="s">
        <v>2064</v>
      </c>
      <c r="JXD36" s="9" t="s">
        <v>2065</v>
      </c>
      <c r="JXE36" s="619">
        <v>1</v>
      </c>
      <c r="JXF36" s="4">
        <v>1000000</v>
      </c>
      <c r="JXG36" s="4">
        <f>JXF36*JXE36</f>
        <v>1000000</v>
      </c>
      <c r="JXH36" s="9" t="s">
        <v>2066</v>
      </c>
      <c r="JXI36" s="1">
        <v>65</v>
      </c>
      <c r="JXJ36" s="619" t="s">
        <v>2063</v>
      </c>
      <c r="JXK36" s="148" t="s">
        <v>2064</v>
      </c>
      <c r="JXL36" s="9" t="s">
        <v>2065</v>
      </c>
      <c r="JXM36" s="619">
        <v>1</v>
      </c>
      <c r="JXN36" s="4">
        <v>1000000</v>
      </c>
      <c r="JXO36" s="4">
        <f>JXN36*JXM36</f>
        <v>1000000</v>
      </c>
      <c r="JXP36" s="9" t="s">
        <v>2066</v>
      </c>
      <c r="JXQ36" s="1">
        <v>65</v>
      </c>
      <c r="JXR36" s="619" t="s">
        <v>2063</v>
      </c>
      <c r="JXS36" s="148" t="s">
        <v>2064</v>
      </c>
      <c r="JXT36" s="9" t="s">
        <v>2065</v>
      </c>
      <c r="JXU36" s="619">
        <v>1</v>
      </c>
      <c r="JXV36" s="4">
        <v>1000000</v>
      </c>
      <c r="JXW36" s="4">
        <f>JXV36*JXU36</f>
        <v>1000000</v>
      </c>
      <c r="JXX36" s="9" t="s">
        <v>2066</v>
      </c>
      <c r="JXY36" s="1">
        <v>65</v>
      </c>
      <c r="JXZ36" s="619" t="s">
        <v>2063</v>
      </c>
      <c r="JYA36" s="148" t="s">
        <v>2064</v>
      </c>
      <c r="JYB36" s="9" t="s">
        <v>2065</v>
      </c>
      <c r="JYC36" s="619">
        <v>1</v>
      </c>
      <c r="JYD36" s="4">
        <v>1000000</v>
      </c>
      <c r="JYE36" s="4">
        <f>JYD36*JYC36</f>
        <v>1000000</v>
      </c>
      <c r="JYF36" s="9" t="s">
        <v>2066</v>
      </c>
      <c r="JYG36" s="1">
        <v>65</v>
      </c>
      <c r="JYH36" s="619" t="s">
        <v>2063</v>
      </c>
      <c r="JYI36" s="148" t="s">
        <v>2064</v>
      </c>
      <c r="JYJ36" s="9" t="s">
        <v>2065</v>
      </c>
      <c r="JYK36" s="619">
        <v>1</v>
      </c>
      <c r="JYL36" s="4">
        <v>1000000</v>
      </c>
      <c r="JYM36" s="4">
        <f>JYL36*JYK36</f>
        <v>1000000</v>
      </c>
      <c r="JYN36" s="9" t="s">
        <v>2066</v>
      </c>
      <c r="JYO36" s="1">
        <v>65</v>
      </c>
      <c r="JYP36" s="619" t="s">
        <v>2063</v>
      </c>
      <c r="JYQ36" s="148" t="s">
        <v>2064</v>
      </c>
      <c r="JYR36" s="9" t="s">
        <v>2065</v>
      </c>
      <c r="JYS36" s="619">
        <v>1</v>
      </c>
      <c r="JYT36" s="4">
        <v>1000000</v>
      </c>
      <c r="JYU36" s="4">
        <f>JYT36*JYS36</f>
        <v>1000000</v>
      </c>
      <c r="JYV36" s="9" t="s">
        <v>2066</v>
      </c>
      <c r="JYW36" s="1">
        <v>65</v>
      </c>
      <c r="JYX36" s="619" t="s">
        <v>2063</v>
      </c>
      <c r="JYY36" s="148" t="s">
        <v>2064</v>
      </c>
      <c r="JYZ36" s="9" t="s">
        <v>2065</v>
      </c>
      <c r="JZA36" s="619">
        <v>1</v>
      </c>
      <c r="JZB36" s="4">
        <v>1000000</v>
      </c>
      <c r="JZC36" s="4">
        <f>JZB36*JZA36</f>
        <v>1000000</v>
      </c>
      <c r="JZD36" s="9" t="s">
        <v>2066</v>
      </c>
      <c r="JZE36" s="1">
        <v>65</v>
      </c>
      <c r="JZF36" s="619" t="s">
        <v>2063</v>
      </c>
      <c r="JZG36" s="148" t="s">
        <v>2064</v>
      </c>
      <c r="JZH36" s="9" t="s">
        <v>2065</v>
      </c>
      <c r="JZI36" s="619">
        <v>1</v>
      </c>
      <c r="JZJ36" s="4">
        <v>1000000</v>
      </c>
      <c r="JZK36" s="4">
        <f>JZJ36*JZI36</f>
        <v>1000000</v>
      </c>
      <c r="JZL36" s="9" t="s">
        <v>2066</v>
      </c>
      <c r="JZM36" s="1">
        <v>65</v>
      </c>
      <c r="JZN36" s="619" t="s">
        <v>2063</v>
      </c>
      <c r="JZO36" s="148" t="s">
        <v>2064</v>
      </c>
      <c r="JZP36" s="9" t="s">
        <v>2065</v>
      </c>
      <c r="JZQ36" s="619">
        <v>1</v>
      </c>
      <c r="JZR36" s="4">
        <v>1000000</v>
      </c>
      <c r="JZS36" s="4">
        <f>JZR36*JZQ36</f>
        <v>1000000</v>
      </c>
      <c r="JZT36" s="9" t="s">
        <v>2066</v>
      </c>
      <c r="JZU36" s="1">
        <v>65</v>
      </c>
      <c r="JZV36" s="619" t="s">
        <v>2063</v>
      </c>
      <c r="JZW36" s="148" t="s">
        <v>2064</v>
      </c>
      <c r="JZX36" s="9" t="s">
        <v>2065</v>
      </c>
      <c r="JZY36" s="619">
        <v>1</v>
      </c>
      <c r="JZZ36" s="4">
        <v>1000000</v>
      </c>
      <c r="KAA36" s="4">
        <f>JZZ36*JZY36</f>
        <v>1000000</v>
      </c>
      <c r="KAB36" s="9" t="s">
        <v>2066</v>
      </c>
      <c r="KAC36" s="1">
        <v>65</v>
      </c>
      <c r="KAD36" s="619" t="s">
        <v>2063</v>
      </c>
      <c r="KAE36" s="148" t="s">
        <v>2064</v>
      </c>
      <c r="KAF36" s="9" t="s">
        <v>2065</v>
      </c>
      <c r="KAG36" s="619">
        <v>1</v>
      </c>
      <c r="KAH36" s="4">
        <v>1000000</v>
      </c>
      <c r="KAI36" s="4">
        <f>KAH36*KAG36</f>
        <v>1000000</v>
      </c>
      <c r="KAJ36" s="9" t="s">
        <v>2066</v>
      </c>
      <c r="KAK36" s="1">
        <v>65</v>
      </c>
      <c r="KAL36" s="619" t="s">
        <v>2063</v>
      </c>
      <c r="KAM36" s="148" t="s">
        <v>2064</v>
      </c>
      <c r="KAN36" s="9" t="s">
        <v>2065</v>
      </c>
      <c r="KAO36" s="619">
        <v>1</v>
      </c>
      <c r="KAP36" s="4">
        <v>1000000</v>
      </c>
      <c r="KAQ36" s="4">
        <f>KAP36*KAO36</f>
        <v>1000000</v>
      </c>
      <c r="KAR36" s="9" t="s">
        <v>2066</v>
      </c>
      <c r="KAS36" s="1">
        <v>65</v>
      </c>
      <c r="KAT36" s="619" t="s">
        <v>2063</v>
      </c>
      <c r="KAU36" s="148" t="s">
        <v>2064</v>
      </c>
      <c r="KAV36" s="9" t="s">
        <v>2065</v>
      </c>
      <c r="KAW36" s="619">
        <v>1</v>
      </c>
      <c r="KAX36" s="4">
        <v>1000000</v>
      </c>
      <c r="KAY36" s="4">
        <f>KAX36*KAW36</f>
        <v>1000000</v>
      </c>
      <c r="KAZ36" s="9" t="s">
        <v>2066</v>
      </c>
      <c r="KBA36" s="1">
        <v>65</v>
      </c>
      <c r="KBB36" s="619" t="s">
        <v>2063</v>
      </c>
      <c r="KBC36" s="148" t="s">
        <v>2064</v>
      </c>
      <c r="KBD36" s="9" t="s">
        <v>2065</v>
      </c>
      <c r="KBE36" s="619">
        <v>1</v>
      </c>
      <c r="KBF36" s="4">
        <v>1000000</v>
      </c>
      <c r="KBG36" s="4">
        <f>KBF36*KBE36</f>
        <v>1000000</v>
      </c>
      <c r="KBH36" s="9" t="s">
        <v>2066</v>
      </c>
      <c r="KBI36" s="1">
        <v>65</v>
      </c>
      <c r="KBJ36" s="619" t="s">
        <v>2063</v>
      </c>
      <c r="KBK36" s="148" t="s">
        <v>2064</v>
      </c>
      <c r="KBL36" s="9" t="s">
        <v>2065</v>
      </c>
      <c r="KBM36" s="619">
        <v>1</v>
      </c>
      <c r="KBN36" s="4">
        <v>1000000</v>
      </c>
      <c r="KBO36" s="4">
        <f>KBN36*KBM36</f>
        <v>1000000</v>
      </c>
      <c r="KBP36" s="9" t="s">
        <v>2066</v>
      </c>
      <c r="KBQ36" s="1">
        <v>65</v>
      </c>
      <c r="KBR36" s="619" t="s">
        <v>2063</v>
      </c>
      <c r="KBS36" s="148" t="s">
        <v>2064</v>
      </c>
      <c r="KBT36" s="9" t="s">
        <v>2065</v>
      </c>
      <c r="KBU36" s="619">
        <v>1</v>
      </c>
      <c r="KBV36" s="4">
        <v>1000000</v>
      </c>
      <c r="KBW36" s="4">
        <f>KBV36*KBU36</f>
        <v>1000000</v>
      </c>
      <c r="KBX36" s="9" t="s">
        <v>2066</v>
      </c>
      <c r="KBY36" s="1">
        <v>65</v>
      </c>
      <c r="KBZ36" s="619" t="s">
        <v>2063</v>
      </c>
      <c r="KCA36" s="148" t="s">
        <v>2064</v>
      </c>
      <c r="KCB36" s="9" t="s">
        <v>2065</v>
      </c>
      <c r="KCC36" s="619">
        <v>1</v>
      </c>
      <c r="KCD36" s="4">
        <v>1000000</v>
      </c>
      <c r="KCE36" s="4">
        <f>KCD36*KCC36</f>
        <v>1000000</v>
      </c>
      <c r="KCF36" s="9" t="s">
        <v>2066</v>
      </c>
      <c r="KCG36" s="1">
        <v>65</v>
      </c>
      <c r="KCH36" s="619" t="s">
        <v>2063</v>
      </c>
      <c r="KCI36" s="148" t="s">
        <v>2064</v>
      </c>
      <c r="KCJ36" s="9" t="s">
        <v>2065</v>
      </c>
      <c r="KCK36" s="619">
        <v>1</v>
      </c>
      <c r="KCL36" s="4">
        <v>1000000</v>
      </c>
      <c r="KCM36" s="4">
        <f>KCL36*KCK36</f>
        <v>1000000</v>
      </c>
      <c r="KCN36" s="9" t="s">
        <v>2066</v>
      </c>
      <c r="KCO36" s="1">
        <v>65</v>
      </c>
      <c r="KCP36" s="619" t="s">
        <v>2063</v>
      </c>
      <c r="KCQ36" s="148" t="s">
        <v>2064</v>
      </c>
      <c r="KCR36" s="9" t="s">
        <v>2065</v>
      </c>
      <c r="KCS36" s="619">
        <v>1</v>
      </c>
      <c r="KCT36" s="4">
        <v>1000000</v>
      </c>
      <c r="KCU36" s="4">
        <f>KCT36*KCS36</f>
        <v>1000000</v>
      </c>
      <c r="KCV36" s="9" t="s">
        <v>2066</v>
      </c>
      <c r="KCW36" s="1">
        <v>65</v>
      </c>
      <c r="KCX36" s="619" t="s">
        <v>2063</v>
      </c>
      <c r="KCY36" s="148" t="s">
        <v>2064</v>
      </c>
      <c r="KCZ36" s="9" t="s">
        <v>2065</v>
      </c>
      <c r="KDA36" s="619">
        <v>1</v>
      </c>
      <c r="KDB36" s="4">
        <v>1000000</v>
      </c>
      <c r="KDC36" s="4">
        <f>KDB36*KDA36</f>
        <v>1000000</v>
      </c>
      <c r="KDD36" s="9" t="s">
        <v>2066</v>
      </c>
      <c r="KDE36" s="1">
        <v>65</v>
      </c>
      <c r="KDF36" s="619" t="s">
        <v>2063</v>
      </c>
      <c r="KDG36" s="148" t="s">
        <v>2064</v>
      </c>
      <c r="KDH36" s="9" t="s">
        <v>2065</v>
      </c>
      <c r="KDI36" s="619">
        <v>1</v>
      </c>
      <c r="KDJ36" s="4">
        <v>1000000</v>
      </c>
      <c r="KDK36" s="4">
        <f>KDJ36*KDI36</f>
        <v>1000000</v>
      </c>
      <c r="KDL36" s="9" t="s">
        <v>2066</v>
      </c>
      <c r="KDM36" s="1">
        <v>65</v>
      </c>
      <c r="KDN36" s="619" t="s">
        <v>2063</v>
      </c>
      <c r="KDO36" s="148" t="s">
        <v>2064</v>
      </c>
      <c r="KDP36" s="9" t="s">
        <v>2065</v>
      </c>
      <c r="KDQ36" s="619">
        <v>1</v>
      </c>
      <c r="KDR36" s="4">
        <v>1000000</v>
      </c>
      <c r="KDS36" s="4">
        <f>KDR36*KDQ36</f>
        <v>1000000</v>
      </c>
      <c r="KDT36" s="9" t="s">
        <v>2066</v>
      </c>
      <c r="KDU36" s="1">
        <v>65</v>
      </c>
      <c r="KDV36" s="619" t="s">
        <v>2063</v>
      </c>
      <c r="KDW36" s="148" t="s">
        <v>2064</v>
      </c>
      <c r="KDX36" s="9" t="s">
        <v>2065</v>
      </c>
      <c r="KDY36" s="619">
        <v>1</v>
      </c>
      <c r="KDZ36" s="4">
        <v>1000000</v>
      </c>
      <c r="KEA36" s="4">
        <f>KDZ36*KDY36</f>
        <v>1000000</v>
      </c>
      <c r="KEB36" s="9" t="s">
        <v>2066</v>
      </c>
      <c r="KEC36" s="1">
        <v>65</v>
      </c>
      <c r="KED36" s="619" t="s">
        <v>2063</v>
      </c>
      <c r="KEE36" s="148" t="s">
        <v>2064</v>
      </c>
      <c r="KEF36" s="9" t="s">
        <v>2065</v>
      </c>
      <c r="KEG36" s="619">
        <v>1</v>
      </c>
      <c r="KEH36" s="4">
        <v>1000000</v>
      </c>
      <c r="KEI36" s="4">
        <f>KEH36*KEG36</f>
        <v>1000000</v>
      </c>
      <c r="KEJ36" s="9" t="s">
        <v>2066</v>
      </c>
      <c r="KEK36" s="1">
        <v>65</v>
      </c>
      <c r="KEL36" s="619" t="s">
        <v>2063</v>
      </c>
      <c r="KEM36" s="148" t="s">
        <v>2064</v>
      </c>
      <c r="KEN36" s="9" t="s">
        <v>2065</v>
      </c>
      <c r="KEO36" s="619">
        <v>1</v>
      </c>
      <c r="KEP36" s="4">
        <v>1000000</v>
      </c>
      <c r="KEQ36" s="4">
        <f>KEP36*KEO36</f>
        <v>1000000</v>
      </c>
      <c r="KER36" s="9" t="s">
        <v>2066</v>
      </c>
      <c r="KES36" s="1">
        <v>65</v>
      </c>
      <c r="KET36" s="619" t="s">
        <v>2063</v>
      </c>
      <c r="KEU36" s="148" t="s">
        <v>2064</v>
      </c>
      <c r="KEV36" s="9" t="s">
        <v>2065</v>
      </c>
      <c r="KEW36" s="619">
        <v>1</v>
      </c>
      <c r="KEX36" s="4">
        <v>1000000</v>
      </c>
      <c r="KEY36" s="4">
        <f>KEX36*KEW36</f>
        <v>1000000</v>
      </c>
      <c r="KEZ36" s="9" t="s">
        <v>2066</v>
      </c>
      <c r="KFA36" s="1">
        <v>65</v>
      </c>
      <c r="KFB36" s="619" t="s">
        <v>2063</v>
      </c>
      <c r="KFC36" s="148" t="s">
        <v>2064</v>
      </c>
      <c r="KFD36" s="9" t="s">
        <v>2065</v>
      </c>
      <c r="KFE36" s="619">
        <v>1</v>
      </c>
      <c r="KFF36" s="4">
        <v>1000000</v>
      </c>
      <c r="KFG36" s="4">
        <f>KFF36*KFE36</f>
        <v>1000000</v>
      </c>
      <c r="KFH36" s="9" t="s">
        <v>2066</v>
      </c>
      <c r="KFI36" s="1">
        <v>65</v>
      </c>
      <c r="KFJ36" s="619" t="s">
        <v>2063</v>
      </c>
      <c r="KFK36" s="148" t="s">
        <v>2064</v>
      </c>
      <c r="KFL36" s="9" t="s">
        <v>2065</v>
      </c>
      <c r="KFM36" s="619">
        <v>1</v>
      </c>
      <c r="KFN36" s="4">
        <v>1000000</v>
      </c>
      <c r="KFO36" s="4">
        <f>KFN36*KFM36</f>
        <v>1000000</v>
      </c>
      <c r="KFP36" s="9" t="s">
        <v>2066</v>
      </c>
      <c r="KFQ36" s="1">
        <v>65</v>
      </c>
      <c r="KFR36" s="619" t="s">
        <v>2063</v>
      </c>
      <c r="KFS36" s="148" t="s">
        <v>2064</v>
      </c>
      <c r="KFT36" s="9" t="s">
        <v>2065</v>
      </c>
      <c r="KFU36" s="619">
        <v>1</v>
      </c>
      <c r="KFV36" s="4">
        <v>1000000</v>
      </c>
      <c r="KFW36" s="4">
        <f>KFV36*KFU36</f>
        <v>1000000</v>
      </c>
      <c r="KFX36" s="9" t="s">
        <v>2066</v>
      </c>
      <c r="KFY36" s="1">
        <v>65</v>
      </c>
      <c r="KFZ36" s="619" t="s">
        <v>2063</v>
      </c>
      <c r="KGA36" s="148" t="s">
        <v>2064</v>
      </c>
      <c r="KGB36" s="9" t="s">
        <v>2065</v>
      </c>
      <c r="KGC36" s="619">
        <v>1</v>
      </c>
      <c r="KGD36" s="4">
        <v>1000000</v>
      </c>
      <c r="KGE36" s="4">
        <f>KGD36*KGC36</f>
        <v>1000000</v>
      </c>
      <c r="KGF36" s="9" t="s">
        <v>2066</v>
      </c>
      <c r="KGG36" s="1">
        <v>65</v>
      </c>
      <c r="KGH36" s="619" t="s">
        <v>2063</v>
      </c>
      <c r="KGI36" s="148" t="s">
        <v>2064</v>
      </c>
      <c r="KGJ36" s="9" t="s">
        <v>2065</v>
      </c>
      <c r="KGK36" s="619">
        <v>1</v>
      </c>
      <c r="KGL36" s="4">
        <v>1000000</v>
      </c>
      <c r="KGM36" s="4">
        <f>KGL36*KGK36</f>
        <v>1000000</v>
      </c>
      <c r="KGN36" s="9" t="s">
        <v>2066</v>
      </c>
      <c r="KGO36" s="1">
        <v>65</v>
      </c>
      <c r="KGP36" s="619" t="s">
        <v>2063</v>
      </c>
      <c r="KGQ36" s="148" t="s">
        <v>2064</v>
      </c>
      <c r="KGR36" s="9" t="s">
        <v>2065</v>
      </c>
      <c r="KGS36" s="619">
        <v>1</v>
      </c>
      <c r="KGT36" s="4">
        <v>1000000</v>
      </c>
      <c r="KGU36" s="4">
        <f>KGT36*KGS36</f>
        <v>1000000</v>
      </c>
      <c r="KGV36" s="9" t="s">
        <v>2066</v>
      </c>
      <c r="KGW36" s="1">
        <v>65</v>
      </c>
      <c r="KGX36" s="619" t="s">
        <v>2063</v>
      </c>
      <c r="KGY36" s="148" t="s">
        <v>2064</v>
      </c>
      <c r="KGZ36" s="9" t="s">
        <v>2065</v>
      </c>
      <c r="KHA36" s="619">
        <v>1</v>
      </c>
      <c r="KHB36" s="4">
        <v>1000000</v>
      </c>
      <c r="KHC36" s="4">
        <f>KHB36*KHA36</f>
        <v>1000000</v>
      </c>
      <c r="KHD36" s="9" t="s">
        <v>2066</v>
      </c>
      <c r="KHE36" s="1">
        <v>65</v>
      </c>
      <c r="KHF36" s="619" t="s">
        <v>2063</v>
      </c>
      <c r="KHG36" s="148" t="s">
        <v>2064</v>
      </c>
      <c r="KHH36" s="9" t="s">
        <v>2065</v>
      </c>
      <c r="KHI36" s="619">
        <v>1</v>
      </c>
      <c r="KHJ36" s="4">
        <v>1000000</v>
      </c>
      <c r="KHK36" s="4">
        <f>KHJ36*KHI36</f>
        <v>1000000</v>
      </c>
      <c r="KHL36" s="9" t="s">
        <v>2066</v>
      </c>
      <c r="KHM36" s="1">
        <v>65</v>
      </c>
      <c r="KHN36" s="619" t="s">
        <v>2063</v>
      </c>
      <c r="KHO36" s="148" t="s">
        <v>2064</v>
      </c>
      <c r="KHP36" s="9" t="s">
        <v>2065</v>
      </c>
      <c r="KHQ36" s="619">
        <v>1</v>
      </c>
      <c r="KHR36" s="4">
        <v>1000000</v>
      </c>
      <c r="KHS36" s="4">
        <f>KHR36*KHQ36</f>
        <v>1000000</v>
      </c>
      <c r="KHT36" s="9" t="s">
        <v>2066</v>
      </c>
      <c r="KHU36" s="1">
        <v>65</v>
      </c>
      <c r="KHV36" s="619" t="s">
        <v>2063</v>
      </c>
      <c r="KHW36" s="148" t="s">
        <v>2064</v>
      </c>
      <c r="KHX36" s="9" t="s">
        <v>2065</v>
      </c>
      <c r="KHY36" s="619">
        <v>1</v>
      </c>
      <c r="KHZ36" s="4">
        <v>1000000</v>
      </c>
      <c r="KIA36" s="4">
        <f>KHZ36*KHY36</f>
        <v>1000000</v>
      </c>
      <c r="KIB36" s="9" t="s">
        <v>2066</v>
      </c>
      <c r="KIC36" s="1">
        <v>65</v>
      </c>
      <c r="KID36" s="619" t="s">
        <v>2063</v>
      </c>
      <c r="KIE36" s="148" t="s">
        <v>2064</v>
      </c>
      <c r="KIF36" s="9" t="s">
        <v>2065</v>
      </c>
      <c r="KIG36" s="619">
        <v>1</v>
      </c>
      <c r="KIH36" s="4">
        <v>1000000</v>
      </c>
      <c r="KII36" s="4">
        <f>KIH36*KIG36</f>
        <v>1000000</v>
      </c>
      <c r="KIJ36" s="9" t="s">
        <v>2066</v>
      </c>
      <c r="KIK36" s="1">
        <v>65</v>
      </c>
      <c r="KIL36" s="619" t="s">
        <v>2063</v>
      </c>
      <c r="KIM36" s="148" t="s">
        <v>2064</v>
      </c>
      <c r="KIN36" s="9" t="s">
        <v>2065</v>
      </c>
      <c r="KIO36" s="619">
        <v>1</v>
      </c>
      <c r="KIP36" s="4">
        <v>1000000</v>
      </c>
      <c r="KIQ36" s="4">
        <f>KIP36*KIO36</f>
        <v>1000000</v>
      </c>
      <c r="KIR36" s="9" t="s">
        <v>2066</v>
      </c>
      <c r="KIS36" s="1">
        <v>65</v>
      </c>
      <c r="KIT36" s="619" t="s">
        <v>2063</v>
      </c>
      <c r="KIU36" s="148" t="s">
        <v>2064</v>
      </c>
      <c r="KIV36" s="9" t="s">
        <v>2065</v>
      </c>
      <c r="KIW36" s="619">
        <v>1</v>
      </c>
      <c r="KIX36" s="4">
        <v>1000000</v>
      </c>
      <c r="KIY36" s="4">
        <f>KIX36*KIW36</f>
        <v>1000000</v>
      </c>
      <c r="KIZ36" s="9" t="s">
        <v>2066</v>
      </c>
      <c r="KJA36" s="1">
        <v>65</v>
      </c>
      <c r="KJB36" s="619" t="s">
        <v>2063</v>
      </c>
      <c r="KJC36" s="148" t="s">
        <v>2064</v>
      </c>
      <c r="KJD36" s="9" t="s">
        <v>2065</v>
      </c>
      <c r="KJE36" s="619">
        <v>1</v>
      </c>
      <c r="KJF36" s="4">
        <v>1000000</v>
      </c>
      <c r="KJG36" s="4">
        <f>KJF36*KJE36</f>
        <v>1000000</v>
      </c>
      <c r="KJH36" s="9" t="s">
        <v>2066</v>
      </c>
      <c r="KJI36" s="1">
        <v>65</v>
      </c>
      <c r="KJJ36" s="619" t="s">
        <v>2063</v>
      </c>
      <c r="KJK36" s="148" t="s">
        <v>2064</v>
      </c>
      <c r="KJL36" s="9" t="s">
        <v>2065</v>
      </c>
      <c r="KJM36" s="619">
        <v>1</v>
      </c>
      <c r="KJN36" s="4">
        <v>1000000</v>
      </c>
      <c r="KJO36" s="4">
        <f>KJN36*KJM36</f>
        <v>1000000</v>
      </c>
      <c r="KJP36" s="9" t="s">
        <v>2066</v>
      </c>
      <c r="KJQ36" s="1">
        <v>65</v>
      </c>
      <c r="KJR36" s="619" t="s">
        <v>2063</v>
      </c>
      <c r="KJS36" s="148" t="s">
        <v>2064</v>
      </c>
      <c r="KJT36" s="9" t="s">
        <v>2065</v>
      </c>
      <c r="KJU36" s="619">
        <v>1</v>
      </c>
      <c r="KJV36" s="4">
        <v>1000000</v>
      </c>
      <c r="KJW36" s="4">
        <f>KJV36*KJU36</f>
        <v>1000000</v>
      </c>
      <c r="KJX36" s="9" t="s">
        <v>2066</v>
      </c>
      <c r="KJY36" s="1">
        <v>65</v>
      </c>
      <c r="KJZ36" s="619" t="s">
        <v>2063</v>
      </c>
      <c r="KKA36" s="148" t="s">
        <v>2064</v>
      </c>
      <c r="KKB36" s="9" t="s">
        <v>2065</v>
      </c>
      <c r="KKC36" s="619">
        <v>1</v>
      </c>
      <c r="KKD36" s="4">
        <v>1000000</v>
      </c>
      <c r="KKE36" s="4">
        <f>KKD36*KKC36</f>
        <v>1000000</v>
      </c>
      <c r="KKF36" s="9" t="s">
        <v>2066</v>
      </c>
      <c r="KKG36" s="1">
        <v>65</v>
      </c>
      <c r="KKH36" s="619" t="s">
        <v>2063</v>
      </c>
      <c r="KKI36" s="148" t="s">
        <v>2064</v>
      </c>
      <c r="KKJ36" s="9" t="s">
        <v>2065</v>
      </c>
      <c r="KKK36" s="619">
        <v>1</v>
      </c>
      <c r="KKL36" s="4">
        <v>1000000</v>
      </c>
      <c r="KKM36" s="4">
        <f>KKL36*KKK36</f>
        <v>1000000</v>
      </c>
      <c r="KKN36" s="9" t="s">
        <v>2066</v>
      </c>
      <c r="KKO36" s="1">
        <v>65</v>
      </c>
      <c r="KKP36" s="619" t="s">
        <v>2063</v>
      </c>
      <c r="KKQ36" s="148" t="s">
        <v>2064</v>
      </c>
      <c r="KKR36" s="9" t="s">
        <v>2065</v>
      </c>
      <c r="KKS36" s="619">
        <v>1</v>
      </c>
      <c r="KKT36" s="4">
        <v>1000000</v>
      </c>
      <c r="KKU36" s="4">
        <f>KKT36*KKS36</f>
        <v>1000000</v>
      </c>
      <c r="KKV36" s="9" t="s">
        <v>2066</v>
      </c>
      <c r="KKW36" s="1">
        <v>65</v>
      </c>
      <c r="KKX36" s="619" t="s">
        <v>2063</v>
      </c>
      <c r="KKY36" s="148" t="s">
        <v>2064</v>
      </c>
      <c r="KKZ36" s="9" t="s">
        <v>2065</v>
      </c>
      <c r="KLA36" s="619">
        <v>1</v>
      </c>
      <c r="KLB36" s="4">
        <v>1000000</v>
      </c>
      <c r="KLC36" s="4">
        <f>KLB36*KLA36</f>
        <v>1000000</v>
      </c>
      <c r="KLD36" s="9" t="s">
        <v>2066</v>
      </c>
      <c r="KLE36" s="1">
        <v>65</v>
      </c>
      <c r="KLF36" s="619" t="s">
        <v>2063</v>
      </c>
      <c r="KLG36" s="148" t="s">
        <v>2064</v>
      </c>
      <c r="KLH36" s="9" t="s">
        <v>2065</v>
      </c>
      <c r="KLI36" s="619">
        <v>1</v>
      </c>
      <c r="KLJ36" s="4">
        <v>1000000</v>
      </c>
      <c r="KLK36" s="4">
        <f>KLJ36*KLI36</f>
        <v>1000000</v>
      </c>
      <c r="KLL36" s="9" t="s">
        <v>2066</v>
      </c>
      <c r="KLM36" s="1">
        <v>65</v>
      </c>
      <c r="KLN36" s="619" t="s">
        <v>2063</v>
      </c>
      <c r="KLO36" s="148" t="s">
        <v>2064</v>
      </c>
      <c r="KLP36" s="9" t="s">
        <v>2065</v>
      </c>
      <c r="KLQ36" s="619">
        <v>1</v>
      </c>
      <c r="KLR36" s="4">
        <v>1000000</v>
      </c>
      <c r="KLS36" s="4">
        <f>KLR36*KLQ36</f>
        <v>1000000</v>
      </c>
      <c r="KLT36" s="9" t="s">
        <v>2066</v>
      </c>
      <c r="KLU36" s="1">
        <v>65</v>
      </c>
      <c r="KLV36" s="619" t="s">
        <v>2063</v>
      </c>
      <c r="KLW36" s="148" t="s">
        <v>2064</v>
      </c>
      <c r="KLX36" s="9" t="s">
        <v>2065</v>
      </c>
      <c r="KLY36" s="619">
        <v>1</v>
      </c>
      <c r="KLZ36" s="4">
        <v>1000000</v>
      </c>
      <c r="KMA36" s="4">
        <f>KLZ36*KLY36</f>
        <v>1000000</v>
      </c>
      <c r="KMB36" s="9" t="s">
        <v>2066</v>
      </c>
      <c r="KMC36" s="1">
        <v>65</v>
      </c>
      <c r="KMD36" s="619" t="s">
        <v>2063</v>
      </c>
      <c r="KME36" s="148" t="s">
        <v>2064</v>
      </c>
      <c r="KMF36" s="9" t="s">
        <v>2065</v>
      </c>
      <c r="KMG36" s="619">
        <v>1</v>
      </c>
      <c r="KMH36" s="4">
        <v>1000000</v>
      </c>
      <c r="KMI36" s="4">
        <f>KMH36*KMG36</f>
        <v>1000000</v>
      </c>
      <c r="KMJ36" s="9" t="s">
        <v>2066</v>
      </c>
      <c r="KMK36" s="1">
        <v>65</v>
      </c>
      <c r="KML36" s="619" t="s">
        <v>2063</v>
      </c>
      <c r="KMM36" s="148" t="s">
        <v>2064</v>
      </c>
      <c r="KMN36" s="9" t="s">
        <v>2065</v>
      </c>
      <c r="KMO36" s="619">
        <v>1</v>
      </c>
      <c r="KMP36" s="4">
        <v>1000000</v>
      </c>
      <c r="KMQ36" s="4">
        <f>KMP36*KMO36</f>
        <v>1000000</v>
      </c>
      <c r="KMR36" s="9" t="s">
        <v>2066</v>
      </c>
      <c r="KMS36" s="1">
        <v>65</v>
      </c>
      <c r="KMT36" s="619" t="s">
        <v>2063</v>
      </c>
      <c r="KMU36" s="148" t="s">
        <v>2064</v>
      </c>
      <c r="KMV36" s="9" t="s">
        <v>2065</v>
      </c>
      <c r="KMW36" s="619">
        <v>1</v>
      </c>
      <c r="KMX36" s="4">
        <v>1000000</v>
      </c>
      <c r="KMY36" s="4">
        <f>KMX36*KMW36</f>
        <v>1000000</v>
      </c>
      <c r="KMZ36" s="9" t="s">
        <v>2066</v>
      </c>
      <c r="KNA36" s="1">
        <v>65</v>
      </c>
      <c r="KNB36" s="619" t="s">
        <v>2063</v>
      </c>
      <c r="KNC36" s="148" t="s">
        <v>2064</v>
      </c>
      <c r="KND36" s="9" t="s">
        <v>2065</v>
      </c>
      <c r="KNE36" s="619">
        <v>1</v>
      </c>
      <c r="KNF36" s="4">
        <v>1000000</v>
      </c>
      <c r="KNG36" s="4">
        <f>KNF36*KNE36</f>
        <v>1000000</v>
      </c>
      <c r="KNH36" s="9" t="s">
        <v>2066</v>
      </c>
      <c r="KNI36" s="1">
        <v>65</v>
      </c>
      <c r="KNJ36" s="619" t="s">
        <v>2063</v>
      </c>
      <c r="KNK36" s="148" t="s">
        <v>2064</v>
      </c>
      <c r="KNL36" s="9" t="s">
        <v>2065</v>
      </c>
      <c r="KNM36" s="619">
        <v>1</v>
      </c>
      <c r="KNN36" s="4">
        <v>1000000</v>
      </c>
      <c r="KNO36" s="4">
        <f>KNN36*KNM36</f>
        <v>1000000</v>
      </c>
      <c r="KNP36" s="9" t="s">
        <v>2066</v>
      </c>
      <c r="KNQ36" s="1">
        <v>65</v>
      </c>
      <c r="KNR36" s="619" t="s">
        <v>2063</v>
      </c>
      <c r="KNS36" s="148" t="s">
        <v>2064</v>
      </c>
      <c r="KNT36" s="9" t="s">
        <v>2065</v>
      </c>
      <c r="KNU36" s="619">
        <v>1</v>
      </c>
      <c r="KNV36" s="4">
        <v>1000000</v>
      </c>
      <c r="KNW36" s="4">
        <f>KNV36*KNU36</f>
        <v>1000000</v>
      </c>
      <c r="KNX36" s="9" t="s">
        <v>2066</v>
      </c>
      <c r="KNY36" s="1">
        <v>65</v>
      </c>
      <c r="KNZ36" s="619" t="s">
        <v>2063</v>
      </c>
      <c r="KOA36" s="148" t="s">
        <v>2064</v>
      </c>
      <c r="KOB36" s="9" t="s">
        <v>2065</v>
      </c>
      <c r="KOC36" s="619">
        <v>1</v>
      </c>
      <c r="KOD36" s="4">
        <v>1000000</v>
      </c>
      <c r="KOE36" s="4">
        <f>KOD36*KOC36</f>
        <v>1000000</v>
      </c>
      <c r="KOF36" s="9" t="s">
        <v>2066</v>
      </c>
      <c r="KOG36" s="1">
        <v>65</v>
      </c>
      <c r="KOH36" s="619" t="s">
        <v>2063</v>
      </c>
      <c r="KOI36" s="148" t="s">
        <v>2064</v>
      </c>
      <c r="KOJ36" s="9" t="s">
        <v>2065</v>
      </c>
      <c r="KOK36" s="619">
        <v>1</v>
      </c>
      <c r="KOL36" s="4">
        <v>1000000</v>
      </c>
      <c r="KOM36" s="4">
        <f>KOL36*KOK36</f>
        <v>1000000</v>
      </c>
      <c r="KON36" s="9" t="s">
        <v>2066</v>
      </c>
      <c r="KOO36" s="1">
        <v>65</v>
      </c>
      <c r="KOP36" s="619" t="s">
        <v>2063</v>
      </c>
      <c r="KOQ36" s="148" t="s">
        <v>2064</v>
      </c>
      <c r="KOR36" s="9" t="s">
        <v>2065</v>
      </c>
      <c r="KOS36" s="619">
        <v>1</v>
      </c>
      <c r="KOT36" s="4">
        <v>1000000</v>
      </c>
      <c r="KOU36" s="4">
        <f>KOT36*KOS36</f>
        <v>1000000</v>
      </c>
      <c r="KOV36" s="9" t="s">
        <v>2066</v>
      </c>
      <c r="KOW36" s="1">
        <v>65</v>
      </c>
      <c r="KOX36" s="619" t="s">
        <v>2063</v>
      </c>
      <c r="KOY36" s="148" t="s">
        <v>2064</v>
      </c>
      <c r="KOZ36" s="9" t="s">
        <v>2065</v>
      </c>
      <c r="KPA36" s="619">
        <v>1</v>
      </c>
      <c r="KPB36" s="4">
        <v>1000000</v>
      </c>
      <c r="KPC36" s="4">
        <f>KPB36*KPA36</f>
        <v>1000000</v>
      </c>
      <c r="KPD36" s="9" t="s">
        <v>2066</v>
      </c>
      <c r="KPE36" s="1">
        <v>65</v>
      </c>
      <c r="KPF36" s="619" t="s">
        <v>2063</v>
      </c>
      <c r="KPG36" s="148" t="s">
        <v>2064</v>
      </c>
      <c r="KPH36" s="9" t="s">
        <v>2065</v>
      </c>
      <c r="KPI36" s="619">
        <v>1</v>
      </c>
      <c r="KPJ36" s="4">
        <v>1000000</v>
      </c>
      <c r="KPK36" s="4">
        <f>KPJ36*KPI36</f>
        <v>1000000</v>
      </c>
      <c r="KPL36" s="9" t="s">
        <v>2066</v>
      </c>
      <c r="KPM36" s="1">
        <v>65</v>
      </c>
      <c r="KPN36" s="619" t="s">
        <v>2063</v>
      </c>
      <c r="KPO36" s="148" t="s">
        <v>2064</v>
      </c>
      <c r="KPP36" s="9" t="s">
        <v>2065</v>
      </c>
      <c r="KPQ36" s="619">
        <v>1</v>
      </c>
      <c r="KPR36" s="4">
        <v>1000000</v>
      </c>
      <c r="KPS36" s="4">
        <f>KPR36*KPQ36</f>
        <v>1000000</v>
      </c>
      <c r="KPT36" s="9" t="s">
        <v>2066</v>
      </c>
      <c r="KPU36" s="1">
        <v>65</v>
      </c>
      <c r="KPV36" s="619" t="s">
        <v>2063</v>
      </c>
      <c r="KPW36" s="148" t="s">
        <v>2064</v>
      </c>
      <c r="KPX36" s="9" t="s">
        <v>2065</v>
      </c>
      <c r="KPY36" s="619">
        <v>1</v>
      </c>
      <c r="KPZ36" s="4">
        <v>1000000</v>
      </c>
      <c r="KQA36" s="4">
        <f>KPZ36*KPY36</f>
        <v>1000000</v>
      </c>
      <c r="KQB36" s="9" t="s">
        <v>2066</v>
      </c>
      <c r="KQC36" s="1">
        <v>65</v>
      </c>
      <c r="KQD36" s="619" t="s">
        <v>2063</v>
      </c>
      <c r="KQE36" s="148" t="s">
        <v>2064</v>
      </c>
      <c r="KQF36" s="9" t="s">
        <v>2065</v>
      </c>
      <c r="KQG36" s="619">
        <v>1</v>
      </c>
      <c r="KQH36" s="4">
        <v>1000000</v>
      </c>
      <c r="KQI36" s="4">
        <f>KQH36*KQG36</f>
        <v>1000000</v>
      </c>
      <c r="KQJ36" s="9" t="s">
        <v>2066</v>
      </c>
      <c r="KQK36" s="1">
        <v>65</v>
      </c>
      <c r="KQL36" s="619" t="s">
        <v>2063</v>
      </c>
      <c r="KQM36" s="148" t="s">
        <v>2064</v>
      </c>
      <c r="KQN36" s="9" t="s">
        <v>2065</v>
      </c>
      <c r="KQO36" s="619">
        <v>1</v>
      </c>
      <c r="KQP36" s="4">
        <v>1000000</v>
      </c>
      <c r="KQQ36" s="4">
        <f>KQP36*KQO36</f>
        <v>1000000</v>
      </c>
      <c r="KQR36" s="9" t="s">
        <v>2066</v>
      </c>
      <c r="KQS36" s="1">
        <v>65</v>
      </c>
      <c r="KQT36" s="619" t="s">
        <v>2063</v>
      </c>
      <c r="KQU36" s="148" t="s">
        <v>2064</v>
      </c>
      <c r="KQV36" s="9" t="s">
        <v>2065</v>
      </c>
      <c r="KQW36" s="619">
        <v>1</v>
      </c>
      <c r="KQX36" s="4">
        <v>1000000</v>
      </c>
      <c r="KQY36" s="4">
        <f>KQX36*KQW36</f>
        <v>1000000</v>
      </c>
      <c r="KQZ36" s="9" t="s">
        <v>2066</v>
      </c>
      <c r="KRA36" s="1">
        <v>65</v>
      </c>
      <c r="KRB36" s="619" t="s">
        <v>2063</v>
      </c>
      <c r="KRC36" s="148" t="s">
        <v>2064</v>
      </c>
      <c r="KRD36" s="9" t="s">
        <v>2065</v>
      </c>
      <c r="KRE36" s="619">
        <v>1</v>
      </c>
      <c r="KRF36" s="4">
        <v>1000000</v>
      </c>
      <c r="KRG36" s="4">
        <f>KRF36*KRE36</f>
        <v>1000000</v>
      </c>
      <c r="KRH36" s="9" t="s">
        <v>2066</v>
      </c>
      <c r="KRI36" s="1">
        <v>65</v>
      </c>
      <c r="KRJ36" s="619" t="s">
        <v>2063</v>
      </c>
      <c r="KRK36" s="148" t="s">
        <v>2064</v>
      </c>
      <c r="KRL36" s="9" t="s">
        <v>2065</v>
      </c>
      <c r="KRM36" s="619">
        <v>1</v>
      </c>
      <c r="KRN36" s="4">
        <v>1000000</v>
      </c>
      <c r="KRO36" s="4">
        <f>KRN36*KRM36</f>
        <v>1000000</v>
      </c>
      <c r="KRP36" s="9" t="s">
        <v>2066</v>
      </c>
      <c r="KRQ36" s="1">
        <v>65</v>
      </c>
      <c r="KRR36" s="619" t="s">
        <v>2063</v>
      </c>
      <c r="KRS36" s="148" t="s">
        <v>2064</v>
      </c>
      <c r="KRT36" s="9" t="s">
        <v>2065</v>
      </c>
      <c r="KRU36" s="619">
        <v>1</v>
      </c>
      <c r="KRV36" s="4">
        <v>1000000</v>
      </c>
      <c r="KRW36" s="4">
        <f>KRV36*KRU36</f>
        <v>1000000</v>
      </c>
      <c r="KRX36" s="9" t="s">
        <v>2066</v>
      </c>
      <c r="KRY36" s="1">
        <v>65</v>
      </c>
      <c r="KRZ36" s="619" t="s">
        <v>2063</v>
      </c>
      <c r="KSA36" s="148" t="s">
        <v>2064</v>
      </c>
      <c r="KSB36" s="9" t="s">
        <v>2065</v>
      </c>
      <c r="KSC36" s="619">
        <v>1</v>
      </c>
      <c r="KSD36" s="4">
        <v>1000000</v>
      </c>
      <c r="KSE36" s="4">
        <f>KSD36*KSC36</f>
        <v>1000000</v>
      </c>
      <c r="KSF36" s="9" t="s">
        <v>2066</v>
      </c>
      <c r="KSG36" s="1">
        <v>65</v>
      </c>
      <c r="KSH36" s="619" t="s">
        <v>2063</v>
      </c>
      <c r="KSI36" s="148" t="s">
        <v>2064</v>
      </c>
      <c r="KSJ36" s="9" t="s">
        <v>2065</v>
      </c>
      <c r="KSK36" s="619">
        <v>1</v>
      </c>
      <c r="KSL36" s="4">
        <v>1000000</v>
      </c>
      <c r="KSM36" s="4">
        <f>KSL36*KSK36</f>
        <v>1000000</v>
      </c>
      <c r="KSN36" s="9" t="s">
        <v>2066</v>
      </c>
      <c r="KSO36" s="1">
        <v>65</v>
      </c>
      <c r="KSP36" s="619" t="s">
        <v>2063</v>
      </c>
      <c r="KSQ36" s="148" t="s">
        <v>2064</v>
      </c>
      <c r="KSR36" s="9" t="s">
        <v>2065</v>
      </c>
      <c r="KSS36" s="619">
        <v>1</v>
      </c>
      <c r="KST36" s="4">
        <v>1000000</v>
      </c>
      <c r="KSU36" s="4">
        <f>KST36*KSS36</f>
        <v>1000000</v>
      </c>
      <c r="KSV36" s="9" t="s">
        <v>2066</v>
      </c>
      <c r="KSW36" s="1">
        <v>65</v>
      </c>
      <c r="KSX36" s="619" t="s">
        <v>2063</v>
      </c>
      <c r="KSY36" s="148" t="s">
        <v>2064</v>
      </c>
      <c r="KSZ36" s="9" t="s">
        <v>2065</v>
      </c>
      <c r="KTA36" s="619">
        <v>1</v>
      </c>
      <c r="KTB36" s="4">
        <v>1000000</v>
      </c>
      <c r="KTC36" s="4">
        <f>KTB36*KTA36</f>
        <v>1000000</v>
      </c>
      <c r="KTD36" s="9" t="s">
        <v>2066</v>
      </c>
      <c r="KTE36" s="1">
        <v>65</v>
      </c>
      <c r="KTF36" s="619" t="s">
        <v>2063</v>
      </c>
      <c r="KTG36" s="148" t="s">
        <v>2064</v>
      </c>
      <c r="KTH36" s="9" t="s">
        <v>2065</v>
      </c>
      <c r="KTI36" s="619">
        <v>1</v>
      </c>
      <c r="KTJ36" s="4">
        <v>1000000</v>
      </c>
      <c r="KTK36" s="4">
        <f>KTJ36*KTI36</f>
        <v>1000000</v>
      </c>
      <c r="KTL36" s="9" t="s">
        <v>2066</v>
      </c>
      <c r="KTM36" s="1">
        <v>65</v>
      </c>
      <c r="KTN36" s="619" t="s">
        <v>2063</v>
      </c>
      <c r="KTO36" s="148" t="s">
        <v>2064</v>
      </c>
      <c r="KTP36" s="9" t="s">
        <v>2065</v>
      </c>
      <c r="KTQ36" s="619">
        <v>1</v>
      </c>
      <c r="KTR36" s="4">
        <v>1000000</v>
      </c>
      <c r="KTS36" s="4">
        <f>KTR36*KTQ36</f>
        <v>1000000</v>
      </c>
      <c r="KTT36" s="9" t="s">
        <v>2066</v>
      </c>
      <c r="KTU36" s="1">
        <v>65</v>
      </c>
      <c r="KTV36" s="619" t="s">
        <v>2063</v>
      </c>
      <c r="KTW36" s="148" t="s">
        <v>2064</v>
      </c>
      <c r="KTX36" s="9" t="s">
        <v>2065</v>
      </c>
      <c r="KTY36" s="619">
        <v>1</v>
      </c>
      <c r="KTZ36" s="4">
        <v>1000000</v>
      </c>
      <c r="KUA36" s="4">
        <f>KTZ36*KTY36</f>
        <v>1000000</v>
      </c>
      <c r="KUB36" s="9" t="s">
        <v>2066</v>
      </c>
      <c r="KUC36" s="1">
        <v>65</v>
      </c>
      <c r="KUD36" s="619" t="s">
        <v>2063</v>
      </c>
      <c r="KUE36" s="148" t="s">
        <v>2064</v>
      </c>
      <c r="KUF36" s="9" t="s">
        <v>2065</v>
      </c>
      <c r="KUG36" s="619">
        <v>1</v>
      </c>
      <c r="KUH36" s="4">
        <v>1000000</v>
      </c>
      <c r="KUI36" s="4">
        <f>KUH36*KUG36</f>
        <v>1000000</v>
      </c>
      <c r="KUJ36" s="9" t="s">
        <v>2066</v>
      </c>
      <c r="KUK36" s="1">
        <v>65</v>
      </c>
      <c r="KUL36" s="619" t="s">
        <v>2063</v>
      </c>
      <c r="KUM36" s="148" t="s">
        <v>2064</v>
      </c>
      <c r="KUN36" s="9" t="s">
        <v>2065</v>
      </c>
      <c r="KUO36" s="619">
        <v>1</v>
      </c>
      <c r="KUP36" s="4">
        <v>1000000</v>
      </c>
      <c r="KUQ36" s="4">
        <f>KUP36*KUO36</f>
        <v>1000000</v>
      </c>
      <c r="KUR36" s="9" t="s">
        <v>2066</v>
      </c>
      <c r="KUS36" s="1">
        <v>65</v>
      </c>
      <c r="KUT36" s="619" t="s">
        <v>2063</v>
      </c>
      <c r="KUU36" s="148" t="s">
        <v>2064</v>
      </c>
      <c r="KUV36" s="9" t="s">
        <v>2065</v>
      </c>
      <c r="KUW36" s="619">
        <v>1</v>
      </c>
      <c r="KUX36" s="4">
        <v>1000000</v>
      </c>
      <c r="KUY36" s="4">
        <f>KUX36*KUW36</f>
        <v>1000000</v>
      </c>
      <c r="KUZ36" s="9" t="s">
        <v>2066</v>
      </c>
      <c r="KVA36" s="1">
        <v>65</v>
      </c>
      <c r="KVB36" s="619" t="s">
        <v>2063</v>
      </c>
      <c r="KVC36" s="148" t="s">
        <v>2064</v>
      </c>
      <c r="KVD36" s="9" t="s">
        <v>2065</v>
      </c>
      <c r="KVE36" s="619">
        <v>1</v>
      </c>
      <c r="KVF36" s="4">
        <v>1000000</v>
      </c>
      <c r="KVG36" s="4">
        <f>KVF36*KVE36</f>
        <v>1000000</v>
      </c>
      <c r="KVH36" s="9" t="s">
        <v>2066</v>
      </c>
      <c r="KVI36" s="1">
        <v>65</v>
      </c>
      <c r="KVJ36" s="619" t="s">
        <v>2063</v>
      </c>
      <c r="KVK36" s="148" t="s">
        <v>2064</v>
      </c>
      <c r="KVL36" s="9" t="s">
        <v>2065</v>
      </c>
      <c r="KVM36" s="619">
        <v>1</v>
      </c>
      <c r="KVN36" s="4">
        <v>1000000</v>
      </c>
      <c r="KVO36" s="4">
        <f>KVN36*KVM36</f>
        <v>1000000</v>
      </c>
      <c r="KVP36" s="9" t="s">
        <v>2066</v>
      </c>
      <c r="KVQ36" s="1">
        <v>65</v>
      </c>
      <c r="KVR36" s="619" t="s">
        <v>2063</v>
      </c>
      <c r="KVS36" s="148" t="s">
        <v>2064</v>
      </c>
      <c r="KVT36" s="9" t="s">
        <v>2065</v>
      </c>
      <c r="KVU36" s="619">
        <v>1</v>
      </c>
      <c r="KVV36" s="4">
        <v>1000000</v>
      </c>
      <c r="KVW36" s="4">
        <f>KVV36*KVU36</f>
        <v>1000000</v>
      </c>
      <c r="KVX36" s="9" t="s">
        <v>2066</v>
      </c>
      <c r="KVY36" s="1">
        <v>65</v>
      </c>
      <c r="KVZ36" s="619" t="s">
        <v>2063</v>
      </c>
      <c r="KWA36" s="148" t="s">
        <v>2064</v>
      </c>
      <c r="KWB36" s="9" t="s">
        <v>2065</v>
      </c>
      <c r="KWC36" s="619">
        <v>1</v>
      </c>
      <c r="KWD36" s="4">
        <v>1000000</v>
      </c>
      <c r="KWE36" s="4">
        <f>KWD36*KWC36</f>
        <v>1000000</v>
      </c>
      <c r="KWF36" s="9" t="s">
        <v>2066</v>
      </c>
      <c r="KWG36" s="1">
        <v>65</v>
      </c>
      <c r="KWH36" s="619" t="s">
        <v>2063</v>
      </c>
      <c r="KWI36" s="148" t="s">
        <v>2064</v>
      </c>
      <c r="KWJ36" s="9" t="s">
        <v>2065</v>
      </c>
      <c r="KWK36" s="619">
        <v>1</v>
      </c>
      <c r="KWL36" s="4">
        <v>1000000</v>
      </c>
      <c r="KWM36" s="4">
        <f>KWL36*KWK36</f>
        <v>1000000</v>
      </c>
      <c r="KWN36" s="9" t="s">
        <v>2066</v>
      </c>
      <c r="KWO36" s="1">
        <v>65</v>
      </c>
      <c r="KWP36" s="619" t="s">
        <v>2063</v>
      </c>
      <c r="KWQ36" s="148" t="s">
        <v>2064</v>
      </c>
      <c r="KWR36" s="9" t="s">
        <v>2065</v>
      </c>
      <c r="KWS36" s="619">
        <v>1</v>
      </c>
      <c r="KWT36" s="4">
        <v>1000000</v>
      </c>
      <c r="KWU36" s="4">
        <f>KWT36*KWS36</f>
        <v>1000000</v>
      </c>
      <c r="KWV36" s="9" t="s">
        <v>2066</v>
      </c>
      <c r="KWW36" s="1">
        <v>65</v>
      </c>
      <c r="KWX36" s="619" t="s">
        <v>2063</v>
      </c>
      <c r="KWY36" s="148" t="s">
        <v>2064</v>
      </c>
      <c r="KWZ36" s="9" t="s">
        <v>2065</v>
      </c>
      <c r="KXA36" s="619">
        <v>1</v>
      </c>
      <c r="KXB36" s="4">
        <v>1000000</v>
      </c>
      <c r="KXC36" s="4">
        <f>KXB36*KXA36</f>
        <v>1000000</v>
      </c>
      <c r="KXD36" s="9" t="s">
        <v>2066</v>
      </c>
      <c r="KXE36" s="1">
        <v>65</v>
      </c>
      <c r="KXF36" s="619" t="s">
        <v>2063</v>
      </c>
      <c r="KXG36" s="148" t="s">
        <v>2064</v>
      </c>
      <c r="KXH36" s="9" t="s">
        <v>2065</v>
      </c>
      <c r="KXI36" s="619">
        <v>1</v>
      </c>
      <c r="KXJ36" s="4">
        <v>1000000</v>
      </c>
      <c r="KXK36" s="4">
        <f>KXJ36*KXI36</f>
        <v>1000000</v>
      </c>
      <c r="KXL36" s="9" t="s">
        <v>2066</v>
      </c>
      <c r="KXM36" s="1">
        <v>65</v>
      </c>
      <c r="KXN36" s="619" t="s">
        <v>2063</v>
      </c>
      <c r="KXO36" s="148" t="s">
        <v>2064</v>
      </c>
      <c r="KXP36" s="9" t="s">
        <v>2065</v>
      </c>
      <c r="KXQ36" s="619">
        <v>1</v>
      </c>
      <c r="KXR36" s="4">
        <v>1000000</v>
      </c>
      <c r="KXS36" s="4">
        <f>KXR36*KXQ36</f>
        <v>1000000</v>
      </c>
      <c r="KXT36" s="9" t="s">
        <v>2066</v>
      </c>
      <c r="KXU36" s="1">
        <v>65</v>
      </c>
      <c r="KXV36" s="619" t="s">
        <v>2063</v>
      </c>
      <c r="KXW36" s="148" t="s">
        <v>2064</v>
      </c>
      <c r="KXX36" s="9" t="s">
        <v>2065</v>
      </c>
      <c r="KXY36" s="619">
        <v>1</v>
      </c>
      <c r="KXZ36" s="4">
        <v>1000000</v>
      </c>
      <c r="KYA36" s="4">
        <f>KXZ36*KXY36</f>
        <v>1000000</v>
      </c>
      <c r="KYB36" s="9" t="s">
        <v>2066</v>
      </c>
      <c r="KYC36" s="1">
        <v>65</v>
      </c>
      <c r="KYD36" s="619" t="s">
        <v>2063</v>
      </c>
      <c r="KYE36" s="148" t="s">
        <v>2064</v>
      </c>
      <c r="KYF36" s="9" t="s">
        <v>2065</v>
      </c>
      <c r="KYG36" s="619">
        <v>1</v>
      </c>
      <c r="KYH36" s="4">
        <v>1000000</v>
      </c>
      <c r="KYI36" s="4">
        <f>KYH36*KYG36</f>
        <v>1000000</v>
      </c>
      <c r="KYJ36" s="9" t="s">
        <v>2066</v>
      </c>
      <c r="KYK36" s="1">
        <v>65</v>
      </c>
      <c r="KYL36" s="619" t="s">
        <v>2063</v>
      </c>
      <c r="KYM36" s="148" t="s">
        <v>2064</v>
      </c>
      <c r="KYN36" s="9" t="s">
        <v>2065</v>
      </c>
      <c r="KYO36" s="619">
        <v>1</v>
      </c>
      <c r="KYP36" s="4">
        <v>1000000</v>
      </c>
      <c r="KYQ36" s="4">
        <f>KYP36*KYO36</f>
        <v>1000000</v>
      </c>
      <c r="KYR36" s="9" t="s">
        <v>2066</v>
      </c>
      <c r="KYS36" s="1">
        <v>65</v>
      </c>
      <c r="KYT36" s="619" t="s">
        <v>2063</v>
      </c>
      <c r="KYU36" s="148" t="s">
        <v>2064</v>
      </c>
      <c r="KYV36" s="9" t="s">
        <v>2065</v>
      </c>
      <c r="KYW36" s="619">
        <v>1</v>
      </c>
      <c r="KYX36" s="4">
        <v>1000000</v>
      </c>
      <c r="KYY36" s="4">
        <f>KYX36*KYW36</f>
        <v>1000000</v>
      </c>
      <c r="KYZ36" s="9" t="s">
        <v>2066</v>
      </c>
      <c r="KZA36" s="1">
        <v>65</v>
      </c>
      <c r="KZB36" s="619" t="s">
        <v>2063</v>
      </c>
      <c r="KZC36" s="148" t="s">
        <v>2064</v>
      </c>
      <c r="KZD36" s="9" t="s">
        <v>2065</v>
      </c>
      <c r="KZE36" s="619">
        <v>1</v>
      </c>
      <c r="KZF36" s="4">
        <v>1000000</v>
      </c>
      <c r="KZG36" s="4">
        <f>KZF36*KZE36</f>
        <v>1000000</v>
      </c>
      <c r="KZH36" s="9" t="s">
        <v>2066</v>
      </c>
      <c r="KZI36" s="1">
        <v>65</v>
      </c>
      <c r="KZJ36" s="619" t="s">
        <v>2063</v>
      </c>
      <c r="KZK36" s="148" t="s">
        <v>2064</v>
      </c>
      <c r="KZL36" s="9" t="s">
        <v>2065</v>
      </c>
      <c r="KZM36" s="619">
        <v>1</v>
      </c>
      <c r="KZN36" s="4">
        <v>1000000</v>
      </c>
      <c r="KZO36" s="4">
        <f>KZN36*KZM36</f>
        <v>1000000</v>
      </c>
      <c r="KZP36" s="9" t="s">
        <v>2066</v>
      </c>
      <c r="KZQ36" s="1">
        <v>65</v>
      </c>
      <c r="KZR36" s="619" t="s">
        <v>2063</v>
      </c>
      <c r="KZS36" s="148" t="s">
        <v>2064</v>
      </c>
      <c r="KZT36" s="9" t="s">
        <v>2065</v>
      </c>
      <c r="KZU36" s="619">
        <v>1</v>
      </c>
      <c r="KZV36" s="4">
        <v>1000000</v>
      </c>
      <c r="KZW36" s="4">
        <f>KZV36*KZU36</f>
        <v>1000000</v>
      </c>
      <c r="KZX36" s="9" t="s">
        <v>2066</v>
      </c>
      <c r="KZY36" s="1">
        <v>65</v>
      </c>
      <c r="KZZ36" s="619" t="s">
        <v>2063</v>
      </c>
      <c r="LAA36" s="148" t="s">
        <v>2064</v>
      </c>
      <c r="LAB36" s="9" t="s">
        <v>2065</v>
      </c>
      <c r="LAC36" s="619">
        <v>1</v>
      </c>
      <c r="LAD36" s="4">
        <v>1000000</v>
      </c>
      <c r="LAE36" s="4">
        <f>LAD36*LAC36</f>
        <v>1000000</v>
      </c>
      <c r="LAF36" s="9" t="s">
        <v>2066</v>
      </c>
      <c r="LAG36" s="1">
        <v>65</v>
      </c>
      <c r="LAH36" s="619" t="s">
        <v>2063</v>
      </c>
      <c r="LAI36" s="148" t="s">
        <v>2064</v>
      </c>
      <c r="LAJ36" s="9" t="s">
        <v>2065</v>
      </c>
      <c r="LAK36" s="619">
        <v>1</v>
      </c>
      <c r="LAL36" s="4">
        <v>1000000</v>
      </c>
      <c r="LAM36" s="4">
        <f>LAL36*LAK36</f>
        <v>1000000</v>
      </c>
      <c r="LAN36" s="9" t="s">
        <v>2066</v>
      </c>
      <c r="LAO36" s="1">
        <v>65</v>
      </c>
      <c r="LAP36" s="619" t="s">
        <v>2063</v>
      </c>
      <c r="LAQ36" s="148" t="s">
        <v>2064</v>
      </c>
      <c r="LAR36" s="9" t="s">
        <v>2065</v>
      </c>
      <c r="LAS36" s="619">
        <v>1</v>
      </c>
      <c r="LAT36" s="4">
        <v>1000000</v>
      </c>
      <c r="LAU36" s="4">
        <f>LAT36*LAS36</f>
        <v>1000000</v>
      </c>
      <c r="LAV36" s="9" t="s">
        <v>2066</v>
      </c>
      <c r="LAW36" s="1">
        <v>65</v>
      </c>
      <c r="LAX36" s="619" t="s">
        <v>2063</v>
      </c>
      <c r="LAY36" s="148" t="s">
        <v>2064</v>
      </c>
      <c r="LAZ36" s="9" t="s">
        <v>2065</v>
      </c>
      <c r="LBA36" s="619">
        <v>1</v>
      </c>
      <c r="LBB36" s="4">
        <v>1000000</v>
      </c>
      <c r="LBC36" s="4">
        <f>LBB36*LBA36</f>
        <v>1000000</v>
      </c>
      <c r="LBD36" s="9" t="s">
        <v>2066</v>
      </c>
      <c r="LBE36" s="1">
        <v>65</v>
      </c>
      <c r="LBF36" s="619" t="s">
        <v>2063</v>
      </c>
      <c r="LBG36" s="148" t="s">
        <v>2064</v>
      </c>
      <c r="LBH36" s="9" t="s">
        <v>2065</v>
      </c>
      <c r="LBI36" s="619">
        <v>1</v>
      </c>
      <c r="LBJ36" s="4">
        <v>1000000</v>
      </c>
      <c r="LBK36" s="4">
        <f>LBJ36*LBI36</f>
        <v>1000000</v>
      </c>
      <c r="LBL36" s="9" t="s">
        <v>2066</v>
      </c>
      <c r="LBM36" s="1">
        <v>65</v>
      </c>
      <c r="LBN36" s="619" t="s">
        <v>2063</v>
      </c>
      <c r="LBO36" s="148" t="s">
        <v>2064</v>
      </c>
      <c r="LBP36" s="9" t="s">
        <v>2065</v>
      </c>
      <c r="LBQ36" s="619">
        <v>1</v>
      </c>
      <c r="LBR36" s="4">
        <v>1000000</v>
      </c>
      <c r="LBS36" s="4">
        <f>LBR36*LBQ36</f>
        <v>1000000</v>
      </c>
      <c r="LBT36" s="9" t="s">
        <v>2066</v>
      </c>
      <c r="LBU36" s="1">
        <v>65</v>
      </c>
      <c r="LBV36" s="619" t="s">
        <v>2063</v>
      </c>
      <c r="LBW36" s="148" t="s">
        <v>2064</v>
      </c>
      <c r="LBX36" s="9" t="s">
        <v>2065</v>
      </c>
      <c r="LBY36" s="619">
        <v>1</v>
      </c>
      <c r="LBZ36" s="4">
        <v>1000000</v>
      </c>
      <c r="LCA36" s="4">
        <f>LBZ36*LBY36</f>
        <v>1000000</v>
      </c>
      <c r="LCB36" s="9" t="s">
        <v>2066</v>
      </c>
      <c r="LCC36" s="1">
        <v>65</v>
      </c>
      <c r="LCD36" s="619" t="s">
        <v>2063</v>
      </c>
      <c r="LCE36" s="148" t="s">
        <v>2064</v>
      </c>
      <c r="LCF36" s="9" t="s">
        <v>2065</v>
      </c>
      <c r="LCG36" s="619">
        <v>1</v>
      </c>
      <c r="LCH36" s="4">
        <v>1000000</v>
      </c>
      <c r="LCI36" s="4">
        <f>LCH36*LCG36</f>
        <v>1000000</v>
      </c>
      <c r="LCJ36" s="9" t="s">
        <v>2066</v>
      </c>
      <c r="LCK36" s="1">
        <v>65</v>
      </c>
      <c r="LCL36" s="619" t="s">
        <v>2063</v>
      </c>
      <c r="LCM36" s="148" t="s">
        <v>2064</v>
      </c>
      <c r="LCN36" s="9" t="s">
        <v>2065</v>
      </c>
      <c r="LCO36" s="619">
        <v>1</v>
      </c>
      <c r="LCP36" s="4">
        <v>1000000</v>
      </c>
      <c r="LCQ36" s="4">
        <f>LCP36*LCO36</f>
        <v>1000000</v>
      </c>
      <c r="LCR36" s="9" t="s">
        <v>2066</v>
      </c>
      <c r="LCS36" s="1">
        <v>65</v>
      </c>
      <c r="LCT36" s="619" t="s">
        <v>2063</v>
      </c>
      <c r="LCU36" s="148" t="s">
        <v>2064</v>
      </c>
      <c r="LCV36" s="9" t="s">
        <v>2065</v>
      </c>
      <c r="LCW36" s="619">
        <v>1</v>
      </c>
      <c r="LCX36" s="4">
        <v>1000000</v>
      </c>
      <c r="LCY36" s="4">
        <f>LCX36*LCW36</f>
        <v>1000000</v>
      </c>
      <c r="LCZ36" s="9" t="s">
        <v>2066</v>
      </c>
      <c r="LDA36" s="1">
        <v>65</v>
      </c>
      <c r="LDB36" s="619" t="s">
        <v>2063</v>
      </c>
      <c r="LDC36" s="148" t="s">
        <v>2064</v>
      </c>
      <c r="LDD36" s="9" t="s">
        <v>2065</v>
      </c>
      <c r="LDE36" s="619">
        <v>1</v>
      </c>
      <c r="LDF36" s="4">
        <v>1000000</v>
      </c>
      <c r="LDG36" s="4">
        <f>LDF36*LDE36</f>
        <v>1000000</v>
      </c>
      <c r="LDH36" s="9" t="s">
        <v>2066</v>
      </c>
      <c r="LDI36" s="1">
        <v>65</v>
      </c>
      <c r="LDJ36" s="619" t="s">
        <v>2063</v>
      </c>
      <c r="LDK36" s="148" t="s">
        <v>2064</v>
      </c>
      <c r="LDL36" s="9" t="s">
        <v>2065</v>
      </c>
      <c r="LDM36" s="619">
        <v>1</v>
      </c>
      <c r="LDN36" s="4">
        <v>1000000</v>
      </c>
      <c r="LDO36" s="4">
        <f>LDN36*LDM36</f>
        <v>1000000</v>
      </c>
      <c r="LDP36" s="9" t="s">
        <v>2066</v>
      </c>
      <c r="LDQ36" s="1">
        <v>65</v>
      </c>
      <c r="LDR36" s="619" t="s">
        <v>2063</v>
      </c>
      <c r="LDS36" s="148" t="s">
        <v>2064</v>
      </c>
      <c r="LDT36" s="9" t="s">
        <v>2065</v>
      </c>
      <c r="LDU36" s="619">
        <v>1</v>
      </c>
      <c r="LDV36" s="4">
        <v>1000000</v>
      </c>
      <c r="LDW36" s="4">
        <f>LDV36*LDU36</f>
        <v>1000000</v>
      </c>
      <c r="LDX36" s="9" t="s">
        <v>2066</v>
      </c>
      <c r="LDY36" s="1">
        <v>65</v>
      </c>
      <c r="LDZ36" s="619" t="s">
        <v>2063</v>
      </c>
      <c r="LEA36" s="148" t="s">
        <v>2064</v>
      </c>
      <c r="LEB36" s="9" t="s">
        <v>2065</v>
      </c>
      <c r="LEC36" s="619">
        <v>1</v>
      </c>
      <c r="LED36" s="4">
        <v>1000000</v>
      </c>
      <c r="LEE36" s="4">
        <f>LED36*LEC36</f>
        <v>1000000</v>
      </c>
      <c r="LEF36" s="9" t="s">
        <v>2066</v>
      </c>
      <c r="LEG36" s="1">
        <v>65</v>
      </c>
      <c r="LEH36" s="619" t="s">
        <v>2063</v>
      </c>
      <c r="LEI36" s="148" t="s">
        <v>2064</v>
      </c>
      <c r="LEJ36" s="9" t="s">
        <v>2065</v>
      </c>
      <c r="LEK36" s="619">
        <v>1</v>
      </c>
      <c r="LEL36" s="4">
        <v>1000000</v>
      </c>
      <c r="LEM36" s="4">
        <f>LEL36*LEK36</f>
        <v>1000000</v>
      </c>
      <c r="LEN36" s="9" t="s">
        <v>2066</v>
      </c>
      <c r="LEO36" s="1">
        <v>65</v>
      </c>
      <c r="LEP36" s="619" t="s">
        <v>2063</v>
      </c>
      <c r="LEQ36" s="148" t="s">
        <v>2064</v>
      </c>
      <c r="LER36" s="9" t="s">
        <v>2065</v>
      </c>
      <c r="LES36" s="619">
        <v>1</v>
      </c>
      <c r="LET36" s="4">
        <v>1000000</v>
      </c>
      <c r="LEU36" s="4">
        <f>LET36*LES36</f>
        <v>1000000</v>
      </c>
      <c r="LEV36" s="9" t="s">
        <v>2066</v>
      </c>
      <c r="LEW36" s="1">
        <v>65</v>
      </c>
      <c r="LEX36" s="619" t="s">
        <v>2063</v>
      </c>
      <c r="LEY36" s="148" t="s">
        <v>2064</v>
      </c>
      <c r="LEZ36" s="9" t="s">
        <v>2065</v>
      </c>
      <c r="LFA36" s="619">
        <v>1</v>
      </c>
      <c r="LFB36" s="4">
        <v>1000000</v>
      </c>
      <c r="LFC36" s="4">
        <f>LFB36*LFA36</f>
        <v>1000000</v>
      </c>
      <c r="LFD36" s="9" t="s">
        <v>2066</v>
      </c>
      <c r="LFE36" s="1">
        <v>65</v>
      </c>
      <c r="LFF36" s="619" t="s">
        <v>2063</v>
      </c>
      <c r="LFG36" s="148" t="s">
        <v>2064</v>
      </c>
      <c r="LFH36" s="9" t="s">
        <v>2065</v>
      </c>
      <c r="LFI36" s="619">
        <v>1</v>
      </c>
      <c r="LFJ36" s="4">
        <v>1000000</v>
      </c>
      <c r="LFK36" s="4">
        <f>LFJ36*LFI36</f>
        <v>1000000</v>
      </c>
      <c r="LFL36" s="9" t="s">
        <v>2066</v>
      </c>
      <c r="LFM36" s="1">
        <v>65</v>
      </c>
      <c r="LFN36" s="619" t="s">
        <v>2063</v>
      </c>
      <c r="LFO36" s="148" t="s">
        <v>2064</v>
      </c>
      <c r="LFP36" s="9" t="s">
        <v>2065</v>
      </c>
      <c r="LFQ36" s="619">
        <v>1</v>
      </c>
      <c r="LFR36" s="4">
        <v>1000000</v>
      </c>
      <c r="LFS36" s="4">
        <f>LFR36*LFQ36</f>
        <v>1000000</v>
      </c>
      <c r="LFT36" s="9" t="s">
        <v>2066</v>
      </c>
      <c r="LFU36" s="1">
        <v>65</v>
      </c>
      <c r="LFV36" s="619" t="s">
        <v>2063</v>
      </c>
      <c r="LFW36" s="148" t="s">
        <v>2064</v>
      </c>
      <c r="LFX36" s="9" t="s">
        <v>2065</v>
      </c>
      <c r="LFY36" s="619">
        <v>1</v>
      </c>
      <c r="LFZ36" s="4">
        <v>1000000</v>
      </c>
      <c r="LGA36" s="4">
        <f>LFZ36*LFY36</f>
        <v>1000000</v>
      </c>
      <c r="LGB36" s="9" t="s">
        <v>2066</v>
      </c>
      <c r="LGC36" s="1">
        <v>65</v>
      </c>
      <c r="LGD36" s="619" t="s">
        <v>2063</v>
      </c>
      <c r="LGE36" s="148" t="s">
        <v>2064</v>
      </c>
      <c r="LGF36" s="9" t="s">
        <v>2065</v>
      </c>
      <c r="LGG36" s="619">
        <v>1</v>
      </c>
      <c r="LGH36" s="4">
        <v>1000000</v>
      </c>
      <c r="LGI36" s="4">
        <f>LGH36*LGG36</f>
        <v>1000000</v>
      </c>
      <c r="LGJ36" s="9" t="s">
        <v>2066</v>
      </c>
      <c r="LGK36" s="1">
        <v>65</v>
      </c>
      <c r="LGL36" s="619" t="s">
        <v>2063</v>
      </c>
      <c r="LGM36" s="148" t="s">
        <v>2064</v>
      </c>
      <c r="LGN36" s="9" t="s">
        <v>2065</v>
      </c>
      <c r="LGO36" s="619">
        <v>1</v>
      </c>
      <c r="LGP36" s="4">
        <v>1000000</v>
      </c>
      <c r="LGQ36" s="4">
        <f>LGP36*LGO36</f>
        <v>1000000</v>
      </c>
      <c r="LGR36" s="9" t="s">
        <v>2066</v>
      </c>
      <c r="LGS36" s="1">
        <v>65</v>
      </c>
      <c r="LGT36" s="619" t="s">
        <v>2063</v>
      </c>
      <c r="LGU36" s="148" t="s">
        <v>2064</v>
      </c>
      <c r="LGV36" s="9" t="s">
        <v>2065</v>
      </c>
      <c r="LGW36" s="619">
        <v>1</v>
      </c>
      <c r="LGX36" s="4">
        <v>1000000</v>
      </c>
      <c r="LGY36" s="4">
        <f>LGX36*LGW36</f>
        <v>1000000</v>
      </c>
      <c r="LGZ36" s="9" t="s">
        <v>2066</v>
      </c>
      <c r="LHA36" s="1">
        <v>65</v>
      </c>
      <c r="LHB36" s="619" t="s">
        <v>2063</v>
      </c>
      <c r="LHC36" s="148" t="s">
        <v>2064</v>
      </c>
      <c r="LHD36" s="9" t="s">
        <v>2065</v>
      </c>
      <c r="LHE36" s="619">
        <v>1</v>
      </c>
      <c r="LHF36" s="4">
        <v>1000000</v>
      </c>
      <c r="LHG36" s="4">
        <f>LHF36*LHE36</f>
        <v>1000000</v>
      </c>
      <c r="LHH36" s="9" t="s">
        <v>2066</v>
      </c>
      <c r="LHI36" s="1">
        <v>65</v>
      </c>
      <c r="LHJ36" s="619" t="s">
        <v>2063</v>
      </c>
      <c r="LHK36" s="148" t="s">
        <v>2064</v>
      </c>
      <c r="LHL36" s="9" t="s">
        <v>2065</v>
      </c>
      <c r="LHM36" s="619">
        <v>1</v>
      </c>
      <c r="LHN36" s="4">
        <v>1000000</v>
      </c>
      <c r="LHO36" s="4">
        <f>LHN36*LHM36</f>
        <v>1000000</v>
      </c>
      <c r="LHP36" s="9" t="s">
        <v>2066</v>
      </c>
      <c r="LHQ36" s="1">
        <v>65</v>
      </c>
      <c r="LHR36" s="619" t="s">
        <v>2063</v>
      </c>
      <c r="LHS36" s="148" t="s">
        <v>2064</v>
      </c>
      <c r="LHT36" s="9" t="s">
        <v>2065</v>
      </c>
      <c r="LHU36" s="619">
        <v>1</v>
      </c>
      <c r="LHV36" s="4">
        <v>1000000</v>
      </c>
      <c r="LHW36" s="4">
        <f>LHV36*LHU36</f>
        <v>1000000</v>
      </c>
      <c r="LHX36" s="9" t="s">
        <v>2066</v>
      </c>
      <c r="LHY36" s="1">
        <v>65</v>
      </c>
      <c r="LHZ36" s="619" t="s">
        <v>2063</v>
      </c>
      <c r="LIA36" s="148" t="s">
        <v>2064</v>
      </c>
      <c r="LIB36" s="9" t="s">
        <v>2065</v>
      </c>
      <c r="LIC36" s="619">
        <v>1</v>
      </c>
      <c r="LID36" s="4">
        <v>1000000</v>
      </c>
      <c r="LIE36" s="4">
        <f>LID36*LIC36</f>
        <v>1000000</v>
      </c>
      <c r="LIF36" s="9" t="s">
        <v>2066</v>
      </c>
      <c r="LIG36" s="1">
        <v>65</v>
      </c>
      <c r="LIH36" s="619" t="s">
        <v>2063</v>
      </c>
      <c r="LII36" s="148" t="s">
        <v>2064</v>
      </c>
      <c r="LIJ36" s="9" t="s">
        <v>2065</v>
      </c>
      <c r="LIK36" s="619">
        <v>1</v>
      </c>
      <c r="LIL36" s="4">
        <v>1000000</v>
      </c>
      <c r="LIM36" s="4">
        <f>LIL36*LIK36</f>
        <v>1000000</v>
      </c>
      <c r="LIN36" s="9" t="s">
        <v>2066</v>
      </c>
      <c r="LIO36" s="1">
        <v>65</v>
      </c>
      <c r="LIP36" s="619" t="s">
        <v>2063</v>
      </c>
      <c r="LIQ36" s="148" t="s">
        <v>2064</v>
      </c>
      <c r="LIR36" s="9" t="s">
        <v>2065</v>
      </c>
      <c r="LIS36" s="619">
        <v>1</v>
      </c>
      <c r="LIT36" s="4">
        <v>1000000</v>
      </c>
      <c r="LIU36" s="4">
        <f>LIT36*LIS36</f>
        <v>1000000</v>
      </c>
      <c r="LIV36" s="9" t="s">
        <v>2066</v>
      </c>
      <c r="LIW36" s="1">
        <v>65</v>
      </c>
      <c r="LIX36" s="619" t="s">
        <v>2063</v>
      </c>
      <c r="LIY36" s="148" t="s">
        <v>2064</v>
      </c>
      <c r="LIZ36" s="9" t="s">
        <v>2065</v>
      </c>
      <c r="LJA36" s="619">
        <v>1</v>
      </c>
      <c r="LJB36" s="4">
        <v>1000000</v>
      </c>
      <c r="LJC36" s="4">
        <f>LJB36*LJA36</f>
        <v>1000000</v>
      </c>
      <c r="LJD36" s="9" t="s">
        <v>2066</v>
      </c>
      <c r="LJE36" s="1">
        <v>65</v>
      </c>
      <c r="LJF36" s="619" t="s">
        <v>2063</v>
      </c>
      <c r="LJG36" s="148" t="s">
        <v>2064</v>
      </c>
      <c r="LJH36" s="9" t="s">
        <v>2065</v>
      </c>
      <c r="LJI36" s="619">
        <v>1</v>
      </c>
      <c r="LJJ36" s="4">
        <v>1000000</v>
      </c>
      <c r="LJK36" s="4">
        <f>LJJ36*LJI36</f>
        <v>1000000</v>
      </c>
      <c r="LJL36" s="9" t="s">
        <v>2066</v>
      </c>
      <c r="LJM36" s="1">
        <v>65</v>
      </c>
      <c r="LJN36" s="619" t="s">
        <v>2063</v>
      </c>
      <c r="LJO36" s="148" t="s">
        <v>2064</v>
      </c>
      <c r="LJP36" s="9" t="s">
        <v>2065</v>
      </c>
      <c r="LJQ36" s="619">
        <v>1</v>
      </c>
      <c r="LJR36" s="4">
        <v>1000000</v>
      </c>
      <c r="LJS36" s="4">
        <f>LJR36*LJQ36</f>
        <v>1000000</v>
      </c>
      <c r="LJT36" s="9" t="s">
        <v>2066</v>
      </c>
      <c r="LJU36" s="1">
        <v>65</v>
      </c>
      <c r="LJV36" s="619" t="s">
        <v>2063</v>
      </c>
      <c r="LJW36" s="148" t="s">
        <v>2064</v>
      </c>
      <c r="LJX36" s="9" t="s">
        <v>2065</v>
      </c>
      <c r="LJY36" s="619">
        <v>1</v>
      </c>
      <c r="LJZ36" s="4">
        <v>1000000</v>
      </c>
      <c r="LKA36" s="4">
        <f>LJZ36*LJY36</f>
        <v>1000000</v>
      </c>
      <c r="LKB36" s="9" t="s">
        <v>2066</v>
      </c>
      <c r="LKC36" s="1">
        <v>65</v>
      </c>
      <c r="LKD36" s="619" t="s">
        <v>2063</v>
      </c>
      <c r="LKE36" s="148" t="s">
        <v>2064</v>
      </c>
      <c r="LKF36" s="9" t="s">
        <v>2065</v>
      </c>
      <c r="LKG36" s="619">
        <v>1</v>
      </c>
      <c r="LKH36" s="4">
        <v>1000000</v>
      </c>
      <c r="LKI36" s="4">
        <f>LKH36*LKG36</f>
        <v>1000000</v>
      </c>
      <c r="LKJ36" s="9" t="s">
        <v>2066</v>
      </c>
      <c r="LKK36" s="1">
        <v>65</v>
      </c>
      <c r="LKL36" s="619" t="s">
        <v>2063</v>
      </c>
      <c r="LKM36" s="148" t="s">
        <v>2064</v>
      </c>
      <c r="LKN36" s="9" t="s">
        <v>2065</v>
      </c>
      <c r="LKO36" s="619">
        <v>1</v>
      </c>
      <c r="LKP36" s="4">
        <v>1000000</v>
      </c>
      <c r="LKQ36" s="4">
        <f>LKP36*LKO36</f>
        <v>1000000</v>
      </c>
      <c r="LKR36" s="9" t="s">
        <v>2066</v>
      </c>
      <c r="LKS36" s="1">
        <v>65</v>
      </c>
      <c r="LKT36" s="619" t="s">
        <v>2063</v>
      </c>
      <c r="LKU36" s="148" t="s">
        <v>2064</v>
      </c>
      <c r="LKV36" s="9" t="s">
        <v>2065</v>
      </c>
      <c r="LKW36" s="619">
        <v>1</v>
      </c>
      <c r="LKX36" s="4">
        <v>1000000</v>
      </c>
      <c r="LKY36" s="4">
        <f>LKX36*LKW36</f>
        <v>1000000</v>
      </c>
      <c r="LKZ36" s="9" t="s">
        <v>2066</v>
      </c>
      <c r="LLA36" s="1">
        <v>65</v>
      </c>
      <c r="LLB36" s="619" t="s">
        <v>2063</v>
      </c>
      <c r="LLC36" s="148" t="s">
        <v>2064</v>
      </c>
      <c r="LLD36" s="9" t="s">
        <v>2065</v>
      </c>
      <c r="LLE36" s="619">
        <v>1</v>
      </c>
      <c r="LLF36" s="4">
        <v>1000000</v>
      </c>
      <c r="LLG36" s="4">
        <f>LLF36*LLE36</f>
        <v>1000000</v>
      </c>
      <c r="LLH36" s="9" t="s">
        <v>2066</v>
      </c>
      <c r="LLI36" s="1">
        <v>65</v>
      </c>
      <c r="LLJ36" s="619" t="s">
        <v>2063</v>
      </c>
      <c r="LLK36" s="148" t="s">
        <v>2064</v>
      </c>
      <c r="LLL36" s="9" t="s">
        <v>2065</v>
      </c>
      <c r="LLM36" s="619">
        <v>1</v>
      </c>
      <c r="LLN36" s="4">
        <v>1000000</v>
      </c>
      <c r="LLO36" s="4">
        <f>LLN36*LLM36</f>
        <v>1000000</v>
      </c>
      <c r="LLP36" s="9" t="s">
        <v>2066</v>
      </c>
      <c r="LLQ36" s="1">
        <v>65</v>
      </c>
      <c r="LLR36" s="619" t="s">
        <v>2063</v>
      </c>
      <c r="LLS36" s="148" t="s">
        <v>2064</v>
      </c>
      <c r="LLT36" s="9" t="s">
        <v>2065</v>
      </c>
      <c r="LLU36" s="619">
        <v>1</v>
      </c>
      <c r="LLV36" s="4">
        <v>1000000</v>
      </c>
      <c r="LLW36" s="4">
        <f>LLV36*LLU36</f>
        <v>1000000</v>
      </c>
      <c r="LLX36" s="9" t="s">
        <v>2066</v>
      </c>
      <c r="LLY36" s="1">
        <v>65</v>
      </c>
      <c r="LLZ36" s="619" t="s">
        <v>2063</v>
      </c>
      <c r="LMA36" s="148" t="s">
        <v>2064</v>
      </c>
      <c r="LMB36" s="9" t="s">
        <v>2065</v>
      </c>
      <c r="LMC36" s="619">
        <v>1</v>
      </c>
      <c r="LMD36" s="4">
        <v>1000000</v>
      </c>
      <c r="LME36" s="4">
        <f>LMD36*LMC36</f>
        <v>1000000</v>
      </c>
      <c r="LMF36" s="9" t="s">
        <v>2066</v>
      </c>
      <c r="LMG36" s="1">
        <v>65</v>
      </c>
      <c r="LMH36" s="619" t="s">
        <v>2063</v>
      </c>
      <c r="LMI36" s="148" t="s">
        <v>2064</v>
      </c>
      <c r="LMJ36" s="9" t="s">
        <v>2065</v>
      </c>
      <c r="LMK36" s="619">
        <v>1</v>
      </c>
      <c r="LML36" s="4">
        <v>1000000</v>
      </c>
      <c r="LMM36" s="4">
        <f>LML36*LMK36</f>
        <v>1000000</v>
      </c>
      <c r="LMN36" s="9" t="s">
        <v>2066</v>
      </c>
      <c r="LMO36" s="1">
        <v>65</v>
      </c>
      <c r="LMP36" s="619" t="s">
        <v>2063</v>
      </c>
      <c r="LMQ36" s="148" t="s">
        <v>2064</v>
      </c>
      <c r="LMR36" s="9" t="s">
        <v>2065</v>
      </c>
      <c r="LMS36" s="619">
        <v>1</v>
      </c>
      <c r="LMT36" s="4">
        <v>1000000</v>
      </c>
      <c r="LMU36" s="4">
        <f>LMT36*LMS36</f>
        <v>1000000</v>
      </c>
      <c r="LMV36" s="9" t="s">
        <v>2066</v>
      </c>
      <c r="LMW36" s="1">
        <v>65</v>
      </c>
      <c r="LMX36" s="619" t="s">
        <v>2063</v>
      </c>
      <c r="LMY36" s="148" t="s">
        <v>2064</v>
      </c>
      <c r="LMZ36" s="9" t="s">
        <v>2065</v>
      </c>
      <c r="LNA36" s="619">
        <v>1</v>
      </c>
      <c r="LNB36" s="4">
        <v>1000000</v>
      </c>
      <c r="LNC36" s="4">
        <f>LNB36*LNA36</f>
        <v>1000000</v>
      </c>
      <c r="LND36" s="9" t="s">
        <v>2066</v>
      </c>
      <c r="LNE36" s="1">
        <v>65</v>
      </c>
      <c r="LNF36" s="619" t="s">
        <v>2063</v>
      </c>
      <c r="LNG36" s="148" t="s">
        <v>2064</v>
      </c>
      <c r="LNH36" s="9" t="s">
        <v>2065</v>
      </c>
      <c r="LNI36" s="619">
        <v>1</v>
      </c>
      <c r="LNJ36" s="4">
        <v>1000000</v>
      </c>
      <c r="LNK36" s="4">
        <f>LNJ36*LNI36</f>
        <v>1000000</v>
      </c>
      <c r="LNL36" s="9" t="s">
        <v>2066</v>
      </c>
      <c r="LNM36" s="1">
        <v>65</v>
      </c>
      <c r="LNN36" s="619" t="s">
        <v>2063</v>
      </c>
      <c r="LNO36" s="148" t="s">
        <v>2064</v>
      </c>
      <c r="LNP36" s="9" t="s">
        <v>2065</v>
      </c>
      <c r="LNQ36" s="619">
        <v>1</v>
      </c>
      <c r="LNR36" s="4">
        <v>1000000</v>
      </c>
      <c r="LNS36" s="4">
        <f>LNR36*LNQ36</f>
        <v>1000000</v>
      </c>
      <c r="LNT36" s="9" t="s">
        <v>2066</v>
      </c>
      <c r="LNU36" s="1">
        <v>65</v>
      </c>
      <c r="LNV36" s="619" t="s">
        <v>2063</v>
      </c>
      <c r="LNW36" s="148" t="s">
        <v>2064</v>
      </c>
      <c r="LNX36" s="9" t="s">
        <v>2065</v>
      </c>
      <c r="LNY36" s="619">
        <v>1</v>
      </c>
      <c r="LNZ36" s="4">
        <v>1000000</v>
      </c>
      <c r="LOA36" s="4">
        <f>LNZ36*LNY36</f>
        <v>1000000</v>
      </c>
      <c r="LOB36" s="9" t="s">
        <v>2066</v>
      </c>
      <c r="LOC36" s="1">
        <v>65</v>
      </c>
      <c r="LOD36" s="619" t="s">
        <v>2063</v>
      </c>
      <c r="LOE36" s="148" t="s">
        <v>2064</v>
      </c>
      <c r="LOF36" s="9" t="s">
        <v>2065</v>
      </c>
      <c r="LOG36" s="619">
        <v>1</v>
      </c>
      <c r="LOH36" s="4">
        <v>1000000</v>
      </c>
      <c r="LOI36" s="4">
        <f>LOH36*LOG36</f>
        <v>1000000</v>
      </c>
      <c r="LOJ36" s="9" t="s">
        <v>2066</v>
      </c>
      <c r="LOK36" s="1">
        <v>65</v>
      </c>
      <c r="LOL36" s="619" t="s">
        <v>2063</v>
      </c>
      <c r="LOM36" s="148" t="s">
        <v>2064</v>
      </c>
      <c r="LON36" s="9" t="s">
        <v>2065</v>
      </c>
      <c r="LOO36" s="619">
        <v>1</v>
      </c>
      <c r="LOP36" s="4">
        <v>1000000</v>
      </c>
      <c r="LOQ36" s="4">
        <f>LOP36*LOO36</f>
        <v>1000000</v>
      </c>
      <c r="LOR36" s="9" t="s">
        <v>2066</v>
      </c>
      <c r="LOS36" s="1">
        <v>65</v>
      </c>
      <c r="LOT36" s="619" t="s">
        <v>2063</v>
      </c>
      <c r="LOU36" s="148" t="s">
        <v>2064</v>
      </c>
      <c r="LOV36" s="9" t="s">
        <v>2065</v>
      </c>
      <c r="LOW36" s="619">
        <v>1</v>
      </c>
      <c r="LOX36" s="4">
        <v>1000000</v>
      </c>
      <c r="LOY36" s="4">
        <f>LOX36*LOW36</f>
        <v>1000000</v>
      </c>
      <c r="LOZ36" s="9" t="s">
        <v>2066</v>
      </c>
      <c r="LPA36" s="1">
        <v>65</v>
      </c>
      <c r="LPB36" s="619" t="s">
        <v>2063</v>
      </c>
      <c r="LPC36" s="148" t="s">
        <v>2064</v>
      </c>
      <c r="LPD36" s="9" t="s">
        <v>2065</v>
      </c>
      <c r="LPE36" s="619">
        <v>1</v>
      </c>
      <c r="LPF36" s="4">
        <v>1000000</v>
      </c>
      <c r="LPG36" s="4">
        <f>LPF36*LPE36</f>
        <v>1000000</v>
      </c>
      <c r="LPH36" s="9" t="s">
        <v>2066</v>
      </c>
      <c r="LPI36" s="1">
        <v>65</v>
      </c>
      <c r="LPJ36" s="619" t="s">
        <v>2063</v>
      </c>
      <c r="LPK36" s="148" t="s">
        <v>2064</v>
      </c>
      <c r="LPL36" s="9" t="s">
        <v>2065</v>
      </c>
      <c r="LPM36" s="619">
        <v>1</v>
      </c>
      <c r="LPN36" s="4">
        <v>1000000</v>
      </c>
      <c r="LPO36" s="4">
        <f>LPN36*LPM36</f>
        <v>1000000</v>
      </c>
      <c r="LPP36" s="9" t="s">
        <v>2066</v>
      </c>
      <c r="LPQ36" s="1">
        <v>65</v>
      </c>
      <c r="LPR36" s="619" t="s">
        <v>2063</v>
      </c>
      <c r="LPS36" s="148" t="s">
        <v>2064</v>
      </c>
      <c r="LPT36" s="9" t="s">
        <v>2065</v>
      </c>
      <c r="LPU36" s="619">
        <v>1</v>
      </c>
      <c r="LPV36" s="4">
        <v>1000000</v>
      </c>
      <c r="LPW36" s="4">
        <f>LPV36*LPU36</f>
        <v>1000000</v>
      </c>
      <c r="LPX36" s="9" t="s">
        <v>2066</v>
      </c>
      <c r="LPY36" s="1">
        <v>65</v>
      </c>
      <c r="LPZ36" s="619" t="s">
        <v>2063</v>
      </c>
      <c r="LQA36" s="148" t="s">
        <v>2064</v>
      </c>
      <c r="LQB36" s="9" t="s">
        <v>2065</v>
      </c>
      <c r="LQC36" s="619">
        <v>1</v>
      </c>
      <c r="LQD36" s="4">
        <v>1000000</v>
      </c>
      <c r="LQE36" s="4">
        <f>LQD36*LQC36</f>
        <v>1000000</v>
      </c>
      <c r="LQF36" s="9" t="s">
        <v>2066</v>
      </c>
      <c r="LQG36" s="1">
        <v>65</v>
      </c>
      <c r="LQH36" s="619" t="s">
        <v>2063</v>
      </c>
      <c r="LQI36" s="148" t="s">
        <v>2064</v>
      </c>
      <c r="LQJ36" s="9" t="s">
        <v>2065</v>
      </c>
      <c r="LQK36" s="619">
        <v>1</v>
      </c>
      <c r="LQL36" s="4">
        <v>1000000</v>
      </c>
      <c r="LQM36" s="4">
        <f>LQL36*LQK36</f>
        <v>1000000</v>
      </c>
      <c r="LQN36" s="9" t="s">
        <v>2066</v>
      </c>
      <c r="LQO36" s="1">
        <v>65</v>
      </c>
      <c r="LQP36" s="619" t="s">
        <v>2063</v>
      </c>
      <c r="LQQ36" s="148" t="s">
        <v>2064</v>
      </c>
      <c r="LQR36" s="9" t="s">
        <v>2065</v>
      </c>
      <c r="LQS36" s="619">
        <v>1</v>
      </c>
      <c r="LQT36" s="4">
        <v>1000000</v>
      </c>
      <c r="LQU36" s="4">
        <f>LQT36*LQS36</f>
        <v>1000000</v>
      </c>
      <c r="LQV36" s="9" t="s">
        <v>2066</v>
      </c>
      <c r="LQW36" s="1">
        <v>65</v>
      </c>
      <c r="LQX36" s="619" t="s">
        <v>2063</v>
      </c>
      <c r="LQY36" s="148" t="s">
        <v>2064</v>
      </c>
      <c r="LQZ36" s="9" t="s">
        <v>2065</v>
      </c>
      <c r="LRA36" s="619">
        <v>1</v>
      </c>
      <c r="LRB36" s="4">
        <v>1000000</v>
      </c>
      <c r="LRC36" s="4">
        <f>LRB36*LRA36</f>
        <v>1000000</v>
      </c>
      <c r="LRD36" s="9" t="s">
        <v>2066</v>
      </c>
      <c r="LRE36" s="1">
        <v>65</v>
      </c>
      <c r="LRF36" s="619" t="s">
        <v>2063</v>
      </c>
      <c r="LRG36" s="148" t="s">
        <v>2064</v>
      </c>
      <c r="LRH36" s="9" t="s">
        <v>2065</v>
      </c>
      <c r="LRI36" s="619">
        <v>1</v>
      </c>
      <c r="LRJ36" s="4">
        <v>1000000</v>
      </c>
      <c r="LRK36" s="4">
        <f>LRJ36*LRI36</f>
        <v>1000000</v>
      </c>
      <c r="LRL36" s="9" t="s">
        <v>2066</v>
      </c>
      <c r="LRM36" s="1">
        <v>65</v>
      </c>
      <c r="LRN36" s="619" t="s">
        <v>2063</v>
      </c>
      <c r="LRO36" s="148" t="s">
        <v>2064</v>
      </c>
      <c r="LRP36" s="9" t="s">
        <v>2065</v>
      </c>
      <c r="LRQ36" s="619">
        <v>1</v>
      </c>
      <c r="LRR36" s="4">
        <v>1000000</v>
      </c>
      <c r="LRS36" s="4">
        <f>LRR36*LRQ36</f>
        <v>1000000</v>
      </c>
      <c r="LRT36" s="9" t="s">
        <v>2066</v>
      </c>
      <c r="LRU36" s="1">
        <v>65</v>
      </c>
      <c r="LRV36" s="619" t="s">
        <v>2063</v>
      </c>
      <c r="LRW36" s="148" t="s">
        <v>2064</v>
      </c>
      <c r="LRX36" s="9" t="s">
        <v>2065</v>
      </c>
      <c r="LRY36" s="619">
        <v>1</v>
      </c>
      <c r="LRZ36" s="4">
        <v>1000000</v>
      </c>
      <c r="LSA36" s="4">
        <f>LRZ36*LRY36</f>
        <v>1000000</v>
      </c>
      <c r="LSB36" s="9" t="s">
        <v>2066</v>
      </c>
      <c r="LSC36" s="1">
        <v>65</v>
      </c>
      <c r="LSD36" s="619" t="s">
        <v>2063</v>
      </c>
      <c r="LSE36" s="148" t="s">
        <v>2064</v>
      </c>
      <c r="LSF36" s="9" t="s">
        <v>2065</v>
      </c>
      <c r="LSG36" s="619">
        <v>1</v>
      </c>
      <c r="LSH36" s="4">
        <v>1000000</v>
      </c>
      <c r="LSI36" s="4">
        <f>LSH36*LSG36</f>
        <v>1000000</v>
      </c>
      <c r="LSJ36" s="9" t="s">
        <v>2066</v>
      </c>
      <c r="LSK36" s="1">
        <v>65</v>
      </c>
      <c r="LSL36" s="619" t="s">
        <v>2063</v>
      </c>
      <c r="LSM36" s="148" t="s">
        <v>2064</v>
      </c>
      <c r="LSN36" s="9" t="s">
        <v>2065</v>
      </c>
      <c r="LSO36" s="619">
        <v>1</v>
      </c>
      <c r="LSP36" s="4">
        <v>1000000</v>
      </c>
      <c r="LSQ36" s="4">
        <f>LSP36*LSO36</f>
        <v>1000000</v>
      </c>
      <c r="LSR36" s="9" t="s">
        <v>2066</v>
      </c>
      <c r="LSS36" s="1">
        <v>65</v>
      </c>
      <c r="LST36" s="619" t="s">
        <v>2063</v>
      </c>
      <c r="LSU36" s="148" t="s">
        <v>2064</v>
      </c>
      <c r="LSV36" s="9" t="s">
        <v>2065</v>
      </c>
      <c r="LSW36" s="619">
        <v>1</v>
      </c>
      <c r="LSX36" s="4">
        <v>1000000</v>
      </c>
      <c r="LSY36" s="4">
        <f>LSX36*LSW36</f>
        <v>1000000</v>
      </c>
      <c r="LSZ36" s="9" t="s">
        <v>2066</v>
      </c>
      <c r="LTA36" s="1">
        <v>65</v>
      </c>
      <c r="LTB36" s="619" t="s">
        <v>2063</v>
      </c>
      <c r="LTC36" s="148" t="s">
        <v>2064</v>
      </c>
      <c r="LTD36" s="9" t="s">
        <v>2065</v>
      </c>
      <c r="LTE36" s="619">
        <v>1</v>
      </c>
      <c r="LTF36" s="4">
        <v>1000000</v>
      </c>
      <c r="LTG36" s="4">
        <f>LTF36*LTE36</f>
        <v>1000000</v>
      </c>
      <c r="LTH36" s="9" t="s">
        <v>2066</v>
      </c>
      <c r="LTI36" s="1">
        <v>65</v>
      </c>
      <c r="LTJ36" s="619" t="s">
        <v>2063</v>
      </c>
      <c r="LTK36" s="148" t="s">
        <v>2064</v>
      </c>
      <c r="LTL36" s="9" t="s">
        <v>2065</v>
      </c>
      <c r="LTM36" s="619">
        <v>1</v>
      </c>
      <c r="LTN36" s="4">
        <v>1000000</v>
      </c>
      <c r="LTO36" s="4">
        <f>LTN36*LTM36</f>
        <v>1000000</v>
      </c>
      <c r="LTP36" s="9" t="s">
        <v>2066</v>
      </c>
      <c r="LTQ36" s="1">
        <v>65</v>
      </c>
      <c r="LTR36" s="619" t="s">
        <v>2063</v>
      </c>
      <c r="LTS36" s="148" t="s">
        <v>2064</v>
      </c>
      <c r="LTT36" s="9" t="s">
        <v>2065</v>
      </c>
      <c r="LTU36" s="619">
        <v>1</v>
      </c>
      <c r="LTV36" s="4">
        <v>1000000</v>
      </c>
      <c r="LTW36" s="4">
        <f>LTV36*LTU36</f>
        <v>1000000</v>
      </c>
      <c r="LTX36" s="9" t="s">
        <v>2066</v>
      </c>
      <c r="LTY36" s="1">
        <v>65</v>
      </c>
      <c r="LTZ36" s="619" t="s">
        <v>2063</v>
      </c>
      <c r="LUA36" s="148" t="s">
        <v>2064</v>
      </c>
      <c r="LUB36" s="9" t="s">
        <v>2065</v>
      </c>
      <c r="LUC36" s="619">
        <v>1</v>
      </c>
      <c r="LUD36" s="4">
        <v>1000000</v>
      </c>
      <c r="LUE36" s="4">
        <f>LUD36*LUC36</f>
        <v>1000000</v>
      </c>
      <c r="LUF36" s="9" t="s">
        <v>2066</v>
      </c>
      <c r="LUG36" s="1">
        <v>65</v>
      </c>
      <c r="LUH36" s="619" t="s">
        <v>2063</v>
      </c>
      <c r="LUI36" s="148" t="s">
        <v>2064</v>
      </c>
      <c r="LUJ36" s="9" t="s">
        <v>2065</v>
      </c>
      <c r="LUK36" s="619">
        <v>1</v>
      </c>
      <c r="LUL36" s="4">
        <v>1000000</v>
      </c>
      <c r="LUM36" s="4">
        <f>LUL36*LUK36</f>
        <v>1000000</v>
      </c>
      <c r="LUN36" s="9" t="s">
        <v>2066</v>
      </c>
      <c r="LUO36" s="1">
        <v>65</v>
      </c>
      <c r="LUP36" s="619" t="s">
        <v>2063</v>
      </c>
      <c r="LUQ36" s="148" t="s">
        <v>2064</v>
      </c>
      <c r="LUR36" s="9" t="s">
        <v>2065</v>
      </c>
      <c r="LUS36" s="619">
        <v>1</v>
      </c>
      <c r="LUT36" s="4">
        <v>1000000</v>
      </c>
      <c r="LUU36" s="4">
        <f>LUT36*LUS36</f>
        <v>1000000</v>
      </c>
      <c r="LUV36" s="9" t="s">
        <v>2066</v>
      </c>
      <c r="LUW36" s="1">
        <v>65</v>
      </c>
      <c r="LUX36" s="619" t="s">
        <v>2063</v>
      </c>
      <c r="LUY36" s="148" t="s">
        <v>2064</v>
      </c>
      <c r="LUZ36" s="9" t="s">
        <v>2065</v>
      </c>
      <c r="LVA36" s="619">
        <v>1</v>
      </c>
      <c r="LVB36" s="4">
        <v>1000000</v>
      </c>
      <c r="LVC36" s="4">
        <f>LVB36*LVA36</f>
        <v>1000000</v>
      </c>
      <c r="LVD36" s="9" t="s">
        <v>2066</v>
      </c>
      <c r="LVE36" s="1">
        <v>65</v>
      </c>
      <c r="LVF36" s="619" t="s">
        <v>2063</v>
      </c>
      <c r="LVG36" s="148" t="s">
        <v>2064</v>
      </c>
      <c r="LVH36" s="9" t="s">
        <v>2065</v>
      </c>
      <c r="LVI36" s="619">
        <v>1</v>
      </c>
      <c r="LVJ36" s="4">
        <v>1000000</v>
      </c>
      <c r="LVK36" s="4">
        <f>LVJ36*LVI36</f>
        <v>1000000</v>
      </c>
      <c r="LVL36" s="9" t="s">
        <v>2066</v>
      </c>
      <c r="LVM36" s="1">
        <v>65</v>
      </c>
      <c r="LVN36" s="619" t="s">
        <v>2063</v>
      </c>
      <c r="LVO36" s="148" t="s">
        <v>2064</v>
      </c>
      <c r="LVP36" s="9" t="s">
        <v>2065</v>
      </c>
      <c r="LVQ36" s="619">
        <v>1</v>
      </c>
      <c r="LVR36" s="4">
        <v>1000000</v>
      </c>
      <c r="LVS36" s="4">
        <f>LVR36*LVQ36</f>
        <v>1000000</v>
      </c>
      <c r="LVT36" s="9" t="s">
        <v>2066</v>
      </c>
      <c r="LVU36" s="1">
        <v>65</v>
      </c>
      <c r="LVV36" s="619" t="s">
        <v>2063</v>
      </c>
      <c r="LVW36" s="148" t="s">
        <v>2064</v>
      </c>
      <c r="LVX36" s="9" t="s">
        <v>2065</v>
      </c>
      <c r="LVY36" s="619">
        <v>1</v>
      </c>
      <c r="LVZ36" s="4">
        <v>1000000</v>
      </c>
      <c r="LWA36" s="4">
        <f>LVZ36*LVY36</f>
        <v>1000000</v>
      </c>
      <c r="LWB36" s="9" t="s">
        <v>2066</v>
      </c>
      <c r="LWC36" s="1">
        <v>65</v>
      </c>
      <c r="LWD36" s="619" t="s">
        <v>2063</v>
      </c>
      <c r="LWE36" s="148" t="s">
        <v>2064</v>
      </c>
      <c r="LWF36" s="9" t="s">
        <v>2065</v>
      </c>
      <c r="LWG36" s="619">
        <v>1</v>
      </c>
      <c r="LWH36" s="4">
        <v>1000000</v>
      </c>
      <c r="LWI36" s="4">
        <f>LWH36*LWG36</f>
        <v>1000000</v>
      </c>
      <c r="LWJ36" s="9" t="s">
        <v>2066</v>
      </c>
      <c r="LWK36" s="1">
        <v>65</v>
      </c>
      <c r="LWL36" s="619" t="s">
        <v>2063</v>
      </c>
      <c r="LWM36" s="148" t="s">
        <v>2064</v>
      </c>
      <c r="LWN36" s="9" t="s">
        <v>2065</v>
      </c>
      <c r="LWO36" s="619">
        <v>1</v>
      </c>
      <c r="LWP36" s="4">
        <v>1000000</v>
      </c>
      <c r="LWQ36" s="4">
        <f>LWP36*LWO36</f>
        <v>1000000</v>
      </c>
      <c r="LWR36" s="9" t="s">
        <v>2066</v>
      </c>
      <c r="LWS36" s="1">
        <v>65</v>
      </c>
      <c r="LWT36" s="619" t="s">
        <v>2063</v>
      </c>
      <c r="LWU36" s="148" t="s">
        <v>2064</v>
      </c>
      <c r="LWV36" s="9" t="s">
        <v>2065</v>
      </c>
      <c r="LWW36" s="619">
        <v>1</v>
      </c>
      <c r="LWX36" s="4">
        <v>1000000</v>
      </c>
      <c r="LWY36" s="4">
        <f>LWX36*LWW36</f>
        <v>1000000</v>
      </c>
      <c r="LWZ36" s="9" t="s">
        <v>2066</v>
      </c>
      <c r="LXA36" s="1">
        <v>65</v>
      </c>
      <c r="LXB36" s="619" t="s">
        <v>2063</v>
      </c>
      <c r="LXC36" s="148" t="s">
        <v>2064</v>
      </c>
      <c r="LXD36" s="9" t="s">
        <v>2065</v>
      </c>
      <c r="LXE36" s="619">
        <v>1</v>
      </c>
      <c r="LXF36" s="4">
        <v>1000000</v>
      </c>
      <c r="LXG36" s="4">
        <f>LXF36*LXE36</f>
        <v>1000000</v>
      </c>
      <c r="LXH36" s="9" t="s">
        <v>2066</v>
      </c>
      <c r="LXI36" s="1">
        <v>65</v>
      </c>
      <c r="LXJ36" s="619" t="s">
        <v>2063</v>
      </c>
      <c r="LXK36" s="148" t="s">
        <v>2064</v>
      </c>
      <c r="LXL36" s="9" t="s">
        <v>2065</v>
      </c>
      <c r="LXM36" s="619">
        <v>1</v>
      </c>
      <c r="LXN36" s="4">
        <v>1000000</v>
      </c>
      <c r="LXO36" s="4">
        <f>LXN36*LXM36</f>
        <v>1000000</v>
      </c>
      <c r="LXP36" s="9" t="s">
        <v>2066</v>
      </c>
      <c r="LXQ36" s="1">
        <v>65</v>
      </c>
      <c r="LXR36" s="619" t="s">
        <v>2063</v>
      </c>
      <c r="LXS36" s="148" t="s">
        <v>2064</v>
      </c>
      <c r="LXT36" s="9" t="s">
        <v>2065</v>
      </c>
      <c r="LXU36" s="619">
        <v>1</v>
      </c>
      <c r="LXV36" s="4">
        <v>1000000</v>
      </c>
      <c r="LXW36" s="4">
        <f>LXV36*LXU36</f>
        <v>1000000</v>
      </c>
      <c r="LXX36" s="9" t="s">
        <v>2066</v>
      </c>
      <c r="LXY36" s="1">
        <v>65</v>
      </c>
      <c r="LXZ36" s="619" t="s">
        <v>2063</v>
      </c>
      <c r="LYA36" s="148" t="s">
        <v>2064</v>
      </c>
      <c r="LYB36" s="9" t="s">
        <v>2065</v>
      </c>
      <c r="LYC36" s="619">
        <v>1</v>
      </c>
      <c r="LYD36" s="4">
        <v>1000000</v>
      </c>
      <c r="LYE36" s="4">
        <f>LYD36*LYC36</f>
        <v>1000000</v>
      </c>
      <c r="LYF36" s="9" t="s">
        <v>2066</v>
      </c>
      <c r="LYG36" s="1">
        <v>65</v>
      </c>
      <c r="LYH36" s="619" t="s">
        <v>2063</v>
      </c>
      <c r="LYI36" s="148" t="s">
        <v>2064</v>
      </c>
      <c r="LYJ36" s="9" t="s">
        <v>2065</v>
      </c>
      <c r="LYK36" s="619">
        <v>1</v>
      </c>
      <c r="LYL36" s="4">
        <v>1000000</v>
      </c>
      <c r="LYM36" s="4">
        <f>LYL36*LYK36</f>
        <v>1000000</v>
      </c>
      <c r="LYN36" s="9" t="s">
        <v>2066</v>
      </c>
      <c r="LYO36" s="1">
        <v>65</v>
      </c>
      <c r="LYP36" s="619" t="s">
        <v>2063</v>
      </c>
      <c r="LYQ36" s="148" t="s">
        <v>2064</v>
      </c>
      <c r="LYR36" s="9" t="s">
        <v>2065</v>
      </c>
      <c r="LYS36" s="619">
        <v>1</v>
      </c>
      <c r="LYT36" s="4">
        <v>1000000</v>
      </c>
      <c r="LYU36" s="4">
        <f>LYT36*LYS36</f>
        <v>1000000</v>
      </c>
      <c r="LYV36" s="9" t="s">
        <v>2066</v>
      </c>
      <c r="LYW36" s="1">
        <v>65</v>
      </c>
      <c r="LYX36" s="619" t="s">
        <v>2063</v>
      </c>
      <c r="LYY36" s="148" t="s">
        <v>2064</v>
      </c>
      <c r="LYZ36" s="9" t="s">
        <v>2065</v>
      </c>
      <c r="LZA36" s="619">
        <v>1</v>
      </c>
      <c r="LZB36" s="4">
        <v>1000000</v>
      </c>
      <c r="LZC36" s="4">
        <f>LZB36*LZA36</f>
        <v>1000000</v>
      </c>
      <c r="LZD36" s="9" t="s">
        <v>2066</v>
      </c>
      <c r="LZE36" s="1">
        <v>65</v>
      </c>
      <c r="LZF36" s="619" t="s">
        <v>2063</v>
      </c>
      <c r="LZG36" s="148" t="s">
        <v>2064</v>
      </c>
      <c r="LZH36" s="9" t="s">
        <v>2065</v>
      </c>
      <c r="LZI36" s="619">
        <v>1</v>
      </c>
      <c r="LZJ36" s="4">
        <v>1000000</v>
      </c>
      <c r="LZK36" s="4">
        <f>LZJ36*LZI36</f>
        <v>1000000</v>
      </c>
      <c r="LZL36" s="9" t="s">
        <v>2066</v>
      </c>
      <c r="LZM36" s="1">
        <v>65</v>
      </c>
      <c r="LZN36" s="619" t="s">
        <v>2063</v>
      </c>
      <c r="LZO36" s="148" t="s">
        <v>2064</v>
      </c>
      <c r="LZP36" s="9" t="s">
        <v>2065</v>
      </c>
      <c r="LZQ36" s="619">
        <v>1</v>
      </c>
      <c r="LZR36" s="4">
        <v>1000000</v>
      </c>
      <c r="LZS36" s="4">
        <f>LZR36*LZQ36</f>
        <v>1000000</v>
      </c>
      <c r="LZT36" s="9" t="s">
        <v>2066</v>
      </c>
      <c r="LZU36" s="1">
        <v>65</v>
      </c>
      <c r="LZV36" s="619" t="s">
        <v>2063</v>
      </c>
      <c r="LZW36" s="148" t="s">
        <v>2064</v>
      </c>
      <c r="LZX36" s="9" t="s">
        <v>2065</v>
      </c>
      <c r="LZY36" s="619">
        <v>1</v>
      </c>
      <c r="LZZ36" s="4">
        <v>1000000</v>
      </c>
      <c r="MAA36" s="4">
        <f>LZZ36*LZY36</f>
        <v>1000000</v>
      </c>
      <c r="MAB36" s="9" t="s">
        <v>2066</v>
      </c>
      <c r="MAC36" s="1">
        <v>65</v>
      </c>
      <c r="MAD36" s="619" t="s">
        <v>2063</v>
      </c>
      <c r="MAE36" s="148" t="s">
        <v>2064</v>
      </c>
      <c r="MAF36" s="9" t="s">
        <v>2065</v>
      </c>
      <c r="MAG36" s="619">
        <v>1</v>
      </c>
      <c r="MAH36" s="4">
        <v>1000000</v>
      </c>
      <c r="MAI36" s="4">
        <f>MAH36*MAG36</f>
        <v>1000000</v>
      </c>
      <c r="MAJ36" s="9" t="s">
        <v>2066</v>
      </c>
      <c r="MAK36" s="1">
        <v>65</v>
      </c>
      <c r="MAL36" s="619" t="s">
        <v>2063</v>
      </c>
      <c r="MAM36" s="148" t="s">
        <v>2064</v>
      </c>
      <c r="MAN36" s="9" t="s">
        <v>2065</v>
      </c>
      <c r="MAO36" s="619">
        <v>1</v>
      </c>
      <c r="MAP36" s="4">
        <v>1000000</v>
      </c>
      <c r="MAQ36" s="4">
        <f>MAP36*MAO36</f>
        <v>1000000</v>
      </c>
      <c r="MAR36" s="9" t="s">
        <v>2066</v>
      </c>
      <c r="MAS36" s="1">
        <v>65</v>
      </c>
      <c r="MAT36" s="619" t="s">
        <v>2063</v>
      </c>
      <c r="MAU36" s="148" t="s">
        <v>2064</v>
      </c>
      <c r="MAV36" s="9" t="s">
        <v>2065</v>
      </c>
      <c r="MAW36" s="619">
        <v>1</v>
      </c>
      <c r="MAX36" s="4">
        <v>1000000</v>
      </c>
      <c r="MAY36" s="4">
        <f>MAX36*MAW36</f>
        <v>1000000</v>
      </c>
      <c r="MAZ36" s="9" t="s">
        <v>2066</v>
      </c>
      <c r="MBA36" s="1">
        <v>65</v>
      </c>
      <c r="MBB36" s="619" t="s">
        <v>2063</v>
      </c>
      <c r="MBC36" s="148" t="s">
        <v>2064</v>
      </c>
      <c r="MBD36" s="9" t="s">
        <v>2065</v>
      </c>
      <c r="MBE36" s="619">
        <v>1</v>
      </c>
      <c r="MBF36" s="4">
        <v>1000000</v>
      </c>
      <c r="MBG36" s="4">
        <f>MBF36*MBE36</f>
        <v>1000000</v>
      </c>
      <c r="MBH36" s="9" t="s">
        <v>2066</v>
      </c>
      <c r="MBI36" s="1">
        <v>65</v>
      </c>
      <c r="MBJ36" s="619" t="s">
        <v>2063</v>
      </c>
      <c r="MBK36" s="148" t="s">
        <v>2064</v>
      </c>
      <c r="MBL36" s="9" t="s">
        <v>2065</v>
      </c>
      <c r="MBM36" s="619">
        <v>1</v>
      </c>
      <c r="MBN36" s="4">
        <v>1000000</v>
      </c>
      <c r="MBO36" s="4">
        <f>MBN36*MBM36</f>
        <v>1000000</v>
      </c>
      <c r="MBP36" s="9" t="s">
        <v>2066</v>
      </c>
      <c r="MBQ36" s="1">
        <v>65</v>
      </c>
      <c r="MBR36" s="619" t="s">
        <v>2063</v>
      </c>
      <c r="MBS36" s="148" t="s">
        <v>2064</v>
      </c>
      <c r="MBT36" s="9" t="s">
        <v>2065</v>
      </c>
      <c r="MBU36" s="619">
        <v>1</v>
      </c>
      <c r="MBV36" s="4">
        <v>1000000</v>
      </c>
      <c r="MBW36" s="4">
        <f>MBV36*MBU36</f>
        <v>1000000</v>
      </c>
      <c r="MBX36" s="9" t="s">
        <v>2066</v>
      </c>
      <c r="MBY36" s="1">
        <v>65</v>
      </c>
      <c r="MBZ36" s="619" t="s">
        <v>2063</v>
      </c>
      <c r="MCA36" s="148" t="s">
        <v>2064</v>
      </c>
      <c r="MCB36" s="9" t="s">
        <v>2065</v>
      </c>
      <c r="MCC36" s="619">
        <v>1</v>
      </c>
      <c r="MCD36" s="4">
        <v>1000000</v>
      </c>
      <c r="MCE36" s="4">
        <f>MCD36*MCC36</f>
        <v>1000000</v>
      </c>
      <c r="MCF36" s="9" t="s">
        <v>2066</v>
      </c>
      <c r="MCG36" s="1">
        <v>65</v>
      </c>
      <c r="MCH36" s="619" t="s">
        <v>2063</v>
      </c>
      <c r="MCI36" s="148" t="s">
        <v>2064</v>
      </c>
      <c r="MCJ36" s="9" t="s">
        <v>2065</v>
      </c>
      <c r="MCK36" s="619">
        <v>1</v>
      </c>
      <c r="MCL36" s="4">
        <v>1000000</v>
      </c>
      <c r="MCM36" s="4">
        <f>MCL36*MCK36</f>
        <v>1000000</v>
      </c>
      <c r="MCN36" s="9" t="s">
        <v>2066</v>
      </c>
      <c r="MCO36" s="1">
        <v>65</v>
      </c>
      <c r="MCP36" s="619" t="s">
        <v>2063</v>
      </c>
      <c r="MCQ36" s="148" t="s">
        <v>2064</v>
      </c>
      <c r="MCR36" s="9" t="s">
        <v>2065</v>
      </c>
      <c r="MCS36" s="619">
        <v>1</v>
      </c>
      <c r="MCT36" s="4">
        <v>1000000</v>
      </c>
      <c r="MCU36" s="4">
        <f>MCT36*MCS36</f>
        <v>1000000</v>
      </c>
      <c r="MCV36" s="9" t="s">
        <v>2066</v>
      </c>
      <c r="MCW36" s="1">
        <v>65</v>
      </c>
      <c r="MCX36" s="619" t="s">
        <v>2063</v>
      </c>
      <c r="MCY36" s="148" t="s">
        <v>2064</v>
      </c>
      <c r="MCZ36" s="9" t="s">
        <v>2065</v>
      </c>
      <c r="MDA36" s="619">
        <v>1</v>
      </c>
      <c r="MDB36" s="4">
        <v>1000000</v>
      </c>
      <c r="MDC36" s="4">
        <f>MDB36*MDA36</f>
        <v>1000000</v>
      </c>
      <c r="MDD36" s="9" t="s">
        <v>2066</v>
      </c>
      <c r="MDE36" s="1">
        <v>65</v>
      </c>
      <c r="MDF36" s="619" t="s">
        <v>2063</v>
      </c>
      <c r="MDG36" s="148" t="s">
        <v>2064</v>
      </c>
      <c r="MDH36" s="9" t="s">
        <v>2065</v>
      </c>
      <c r="MDI36" s="619">
        <v>1</v>
      </c>
      <c r="MDJ36" s="4">
        <v>1000000</v>
      </c>
      <c r="MDK36" s="4">
        <f>MDJ36*MDI36</f>
        <v>1000000</v>
      </c>
      <c r="MDL36" s="9" t="s">
        <v>2066</v>
      </c>
      <c r="MDM36" s="1">
        <v>65</v>
      </c>
      <c r="MDN36" s="619" t="s">
        <v>2063</v>
      </c>
      <c r="MDO36" s="148" t="s">
        <v>2064</v>
      </c>
      <c r="MDP36" s="9" t="s">
        <v>2065</v>
      </c>
      <c r="MDQ36" s="619">
        <v>1</v>
      </c>
      <c r="MDR36" s="4">
        <v>1000000</v>
      </c>
      <c r="MDS36" s="4">
        <f>MDR36*MDQ36</f>
        <v>1000000</v>
      </c>
      <c r="MDT36" s="9" t="s">
        <v>2066</v>
      </c>
      <c r="MDU36" s="1">
        <v>65</v>
      </c>
      <c r="MDV36" s="619" t="s">
        <v>2063</v>
      </c>
      <c r="MDW36" s="148" t="s">
        <v>2064</v>
      </c>
      <c r="MDX36" s="9" t="s">
        <v>2065</v>
      </c>
      <c r="MDY36" s="619">
        <v>1</v>
      </c>
      <c r="MDZ36" s="4">
        <v>1000000</v>
      </c>
      <c r="MEA36" s="4">
        <f>MDZ36*MDY36</f>
        <v>1000000</v>
      </c>
      <c r="MEB36" s="9" t="s">
        <v>2066</v>
      </c>
      <c r="MEC36" s="1">
        <v>65</v>
      </c>
      <c r="MED36" s="619" t="s">
        <v>2063</v>
      </c>
      <c r="MEE36" s="148" t="s">
        <v>2064</v>
      </c>
      <c r="MEF36" s="9" t="s">
        <v>2065</v>
      </c>
      <c r="MEG36" s="619">
        <v>1</v>
      </c>
      <c r="MEH36" s="4">
        <v>1000000</v>
      </c>
      <c r="MEI36" s="4">
        <f>MEH36*MEG36</f>
        <v>1000000</v>
      </c>
      <c r="MEJ36" s="9" t="s">
        <v>2066</v>
      </c>
      <c r="MEK36" s="1">
        <v>65</v>
      </c>
      <c r="MEL36" s="619" t="s">
        <v>2063</v>
      </c>
      <c r="MEM36" s="148" t="s">
        <v>2064</v>
      </c>
      <c r="MEN36" s="9" t="s">
        <v>2065</v>
      </c>
      <c r="MEO36" s="619">
        <v>1</v>
      </c>
      <c r="MEP36" s="4">
        <v>1000000</v>
      </c>
      <c r="MEQ36" s="4">
        <f>MEP36*MEO36</f>
        <v>1000000</v>
      </c>
      <c r="MER36" s="9" t="s">
        <v>2066</v>
      </c>
      <c r="MES36" s="1">
        <v>65</v>
      </c>
      <c r="MET36" s="619" t="s">
        <v>2063</v>
      </c>
      <c r="MEU36" s="148" t="s">
        <v>2064</v>
      </c>
      <c r="MEV36" s="9" t="s">
        <v>2065</v>
      </c>
      <c r="MEW36" s="619">
        <v>1</v>
      </c>
      <c r="MEX36" s="4">
        <v>1000000</v>
      </c>
      <c r="MEY36" s="4">
        <f>MEX36*MEW36</f>
        <v>1000000</v>
      </c>
      <c r="MEZ36" s="9" t="s">
        <v>2066</v>
      </c>
      <c r="MFA36" s="1">
        <v>65</v>
      </c>
      <c r="MFB36" s="619" t="s">
        <v>2063</v>
      </c>
      <c r="MFC36" s="148" t="s">
        <v>2064</v>
      </c>
      <c r="MFD36" s="9" t="s">
        <v>2065</v>
      </c>
      <c r="MFE36" s="619">
        <v>1</v>
      </c>
      <c r="MFF36" s="4">
        <v>1000000</v>
      </c>
      <c r="MFG36" s="4">
        <f>MFF36*MFE36</f>
        <v>1000000</v>
      </c>
      <c r="MFH36" s="9" t="s">
        <v>2066</v>
      </c>
      <c r="MFI36" s="1">
        <v>65</v>
      </c>
      <c r="MFJ36" s="619" t="s">
        <v>2063</v>
      </c>
      <c r="MFK36" s="148" t="s">
        <v>2064</v>
      </c>
      <c r="MFL36" s="9" t="s">
        <v>2065</v>
      </c>
      <c r="MFM36" s="619">
        <v>1</v>
      </c>
      <c r="MFN36" s="4">
        <v>1000000</v>
      </c>
      <c r="MFO36" s="4">
        <f>MFN36*MFM36</f>
        <v>1000000</v>
      </c>
      <c r="MFP36" s="9" t="s">
        <v>2066</v>
      </c>
      <c r="MFQ36" s="1">
        <v>65</v>
      </c>
      <c r="MFR36" s="619" t="s">
        <v>2063</v>
      </c>
      <c r="MFS36" s="148" t="s">
        <v>2064</v>
      </c>
      <c r="MFT36" s="9" t="s">
        <v>2065</v>
      </c>
      <c r="MFU36" s="619">
        <v>1</v>
      </c>
      <c r="MFV36" s="4">
        <v>1000000</v>
      </c>
      <c r="MFW36" s="4">
        <f>MFV36*MFU36</f>
        <v>1000000</v>
      </c>
      <c r="MFX36" s="9" t="s">
        <v>2066</v>
      </c>
      <c r="MFY36" s="1">
        <v>65</v>
      </c>
      <c r="MFZ36" s="619" t="s">
        <v>2063</v>
      </c>
      <c r="MGA36" s="148" t="s">
        <v>2064</v>
      </c>
      <c r="MGB36" s="9" t="s">
        <v>2065</v>
      </c>
      <c r="MGC36" s="619">
        <v>1</v>
      </c>
      <c r="MGD36" s="4">
        <v>1000000</v>
      </c>
      <c r="MGE36" s="4">
        <f>MGD36*MGC36</f>
        <v>1000000</v>
      </c>
      <c r="MGF36" s="9" t="s">
        <v>2066</v>
      </c>
      <c r="MGG36" s="1">
        <v>65</v>
      </c>
      <c r="MGH36" s="619" t="s">
        <v>2063</v>
      </c>
      <c r="MGI36" s="148" t="s">
        <v>2064</v>
      </c>
      <c r="MGJ36" s="9" t="s">
        <v>2065</v>
      </c>
      <c r="MGK36" s="619">
        <v>1</v>
      </c>
      <c r="MGL36" s="4">
        <v>1000000</v>
      </c>
      <c r="MGM36" s="4">
        <f>MGL36*MGK36</f>
        <v>1000000</v>
      </c>
      <c r="MGN36" s="9" t="s">
        <v>2066</v>
      </c>
      <c r="MGO36" s="1">
        <v>65</v>
      </c>
      <c r="MGP36" s="619" t="s">
        <v>2063</v>
      </c>
      <c r="MGQ36" s="148" t="s">
        <v>2064</v>
      </c>
      <c r="MGR36" s="9" t="s">
        <v>2065</v>
      </c>
      <c r="MGS36" s="619">
        <v>1</v>
      </c>
      <c r="MGT36" s="4">
        <v>1000000</v>
      </c>
      <c r="MGU36" s="4">
        <f>MGT36*MGS36</f>
        <v>1000000</v>
      </c>
      <c r="MGV36" s="9" t="s">
        <v>2066</v>
      </c>
      <c r="MGW36" s="1">
        <v>65</v>
      </c>
      <c r="MGX36" s="619" t="s">
        <v>2063</v>
      </c>
      <c r="MGY36" s="148" t="s">
        <v>2064</v>
      </c>
      <c r="MGZ36" s="9" t="s">
        <v>2065</v>
      </c>
      <c r="MHA36" s="619">
        <v>1</v>
      </c>
      <c r="MHB36" s="4">
        <v>1000000</v>
      </c>
      <c r="MHC36" s="4">
        <f>MHB36*MHA36</f>
        <v>1000000</v>
      </c>
      <c r="MHD36" s="9" t="s">
        <v>2066</v>
      </c>
      <c r="MHE36" s="1">
        <v>65</v>
      </c>
      <c r="MHF36" s="619" t="s">
        <v>2063</v>
      </c>
      <c r="MHG36" s="148" t="s">
        <v>2064</v>
      </c>
      <c r="MHH36" s="9" t="s">
        <v>2065</v>
      </c>
      <c r="MHI36" s="619">
        <v>1</v>
      </c>
      <c r="MHJ36" s="4">
        <v>1000000</v>
      </c>
      <c r="MHK36" s="4">
        <f>MHJ36*MHI36</f>
        <v>1000000</v>
      </c>
      <c r="MHL36" s="9" t="s">
        <v>2066</v>
      </c>
      <c r="MHM36" s="1">
        <v>65</v>
      </c>
      <c r="MHN36" s="619" t="s">
        <v>2063</v>
      </c>
      <c r="MHO36" s="148" t="s">
        <v>2064</v>
      </c>
      <c r="MHP36" s="9" t="s">
        <v>2065</v>
      </c>
      <c r="MHQ36" s="619">
        <v>1</v>
      </c>
      <c r="MHR36" s="4">
        <v>1000000</v>
      </c>
      <c r="MHS36" s="4">
        <f>MHR36*MHQ36</f>
        <v>1000000</v>
      </c>
      <c r="MHT36" s="9" t="s">
        <v>2066</v>
      </c>
      <c r="MHU36" s="1">
        <v>65</v>
      </c>
      <c r="MHV36" s="619" t="s">
        <v>2063</v>
      </c>
      <c r="MHW36" s="148" t="s">
        <v>2064</v>
      </c>
      <c r="MHX36" s="9" t="s">
        <v>2065</v>
      </c>
      <c r="MHY36" s="619">
        <v>1</v>
      </c>
      <c r="MHZ36" s="4">
        <v>1000000</v>
      </c>
      <c r="MIA36" s="4">
        <f>MHZ36*MHY36</f>
        <v>1000000</v>
      </c>
      <c r="MIB36" s="9" t="s">
        <v>2066</v>
      </c>
      <c r="MIC36" s="1">
        <v>65</v>
      </c>
      <c r="MID36" s="619" t="s">
        <v>2063</v>
      </c>
      <c r="MIE36" s="148" t="s">
        <v>2064</v>
      </c>
      <c r="MIF36" s="9" t="s">
        <v>2065</v>
      </c>
      <c r="MIG36" s="619">
        <v>1</v>
      </c>
      <c r="MIH36" s="4">
        <v>1000000</v>
      </c>
      <c r="MII36" s="4">
        <f>MIH36*MIG36</f>
        <v>1000000</v>
      </c>
      <c r="MIJ36" s="9" t="s">
        <v>2066</v>
      </c>
      <c r="MIK36" s="1">
        <v>65</v>
      </c>
      <c r="MIL36" s="619" t="s">
        <v>2063</v>
      </c>
      <c r="MIM36" s="148" t="s">
        <v>2064</v>
      </c>
      <c r="MIN36" s="9" t="s">
        <v>2065</v>
      </c>
      <c r="MIO36" s="619">
        <v>1</v>
      </c>
      <c r="MIP36" s="4">
        <v>1000000</v>
      </c>
      <c r="MIQ36" s="4">
        <f>MIP36*MIO36</f>
        <v>1000000</v>
      </c>
      <c r="MIR36" s="9" t="s">
        <v>2066</v>
      </c>
      <c r="MIS36" s="1">
        <v>65</v>
      </c>
      <c r="MIT36" s="619" t="s">
        <v>2063</v>
      </c>
      <c r="MIU36" s="148" t="s">
        <v>2064</v>
      </c>
      <c r="MIV36" s="9" t="s">
        <v>2065</v>
      </c>
      <c r="MIW36" s="619">
        <v>1</v>
      </c>
      <c r="MIX36" s="4">
        <v>1000000</v>
      </c>
      <c r="MIY36" s="4">
        <f>MIX36*MIW36</f>
        <v>1000000</v>
      </c>
      <c r="MIZ36" s="9" t="s">
        <v>2066</v>
      </c>
      <c r="MJA36" s="1">
        <v>65</v>
      </c>
      <c r="MJB36" s="619" t="s">
        <v>2063</v>
      </c>
      <c r="MJC36" s="148" t="s">
        <v>2064</v>
      </c>
      <c r="MJD36" s="9" t="s">
        <v>2065</v>
      </c>
      <c r="MJE36" s="619">
        <v>1</v>
      </c>
      <c r="MJF36" s="4">
        <v>1000000</v>
      </c>
      <c r="MJG36" s="4">
        <f>MJF36*MJE36</f>
        <v>1000000</v>
      </c>
      <c r="MJH36" s="9" t="s">
        <v>2066</v>
      </c>
      <c r="MJI36" s="1">
        <v>65</v>
      </c>
      <c r="MJJ36" s="619" t="s">
        <v>2063</v>
      </c>
      <c r="MJK36" s="148" t="s">
        <v>2064</v>
      </c>
      <c r="MJL36" s="9" t="s">
        <v>2065</v>
      </c>
      <c r="MJM36" s="619">
        <v>1</v>
      </c>
      <c r="MJN36" s="4">
        <v>1000000</v>
      </c>
      <c r="MJO36" s="4">
        <f>MJN36*MJM36</f>
        <v>1000000</v>
      </c>
      <c r="MJP36" s="9" t="s">
        <v>2066</v>
      </c>
      <c r="MJQ36" s="1">
        <v>65</v>
      </c>
      <c r="MJR36" s="619" t="s">
        <v>2063</v>
      </c>
      <c r="MJS36" s="148" t="s">
        <v>2064</v>
      </c>
      <c r="MJT36" s="9" t="s">
        <v>2065</v>
      </c>
      <c r="MJU36" s="619">
        <v>1</v>
      </c>
      <c r="MJV36" s="4">
        <v>1000000</v>
      </c>
      <c r="MJW36" s="4">
        <f>MJV36*MJU36</f>
        <v>1000000</v>
      </c>
      <c r="MJX36" s="9" t="s">
        <v>2066</v>
      </c>
      <c r="MJY36" s="1">
        <v>65</v>
      </c>
      <c r="MJZ36" s="619" t="s">
        <v>2063</v>
      </c>
      <c r="MKA36" s="148" t="s">
        <v>2064</v>
      </c>
      <c r="MKB36" s="9" t="s">
        <v>2065</v>
      </c>
      <c r="MKC36" s="619">
        <v>1</v>
      </c>
      <c r="MKD36" s="4">
        <v>1000000</v>
      </c>
      <c r="MKE36" s="4">
        <f>MKD36*MKC36</f>
        <v>1000000</v>
      </c>
      <c r="MKF36" s="9" t="s">
        <v>2066</v>
      </c>
      <c r="MKG36" s="1">
        <v>65</v>
      </c>
      <c r="MKH36" s="619" t="s">
        <v>2063</v>
      </c>
      <c r="MKI36" s="148" t="s">
        <v>2064</v>
      </c>
      <c r="MKJ36" s="9" t="s">
        <v>2065</v>
      </c>
      <c r="MKK36" s="619">
        <v>1</v>
      </c>
      <c r="MKL36" s="4">
        <v>1000000</v>
      </c>
      <c r="MKM36" s="4">
        <f>MKL36*MKK36</f>
        <v>1000000</v>
      </c>
      <c r="MKN36" s="9" t="s">
        <v>2066</v>
      </c>
      <c r="MKO36" s="1">
        <v>65</v>
      </c>
      <c r="MKP36" s="619" t="s">
        <v>2063</v>
      </c>
      <c r="MKQ36" s="148" t="s">
        <v>2064</v>
      </c>
      <c r="MKR36" s="9" t="s">
        <v>2065</v>
      </c>
      <c r="MKS36" s="619">
        <v>1</v>
      </c>
      <c r="MKT36" s="4">
        <v>1000000</v>
      </c>
      <c r="MKU36" s="4">
        <f>MKT36*MKS36</f>
        <v>1000000</v>
      </c>
      <c r="MKV36" s="9" t="s">
        <v>2066</v>
      </c>
      <c r="MKW36" s="1">
        <v>65</v>
      </c>
      <c r="MKX36" s="619" t="s">
        <v>2063</v>
      </c>
      <c r="MKY36" s="148" t="s">
        <v>2064</v>
      </c>
      <c r="MKZ36" s="9" t="s">
        <v>2065</v>
      </c>
      <c r="MLA36" s="619">
        <v>1</v>
      </c>
      <c r="MLB36" s="4">
        <v>1000000</v>
      </c>
      <c r="MLC36" s="4">
        <f>MLB36*MLA36</f>
        <v>1000000</v>
      </c>
      <c r="MLD36" s="9" t="s">
        <v>2066</v>
      </c>
      <c r="MLE36" s="1">
        <v>65</v>
      </c>
      <c r="MLF36" s="619" t="s">
        <v>2063</v>
      </c>
      <c r="MLG36" s="148" t="s">
        <v>2064</v>
      </c>
      <c r="MLH36" s="9" t="s">
        <v>2065</v>
      </c>
      <c r="MLI36" s="619">
        <v>1</v>
      </c>
      <c r="MLJ36" s="4">
        <v>1000000</v>
      </c>
      <c r="MLK36" s="4">
        <f>MLJ36*MLI36</f>
        <v>1000000</v>
      </c>
      <c r="MLL36" s="9" t="s">
        <v>2066</v>
      </c>
      <c r="MLM36" s="1">
        <v>65</v>
      </c>
      <c r="MLN36" s="619" t="s">
        <v>2063</v>
      </c>
      <c r="MLO36" s="148" t="s">
        <v>2064</v>
      </c>
      <c r="MLP36" s="9" t="s">
        <v>2065</v>
      </c>
      <c r="MLQ36" s="619">
        <v>1</v>
      </c>
      <c r="MLR36" s="4">
        <v>1000000</v>
      </c>
      <c r="MLS36" s="4">
        <f>MLR36*MLQ36</f>
        <v>1000000</v>
      </c>
      <c r="MLT36" s="9" t="s">
        <v>2066</v>
      </c>
      <c r="MLU36" s="1">
        <v>65</v>
      </c>
      <c r="MLV36" s="619" t="s">
        <v>2063</v>
      </c>
      <c r="MLW36" s="148" t="s">
        <v>2064</v>
      </c>
      <c r="MLX36" s="9" t="s">
        <v>2065</v>
      </c>
      <c r="MLY36" s="619">
        <v>1</v>
      </c>
      <c r="MLZ36" s="4">
        <v>1000000</v>
      </c>
      <c r="MMA36" s="4">
        <f>MLZ36*MLY36</f>
        <v>1000000</v>
      </c>
      <c r="MMB36" s="9" t="s">
        <v>2066</v>
      </c>
      <c r="MMC36" s="1">
        <v>65</v>
      </c>
      <c r="MMD36" s="619" t="s">
        <v>2063</v>
      </c>
      <c r="MME36" s="148" t="s">
        <v>2064</v>
      </c>
      <c r="MMF36" s="9" t="s">
        <v>2065</v>
      </c>
      <c r="MMG36" s="619">
        <v>1</v>
      </c>
      <c r="MMH36" s="4">
        <v>1000000</v>
      </c>
      <c r="MMI36" s="4">
        <f>MMH36*MMG36</f>
        <v>1000000</v>
      </c>
      <c r="MMJ36" s="9" t="s">
        <v>2066</v>
      </c>
      <c r="MMK36" s="1">
        <v>65</v>
      </c>
      <c r="MML36" s="619" t="s">
        <v>2063</v>
      </c>
      <c r="MMM36" s="148" t="s">
        <v>2064</v>
      </c>
      <c r="MMN36" s="9" t="s">
        <v>2065</v>
      </c>
      <c r="MMO36" s="619">
        <v>1</v>
      </c>
      <c r="MMP36" s="4">
        <v>1000000</v>
      </c>
      <c r="MMQ36" s="4">
        <f>MMP36*MMO36</f>
        <v>1000000</v>
      </c>
      <c r="MMR36" s="9" t="s">
        <v>2066</v>
      </c>
      <c r="MMS36" s="1">
        <v>65</v>
      </c>
      <c r="MMT36" s="619" t="s">
        <v>2063</v>
      </c>
      <c r="MMU36" s="148" t="s">
        <v>2064</v>
      </c>
      <c r="MMV36" s="9" t="s">
        <v>2065</v>
      </c>
      <c r="MMW36" s="619">
        <v>1</v>
      </c>
      <c r="MMX36" s="4">
        <v>1000000</v>
      </c>
      <c r="MMY36" s="4">
        <f>MMX36*MMW36</f>
        <v>1000000</v>
      </c>
      <c r="MMZ36" s="9" t="s">
        <v>2066</v>
      </c>
      <c r="MNA36" s="1">
        <v>65</v>
      </c>
      <c r="MNB36" s="619" t="s">
        <v>2063</v>
      </c>
      <c r="MNC36" s="148" t="s">
        <v>2064</v>
      </c>
      <c r="MND36" s="9" t="s">
        <v>2065</v>
      </c>
      <c r="MNE36" s="619">
        <v>1</v>
      </c>
      <c r="MNF36" s="4">
        <v>1000000</v>
      </c>
      <c r="MNG36" s="4">
        <f>MNF36*MNE36</f>
        <v>1000000</v>
      </c>
      <c r="MNH36" s="9" t="s">
        <v>2066</v>
      </c>
      <c r="MNI36" s="1">
        <v>65</v>
      </c>
      <c r="MNJ36" s="619" t="s">
        <v>2063</v>
      </c>
      <c r="MNK36" s="148" t="s">
        <v>2064</v>
      </c>
      <c r="MNL36" s="9" t="s">
        <v>2065</v>
      </c>
      <c r="MNM36" s="619">
        <v>1</v>
      </c>
      <c r="MNN36" s="4">
        <v>1000000</v>
      </c>
      <c r="MNO36" s="4">
        <f>MNN36*MNM36</f>
        <v>1000000</v>
      </c>
      <c r="MNP36" s="9" t="s">
        <v>2066</v>
      </c>
      <c r="MNQ36" s="1">
        <v>65</v>
      </c>
      <c r="MNR36" s="619" t="s">
        <v>2063</v>
      </c>
      <c r="MNS36" s="148" t="s">
        <v>2064</v>
      </c>
      <c r="MNT36" s="9" t="s">
        <v>2065</v>
      </c>
      <c r="MNU36" s="619">
        <v>1</v>
      </c>
      <c r="MNV36" s="4">
        <v>1000000</v>
      </c>
      <c r="MNW36" s="4">
        <f>MNV36*MNU36</f>
        <v>1000000</v>
      </c>
      <c r="MNX36" s="9" t="s">
        <v>2066</v>
      </c>
      <c r="MNY36" s="1">
        <v>65</v>
      </c>
      <c r="MNZ36" s="619" t="s">
        <v>2063</v>
      </c>
      <c r="MOA36" s="148" t="s">
        <v>2064</v>
      </c>
      <c r="MOB36" s="9" t="s">
        <v>2065</v>
      </c>
      <c r="MOC36" s="619">
        <v>1</v>
      </c>
      <c r="MOD36" s="4">
        <v>1000000</v>
      </c>
      <c r="MOE36" s="4">
        <f>MOD36*MOC36</f>
        <v>1000000</v>
      </c>
      <c r="MOF36" s="9" t="s">
        <v>2066</v>
      </c>
      <c r="MOG36" s="1">
        <v>65</v>
      </c>
      <c r="MOH36" s="619" t="s">
        <v>2063</v>
      </c>
      <c r="MOI36" s="148" t="s">
        <v>2064</v>
      </c>
      <c r="MOJ36" s="9" t="s">
        <v>2065</v>
      </c>
      <c r="MOK36" s="619">
        <v>1</v>
      </c>
      <c r="MOL36" s="4">
        <v>1000000</v>
      </c>
      <c r="MOM36" s="4">
        <f>MOL36*MOK36</f>
        <v>1000000</v>
      </c>
      <c r="MON36" s="9" t="s">
        <v>2066</v>
      </c>
      <c r="MOO36" s="1">
        <v>65</v>
      </c>
      <c r="MOP36" s="619" t="s">
        <v>2063</v>
      </c>
      <c r="MOQ36" s="148" t="s">
        <v>2064</v>
      </c>
      <c r="MOR36" s="9" t="s">
        <v>2065</v>
      </c>
      <c r="MOS36" s="619">
        <v>1</v>
      </c>
      <c r="MOT36" s="4">
        <v>1000000</v>
      </c>
      <c r="MOU36" s="4">
        <f>MOT36*MOS36</f>
        <v>1000000</v>
      </c>
      <c r="MOV36" s="9" t="s">
        <v>2066</v>
      </c>
      <c r="MOW36" s="1">
        <v>65</v>
      </c>
      <c r="MOX36" s="619" t="s">
        <v>2063</v>
      </c>
      <c r="MOY36" s="148" t="s">
        <v>2064</v>
      </c>
      <c r="MOZ36" s="9" t="s">
        <v>2065</v>
      </c>
      <c r="MPA36" s="619">
        <v>1</v>
      </c>
      <c r="MPB36" s="4">
        <v>1000000</v>
      </c>
      <c r="MPC36" s="4">
        <f>MPB36*MPA36</f>
        <v>1000000</v>
      </c>
      <c r="MPD36" s="9" t="s">
        <v>2066</v>
      </c>
      <c r="MPE36" s="1">
        <v>65</v>
      </c>
      <c r="MPF36" s="619" t="s">
        <v>2063</v>
      </c>
      <c r="MPG36" s="148" t="s">
        <v>2064</v>
      </c>
      <c r="MPH36" s="9" t="s">
        <v>2065</v>
      </c>
      <c r="MPI36" s="619">
        <v>1</v>
      </c>
      <c r="MPJ36" s="4">
        <v>1000000</v>
      </c>
      <c r="MPK36" s="4">
        <f>MPJ36*MPI36</f>
        <v>1000000</v>
      </c>
      <c r="MPL36" s="9" t="s">
        <v>2066</v>
      </c>
      <c r="MPM36" s="1">
        <v>65</v>
      </c>
      <c r="MPN36" s="619" t="s">
        <v>2063</v>
      </c>
      <c r="MPO36" s="148" t="s">
        <v>2064</v>
      </c>
      <c r="MPP36" s="9" t="s">
        <v>2065</v>
      </c>
      <c r="MPQ36" s="619">
        <v>1</v>
      </c>
      <c r="MPR36" s="4">
        <v>1000000</v>
      </c>
      <c r="MPS36" s="4">
        <f>MPR36*MPQ36</f>
        <v>1000000</v>
      </c>
      <c r="MPT36" s="9" t="s">
        <v>2066</v>
      </c>
      <c r="MPU36" s="1">
        <v>65</v>
      </c>
      <c r="MPV36" s="619" t="s">
        <v>2063</v>
      </c>
      <c r="MPW36" s="148" t="s">
        <v>2064</v>
      </c>
      <c r="MPX36" s="9" t="s">
        <v>2065</v>
      </c>
      <c r="MPY36" s="619">
        <v>1</v>
      </c>
      <c r="MPZ36" s="4">
        <v>1000000</v>
      </c>
      <c r="MQA36" s="4">
        <f>MPZ36*MPY36</f>
        <v>1000000</v>
      </c>
      <c r="MQB36" s="9" t="s">
        <v>2066</v>
      </c>
      <c r="MQC36" s="1">
        <v>65</v>
      </c>
      <c r="MQD36" s="619" t="s">
        <v>2063</v>
      </c>
      <c r="MQE36" s="148" t="s">
        <v>2064</v>
      </c>
      <c r="MQF36" s="9" t="s">
        <v>2065</v>
      </c>
      <c r="MQG36" s="619">
        <v>1</v>
      </c>
      <c r="MQH36" s="4">
        <v>1000000</v>
      </c>
      <c r="MQI36" s="4">
        <f>MQH36*MQG36</f>
        <v>1000000</v>
      </c>
      <c r="MQJ36" s="9" t="s">
        <v>2066</v>
      </c>
      <c r="MQK36" s="1">
        <v>65</v>
      </c>
      <c r="MQL36" s="619" t="s">
        <v>2063</v>
      </c>
      <c r="MQM36" s="148" t="s">
        <v>2064</v>
      </c>
      <c r="MQN36" s="9" t="s">
        <v>2065</v>
      </c>
      <c r="MQO36" s="619">
        <v>1</v>
      </c>
      <c r="MQP36" s="4">
        <v>1000000</v>
      </c>
      <c r="MQQ36" s="4">
        <f>MQP36*MQO36</f>
        <v>1000000</v>
      </c>
      <c r="MQR36" s="9" t="s">
        <v>2066</v>
      </c>
      <c r="MQS36" s="1">
        <v>65</v>
      </c>
      <c r="MQT36" s="619" t="s">
        <v>2063</v>
      </c>
      <c r="MQU36" s="148" t="s">
        <v>2064</v>
      </c>
      <c r="MQV36" s="9" t="s">
        <v>2065</v>
      </c>
      <c r="MQW36" s="619">
        <v>1</v>
      </c>
      <c r="MQX36" s="4">
        <v>1000000</v>
      </c>
      <c r="MQY36" s="4">
        <f>MQX36*MQW36</f>
        <v>1000000</v>
      </c>
      <c r="MQZ36" s="9" t="s">
        <v>2066</v>
      </c>
      <c r="MRA36" s="1">
        <v>65</v>
      </c>
      <c r="MRB36" s="619" t="s">
        <v>2063</v>
      </c>
      <c r="MRC36" s="148" t="s">
        <v>2064</v>
      </c>
      <c r="MRD36" s="9" t="s">
        <v>2065</v>
      </c>
      <c r="MRE36" s="619">
        <v>1</v>
      </c>
      <c r="MRF36" s="4">
        <v>1000000</v>
      </c>
      <c r="MRG36" s="4">
        <f>MRF36*MRE36</f>
        <v>1000000</v>
      </c>
      <c r="MRH36" s="9" t="s">
        <v>2066</v>
      </c>
      <c r="MRI36" s="1">
        <v>65</v>
      </c>
      <c r="MRJ36" s="619" t="s">
        <v>2063</v>
      </c>
      <c r="MRK36" s="148" t="s">
        <v>2064</v>
      </c>
      <c r="MRL36" s="9" t="s">
        <v>2065</v>
      </c>
      <c r="MRM36" s="619">
        <v>1</v>
      </c>
      <c r="MRN36" s="4">
        <v>1000000</v>
      </c>
      <c r="MRO36" s="4">
        <f>MRN36*MRM36</f>
        <v>1000000</v>
      </c>
      <c r="MRP36" s="9" t="s">
        <v>2066</v>
      </c>
      <c r="MRQ36" s="1">
        <v>65</v>
      </c>
      <c r="MRR36" s="619" t="s">
        <v>2063</v>
      </c>
      <c r="MRS36" s="148" t="s">
        <v>2064</v>
      </c>
      <c r="MRT36" s="9" t="s">
        <v>2065</v>
      </c>
      <c r="MRU36" s="619">
        <v>1</v>
      </c>
      <c r="MRV36" s="4">
        <v>1000000</v>
      </c>
      <c r="MRW36" s="4">
        <f>MRV36*MRU36</f>
        <v>1000000</v>
      </c>
      <c r="MRX36" s="9" t="s">
        <v>2066</v>
      </c>
      <c r="MRY36" s="1">
        <v>65</v>
      </c>
      <c r="MRZ36" s="619" t="s">
        <v>2063</v>
      </c>
      <c r="MSA36" s="148" t="s">
        <v>2064</v>
      </c>
      <c r="MSB36" s="9" t="s">
        <v>2065</v>
      </c>
      <c r="MSC36" s="619">
        <v>1</v>
      </c>
      <c r="MSD36" s="4">
        <v>1000000</v>
      </c>
      <c r="MSE36" s="4">
        <f>MSD36*MSC36</f>
        <v>1000000</v>
      </c>
      <c r="MSF36" s="9" t="s">
        <v>2066</v>
      </c>
      <c r="MSG36" s="1">
        <v>65</v>
      </c>
      <c r="MSH36" s="619" t="s">
        <v>2063</v>
      </c>
      <c r="MSI36" s="148" t="s">
        <v>2064</v>
      </c>
      <c r="MSJ36" s="9" t="s">
        <v>2065</v>
      </c>
      <c r="MSK36" s="619">
        <v>1</v>
      </c>
      <c r="MSL36" s="4">
        <v>1000000</v>
      </c>
      <c r="MSM36" s="4">
        <f>MSL36*MSK36</f>
        <v>1000000</v>
      </c>
      <c r="MSN36" s="9" t="s">
        <v>2066</v>
      </c>
      <c r="MSO36" s="1">
        <v>65</v>
      </c>
      <c r="MSP36" s="619" t="s">
        <v>2063</v>
      </c>
      <c r="MSQ36" s="148" t="s">
        <v>2064</v>
      </c>
      <c r="MSR36" s="9" t="s">
        <v>2065</v>
      </c>
      <c r="MSS36" s="619">
        <v>1</v>
      </c>
      <c r="MST36" s="4">
        <v>1000000</v>
      </c>
      <c r="MSU36" s="4">
        <f>MST36*MSS36</f>
        <v>1000000</v>
      </c>
      <c r="MSV36" s="9" t="s">
        <v>2066</v>
      </c>
      <c r="MSW36" s="1">
        <v>65</v>
      </c>
      <c r="MSX36" s="619" t="s">
        <v>2063</v>
      </c>
      <c r="MSY36" s="148" t="s">
        <v>2064</v>
      </c>
      <c r="MSZ36" s="9" t="s">
        <v>2065</v>
      </c>
      <c r="MTA36" s="619">
        <v>1</v>
      </c>
      <c r="MTB36" s="4">
        <v>1000000</v>
      </c>
      <c r="MTC36" s="4">
        <f>MTB36*MTA36</f>
        <v>1000000</v>
      </c>
      <c r="MTD36" s="9" t="s">
        <v>2066</v>
      </c>
      <c r="MTE36" s="1">
        <v>65</v>
      </c>
      <c r="MTF36" s="619" t="s">
        <v>2063</v>
      </c>
      <c r="MTG36" s="148" t="s">
        <v>2064</v>
      </c>
      <c r="MTH36" s="9" t="s">
        <v>2065</v>
      </c>
      <c r="MTI36" s="619">
        <v>1</v>
      </c>
      <c r="MTJ36" s="4">
        <v>1000000</v>
      </c>
      <c r="MTK36" s="4">
        <f>MTJ36*MTI36</f>
        <v>1000000</v>
      </c>
      <c r="MTL36" s="9" t="s">
        <v>2066</v>
      </c>
      <c r="MTM36" s="1">
        <v>65</v>
      </c>
      <c r="MTN36" s="619" t="s">
        <v>2063</v>
      </c>
      <c r="MTO36" s="148" t="s">
        <v>2064</v>
      </c>
      <c r="MTP36" s="9" t="s">
        <v>2065</v>
      </c>
      <c r="MTQ36" s="619">
        <v>1</v>
      </c>
      <c r="MTR36" s="4">
        <v>1000000</v>
      </c>
      <c r="MTS36" s="4">
        <f>MTR36*MTQ36</f>
        <v>1000000</v>
      </c>
      <c r="MTT36" s="9" t="s">
        <v>2066</v>
      </c>
      <c r="MTU36" s="1">
        <v>65</v>
      </c>
      <c r="MTV36" s="619" t="s">
        <v>2063</v>
      </c>
      <c r="MTW36" s="148" t="s">
        <v>2064</v>
      </c>
      <c r="MTX36" s="9" t="s">
        <v>2065</v>
      </c>
      <c r="MTY36" s="619">
        <v>1</v>
      </c>
      <c r="MTZ36" s="4">
        <v>1000000</v>
      </c>
      <c r="MUA36" s="4">
        <f>MTZ36*MTY36</f>
        <v>1000000</v>
      </c>
      <c r="MUB36" s="9" t="s">
        <v>2066</v>
      </c>
      <c r="MUC36" s="1">
        <v>65</v>
      </c>
      <c r="MUD36" s="619" t="s">
        <v>2063</v>
      </c>
      <c r="MUE36" s="148" t="s">
        <v>2064</v>
      </c>
      <c r="MUF36" s="9" t="s">
        <v>2065</v>
      </c>
      <c r="MUG36" s="619">
        <v>1</v>
      </c>
      <c r="MUH36" s="4">
        <v>1000000</v>
      </c>
      <c r="MUI36" s="4">
        <f>MUH36*MUG36</f>
        <v>1000000</v>
      </c>
      <c r="MUJ36" s="9" t="s">
        <v>2066</v>
      </c>
      <c r="MUK36" s="1">
        <v>65</v>
      </c>
      <c r="MUL36" s="619" t="s">
        <v>2063</v>
      </c>
      <c r="MUM36" s="148" t="s">
        <v>2064</v>
      </c>
      <c r="MUN36" s="9" t="s">
        <v>2065</v>
      </c>
      <c r="MUO36" s="619">
        <v>1</v>
      </c>
      <c r="MUP36" s="4">
        <v>1000000</v>
      </c>
      <c r="MUQ36" s="4">
        <f>MUP36*MUO36</f>
        <v>1000000</v>
      </c>
      <c r="MUR36" s="9" t="s">
        <v>2066</v>
      </c>
      <c r="MUS36" s="1">
        <v>65</v>
      </c>
      <c r="MUT36" s="619" t="s">
        <v>2063</v>
      </c>
      <c r="MUU36" s="148" t="s">
        <v>2064</v>
      </c>
      <c r="MUV36" s="9" t="s">
        <v>2065</v>
      </c>
      <c r="MUW36" s="619">
        <v>1</v>
      </c>
      <c r="MUX36" s="4">
        <v>1000000</v>
      </c>
      <c r="MUY36" s="4">
        <f>MUX36*MUW36</f>
        <v>1000000</v>
      </c>
      <c r="MUZ36" s="9" t="s">
        <v>2066</v>
      </c>
      <c r="MVA36" s="1">
        <v>65</v>
      </c>
      <c r="MVB36" s="619" t="s">
        <v>2063</v>
      </c>
      <c r="MVC36" s="148" t="s">
        <v>2064</v>
      </c>
      <c r="MVD36" s="9" t="s">
        <v>2065</v>
      </c>
      <c r="MVE36" s="619">
        <v>1</v>
      </c>
      <c r="MVF36" s="4">
        <v>1000000</v>
      </c>
      <c r="MVG36" s="4">
        <f>MVF36*MVE36</f>
        <v>1000000</v>
      </c>
      <c r="MVH36" s="9" t="s">
        <v>2066</v>
      </c>
      <c r="MVI36" s="1">
        <v>65</v>
      </c>
      <c r="MVJ36" s="619" t="s">
        <v>2063</v>
      </c>
      <c r="MVK36" s="148" t="s">
        <v>2064</v>
      </c>
      <c r="MVL36" s="9" t="s">
        <v>2065</v>
      </c>
      <c r="MVM36" s="619">
        <v>1</v>
      </c>
      <c r="MVN36" s="4">
        <v>1000000</v>
      </c>
      <c r="MVO36" s="4">
        <f>MVN36*MVM36</f>
        <v>1000000</v>
      </c>
      <c r="MVP36" s="9" t="s">
        <v>2066</v>
      </c>
      <c r="MVQ36" s="1">
        <v>65</v>
      </c>
      <c r="MVR36" s="619" t="s">
        <v>2063</v>
      </c>
      <c r="MVS36" s="148" t="s">
        <v>2064</v>
      </c>
      <c r="MVT36" s="9" t="s">
        <v>2065</v>
      </c>
      <c r="MVU36" s="619">
        <v>1</v>
      </c>
      <c r="MVV36" s="4">
        <v>1000000</v>
      </c>
      <c r="MVW36" s="4">
        <f>MVV36*MVU36</f>
        <v>1000000</v>
      </c>
      <c r="MVX36" s="9" t="s">
        <v>2066</v>
      </c>
      <c r="MVY36" s="1">
        <v>65</v>
      </c>
      <c r="MVZ36" s="619" t="s">
        <v>2063</v>
      </c>
      <c r="MWA36" s="148" t="s">
        <v>2064</v>
      </c>
      <c r="MWB36" s="9" t="s">
        <v>2065</v>
      </c>
      <c r="MWC36" s="619">
        <v>1</v>
      </c>
      <c r="MWD36" s="4">
        <v>1000000</v>
      </c>
      <c r="MWE36" s="4">
        <f>MWD36*MWC36</f>
        <v>1000000</v>
      </c>
      <c r="MWF36" s="9" t="s">
        <v>2066</v>
      </c>
      <c r="MWG36" s="1">
        <v>65</v>
      </c>
      <c r="MWH36" s="619" t="s">
        <v>2063</v>
      </c>
      <c r="MWI36" s="148" t="s">
        <v>2064</v>
      </c>
      <c r="MWJ36" s="9" t="s">
        <v>2065</v>
      </c>
      <c r="MWK36" s="619">
        <v>1</v>
      </c>
      <c r="MWL36" s="4">
        <v>1000000</v>
      </c>
      <c r="MWM36" s="4">
        <f>MWL36*MWK36</f>
        <v>1000000</v>
      </c>
      <c r="MWN36" s="9" t="s">
        <v>2066</v>
      </c>
      <c r="MWO36" s="1">
        <v>65</v>
      </c>
      <c r="MWP36" s="619" t="s">
        <v>2063</v>
      </c>
      <c r="MWQ36" s="148" t="s">
        <v>2064</v>
      </c>
      <c r="MWR36" s="9" t="s">
        <v>2065</v>
      </c>
      <c r="MWS36" s="619">
        <v>1</v>
      </c>
      <c r="MWT36" s="4">
        <v>1000000</v>
      </c>
      <c r="MWU36" s="4">
        <f>MWT36*MWS36</f>
        <v>1000000</v>
      </c>
      <c r="MWV36" s="9" t="s">
        <v>2066</v>
      </c>
      <c r="MWW36" s="1">
        <v>65</v>
      </c>
      <c r="MWX36" s="619" t="s">
        <v>2063</v>
      </c>
      <c r="MWY36" s="148" t="s">
        <v>2064</v>
      </c>
      <c r="MWZ36" s="9" t="s">
        <v>2065</v>
      </c>
      <c r="MXA36" s="619">
        <v>1</v>
      </c>
      <c r="MXB36" s="4">
        <v>1000000</v>
      </c>
      <c r="MXC36" s="4">
        <f>MXB36*MXA36</f>
        <v>1000000</v>
      </c>
      <c r="MXD36" s="9" t="s">
        <v>2066</v>
      </c>
      <c r="MXE36" s="1">
        <v>65</v>
      </c>
      <c r="MXF36" s="619" t="s">
        <v>2063</v>
      </c>
      <c r="MXG36" s="148" t="s">
        <v>2064</v>
      </c>
      <c r="MXH36" s="9" t="s">
        <v>2065</v>
      </c>
      <c r="MXI36" s="619">
        <v>1</v>
      </c>
      <c r="MXJ36" s="4">
        <v>1000000</v>
      </c>
      <c r="MXK36" s="4">
        <f>MXJ36*MXI36</f>
        <v>1000000</v>
      </c>
      <c r="MXL36" s="9" t="s">
        <v>2066</v>
      </c>
      <c r="MXM36" s="1">
        <v>65</v>
      </c>
      <c r="MXN36" s="619" t="s">
        <v>2063</v>
      </c>
      <c r="MXO36" s="148" t="s">
        <v>2064</v>
      </c>
      <c r="MXP36" s="9" t="s">
        <v>2065</v>
      </c>
      <c r="MXQ36" s="619">
        <v>1</v>
      </c>
      <c r="MXR36" s="4">
        <v>1000000</v>
      </c>
      <c r="MXS36" s="4">
        <f>MXR36*MXQ36</f>
        <v>1000000</v>
      </c>
      <c r="MXT36" s="9" t="s">
        <v>2066</v>
      </c>
      <c r="MXU36" s="1">
        <v>65</v>
      </c>
      <c r="MXV36" s="619" t="s">
        <v>2063</v>
      </c>
      <c r="MXW36" s="148" t="s">
        <v>2064</v>
      </c>
      <c r="MXX36" s="9" t="s">
        <v>2065</v>
      </c>
      <c r="MXY36" s="619">
        <v>1</v>
      </c>
      <c r="MXZ36" s="4">
        <v>1000000</v>
      </c>
      <c r="MYA36" s="4">
        <f>MXZ36*MXY36</f>
        <v>1000000</v>
      </c>
      <c r="MYB36" s="9" t="s">
        <v>2066</v>
      </c>
      <c r="MYC36" s="1">
        <v>65</v>
      </c>
      <c r="MYD36" s="619" t="s">
        <v>2063</v>
      </c>
      <c r="MYE36" s="148" t="s">
        <v>2064</v>
      </c>
      <c r="MYF36" s="9" t="s">
        <v>2065</v>
      </c>
      <c r="MYG36" s="619">
        <v>1</v>
      </c>
      <c r="MYH36" s="4">
        <v>1000000</v>
      </c>
      <c r="MYI36" s="4">
        <f>MYH36*MYG36</f>
        <v>1000000</v>
      </c>
      <c r="MYJ36" s="9" t="s">
        <v>2066</v>
      </c>
      <c r="MYK36" s="1">
        <v>65</v>
      </c>
      <c r="MYL36" s="619" t="s">
        <v>2063</v>
      </c>
      <c r="MYM36" s="148" t="s">
        <v>2064</v>
      </c>
      <c r="MYN36" s="9" t="s">
        <v>2065</v>
      </c>
      <c r="MYO36" s="619">
        <v>1</v>
      </c>
      <c r="MYP36" s="4">
        <v>1000000</v>
      </c>
      <c r="MYQ36" s="4">
        <f>MYP36*MYO36</f>
        <v>1000000</v>
      </c>
      <c r="MYR36" s="9" t="s">
        <v>2066</v>
      </c>
      <c r="MYS36" s="1">
        <v>65</v>
      </c>
      <c r="MYT36" s="619" t="s">
        <v>2063</v>
      </c>
      <c r="MYU36" s="148" t="s">
        <v>2064</v>
      </c>
      <c r="MYV36" s="9" t="s">
        <v>2065</v>
      </c>
      <c r="MYW36" s="619">
        <v>1</v>
      </c>
      <c r="MYX36" s="4">
        <v>1000000</v>
      </c>
      <c r="MYY36" s="4">
        <f>MYX36*MYW36</f>
        <v>1000000</v>
      </c>
      <c r="MYZ36" s="9" t="s">
        <v>2066</v>
      </c>
      <c r="MZA36" s="1">
        <v>65</v>
      </c>
      <c r="MZB36" s="619" t="s">
        <v>2063</v>
      </c>
      <c r="MZC36" s="148" t="s">
        <v>2064</v>
      </c>
      <c r="MZD36" s="9" t="s">
        <v>2065</v>
      </c>
      <c r="MZE36" s="619">
        <v>1</v>
      </c>
      <c r="MZF36" s="4">
        <v>1000000</v>
      </c>
      <c r="MZG36" s="4">
        <f>MZF36*MZE36</f>
        <v>1000000</v>
      </c>
      <c r="MZH36" s="9" t="s">
        <v>2066</v>
      </c>
      <c r="MZI36" s="1">
        <v>65</v>
      </c>
      <c r="MZJ36" s="619" t="s">
        <v>2063</v>
      </c>
      <c r="MZK36" s="148" t="s">
        <v>2064</v>
      </c>
      <c r="MZL36" s="9" t="s">
        <v>2065</v>
      </c>
      <c r="MZM36" s="619">
        <v>1</v>
      </c>
      <c r="MZN36" s="4">
        <v>1000000</v>
      </c>
      <c r="MZO36" s="4">
        <f>MZN36*MZM36</f>
        <v>1000000</v>
      </c>
      <c r="MZP36" s="9" t="s">
        <v>2066</v>
      </c>
      <c r="MZQ36" s="1">
        <v>65</v>
      </c>
      <c r="MZR36" s="619" t="s">
        <v>2063</v>
      </c>
      <c r="MZS36" s="148" t="s">
        <v>2064</v>
      </c>
      <c r="MZT36" s="9" t="s">
        <v>2065</v>
      </c>
      <c r="MZU36" s="619">
        <v>1</v>
      </c>
      <c r="MZV36" s="4">
        <v>1000000</v>
      </c>
      <c r="MZW36" s="4">
        <f>MZV36*MZU36</f>
        <v>1000000</v>
      </c>
      <c r="MZX36" s="9" t="s">
        <v>2066</v>
      </c>
      <c r="MZY36" s="1">
        <v>65</v>
      </c>
      <c r="MZZ36" s="619" t="s">
        <v>2063</v>
      </c>
      <c r="NAA36" s="148" t="s">
        <v>2064</v>
      </c>
      <c r="NAB36" s="9" t="s">
        <v>2065</v>
      </c>
      <c r="NAC36" s="619">
        <v>1</v>
      </c>
      <c r="NAD36" s="4">
        <v>1000000</v>
      </c>
      <c r="NAE36" s="4">
        <f>NAD36*NAC36</f>
        <v>1000000</v>
      </c>
      <c r="NAF36" s="9" t="s">
        <v>2066</v>
      </c>
      <c r="NAG36" s="1">
        <v>65</v>
      </c>
      <c r="NAH36" s="619" t="s">
        <v>2063</v>
      </c>
      <c r="NAI36" s="148" t="s">
        <v>2064</v>
      </c>
      <c r="NAJ36" s="9" t="s">
        <v>2065</v>
      </c>
      <c r="NAK36" s="619">
        <v>1</v>
      </c>
      <c r="NAL36" s="4">
        <v>1000000</v>
      </c>
      <c r="NAM36" s="4">
        <f>NAL36*NAK36</f>
        <v>1000000</v>
      </c>
      <c r="NAN36" s="9" t="s">
        <v>2066</v>
      </c>
      <c r="NAO36" s="1">
        <v>65</v>
      </c>
      <c r="NAP36" s="619" t="s">
        <v>2063</v>
      </c>
      <c r="NAQ36" s="148" t="s">
        <v>2064</v>
      </c>
      <c r="NAR36" s="9" t="s">
        <v>2065</v>
      </c>
      <c r="NAS36" s="619">
        <v>1</v>
      </c>
      <c r="NAT36" s="4">
        <v>1000000</v>
      </c>
      <c r="NAU36" s="4">
        <f>NAT36*NAS36</f>
        <v>1000000</v>
      </c>
      <c r="NAV36" s="9" t="s">
        <v>2066</v>
      </c>
      <c r="NAW36" s="1">
        <v>65</v>
      </c>
      <c r="NAX36" s="619" t="s">
        <v>2063</v>
      </c>
      <c r="NAY36" s="148" t="s">
        <v>2064</v>
      </c>
      <c r="NAZ36" s="9" t="s">
        <v>2065</v>
      </c>
      <c r="NBA36" s="619">
        <v>1</v>
      </c>
      <c r="NBB36" s="4">
        <v>1000000</v>
      </c>
      <c r="NBC36" s="4">
        <f>NBB36*NBA36</f>
        <v>1000000</v>
      </c>
      <c r="NBD36" s="9" t="s">
        <v>2066</v>
      </c>
      <c r="NBE36" s="1">
        <v>65</v>
      </c>
      <c r="NBF36" s="619" t="s">
        <v>2063</v>
      </c>
      <c r="NBG36" s="148" t="s">
        <v>2064</v>
      </c>
      <c r="NBH36" s="9" t="s">
        <v>2065</v>
      </c>
      <c r="NBI36" s="619">
        <v>1</v>
      </c>
      <c r="NBJ36" s="4">
        <v>1000000</v>
      </c>
      <c r="NBK36" s="4">
        <f>NBJ36*NBI36</f>
        <v>1000000</v>
      </c>
      <c r="NBL36" s="9" t="s">
        <v>2066</v>
      </c>
      <c r="NBM36" s="1">
        <v>65</v>
      </c>
      <c r="NBN36" s="619" t="s">
        <v>2063</v>
      </c>
      <c r="NBO36" s="148" t="s">
        <v>2064</v>
      </c>
      <c r="NBP36" s="9" t="s">
        <v>2065</v>
      </c>
      <c r="NBQ36" s="619">
        <v>1</v>
      </c>
      <c r="NBR36" s="4">
        <v>1000000</v>
      </c>
      <c r="NBS36" s="4">
        <f>NBR36*NBQ36</f>
        <v>1000000</v>
      </c>
      <c r="NBT36" s="9" t="s">
        <v>2066</v>
      </c>
      <c r="NBU36" s="1">
        <v>65</v>
      </c>
      <c r="NBV36" s="619" t="s">
        <v>2063</v>
      </c>
      <c r="NBW36" s="148" t="s">
        <v>2064</v>
      </c>
      <c r="NBX36" s="9" t="s">
        <v>2065</v>
      </c>
      <c r="NBY36" s="619">
        <v>1</v>
      </c>
      <c r="NBZ36" s="4">
        <v>1000000</v>
      </c>
      <c r="NCA36" s="4">
        <f>NBZ36*NBY36</f>
        <v>1000000</v>
      </c>
      <c r="NCB36" s="9" t="s">
        <v>2066</v>
      </c>
      <c r="NCC36" s="1">
        <v>65</v>
      </c>
      <c r="NCD36" s="619" t="s">
        <v>2063</v>
      </c>
      <c r="NCE36" s="148" t="s">
        <v>2064</v>
      </c>
      <c r="NCF36" s="9" t="s">
        <v>2065</v>
      </c>
      <c r="NCG36" s="619">
        <v>1</v>
      </c>
      <c r="NCH36" s="4">
        <v>1000000</v>
      </c>
      <c r="NCI36" s="4">
        <f>NCH36*NCG36</f>
        <v>1000000</v>
      </c>
      <c r="NCJ36" s="9" t="s">
        <v>2066</v>
      </c>
      <c r="NCK36" s="1">
        <v>65</v>
      </c>
      <c r="NCL36" s="619" t="s">
        <v>2063</v>
      </c>
      <c r="NCM36" s="148" t="s">
        <v>2064</v>
      </c>
      <c r="NCN36" s="9" t="s">
        <v>2065</v>
      </c>
      <c r="NCO36" s="619">
        <v>1</v>
      </c>
      <c r="NCP36" s="4">
        <v>1000000</v>
      </c>
      <c r="NCQ36" s="4">
        <f>NCP36*NCO36</f>
        <v>1000000</v>
      </c>
      <c r="NCR36" s="9" t="s">
        <v>2066</v>
      </c>
      <c r="NCS36" s="1">
        <v>65</v>
      </c>
      <c r="NCT36" s="619" t="s">
        <v>2063</v>
      </c>
      <c r="NCU36" s="148" t="s">
        <v>2064</v>
      </c>
      <c r="NCV36" s="9" t="s">
        <v>2065</v>
      </c>
      <c r="NCW36" s="619">
        <v>1</v>
      </c>
      <c r="NCX36" s="4">
        <v>1000000</v>
      </c>
      <c r="NCY36" s="4">
        <f>NCX36*NCW36</f>
        <v>1000000</v>
      </c>
      <c r="NCZ36" s="9" t="s">
        <v>2066</v>
      </c>
      <c r="NDA36" s="1">
        <v>65</v>
      </c>
      <c r="NDB36" s="619" t="s">
        <v>2063</v>
      </c>
      <c r="NDC36" s="148" t="s">
        <v>2064</v>
      </c>
      <c r="NDD36" s="9" t="s">
        <v>2065</v>
      </c>
      <c r="NDE36" s="619">
        <v>1</v>
      </c>
      <c r="NDF36" s="4">
        <v>1000000</v>
      </c>
      <c r="NDG36" s="4">
        <f>NDF36*NDE36</f>
        <v>1000000</v>
      </c>
      <c r="NDH36" s="9" t="s">
        <v>2066</v>
      </c>
      <c r="NDI36" s="1">
        <v>65</v>
      </c>
      <c r="NDJ36" s="619" t="s">
        <v>2063</v>
      </c>
      <c r="NDK36" s="148" t="s">
        <v>2064</v>
      </c>
      <c r="NDL36" s="9" t="s">
        <v>2065</v>
      </c>
      <c r="NDM36" s="619">
        <v>1</v>
      </c>
      <c r="NDN36" s="4">
        <v>1000000</v>
      </c>
      <c r="NDO36" s="4">
        <f>NDN36*NDM36</f>
        <v>1000000</v>
      </c>
      <c r="NDP36" s="9" t="s">
        <v>2066</v>
      </c>
      <c r="NDQ36" s="1">
        <v>65</v>
      </c>
      <c r="NDR36" s="619" t="s">
        <v>2063</v>
      </c>
      <c r="NDS36" s="148" t="s">
        <v>2064</v>
      </c>
      <c r="NDT36" s="9" t="s">
        <v>2065</v>
      </c>
      <c r="NDU36" s="619">
        <v>1</v>
      </c>
      <c r="NDV36" s="4">
        <v>1000000</v>
      </c>
      <c r="NDW36" s="4">
        <f>NDV36*NDU36</f>
        <v>1000000</v>
      </c>
      <c r="NDX36" s="9" t="s">
        <v>2066</v>
      </c>
      <c r="NDY36" s="1">
        <v>65</v>
      </c>
      <c r="NDZ36" s="619" t="s">
        <v>2063</v>
      </c>
      <c r="NEA36" s="148" t="s">
        <v>2064</v>
      </c>
      <c r="NEB36" s="9" t="s">
        <v>2065</v>
      </c>
      <c r="NEC36" s="619">
        <v>1</v>
      </c>
      <c r="NED36" s="4">
        <v>1000000</v>
      </c>
      <c r="NEE36" s="4">
        <f>NED36*NEC36</f>
        <v>1000000</v>
      </c>
      <c r="NEF36" s="9" t="s">
        <v>2066</v>
      </c>
      <c r="NEG36" s="1">
        <v>65</v>
      </c>
      <c r="NEH36" s="619" t="s">
        <v>2063</v>
      </c>
      <c r="NEI36" s="148" t="s">
        <v>2064</v>
      </c>
      <c r="NEJ36" s="9" t="s">
        <v>2065</v>
      </c>
      <c r="NEK36" s="619">
        <v>1</v>
      </c>
      <c r="NEL36" s="4">
        <v>1000000</v>
      </c>
      <c r="NEM36" s="4">
        <f>NEL36*NEK36</f>
        <v>1000000</v>
      </c>
      <c r="NEN36" s="9" t="s">
        <v>2066</v>
      </c>
      <c r="NEO36" s="1">
        <v>65</v>
      </c>
      <c r="NEP36" s="619" t="s">
        <v>2063</v>
      </c>
      <c r="NEQ36" s="148" t="s">
        <v>2064</v>
      </c>
      <c r="NER36" s="9" t="s">
        <v>2065</v>
      </c>
      <c r="NES36" s="619">
        <v>1</v>
      </c>
      <c r="NET36" s="4">
        <v>1000000</v>
      </c>
      <c r="NEU36" s="4">
        <f>NET36*NES36</f>
        <v>1000000</v>
      </c>
      <c r="NEV36" s="9" t="s">
        <v>2066</v>
      </c>
      <c r="NEW36" s="1">
        <v>65</v>
      </c>
      <c r="NEX36" s="619" t="s">
        <v>2063</v>
      </c>
      <c r="NEY36" s="148" t="s">
        <v>2064</v>
      </c>
      <c r="NEZ36" s="9" t="s">
        <v>2065</v>
      </c>
      <c r="NFA36" s="619">
        <v>1</v>
      </c>
      <c r="NFB36" s="4">
        <v>1000000</v>
      </c>
      <c r="NFC36" s="4">
        <f>NFB36*NFA36</f>
        <v>1000000</v>
      </c>
      <c r="NFD36" s="9" t="s">
        <v>2066</v>
      </c>
      <c r="NFE36" s="1">
        <v>65</v>
      </c>
      <c r="NFF36" s="619" t="s">
        <v>2063</v>
      </c>
      <c r="NFG36" s="148" t="s">
        <v>2064</v>
      </c>
      <c r="NFH36" s="9" t="s">
        <v>2065</v>
      </c>
      <c r="NFI36" s="619">
        <v>1</v>
      </c>
      <c r="NFJ36" s="4">
        <v>1000000</v>
      </c>
      <c r="NFK36" s="4">
        <f>NFJ36*NFI36</f>
        <v>1000000</v>
      </c>
      <c r="NFL36" s="9" t="s">
        <v>2066</v>
      </c>
      <c r="NFM36" s="1">
        <v>65</v>
      </c>
      <c r="NFN36" s="619" t="s">
        <v>2063</v>
      </c>
      <c r="NFO36" s="148" t="s">
        <v>2064</v>
      </c>
      <c r="NFP36" s="9" t="s">
        <v>2065</v>
      </c>
      <c r="NFQ36" s="619">
        <v>1</v>
      </c>
      <c r="NFR36" s="4">
        <v>1000000</v>
      </c>
      <c r="NFS36" s="4">
        <f>NFR36*NFQ36</f>
        <v>1000000</v>
      </c>
      <c r="NFT36" s="9" t="s">
        <v>2066</v>
      </c>
      <c r="NFU36" s="1">
        <v>65</v>
      </c>
      <c r="NFV36" s="619" t="s">
        <v>2063</v>
      </c>
      <c r="NFW36" s="148" t="s">
        <v>2064</v>
      </c>
      <c r="NFX36" s="9" t="s">
        <v>2065</v>
      </c>
      <c r="NFY36" s="619">
        <v>1</v>
      </c>
      <c r="NFZ36" s="4">
        <v>1000000</v>
      </c>
      <c r="NGA36" s="4">
        <f>NFZ36*NFY36</f>
        <v>1000000</v>
      </c>
      <c r="NGB36" s="9" t="s">
        <v>2066</v>
      </c>
      <c r="NGC36" s="1">
        <v>65</v>
      </c>
      <c r="NGD36" s="619" t="s">
        <v>2063</v>
      </c>
      <c r="NGE36" s="148" t="s">
        <v>2064</v>
      </c>
      <c r="NGF36" s="9" t="s">
        <v>2065</v>
      </c>
      <c r="NGG36" s="619">
        <v>1</v>
      </c>
      <c r="NGH36" s="4">
        <v>1000000</v>
      </c>
      <c r="NGI36" s="4">
        <f>NGH36*NGG36</f>
        <v>1000000</v>
      </c>
      <c r="NGJ36" s="9" t="s">
        <v>2066</v>
      </c>
      <c r="NGK36" s="1">
        <v>65</v>
      </c>
      <c r="NGL36" s="619" t="s">
        <v>2063</v>
      </c>
      <c r="NGM36" s="148" t="s">
        <v>2064</v>
      </c>
      <c r="NGN36" s="9" t="s">
        <v>2065</v>
      </c>
      <c r="NGO36" s="619">
        <v>1</v>
      </c>
      <c r="NGP36" s="4">
        <v>1000000</v>
      </c>
      <c r="NGQ36" s="4">
        <f>NGP36*NGO36</f>
        <v>1000000</v>
      </c>
      <c r="NGR36" s="9" t="s">
        <v>2066</v>
      </c>
      <c r="NGS36" s="1">
        <v>65</v>
      </c>
      <c r="NGT36" s="619" t="s">
        <v>2063</v>
      </c>
      <c r="NGU36" s="148" t="s">
        <v>2064</v>
      </c>
      <c r="NGV36" s="9" t="s">
        <v>2065</v>
      </c>
      <c r="NGW36" s="619">
        <v>1</v>
      </c>
      <c r="NGX36" s="4">
        <v>1000000</v>
      </c>
      <c r="NGY36" s="4">
        <f>NGX36*NGW36</f>
        <v>1000000</v>
      </c>
      <c r="NGZ36" s="9" t="s">
        <v>2066</v>
      </c>
      <c r="NHA36" s="1">
        <v>65</v>
      </c>
      <c r="NHB36" s="619" t="s">
        <v>2063</v>
      </c>
      <c r="NHC36" s="148" t="s">
        <v>2064</v>
      </c>
      <c r="NHD36" s="9" t="s">
        <v>2065</v>
      </c>
      <c r="NHE36" s="619">
        <v>1</v>
      </c>
      <c r="NHF36" s="4">
        <v>1000000</v>
      </c>
      <c r="NHG36" s="4">
        <f>NHF36*NHE36</f>
        <v>1000000</v>
      </c>
      <c r="NHH36" s="9" t="s">
        <v>2066</v>
      </c>
      <c r="NHI36" s="1">
        <v>65</v>
      </c>
      <c r="NHJ36" s="619" t="s">
        <v>2063</v>
      </c>
      <c r="NHK36" s="148" t="s">
        <v>2064</v>
      </c>
      <c r="NHL36" s="9" t="s">
        <v>2065</v>
      </c>
      <c r="NHM36" s="619">
        <v>1</v>
      </c>
      <c r="NHN36" s="4">
        <v>1000000</v>
      </c>
      <c r="NHO36" s="4">
        <f>NHN36*NHM36</f>
        <v>1000000</v>
      </c>
      <c r="NHP36" s="9" t="s">
        <v>2066</v>
      </c>
      <c r="NHQ36" s="1">
        <v>65</v>
      </c>
      <c r="NHR36" s="619" t="s">
        <v>2063</v>
      </c>
      <c r="NHS36" s="148" t="s">
        <v>2064</v>
      </c>
      <c r="NHT36" s="9" t="s">
        <v>2065</v>
      </c>
      <c r="NHU36" s="619">
        <v>1</v>
      </c>
      <c r="NHV36" s="4">
        <v>1000000</v>
      </c>
      <c r="NHW36" s="4">
        <f>NHV36*NHU36</f>
        <v>1000000</v>
      </c>
      <c r="NHX36" s="9" t="s">
        <v>2066</v>
      </c>
      <c r="NHY36" s="1">
        <v>65</v>
      </c>
      <c r="NHZ36" s="619" t="s">
        <v>2063</v>
      </c>
      <c r="NIA36" s="148" t="s">
        <v>2064</v>
      </c>
      <c r="NIB36" s="9" t="s">
        <v>2065</v>
      </c>
      <c r="NIC36" s="619">
        <v>1</v>
      </c>
      <c r="NID36" s="4">
        <v>1000000</v>
      </c>
      <c r="NIE36" s="4">
        <f>NID36*NIC36</f>
        <v>1000000</v>
      </c>
      <c r="NIF36" s="9" t="s">
        <v>2066</v>
      </c>
      <c r="NIG36" s="1">
        <v>65</v>
      </c>
      <c r="NIH36" s="619" t="s">
        <v>2063</v>
      </c>
      <c r="NII36" s="148" t="s">
        <v>2064</v>
      </c>
      <c r="NIJ36" s="9" t="s">
        <v>2065</v>
      </c>
      <c r="NIK36" s="619">
        <v>1</v>
      </c>
      <c r="NIL36" s="4">
        <v>1000000</v>
      </c>
      <c r="NIM36" s="4">
        <f>NIL36*NIK36</f>
        <v>1000000</v>
      </c>
      <c r="NIN36" s="9" t="s">
        <v>2066</v>
      </c>
      <c r="NIO36" s="1">
        <v>65</v>
      </c>
      <c r="NIP36" s="619" t="s">
        <v>2063</v>
      </c>
      <c r="NIQ36" s="148" t="s">
        <v>2064</v>
      </c>
      <c r="NIR36" s="9" t="s">
        <v>2065</v>
      </c>
      <c r="NIS36" s="619">
        <v>1</v>
      </c>
      <c r="NIT36" s="4">
        <v>1000000</v>
      </c>
      <c r="NIU36" s="4">
        <f>NIT36*NIS36</f>
        <v>1000000</v>
      </c>
      <c r="NIV36" s="9" t="s">
        <v>2066</v>
      </c>
      <c r="NIW36" s="1">
        <v>65</v>
      </c>
      <c r="NIX36" s="619" t="s">
        <v>2063</v>
      </c>
      <c r="NIY36" s="148" t="s">
        <v>2064</v>
      </c>
      <c r="NIZ36" s="9" t="s">
        <v>2065</v>
      </c>
      <c r="NJA36" s="619">
        <v>1</v>
      </c>
      <c r="NJB36" s="4">
        <v>1000000</v>
      </c>
      <c r="NJC36" s="4">
        <f>NJB36*NJA36</f>
        <v>1000000</v>
      </c>
      <c r="NJD36" s="9" t="s">
        <v>2066</v>
      </c>
      <c r="NJE36" s="1">
        <v>65</v>
      </c>
      <c r="NJF36" s="619" t="s">
        <v>2063</v>
      </c>
      <c r="NJG36" s="148" t="s">
        <v>2064</v>
      </c>
      <c r="NJH36" s="9" t="s">
        <v>2065</v>
      </c>
      <c r="NJI36" s="619">
        <v>1</v>
      </c>
      <c r="NJJ36" s="4">
        <v>1000000</v>
      </c>
      <c r="NJK36" s="4">
        <f>NJJ36*NJI36</f>
        <v>1000000</v>
      </c>
      <c r="NJL36" s="9" t="s">
        <v>2066</v>
      </c>
      <c r="NJM36" s="1">
        <v>65</v>
      </c>
      <c r="NJN36" s="619" t="s">
        <v>2063</v>
      </c>
      <c r="NJO36" s="148" t="s">
        <v>2064</v>
      </c>
      <c r="NJP36" s="9" t="s">
        <v>2065</v>
      </c>
      <c r="NJQ36" s="619">
        <v>1</v>
      </c>
      <c r="NJR36" s="4">
        <v>1000000</v>
      </c>
      <c r="NJS36" s="4">
        <f>NJR36*NJQ36</f>
        <v>1000000</v>
      </c>
      <c r="NJT36" s="9" t="s">
        <v>2066</v>
      </c>
      <c r="NJU36" s="1">
        <v>65</v>
      </c>
      <c r="NJV36" s="619" t="s">
        <v>2063</v>
      </c>
      <c r="NJW36" s="148" t="s">
        <v>2064</v>
      </c>
      <c r="NJX36" s="9" t="s">
        <v>2065</v>
      </c>
      <c r="NJY36" s="619">
        <v>1</v>
      </c>
      <c r="NJZ36" s="4">
        <v>1000000</v>
      </c>
      <c r="NKA36" s="4">
        <f>NJZ36*NJY36</f>
        <v>1000000</v>
      </c>
      <c r="NKB36" s="9" t="s">
        <v>2066</v>
      </c>
      <c r="NKC36" s="1">
        <v>65</v>
      </c>
      <c r="NKD36" s="619" t="s">
        <v>2063</v>
      </c>
      <c r="NKE36" s="148" t="s">
        <v>2064</v>
      </c>
      <c r="NKF36" s="9" t="s">
        <v>2065</v>
      </c>
      <c r="NKG36" s="619">
        <v>1</v>
      </c>
      <c r="NKH36" s="4">
        <v>1000000</v>
      </c>
      <c r="NKI36" s="4">
        <f>NKH36*NKG36</f>
        <v>1000000</v>
      </c>
      <c r="NKJ36" s="9" t="s">
        <v>2066</v>
      </c>
      <c r="NKK36" s="1">
        <v>65</v>
      </c>
      <c r="NKL36" s="619" t="s">
        <v>2063</v>
      </c>
      <c r="NKM36" s="148" t="s">
        <v>2064</v>
      </c>
      <c r="NKN36" s="9" t="s">
        <v>2065</v>
      </c>
      <c r="NKO36" s="619">
        <v>1</v>
      </c>
      <c r="NKP36" s="4">
        <v>1000000</v>
      </c>
      <c r="NKQ36" s="4">
        <f>NKP36*NKO36</f>
        <v>1000000</v>
      </c>
      <c r="NKR36" s="9" t="s">
        <v>2066</v>
      </c>
      <c r="NKS36" s="1">
        <v>65</v>
      </c>
      <c r="NKT36" s="619" t="s">
        <v>2063</v>
      </c>
      <c r="NKU36" s="148" t="s">
        <v>2064</v>
      </c>
      <c r="NKV36" s="9" t="s">
        <v>2065</v>
      </c>
      <c r="NKW36" s="619">
        <v>1</v>
      </c>
      <c r="NKX36" s="4">
        <v>1000000</v>
      </c>
      <c r="NKY36" s="4">
        <f>NKX36*NKW36</f>
        <v>1000000</v>
      </c>
      <c r="NKZ36" s="9" t="s">
        <v>2066</v>
      </c>
      <c r="NLA36" s="1">
        <v>65</v>
      </c>
      <c r="NLB36" s="619" t="s">
        <v>2063</v>
      </c>
      <c r="NLC36" s="148" t="s">
        <v>2064</v>
      </c>
      <c r="NLD36" s="9" t="s">
        <v>2065</v>
      </c>
      <c r="NLE36" s="619">
        <v>1</v>
      </c>
      <c r="NLF36" s="4">
        <v>1000000</v>
      </c>
      <c r="NLG36" s="4">
        <f>NLF36*NLE36</f>
        <v>1000000</v>
      </c>
      <c r="NLH36" s="9" t="s">
        <v>2066</v>
      </c>
      <c r="NLI36" s="1">
        <v>65</v>
      </c>
      <c r="NLJ36" s="619" t="s">
        <v>2063</v>
      </c>
      <c r="NLK36" s="148" t="s">
        <v>2064</v>
      </c>
      <c r="NLL36" s="9" t="s">
        <v>2065</v>
      </c>
      <c r="NLM36" s="619">
        <v>1</v>
      </c>
      <c r="NLN36" s="4">
        <v>1000000</v>
      </c>
      <c r="NLO36" s="4">
        <f>NLN36*NLM36</f>
        <v>1000000</v>
      </c>
      <c r="NLP36" s="9" t="s">
        <v>2066</v>
      </c>
      <c r="NLQ36" s="1">
        <v>65</v>
      </c>
      <c r="NLR36" s="619" t="s">
        <v>2063</v>
      </c>
      <c r="NLS36" s="148" t="s">
        <v>2064</v>
      </c>
      <c r="NLT36" s="9" t="s">
        <v>2065</v>
      </c>
      <c r="NLU36" s="619">
        <v>1</v>
      </c>
      <c r="NLV36" s="4">
        <v>1000000</v>
      </c>
      <c r="NLW36" s="4">
        <f>NLV36*NLU36</f>
        <v>1000000</v>
      </c>
      <c r="NLX36" s="9" t="s">
        <v>2066</v>
      </c>
      <c r="NLY36" s="1">
        <v>65</v>
      </c>
      <c r="NLZ36" s="619" t="s">
        <v>2063</v>
      </c>
      <c r="NMA36" s="148" t="s">
        <v>2064</v>
      </c>
      <c r="NMB36" s="9" t="s">
        <v>2065</v>
      </c>
      <c r="NMC36" s="619">
        <v>1</v>
      </c>
      <c r="NMD36" s="4">
        <v>1000000</v>
      </c>
      <c r="NME36" s="4">
        <f>NMD36*NMC36</f>
        <v>1000000</v>
      </c>
      <c r="NMF36" s="9" t="s">
        <v>2066</v>
      </c>
      <c r="NMG36" s="1">
        <v>65</v>
      </c>
      <c r="NMH36" s="619" t="s">
        <v>2063</v>
      </c>
      <c r="NMI36" s="148" t="s">
        <v>2064</v>
      </c>
      <c r="NMJ36" s="9" t="s">
        <v>2065</v>
      </c>
      <c r="NMK36" s="619">
        <v>1</v>
      </c>
      <c r="NML36" s="4">
        <v>1000000</v>
      </c>
      <c r="NMM36" s="4">
        <f>NML36*NMK36</f>
        <v>1000000</v>
      </c>
      <c r="NMN36" s="9" t="s">
        <v>2066</v>
      </c>
      <c r="NMO36" s="1">
        <v>65</v>
      </c>
      <c r="NMP36" s="619" t="s">
        <v>2063</v>
      </c>
      <c r="NMQ36" s="148" t="s">
        <v>2064</v>
      </c>
      <c r="NMR36" s="9" t="s">
        <v>2065</v>
      </c>
      <c r="NMS36" s="619">
        <v>1</v>
      </c>
      <c r="NMT36" s="4">
        <v>1000000</v>
      </c>
      <c r="NMU36" s="4">
        <f>NMT36*NMS36</f>
        <v>1000000</v>
      </c>
      <c r="NMV36" s="9" t="s">
        <v>2066</v>
      </c>
      <c r="NMW36" s="1">
        <v>65</v>
      </c>
      <c r="NMX36" s="619" t="s">
        <v>2063</v>
      </c>
      <c r="NMY36" s="148" t="s">
        <v>2064</v>
      </c>
      <c r="NMZ36" s="9" t="s">
        <v>2065</v>
      </c>
      <c r="NNA36" s="619">
        <v>1</v>
      </c>
      <c r="NNB36" s="4">
        <v>1000000</v>
      </c>
      <c r="NNC36" s="4">
        <f>NNB36*NNA36</f>
        <v>1000000</v>
      </c>
      <c r="NND36" s="9" t="s">
        <v>2066</v>
      </c>
      <c r="NNE36" s="1">
        <v>65</v>
      </c>
      <c r="NNF36" s="619" t="s">
        <v>2063</v>
      </c>
      <c r="NNG36" s="148" t="s">
        <v>2064</v>
      </c>
      <c r="NNH36" s="9" t="s">
        <v>2065</v>
      </c>
      <c r="NNI36" s="619">
        <v>1</v>
      </c>
      <c r="NNJ36" s="4">
        <v>1000000</v>
      </c>
      <c r="NNK36" s="4">
        <f>NNJ36*NNI36</f>
        <v>1000000</v>
      </c>
      <c r="NNL36" s="9" t="s">
        <v>2066</v>
      </c>
      <c r="NNM36" s="1">
        <v>65</v>
      </c>
      <c r="NNN36" s="619" t="s">
        <v>2063</v>
      </c>
      <c r="NNO36" s="148" t="s">
        <v>2064</v>
      </c>
      <c r="NNP36" s="9" t="s">
        <v>2065</v>
      </c>
      <c r="NNQ36" s="619">
        <v>1</v>
      </c>
      <c r="NNR36" s="4">
        <v>1000000</v>
      </c>
      <c r="NNS36" s="4">
        <f>NNR36*NNQ36</f>
        <v>1000000</v>
      </c>
      <c r="NNT36" s="9" t="s">
        <v>2066</v>
      </c>
      <c r="NNU36" s="1">
        <v>65</v>
      </c>
      <c r="NNV36" s="619" t="s">
        <v>2063</v>
      </c>
      <c r="NNW36" s="148" t="s">
        <v>2064</v>
      </c>
      <c r="NNX36" s="9" t="s">
        <v>2065</v>
      </c>
      <c r="NNY36" s="619">
        <v>1</v>
      </c>
      <c r="NNZ36" s="4">
        <v>1000000</v>
      </c>
      <c r="NOA36" s="4">
        <f>NNZ36*NNY36</f>
        <v>1000000</v>
      </c>
      <c r="NOB36" s="9" t="s">
        <v>2066</v>
      </c>
      <c r="NOC36" s="1">
        <v>65</v>
      </c>
      <c r="NOD36" s="619" t="s">
        <v>2063</v>
      </c>
      <c r="NOE36" s="148" t="s">
        <v>2064</v>
      </c>
      <c r="NOF36" s="9" t="s">
        <v>2065</v>
      </c>
      <c r="NOG36" s="619">
        <v>1</v>
      </c>
      <c r="NOH36" s="4">
        <v>1000000</v>
      </c>
      <c r="NOI36" s="4">
        <f>NOH36*NOG36</f>
        <v>1000000</v>
      </c>
      <c r="NOJ36" s="9" t="s">
        <v>2066</v>
      </c>
      <c r="NOK36" s="1">
        <v>65</v>
      </c>
      <c r="NOL36" s="619" t="s">
        <v>2063</v>
      </c>
      <c r="NOM36" s="148" t="s">
        <v>2064</v>
      </c>
      <c r="NON36" s="9" t="s">
        <v>2065</v>
      </c>
      <c r="NOO36" s="619">
        <v>1</v>
      </c>
      <c r="NOP36" s="4">
        <v>1000000</v>
      </c>
      <c r="NOQ36" s="4">
        <f>NOP36*NOO36</f>
        <v>1000000</v>
      </c>
      <c r="NOR36" s="9" t="s">
        <v>2066</v>
      </c>
      <c r="NOS36" s="1">
        <v>65</v>
      </c>
      <c r="NOT36" s="619" t="s">
        <v>2063</v>
      </c>
      <c r="NOU36" s="148" t="s">
        <v>2064</v>
      </c>
      <c r="NOV36" s="9" t="s">
        <v>2065</v>
      </c>
      <c r="NOW36" s="619">
        <v>1</v>
      </c>
      <c r="NOX36" s="4">
        <v>1000000</v>
      </c>
      <c r="NOY36" s="4">
        <f>NOX36*NOW36</f>
        <v>1000000</v>
      </c>
      <c r="NOZ36" s="9" t="s">
        <v>2066</v>
      </c>
      <c r="NPA36" s="1">
        <v>65</v>
      </c>
      <c r="NPB36" s="619" t="s">
        <v>2063</v>
      </c>
      <c r="NPC36" s="148" t="s">
        <v>2064</v>
      </c>
      <c r="NPD36" s="9" t="s">
        <v>2065</v>
      </c>
      <c r="NPE36" s="619">
        <v>1</v>
      </c>
      <c r="NPF36" s="4">
        <v>1000000</v>
      </c>
      <c r="NPG36" s="4">
        <f>NPF36*NPE36</f>
        <v>1000000</v>
      </c>
      <c r="NPH36" s="9" t="s">
        <v>2066</v>
      </c>
      <c r="NPI36" s="1">
        <v>65</v>
      </c>
      <c r="NPJ36" s="619" t="s">
        <v>2063</v>
      </c>
      <c r="NPK36" s="148" t="s">
        <v>2064</v>
      </c>
      <c r="NPL36" s="9" t="s">
        <v>2065</v>
      </c>
      <c r="NPM36" s="619">
        <v>1</v>
      </c>
      <c r="NPN36" s="4">
        <v>1000000</v>
      </c>
      <c r="NPO36" s="4">
        <f>NPN36*NPM36</f>
        <v>1000000</v>
      </c>
      <c r="NPP36" s="9" t="s">
        <v>2066</v>
      </c>
      <c r="NPQ36" s="1">
        <v>65</v>
      </c>
      <c r="NPR36" s="619" t="s">
        <v>2063</v>
      </c>
      <c r="NPS36" s="148" t="s">
        <v>2064</v>
      </c>
      <c r="NPT36" s="9" t="s">
        <v>2065</v>
      </c>
      <c r="NPU36" s="619">
        <v>1</v>
      </c>
      <c r="NPV36" s="4">
        <v>1000000</v>
      </c>
      <c r="NPW36" s="4">
        <f>NPV36*NPU36</f>
        <v>1000000</v>
      </c>
      <c r="NPX36" s="9" t="s">
        <v>2066</v>
      </c>
      <c r="NPY36" s="1">
        <v>65</v>
      </c>
      <c r="NPZ36" s="619" t="s">
        <v>2063</v>
      </c>
      <c r="NQA36" s="148" t="s">
        <v>2064</v>
      </c>
      <c r="NQB36" s="9" t="s">
        <v>2065</v>
      </c>
      <c r="NQC36" s="619">
        <v>1</v>
      </c>
      <c r="NQD36" s="4">
        <v>1000000</v>
      </c>
      <c r="NQE36" s="4">
        <f>NQD36*NQC36</f>
        <v>1000000</v>
      </c>
      <c r="NQF36" s="9" t="s">
        <v>2066</v>
      </c>
      <c r="NQG36" s="1">
        <v>65</v>
      </c>
      <c r="NQH36" s="619" t="s">
        <v>2063</v>
      </c>
      <c r="NQI36" s="148" t="s">
        <v>2064</v>
      </c>
      <c r="NQJ36" s="9" t="s">
        <v>2065</v>
      </c>
      <c r="NQK36" s="619">
        <v>1</v>
      </c>
      <c r="NQL36" s="4">
        <v>1000000</v>
      </c>
      <c r="NQM36" s="4">
        <f>NQL36*NQK36</f>
        <v>1000000</v>
      </c>
      <c r="NQN36" s="9" t="s">
        <v>2066</v>
      </c>
      <c r="NQO36" s="1">
        <v>65</v>
      </c>
      <c r="NQP36" s="619" t="s">
        <v>2063</v>
      </c>
      <c r="NQQ36" s="148" t="s">
        <v>2064</v>
      </c>
      <c r="NQR36" s="9" t="s">
        <v>2065</v>
      </c>
      <c r="NQS36" s="619">
        <v>1</v>
      </c>
      <c r="NQT36" s="4">
        <v>1000000</v>
      </c>
      <c r="NQU36" s="4">
        <f>NQT36*NQS36</f>
        <v>1000000</v>
      </c>
      <c r="NQV36" s="9" t="s">
        <v>2066</v>
      </c>
      <c r="NQW36" s="1">
        <v>65</v>
      </c>
      <c r="NQX36" s="619" t="s">
        <v>2063</v>
      </c>
      <c r="NQY36" s="148" t="s">
        <v>2064</v>
      </c>
      <c r="NQZ36" s="9" t="s">
        <v>2065</v>
      </c>
      <c r="NRA36" s="619">
        <v>1</v>
      </c>
      <c r="NRB36" s="4">
        <v>1000000</v>
      </c>
      <c r="NRC36" s="4">
        <f>NRB36*NRA36</f>
        <v>1000000</v>
      </c>
      <c r="NRD36" s="9" t="s">
        <v>2066</v>
      </c>
      <c r="NRE36" s="1">
        <v>65</v>
      </c>
      <c r="NRF36" s="619" t="s">
        <v>2063</v>
      </c>
      <c r="NRG36" s="148" t="s">
        <v>2064</v>
      </c>
      <c r="NRH36" s="9" t="s">
        <v>2065</v>
      </c>
      <c r="NRI36" s="619">
        <v>1</v>
      </c>
      <c r="NRJ36" s="4">
        <v>1000000</v>
      </c>
      <c r="NRK36" s="4">
        <f>NRJ36*NRI36</f>
        <v>1000000</v>
      </c>
      <c r="NRL36" s="9" t="s">
        <v>2066</v>
      </c>
      <c r="NRM36" s="1">
        <v>65</v>
      </c>
      <c r="NRN36" s="619" t="s">
        <v>2063</v>
      </c>
      <c r="NRO36" s="148" t="s">
        <v>2064</v>
      </c>
      <c r="NRP36" s="9" t="s">
        <v>2065</v>
      </c>
      <c r="NRQ36" s="619">
        <v>1</v>
      </c>
      <c r="NRR36" s="4">
        <v>1000000</v>
      </c>
      <c r="NRS36" s="4">
        <f>NRR36*NRQ36</f>
        <v>1000000</v>
      </c>
      <c r="NRT36" s="9" t="s">
        <v>2066</v>
      </c>
      <c r="NRU36" s="1">
        <v>65</v>
      </c>
      <c r="NRV36" s="619" t="s">
        <v>2063</v>
      </c>
      <c r="NRW36" s="148" t="s">
        <v>2064</v>
      </c>
      <c r="NRX36" s="9" t="s">
        <v>2065</v>
      </c>
      <c r="NRY36" s="619">
        <v>1</v>
      </c>
      <c r="NRZ36" s="4">
        <v>1000000</v>
      </c>
      <c r="NSA36" s="4">
        <f>NRZ36*NRY36</f>
        <v>1000000</v>
      </c>
      <c r="NSB36" s="9" t="s">
        <v>2066</v>
      </c>
      <c r="NSC36" s="1">
        <v>65</v>
      </c>
      <c r="NSD36" s="619" t="s">
        <v>2063</v>
      </c>
      <c r="NSE36" s="148" t="s">
        <v>2064</v>
      </c>
      <c r="NSF36" s="9" t="s">
        <v>2065</v>
      </c>
      <c r="NSG36" s="619">
        <v>1</v>
      </c>
      <c r="NSH36" s="4">
        <v>1000000</v>
      </c>
      <c r="NSI36" s="4">
        <f>NSH36*NSG36</f>
        <v>1000000</v>
      </c>
      <c r="NSJ36" s="9" t="s">
        <v>2066</v>
      </c>
      <c r="NSK36" s="1">
        <v>65</v>
      </c>
      <c r="NSL36" s="619" t="s">
        <v>2063</v>
      </c>
      <c r="NSM36" s="148" t="s">
        <v>2064</v>
      </c>
      <c r="NSN36" s="9" t="s">
        <v>2065</v>
      </c>
      <c r="NSO36" s="619">
        <v>1</v>
      </c>
      <c r="NSP36" s="4">
        <v>1000000</v>
      </c>
      <c r="NSQ36" s="4">
        <f>NSP36*NSO36</f>
        <v>1000000</v>
      </c>
      <c r="NSR36" s="9" t="s">
        <v>2066</v>
      </c>
      <c r="NSS36" s="1">
        <v>65</v>
      </c>
      <c r="NST36" s="619" t="s">
        <v>2063</v>
      </c>
      <c r="NSU36" s="148" t="s">
        <v>2064</v>
      </c>
      <c r="NSV36" s="9" t="s">
        <v>2065</v>
      </c>
      <c r="NSW36" s="619">
        <v>1</v>
      </c>
      <c r="NSX36" s="4">
        <v>1000000</v>
      </c>
      <c r="NSY36" s="4">
        <f>NSX36*NSW36</f>
        <v>1000000</v>
      </c>
      <c r="NSZ36" s="9" t="s">
        <v>2066</v>
      </c>
      <c r="NTA36" s="1">
        <v>65</v>
      </c>
      <c r="NTB36" s="619" t="s">
        <v>2063</v>
      </c>
      <c r="NTC36" s="148" t="s">
        <v>2064</v>
      </c>
      <c r="NTD36" s="9" t="s">
        <v>2065</v>
      </c>
      <c r="NTE36" s="619">
        <v>1</v>
      </c>
      <c r="NTF36" s="4">
        <v>1000000</v>
      </c>
      <c r="NTG36" s="4">
        <f>NTF36*NTE36</f>
        <v>1000000</v>
      </c>
      <c r="NTH36" s="9" t="s">
        <v>2066</v>
      </c>
      <c r="NTI36" s="1">
        <v>65</v>
      </c>
      <c r="NTJ36" s="619" t="s">
        <v>2063</v>
      </c>
      <c r="NTK36" s="148" t="s">
        <v>2064</v>
      </c>
      <c r="NTL36" s="9" t="s">
        <v>2065</v>
      </c>
      <c r="NTM36" s="619">
        <v>1</v>
      </c>
      <c r="NTN36" s="4">
        <v>1000000</v>
      </c>
      <c r="NTO36" s="4">
        <f>NTN36*NTM36</f>
        <v>1000000</v>
      </c>
      <c r="NTP36" s="9" t="s">
        <v>2066</v>
      </c>
      <c r="NTQ36" s="1">
        <v>65</v>
      </c>
      <c r="NTR36" s="619" t="s">
        <v>2063</v>
      </c>
      <c r="NTS36" s="148" t="s">
        <v>2064</v>
      </c>
      <c r="NTT36" s="9" t="s">
        <v>2065</v>
      </c>
      <c r="NTU36" s="619">
        <v>1</v>
      </c>
      <c r="NTV36" s="4">
        <v>1000000</v>
      </c>
      <c r="NTW36" s="4">
        <f>NTV36*NTU36</f>
        <v>1000000</v>
      </c>
      <c r="NTX36" s="9" t="s">
        <v>2066</v>
      </c>
      <c r="NTY36" s="1">
        <v>65</v>
      </c>
      <c r="NTZ36" s="619" t="s">
        <v>2063</v>
      </c>
      <c r="NUA36" s="148" t="s">
        <v>2064</v>
      </c>
      <c r="NUB36" s="9" t="s">
        <v>2065</v>
      </c>
      <c r="NUC36" s="619">
        <v>1</v>
      </c>
      <c r="NUD36" s="4">
        <v>1000000</v>
      </c>
      <c r="NUE36" s="4">
        <f>NUD36*NUC36</f>
        <v>1000000</v>
      </c>
      <c r="NUF36" s="9" t="s">
        <v>2066</v>
      </c>
      <c r="NUG36" s="1">
        <v>65</v>
      </c>
      <c r="NUH36" s="619" t="s">
        <v>2063</v>
      </c>
      <c r="NUI36" s="148" t="s">
        <v>2064</v>
      </c>
      <c r="NUJ36" s="9" t="s">
        <v>2065</v>
      </c>
      <c r="NUK36" s="619">
        <v>1</v>
      </c>
      <c r="NUL36" s="4">
        <v>1000000</v>
      </c>
      <c r="NUM36" s="4">
        <f>NUL36*NUK36</f>
        <v>1000000</v>
      </c>
      <c r="NUN36" s="9" t="s">
        <v>2066</v>
      </c>
      <c r="NUO36" s="1">
        <v>65</v>
      </c>
      <c r="NUP36" s="619" t="s">
        <v>2063</v>
      </c>
      <c r="NUQ36" s="148" t="s">
        <v>2064</v>
      </c>
      <c r="NUR36" s="9" t="s">
        <v>2065</v>
      </c>
      <c r="NUS36" s="619">
        <v>1</v>
      </c>
      <c r="NUT36" s="4">
        <v>1000000</v>
      </c>
      <c r="NUU36" s="4">
        <f>NUT36*NUS36</f>
        <v>1000000</v>
      </c>
      <c r="NUV36" s="9" t="s">
        <v>2066</v>
      </c>
      <c r="NUW36" s="1">
        <v>65</v>
      </c>
      <c r="NUX36" s="619" t="s">
        <v>2063</v>
      </c>
      <c r="NUY36" s="148" t="s">
        <v>2064</v>
      </c>
      <c r="NUZ36" s="9" t="s">
        <v>2065</v>
      </c>
      <c r="NVA36" s="619">
        <v>1</v>
      </c>
      <c r="NVB36" s="4">
        <v>1000000</v>
      </c>
      <c r="NVC36" s="4">
        <f>NVB36*NVA36</f>
        <v>1000000</v>
      </c>
      <c r="NVD36" s="9" t="s">
        <v>2066</v>
      </c>
      <c r="NVE36" s="1">
        <v>65</v>
      </c>
      <c r="NVF36" s="619" t="s">
        <v>2063</v>
      </c>
      <c r="NVG36" s="148" t="s">
        <v>2064</v>
      </c>
      <c r="NVH36" s="9" t="s">
        <v>2065</v>
      </c>
      <c r="NVI36" s="619">
        <v>1</v>
      </c>
      <c r="NVJ36" s="4">
        <v>1000000</v>
      </c>
      <c r="NVK36" s="4">
        <f>NVJ36*NVI36</f>
        <v>1000000</v>
      </c>
      <c r="NVL36" s="9" t="s">
        <v>2066</v>
      </c>
      <c r="NVM36" s="1">
        <v>65</v>
      </c>
      <c r="NVN36" s="619" t="s">
        <v>2063</v>
      </c>
      <c r="NVO36" s="148" t="s">
        <v>2064</v>
      </c>
      <c r="NVP36" s="9" t="s">
        <v>2065</v>
      </c>
      <c r="NVQ36" s="619">
        <v>1</v>
      </c>
      <c r="NVR36" s="4">
        <v>1000000</v>
      </c>
      <c r="NVS36" s="4">
        <f>NVR36*NVQ36</f>
        <v>1000000</v>
      </c>
      <c r="NVT36" s="9" t="s">
        <v>2066</v>
      </c>
      <c r="NVU36" s="1">
        <v>65</v>
      </c>
      <c r="NVV36" s="619" t="s">
        <v>2063</v>
      </c>
      <c r="NVW36" s="148" t="s">
        <v>2064</v>
      </c>
      <c r="NVX36" s="9" t="s">
        <v>2065</v>
      </c>
      <c r="NVY36" s="619">
        <v>1</v>
      </c>
      <c r="NVZ36" s="4">
        <v>1000000</v>
      </c>
      <c r="NWA36" s="4">
        <f>NVZ36*NVY36</f>
        <v>1000000</v>
      </c>
      <c r="NWB36" s="9" t="s">
        <v>2066</v>
      </c>
      <c r="NWC36" s="1">
        <v>65</v>
      </c>
      <c r="NWD36" s="619" t="s">
        <v>2063</v>
      </c>
      <c r="NWE36" s="148" t="s">
        <v>2064</v>
      </c>
      <c r="NWF36" s="9" t="s">
        <v>2065</v>
      </c>
      <c r="NWG36" s="619">
        <v>1</v>
      </c>
      <c r="NWH36" s="4">
        <v>1000000</v>
      </c>
      <c r="NWI36" s="4">
        <f>NWH36*NWG36</f>
        <v>1000000</v>
      </c>
      <c r="NWJ36" s="9" t="s">
        <v>2066</v>
      </c>
      <c r="NWK36" s="1">
        <v>65</v>
      </c>
      <c r="NWL36" s="619" t="s">
        <v>2063</v>
      </c>
      <c r="NWM36" s="148" t="s">
        <v>2064</v>
      </c>
      <c r="NWN36" s="9" t="s">
        <v>2065</v>
      </c>
      <c r="NWO36" s="619">
        <v>1</v>
      </c>
      <c r="NWP36" s="4">
        <v>1000000</v>
      </c>
      <c r="NWQ36" s="4">
        <f>NWP36*NWO36</f>
        <v>1000000</v>
      </c>
      <c r="NWR36" s="9" t="s">
        <v>2066</v>
      </c>
      <c r="NWS36" s="1">
        <v>65</v>
      </c>
      <c r="NWT36" s="619" t="s">
        <v>2063</v>
      </c>
      <c r="NWU36" s="148" t="s">
        <v>2064</v>
      </c>
      <c r="NWV36" s="9" t="s">
        <v>2065</v>
      </c>
      <c r="NWW36" s="619">
        <v>1</v>
      </c>
      <c r="NWX36" s="4">
        <v>1000000</v>
      </c>
      <c r="NWY36" s="4">
        <f>NWX36*NWW36</f>
        <v>1000000</v>
      </c>
      <c r="NWZ36" s="9" t="s">
        <v>2066</v>
      </c>
      <c r="NXA36" s="1">
        <v>65</v>
      </c>
      <c r="NXB36" s="619" t="s">
        <v>2063</v>
      </c>
      <c r="NXC36" s="148" t="s">
        <v>2064</v>
      </c>
      <c r="NXD36" s="9" t="s">
        <v>2065</v>
      </c>
      <c r="NXE36" s="619">
        <v>1</v>
      </c>
      <c r="NXF36" s="4">
        <v>1000000</v>
      </c>
      <c r="NXG36" s="4">
        <f>NXF36*NXE36</f>
        <v>1000000</v>
      </c>
      <c r="NXH36" s="9" t="s">
        <v>2066</v>
      </c>
      <c r="NXI36" s="1">
        <v>65</v>
      </c>
      <c r="NXJ36" s="619" t="s">
        <v>2063</v>
      </c>
      <c r="NXK36" s="148" t="s">
        <v>2064</v>
      </c>
      <c r="NXL36" s="9" t="s">
        <v>2065</v>
      </c>
      <c r="NXM36" s="619">
        <v>1</v>
      </c>
      <c r="NXN36" s="4">
        <v>1000000</v>
      </c>
      <c r="NXO36" s="4">
        <f>NXN36*NXM36</f>
        <v>1000000</v>
      </c>
      <c r="NXP36" s="9" t="s">
        <v>2066</v>
      </c>
      <c r="NXQ36" s="1">
        <v>65</v>
      </c>
      <c r="NXR36" s="619" t="s">
        <v>2063</v>
      </c>
      <c r="NXS36" s="148" t="s">
        <v>2064</v>
      </c>
      <c r="NXT36" s="9" t="s">
        <v>2065</v>
      </c>
      <c r="NXU36" s="619">
        <v>1</v>
      </c>
      <c r="NXV36" s="4">
        <v>1000000</v>
      </c>
      <c r="NXW36" s="4">
        <f>NXV36*NXU36</f>
        <v>1000000</v>
      </c>
      <c r="NXX36" s="9" t="s">
        <v>2066</v>
      </c>
      <c r="NXY36" s="1">
        <v>65</v>
      </c>
      <c r="NXZ36" s="619" t="s">
        <v>2063</v>
      </c>
      <c r="NYA36" s="148" t="s">
        <v>2064</v>
      </c>
      <c r="NYB36" s="9" t="s">
        <v>2065</v>
      </c>
      <c r="NYC36" s="619">
        <v>1</v>
      </c>
      <c r="NYD36" s="4">
        <v>1000000</v>
      </c>
      <c r="NYE36" s="4">
        <f>NYD36*NYC36</f>
        <v>1000000</v>
      </c>
      <c r="NYF36" s="9" t="s">
        <v>2066</v>
      </c>
      <c r="NYG36" s="1">
        <v>65</v>
      </c>
      <c r="NYH36" s="619" t="s">
        <v>2063</v>
      </c>
      <c r="NYI36" s="148" t="s">
        <v>2064</v>
      </c>
      <c r="NYJ36" s="9" t="s">
        <v>2065</v>
      </c>
      <c r="NYK36" s="619">
        <v>1</v>
      </c>
      <c r="NYL36" s="4">
        <v>1000000</v>
      </c>
      <c r="NYM36" s="4">
        <f>NYL36*NYK36</f>
        <v>1000000</v>
      </c>
      <c r="NYN36" s="9" t="s">
        <v>2066</v>
      </c>
      <c r="NYO36" s="1">
        <v>65</v>
      </c>
      <c r="NYP36" s="619" t="s">
        <v>2063</v>
      </c>
      <c r="NYQ36" s="148" t="s">
        <v>2064</v>
      </c>
      <c r="NYR36" s="9" t="s">
        <v>2065</v>
      </c>
      <c r="NYS36" s="619">
        <v>1</v>
      </c>
      <c r="NYT36" s="4">
        <v>1000000</v>
      </c>
      <c r="NYU36" s="4">
        <f>NYT36*NYS36</f>
        <v>1000000</v>
      </c>
      <c r="NYV36" s="9" t="s">
        <v>2066</v>
      </c>
      <c r="NYW36" s="1">
        <v>65</v>
      </c>
      <c r="NYX36" s="619" t="s">
        <v>2063</v>
      </c>
      <c r="NYY36" s="148" t="s">
        <v>2064</v>
      </c>
      <c r="NYZ36" s="9" t="s">
        <v>2065</v>
      </c>
      <c r="NZA36" s="619">
        <v>1</v>
      </c>
      <c r="NZB36" s="4">
        <v>1000000</v>
      </c>
      <c r="NZC36" s="4">
        <f>NZB36*NZA36</f>
        <v>1000000</v>
      </c>
      <c r="NZD36" s="9" t="s">
        <v>2066</v>
      </c>
      <c r="NZE36" s="1">
        <v>65</v>
      </c>
      <c r="NZF36" s="619" t="s">
        <v>2063</v>
      </c>
      <c r="NZG36" s="148" t="s">
        <v>2064</v>
      </c>
      <c r="NZH36" s="9" t="s">
        <v>2065</v>
      </c>
      <c r="NZI36" s="619">
        <v>1</v>
      </c>
      <c r="NZJ36" s="4">
        <v>1000000</v>
      </c>
      <c r="NZK36" s="4">
        <f>NZJ36*NZI36</f>
        <v>1000000</v>
      </c>
      <c r="NZL36" s="9" t="s">
        <v>2066</v>
      </c>
      <c r="NZM36" s="1">
        <v>65</v>
      </c>
      <c r="NZN36" s="619" t="s">
        <v>2063</v>
      </c>
      <c r="NZO36" s="148" t="s">
        <v>2064</v>
      </c>
      <c r="NZP36" s="9" t="s">
        <v>2065</v>
      </c>
      <c r="NZQ36" s="619">
        <v>1</v>
      </c>
      <c r="NZR36" s="4">
        <v>1000000</v>
      </c>
      <c r="NZS36" s="4">
        <f>NZR36*NZQ36</f>
        <v>1000000</v>
      </c>
      <c r="NZT36" s="9" t="s">
        <v>2066</v>
      </c>
      <c r="NZU36" s="1">
        <v>65</v>
      </c>
      <c r="NZV36" s="619" t="s">
        <v>2063</v>
      </c>
      <c r="NZW36" s="148" t="s">
        <v>2064</v>
      </c>
      <c r="NZX36" s="9" t="s">
        <v>2065</v>
      </c>
      <c r="NZY36" s="619">
        <v>1</v>
      </c>
      <c r="NZZ36" s="4">
        <v>1000000</v>
      </c>
      <c r="OAA36" s="4">
        <f>NZZ36*NZY36</f>
        <v>1000000</v>
      </c>
      <c r="OAB36" s="9" t="s">
        <v>2066</v>
      </c>
      <c r="OAC36" s="1">
        <v>65</v>
      </c>
      <c r="OAD36" s="619" t="s">
        <v>2063</v>
      </c>
      <c r="OAE36" s="148" t="s">
        <v>2064</v>
      </c>
      <c r="OAF36" s="9" t="s">
        <v>2065</v>
      </c>
      <c r="OAG36" s="619">
        <v>1</v>
      </c>
      <c r="OAH36" s="4">
        <v>1000000</v>
      </c>
      <c r="OAI36" s="4">
        <f>OAH36*OAG36</f>
        <v>1000000</v>
      </c>
      <c r="OAJ36" s="9" t="s">
        <v>2066</v>
      </c>
      <c r="OAK36" s="1">
        <v>65</v>
      </c>
      <c r="OAL36" s="619" t="s">
        <v>2063</v>
      </c>
      <c r="OAM36" s="148" t="s">
        <v>2064</v>
      </c>
      <c r="OAN36" s="9" t="s">
        <v>2065</v>
      </c>
      <c r="OAO36" s="619">
        <v>1</v>
      </c>
      <c r="OAP36" s="4">
        <v>1000000</v>
      </c>
      <c r="OAQ36" s="4">
        <f>OAP36*OAO36</f>
        <v>1000000</v>
      </c>
      <c r="OAR36" s="9" t="s">
        <v>2066</v>
      </c>
      <c r="OAS36" s="1">
        <v>65</v>
      </c>
      <c r="OAT36" s="619" t="s">
        <v>2063</v>
      </c>
      <c r="OAU36" s="148" t="s">
        <v>2064</v>
      </c>
      <c r="OAV36" s="9" t="s">
        <v>2065</v>
      </c>
      <c r="OAW36" s="619">
        <v>1</v>
      </c>
      <c r="OAX36" s="4">
        <v>1000000</v>
      </c>
      <c r="OAY36" s="4">
        <f>OAX36*OAW36</f>
        <v>1000000</v>
      </c>
      <c r="OAZ36" s="9" t="s">
        <v>2066</v>
      </c>
      <c r="OBA36" s="1">
        <v>65</v>
      </c>
      <c r="OBB36" s="619" t="s">
        <v>2063</v>
      </c>
      <c r="OBC36" s="148" t="s">
        <v>2064</v>
      </c>
      <c r="OBD36" s="9" t="s">
        <v>2065</v>
      </c>
      <c r="OBE36" s="619">
        <v>1</v>
      </c>
      <c r="OBF36" s="4">
        <v>1000000</v>
      </c>
      <c r="OBG36" s="4">
        <f>OBF36*OBE36</f>
        <v>1000000</v>
      </c>
      <c r="OBH36" s="9" t="s">
        <v>2066</v>
      </c>
      <c r="OBI36" s="1">
        <v>65</v>
      </c>
      <c r="OBJ36" s="619" t="s">
        <v>2063</v>
      </c>
      <c r="OBK36" s="148" t="s">
        <v>2064</v>
      </c>
      <c r="OBL36" s="9" t="s">
        <v>2065</v>
      </c>
      <c r="OBM36" s="619">
        <v>1</v>
      </c>
      <c r="OBN36" s="4">
        <v>1000000</v>
      </c>
      <c r="OBO36" s="4">
        <f>OBN36*OBM36</f>
        <v>1000000</v>
      </c>
      <c r="OBP36" s="9" t="s">
        <v>2066</v>
      </c>
      <c r="OBQ36" s="1">
        <v>65</v>
      </c>
      <c r="OBR36" s="619" t="s">
        <v>2063</v>
      </c>
      <c r="OBS36" s="148" t="s">
        <v>2064</v>
      </c>
      <c r="OBT36" s="9" t="s">
        <v>2065</v>
      </c>
      <c r="OBU36" s="619">
        <v>1</v>
      </c>
      <c r="OBV36" s="4">
        <v>1000000</v>
      </c>
      <c r="OBW36" s="4">
        <f>OBV36*OBU36</f>
        <v>1000000</v>
      </c>
      <c r="OBX36" s="9" t="s">
        <v>2066</v>
      </c>
      <c r="OBY36" s="1">
        <v>65</v>
      </c>
      <c r="OBZ36" s="619" t="s">
        <v>2063</v>
      </c>
      <c r="OCA36" s="148" t="s">
        <v>2064</v>
      </c>
      <c r="OCB36" s="9" t="s">
        <v>2065</v>
      </c>
      <c r="OCC36" s="619">
        <v>1</v>
      </c>
      <c r="OCD36" s="4">
        <v>1000000</v>
      </c>
      <c r="OCE36" s="4">
        <f>OCD36*OCC36</f>
        <v>1000000</v>
      </c>
      <c r="OCF36" s="9" t="s">
        <v>2066</v>
      </c>
      <c r="OCG36" s="1">
        <v>65</v>
      </c>
      <c r="OCH36" s="619" t="s">
        <v>2063</v>
      </c>
      <c r="OCI36" s="148" t="s">
        <v>2064</v>
      </c>
      <c r="OCJ36" s="9" t="s">
        <v>2065</v>
      </c>
      <c r="OCK36" s="619">
        <v>1</v>
      </c>
      <c r="OCL36" s="4">
        <v>1000000</v>
      </c>
      <c r="OCM36" s="4">
        <f>OCL36*OCK36</f>
        <v>1000000</v>
      </c>
      <c r="OCN36" s="9" t="s">
        <v>2066</v>
      </c>
      <c r="OCO36" s="1">
        <v>65</v>
      </c>
      <c r="OCP36" s="619" t="s">
        <v>2063</v>
      </c>
      <c r="OCQ36" s="148" t="s">
        <v>2064</v>
      </c>
      <c r="OCR36" s="9" t="s">
        <v>2065</v>
      </c>
      <c r="OCS36" s="619">
        <v>1</v>
      </c>
      <c r="OCT36" s="4">
        <v>1000000</v>
      </c>
      <c r="OCU36" s="4">
        <f>OCT36*OCS36</f>
        <v>1000000</v>
      </c>
      <c r="OCV36" s="9" t="s">
        <v>2066</v>
      </c>
      <c r="OCW36" s="1">
        <v>65</v>
      </c>
      <c r="OCX36" s="619" t="s">
        <v>2063</v>
      </c>
      <c r="OCY36" s="148" t="s">
        <v>2064</v>
      </c>
      <c r="OCZ36" s="9" t="s">
        <v>2065</v>
      </c>
      <c r="ODA36" s="619">
        <v>1</v>
      </c>
      <c r="ODB36" s="4">
        <v>1000000</v>
      </c>
      <c r="ODC36" s="4">
        <f>ODB36*ODA36</f>
        <v>1000000</v>
      </c>
      <c r="ODD36" s="9" t="s">
        <v>2066</v>
      </c>
      <c r="ODE36" s="1">
        <v>65</v>
      </c>
      <c r="ODF36" s="619" t="s">
        <v>2063</v>
      </c>
      <c r="ODG36" s="148" t="s">
        <v>2064</v>
      </c>
      <c r="ODH36" s="9" t="s">
        <v>2065</v>
      </c>
      <c r="ODI36" s="619">
        <v>1</v>
      </c>
      <c r="ODJ36" s="4">
        <v>1000000</v>
      </c>
      <c r="ODK36" s="4">
        <f>ODJ36*ODI36</f>
        <v>1000000</v>
      </c>
      <c r="ODL36" s="9" t="s">
        <v>2066</v>
      </c>
      <c r="ODM36" s="1">
        <v>65</v>
      </c>
      <c r="ODN36" s="619" t="s">
        <v>2063</v>
      </c>
      <c r="ODO36" s="148" t="s">
        <v>2064</v>
      </c>
      <c r="ODP36" s="9" t="s">
        <v>2065</v>
      </c>
      <c r="ODQ36" s="619">
        <v>1</v>
      </c>
      <c r="ODR36" s="4">
        <v>1000000</v>
      </c>
      <c r="ODS36" s="4">
        <f>ODR36*ODQ36</f>
        <v>1000000</v>
      </c>
      <c r="ODT36" s="9" t="s">
        <v>2066</v>
      </c>
      <c r="ODU36" s="1">
        <v>65</v>
      </c>
      <c r="ODV36" s="619" t="s">
        <v>2063</v>
      </c>
      <c r="ODW36" s="148" t="s">
        <v>2064</v>
      </c>
      <c r="ODX36" s="9" t="s">
        <v>2065</v>
      </c>
      <c r="ODY36" s="619">
        <v>1</v>
      </c>
      <c r="ODZ36" s="4">
        <v>1000000</v>
      </c>
      <c r="OEA36" s="4">
        <f>ODZ36*ODY36</f>
        <v>1000000</v>
      </c>
      <c r="OEB36" s="9" t="s">
        <v>2066</v>
      </c>
      <c r="OEC36" s="1">
        <v>65</v>
      </c>
      <c r="OED36" s="619" t="s">
        <v>2063</v>
      </c>
      <c r="OEE36" s="148" t="s">
        <v>2064</v>
      </c>
      <c r="OEF36" s="9" t="s">
        <v>2065</v>
      </c>
      <c r="OEG36" s="619">
        <v>1</v>
      </c>
      <c r="OEH36" s="4">
        <v>1000000</v>
      </c>
      <c r="OEI36" s="4">
        <f>OEH36*OEG36</f>
        <v>1000000</v>
      </c>
      <c r="OEJ36" s="9" t="s">
        <v>2066</v>
      </c>
      <c r="OEK36" s="1">
        <v>65</v>
      </c>
      <c r="OEL36" s="619" t="s">
        <v>2063</v>
      </c>
      <c r="OEM36" s="148" t="s">
        <v>2064</v>
      </c>
      <c r="OEN36" s="9" t="s">
        <v>2065</v>
      </c>
      <c r="OEO36" s="619">
        <v>1</v>
      </c>
      <c r="OEP36" s="4">
        <v>1000000</v>
      </c>
      <c r="OEQ36" s="4">
        <f>OEP36*OEO36</f>
        <v>1000000</v>
      </c>
      <c r="OER36" s="9" t="s">
        <v>2066</v>
      </c>
      <c r="OES36" s="1">
        <v>65</v>
      </c>
      <c r="OET36" s="619" t="s">
        <v>2063</v>
      </c>
      <c r="OEU36" s="148" t="s">
        <v>2064</v>
      </c>
      <c r="OEV36" s="9" t="s">
        <v>2065</v>
      </c>
      <c r="OEW36" s="619">
        <v>1</v>
      </c>
      <c r="OEX36" s="4">
        <v>1000000</v>
      </c>
      <c r="OEY36" s="4">
        <f>OEX36*OEW36</f>
        <v>1000000</v>
      </c>
      <c r="OEZ36" s="9" t="s">
        <v>2066</v>
      </c>
      <c r="OFA36" s="1">
        <v>65</v>
      </c>
      <c r="OFB36" s="619" t="s">
        <v>2063</v>
      </c>
      <c r="OFC36" s="148" t="s">
        <v>2064</v>
      </c>
      <c r="OFD36" s="9" t="s">
        <v>2065</v>
      </c>
      <c r="OFE36" s="619">
        <v>1</v>
      </c>
      <c r="OFF36" s="4">
        <v>1000000</v>
      </c>
      <c r="OFG36" s="4">
        <f>OFF36*OFE36</f>
        <v>1000000</v>
      </c>
      <c r="OFH36" s="9" t="s">
        <v>2066</v>
      </c>
      <c r="OFI36" s="1">
        <v>65</v>
      </c>
      <c r="OFJ36" s="619" t="s">
        <v>2063</v>
      </c>
      <c r="OFK36" s="148" t="s">
        <v>2064</v>
      </c>
      <c r="OFL36" s="9" t="s">
        <v>2065</v>
      </c>
      <c r="OFM36" s="619">
        <v>1</v>
      </c>
      <c r="OFN36" s="4">
        <v>1000000</v>
      </c>
      <c r="OFO36" s="4">
        <f>OFN36*OFM36</f>
        <v>1000000</v>
      </c>
      <c r="OFP36" s="9" t="s">
        <v>2066</v>
      </c>
      <c r="OFQ36" s="1">
        <v>65</v>
      </c>
      <c r="OFR36" s="619" t="s">
        <v>2063</v>
      </c>
      <c r="OFS36" s="148" t="s">
        <v>2064</v>
      </c>
      <c r="OFT36" s="9" t="s">
        <v>2065</v>
      </c>
      <c r="OFU36" s="619">
        <v>1</v>
      </c>
      <c r="OFV36" s="4">
        <v>1000000</v>
      </c>
      <c r="OFW36" s="4">
        <f>OFV36*OFU36</f>
        <v>1000000</v>
      </c>
      <c r="OFX36" s="9" t="s">
        <v>2066</v>
      </c>
      <c r="OFY36" s="1">
        <v>65</v>
      </c>
      <c r="OFZ36" s="619" t="s">
        <v>2063</v>
      </c>
      <c r="OGA36" s="148" t="s">
        <v>2064</v>
      </c>
      <c r="OGB36" s="9" t="s">
        <v>2065</v>
      </c>
      <c r="OGC36" s="619">
        <v>1</v>
      </c>
      <c r="OGD36" s="4">
        <v>1000000</v>
      </c>
      <c r="OGE36" s="4">
        <f>OGD36*OGC36</f>
        <v>1000000</v>
      </c>
      <c r="OGF36" s="9" t="s">
        <v>2066</v>
      </c>
      <c r="OGG36" s="1">
        <v>65</v>
      </c>
      <c r="OGH36" s="619" t="s">
        <v>2063</v>
      </c>
      <c r="OGI36" s="148" t="s">
        <v>2064</v>
      </c>
      <c r="OGJ36" s="9" t="s">
        <v>2065</v>
      </c>
      <c r="OGK36" s="619">
        <v>1</v>
      </c>
      <c r="OGL36" s="4">
        <v>1000000</v>
      </c>
      <c r="OGM36" s="4">
        <f>OGL36*OGK36</f>
        <v>1000000</v>
      </c>
      <c r="OGN36" s="9" t="s">
        <v>2066</v>
      </c>
      <c r="OGO36" s="1">
        <v>65</v>
      </c>
      <c r="OGP36" s="619" t="s">
        <v>2063</v>
      </c>
      <c r="OGQ36" s="148" t="s">
        <v>2064</v>
      </c>
      <c r="OGR36" s="9" t="s">
        <v>2065</v>
      </c>
      <c r="OGS36" s="619">
        <v>1</v>
      </c>
      <c r="OGT36" s="4">
        <v>1000000</v>
      </c>
      <c r="OGU36" s="4">
        <f>OGT36*OGS36</f>
        <v>1000000</v>
      </c>
      <c r="OGV36" s="9" t="s">
        <v>2066</v>
      </c>
      <c r="OGW36" s="1">
        <v>65</v>
      </c>
      <c r="OGX36" s="619" t="s">
        <v>2063</v>
      </c>
      <c r="OGY36" s="148" t="s">
        <v>2064</v>
      </c>
      <c r="OGZ36" s="9" t="s">
        <v>2065</v>
      </c>
      <c r="OHA36" s="619">
        <v>1</v>
      </c>
      <c r="OHB36" s="4">
        <v>1000000</v>
      </c>
      <c r="OHC36" s="4">
        <f>OHB36*OHA36</f>
        <v>1000000</v>
      </c>
      <c r="OHD36" s="9" t="s">
        <v>2066</v>
      </c>
      <c r="OHE36" s="1">
        <v>65</v>
      </c>
      <c r="OHF36" s="619" t="s">
        <v>2063</v>
      </c>
      <c r="OHG36" s="148" t="s">
        <v>2064</v>
      </c>
      <c r="OHH36" s="9" t="s">
        <v>2065</v>
      </c>
      <c r="OHI36" s="619">
        <v>1</v>
      </c>
      <c r="OHJ36" s="4">
        <v>1000000</v>
      </c>
      <c r="OHK36" s="4">
        <f>OHJ36*OHI36</f>
        <v>1000000</v>
      </c>
      <c r="OHL36" s="9" t="s">
        <v>2066</v>
      </c>
      <c r="OHM36" s="1">
        <v>65</v>
      </c>
      <c r="OHN36" s="619" t="s">
        <v>2063</v>
      </c>
      <c r="OHO36" s="148" t="s">
        <v>2064</v>
      </c>
      <c r="OHP36" s="9" t="s">
        <v>2065</v>
      </c>
      <c r="OHQ36" s="619">
        <v>1</v>
      </c>
      <c r="OHR36" s="4">
        <v>1000000</v>
      </c>
      <c r="OHS36" s="4">
        <f>OHR36*OHQ36</f>
        <v>1000000</v>
      </c>
      <c r="OHT36" s="9" t="s">
        <v>2066</v>
      </c>
      <c r="OHU36" s="1">
        <v>65</v>
      </c>
      <c r="OHV36" s="619" t="s">
        <v>2063</v>
      </c>
      <c r="OHW36" s="148" t="s">
        <v>2064</v>
      </c>
      <c r="OHX36" s="9" t="s">
        <v>2065</v>
      </c>
      <c r="OHY36" s="619">
        <v>1</v>
      </c>
      <c r="OHZ36" s="4">
        <v>1000000</v>
      </c>
      <c r="OIA36" s="4">
        <f>OHZ36*OHY36</f>
        <v>1000000</v>
      </c>
      <c r="OIB36" s="9" t="s">
        <v>2066</v>
      </c>
      <c r="OIC36" s="1">
        <v>65</v>
      </c>
      <c r="OID36" s="619" t="s">
        <v>2063</v>
      </c>
      <c r="OIE36" s="148" t="s">
        <v>2064</v>
      </c>
      <c r="OIF36" s="9" t="s">
        <v>2065</v>
      </c>
      <c r="OIG36" s="619">
        <v>1</v>
      </c>
      <c r="OIH36" s="4">
        <v>1000000</v>
      </c>
      <c r="OII36" s="4">
        <f>OIH36*OIG36</f>
        <v>1000000</v>
      </c>
      <c r="OIJ36" s="9" t="s">
        <v>2066</v>
      </c>
      <c r="OIK36" s="1">
        <v>65</v>
      </c>
      <c r="OIL36" s="619" t="s">
        <v>2063</v>
      </c>
      <c r="OIM36" s="148" t="s">
        <v>2064</v>
      </c>
      <c r="OIN36" s="9" t="s">
        <v>2065</v>
      </c>
      <c r="OIO36" s="619">
        <v>1</v>
      </c>
      <c r="OIP36" s="4">
        <v>1000000</v>
      </c>
      <c r="OIQ36" s="4">
        <f>OIP36*OIO36</f>
        <v>1000000</v>
      </c>
      <c r="OIR36" s="9" t="s">
        <v>2066</v>
      </c>
      <c r="OIS36" s="1">
        <v>65</v>
      </c>
      <c r="OIT36" s="619" t="s">
        <v>2063</v>
      </c>
      <c r="OIU36" s="148" t="s">
        <v>2064</v>
      </c>
      <c r="OIV36" s="9" t="s">
        <v>2065</v>
      </c>
      <c r="OIW36" s="619">
        <v>1</v>
      </c>
      <c r="OIX36" s="4">
        <v>1000000</v>
      </c>
      <c r="OIY36" s="4">
        <f>OIX36*OIW36</f>
        <v>1000000</v>
      </c>
      <c r="OIZ36" s="9" t="s">
        <v>2066</v>
      </c>
      <c r="OJA36" s="1">
        <v>65</v>
      </c>
      <c r="OJB36" s="619" t="s">
        <v>2063</v>
      </c>
      <c r="OJC36" s="148" t="s">
        <v>2064</v>
      </c>
      <c r="OJD36" s="9" t="s">
        <v>2065</v>
      </c>
      <c r="OJE36" s="619">
        <v>1</v>
      </c>
      <c r="OJF36" s="4">
        <v>1000000</v>
      </c>
      <c r="OJG36" s="4">
        <f>OJF36*OJE36</f>
        <v>1000000</v>
      </c>
      <c r="OJH36" s="9" t="s">
        <v>2066</v>
      </c>
      <c r="OJI36" s="1">
        <v>65</v>
      </c>
      <c r="OJJ36" s="619" t="s">
        <v>2063</v>
      </c>
      <c r="OJK36" s="148" t="s">
        <v>2064</v>
      </c>
      <c r="OJL36" s="9" t="s">
        <v>2065</v>
      </c>
      <c r="OJM36" s="619">
        <v>1</v>
      </c>
      <c r="OJN36" s="4">
        <v>1000000</v>
      </c>
      <c r="OJO36" s="4">
        <f>OJN36*OJM36</f>
        <v>1000000</v>
      </c>
      <c r="OJP36" s="9" t="s">
        <v>2066</v>
      </c>
      <c r="OJQ36" s="1">
        <v>65</v>
      </c>
      <c r="OJR36" s="619" t="s">
        <v>2063</v>
      </c>
      <c r="OJS36" s="148" t="s">
        <v>2064</v>
      </c>
      <c r="OJT36" s="9" t="s">
        <v>2065</v>
      </c>
      <c r="OJU36" s="619">
        <v>1</v>
      </c>
      <c r="OJV36" s="4">
        <v>1000000</v>
      </c>
      <c r="OJW36" s="4">
        <f>OJV36*OJU36</f>
        <v>1000000</v>
      </c>
      <c r="OJX36" s="9" t="s">
        <v>2066</v>
      </c>
      <c r="OJY36" s="1">
        <v>65</v>
      </c>
      <c r="OJZ36" s="619" t="s">
        <v>2063</v>
      </c>
      <c r="OKA36" s="148" t="s">
        <v>2064</v>
      </c>
      <c r="OKB36" s="9" t="s">
        <v>2065</v>
      </c>
      <c r="OKC36" s="619">
        <v>1</v>
      </c>
      <c r="OKD36" s="4">
        <v>1000000</v>
      </c>
      <c r="OKE36" s="4">
        <f>OKD36*OKC36</f>
        <v>1000000</v>
      </c>
      <c r="OKF36" s="9" t="s">
        <v>2066</v>
      </c>
      <c r="OKG36" s="1">
        <v>65</v>
      </c>
      <c r="OKH36" s="619" t="s">
        <v>2063</v>
      </c>
      <c r="OKI36" s="148" t="s">
        <v>2064</v>
      </c>
      <c r="OKJ36" s="9" t="s">
        <v>2065</v>
      </c>
      <c r="OKK36" s="619">
        <v>1</v>
      </c>
      <c r="OKL36" s="4">
        <v>1000000</v>
      </c>
      <c r="OKM36" s="4">
        <f>OKL36*OKK36</f>
        <v>1000000</v>
      </c>
      <c r="OKN36" s="9" t="s">
        <v>2066</v>
      </c>
      <c r="OKO36" s="1">
        <v>65</v>
      </c>
      <c r="OKP36" s="619" t="s">
        <v>2063</v>
      </c>
      <c r="OKQ36" s="148" t="s">
        <v>2064</v>
      </c>
      <c r="OKR36" s="9" t="s">
        <v>2065</v>
      </c>
      <c r="OKS36" s="619">
        <v>1</v>
      </c>
      <c r="OKT36" s="4">
        <v>1000000</v>
      </c>
      <c r="OKU36" s="4">
        <f>OKT36*OKS36</f>
        <v>1000000</v>
      </c>
      <c r="OKV36" s="9" t="s">
        <v>2066</v>
      </c>
      <c r="OKW36" s="1">
        <v>65</v>
      </c>
      <c r="OKX36" s="619" t="s">
        <v>2063</v>
      </c>
      <c r="OKY36" s="148" t="s">
        <v>2064</v>
      </c>
      <c r="OKZ36" s="9" t="s">
        <v>2065</v>
      </c>
      <c r="OLA36" s="619">
        <v>1</v>
      </c>
      <c r="OLB36" s="4">
        <v>1000000</v>
      </c>
      <c r="OLC36" s="4">
        <f>OLB36*OLA36</f>
        <v>1000000</v>
      </c>
      <c r="OLD36" s="9" t="s">
        <v>2066</v>
      </c>
      <c r="OLE36" s="1">
        <v>65</v>
      </c>
      <c r="OLF36" s="619" t="s">
        <v>2063</v>
      </c>
      <c r="OLG36" s="148" t="s">
        <v>2064</v>
      </c>
      <c r="OLH36" s="9" t="s">
        <v>2065</v>
      </c>
      <c r="OLI36" s="619">
        <v>1</v>
      </c>
      <c r="OLJ36" s="4">
        <v>1000000</v>
      </c>
      <c r="OLK36" s="4">
        <f>OLJ36*OLI36</f>
        <v>1000000</v>
      </c>
      <c r="OLL36" s="9" t="s">
        <v>2066</v>
      </c>
      <c r="OLM36" s="1">
        <v>65</v>
      </c>
      <c r="OLN36" s="619" t="s">
        <v>2063</v>
      </c>
      <c r="OLO36" s="148" t="s">
        <v>2064</v>
      </c>
      <c r="OLP36" s="9" t="s">
        <v>2065</v>
      </c>
      <c r="OLQ36" s="619">
        <v>1</v>
      </c>
      <c r="OLR36" s="4">
        <v>1000000</v>
      </c>
      <c r="OLS36" s="4">
        <f>OLR36*OLQ36</f>
        <v>1000000</v>
      </c>
      <c r="OLT36" s="9" t="s">
        <v>2066</v>
      </c>
      <c r="OLU36" s="1">
        <v>65</v>
      </c>
      <c r="OLV36" s="619" t="s">
        <v>2063</v>
      </c>
      <c r="OLW36" s="148" t="s">
        <v>2064</v>
      </c>
      <c r="OLX36" s="9" t="s">
        <v>2065</v>
      </c>
      <c r="OLY36" s="619">
        <v>1</v>
      </c>
      <c r="OLZ36" s="4">
        <v>1000000</v>
      </c>
      <c r="OMA36" s="4">
        <f>OLZ36*OLY36</f>
        <v>1000000</v>
      </c>
      <c r="OMB36" s="9" t="s">
        <v>2066</v>
      </c>
      <c r="OMC36" s="1">
        <v>65</v>
      </c>
      <c r="OMD36" s="619" t="s">
        <v>2063</v>
      </c>
      <c r="OME36" s="148" t="s">
        <v>2064</v>
      </c>
      <c r="OMF36" s="9" t="s">
        <v>2065</v>
      </c>
      <c r="OMG36" s="619">
        <v>1</v>
      </c>
      <c r="OMH36" s="4">
        <v>1000000</v>
      </c>
      <c r="OMI36" s="4">
        <f>OMH36*OMG36</f>
        <v>1000000</v>
      </c>
      <c r="OMJ36" s="9" t="s">
        <v>2066</v>
      </c>
      <c r="OMK36" s="1">
        <v>65</v>
      </c>
      <c r="OML36" s="619" t="s">
        <v>2063</v>
      </c>
      <c r="OMM36" s="148" t="s">
        <v>2064</v>
      </c>
      <c r="OMN36" s="9" t="s">
        <v>2065</v>
      </c>
      <c r="OMO36" s="619">
        <v>1</v>
      </c>
      <c r="OMP36" s="4">
        <v>1000000</v>
      </c>
      <c r="OMQ36" s="4">
        <f>OMP36*OMO36</f>
        <v>1000000</v>
      </c>
      <c r="OMR36" s="9" t="s">
        <v>2066</v>
      </c>
      <c r="OMS36" s="1">
        <v>65</v>
      </c>
      <c r="OMT36" s="619" t="s">
        <v>2063</v>
      </c>
      <c r="OMU36" s="148" t="s">
        <v>2064</v>
      </c>
      <c r="OMV36" s="9" t="s">
        <v>2065</v>
      </c>
      <c r="OMW36" s="619">
        <v>1</v>
      </c>
      <c r="OMX36" s="4">
        <v>1000000</v>
      </c>
      <c r="OMY36" s="4">
        <f>OMX36*OMW36</f>
        <v>1000000</v>
      </c>
      <c r="OMZ36" s="9" t="s">
        <v>2066</v>
      </c>
      <c r="ONA36" s="1">
        <v>65</v>
      </c>
      <c r="ONB36" s="619" t="s">
        <v>2063</v>
      </c>
      <c r="ONC36" s="148" t="s">
        <v>2064</v>
      </c>
      <c r="OND36" s="9" t="s">
        <v>2065</v>
      </c>
      <c r="ONE36" s="619">
        <v>1</v>
      </c>
      <c r="ONF36" s="4">
        <v>1000000</v>
      </c>
      <c r="ONG36" s="4">
        <f>ONF36*ONE36</f>
        <v>1000000</v>
      </c>
      <c r="ONH36" s="9" t="s">
        <v>2066</v>
      </c>
      <c r="ONI36" s="1">
        <v>65</v>
      </c>
      <c r="ONJ36" s="619" t="s">
        <v>2063</v>
      </c>
      <c r="ONK36" s="148" t="s">
        <v>2064</v>
      </c>
      <c r="ONL36" s="9" t="s">
        <v>2065</v>
      </c>
      <c r="ONM36" s="619">
        <v>1</v>
      </c>
      <c r="ONN36" s="4">
        <v>1000000</v>
      </c>
      <c r="ONO36" s="4">
        <f>ONN36*ONM36</f>
        <v>1000000</v>
      </c>
      <c r="ONP36" s="9" t="s">
        <v>2066</v>
      </c>
      <c r="ONQ36" s="1">
        <v>65</v>
      </c>
      <c r="ONR36" s="619" t="s">
        <v>2063</v>
      </c>
      <c r="ONS36" s="148" t="s">
        <v>2064</v>
      </c>
      <c r="ONT36" s="9" t="s">
        <v>2065</v>
      </c>
      <c r="ONU36" s="619">
        <v>1</v>
      </c>
      <c r="ONV36" s="4">
        <v>1000000</v>
      </c>
      <c r="ONW36" s="4">
        <f>ONV36*ONU36</f>
        <v>1000000</v>
      </c>
      <c r="ONX36" s="9" t="s">
        <v>2066</v>
      </c>
      <c r="ONY36" s="1">
        <v>65</v>
      </c>
      <c r="ONZ36" s="619" t="s">
        <v>2063</v>
      </c>
      <c r="OOA36" s="148" t="s">
        <v>2064</v>
      </c>
      <c r="OOB36" s="9" t="s">
        <v>2065</v>
      </c>
      <c r="OOC36" s="619">
        <v>1</v>
      </c>
      <c r="OOD36" s="4">
        <v>1000000</v>
      </c>
      <c r="OOE36" s="4">
        <f>OOD36*OOC36</f>
        <v>1000000</v>
      </c>
      <c r="OOF36" s="9" t="s">
        <v>2066</v>
      </c>
      <c r="OOG36" s="1">
        <v>65</v>
      </c>
      <c r="OOH36" s="619" t="s">
        <v>2063</v>
      </c>
      <c r="OOI36" s="148" t="s">
        <v>2064</v>
      </c>
      <c r="OOJ36" s="9" t="s">
        <v>2065</v>
      </c>
      <c r="OOK36" s="619">
        <v>1</v>
      </c>
      <c r="OOL36" s="4">
        <v>1000000</v>
      </c>
      <c r="OOM36" s="4">
        <f>OOL36*OOK36</f>
        <v>1000000</v>
      </c>
      <c r="OON36" s="9" t="s">
        <v>2066</v>
      </c>
      <c r="OOO36" s="1">
        <v>65</v>
      </c>
      <c r="OOP36" s="619" t="s">
        <v>2063</v>
      </c>
      <c r="OOQ36" s="148" t="s">
        <v>2064</v>
      </c>
      <c r="OOR36" s="9" t="s">
        <v>2065</v>
      </c>
      <c r="OOS36" s="619">
        <v>1</v>
      </c>
      <c r="OOT36" s="4">
        <v>1000000</v>
      </c>
      <c r="OOU36" s="4">
        <f>OOT36*OOS36</f>
        <v>1000000</v>
      </c>
      <c r="OOV36" s="9" t="s">
        <v>2066</v>
      </c>
      <c r="OOW36" s="1">
        <v>65</v>
      </c>
      <c r="OOX36" s="619" t="s">
        <v>2063</v>
      </c>
      <c r="OOY36" s="148" t="s">
        <v>2064</v>
      </c>
      <c r="OOZ36" s="9" t="s">
        <v>2065</v>
      </c>
      <c r="OPA36" s="619">
        <v>1</v>
      </c>
      <c r="OPB36" s="4">
        <v>1000000</v>
      </c>
      <c r="OPC36" s="4">
        <f>OPB36*OPA36</f>
        <v>1000000</v>
      </c>
      <c r="OPD36" s="9" t="s">
        <v>2066</v>
      </c>
      <c r="OPE36" s="1">
        <v>65</v>
      </c>
      <c r="OPF36" s="619" t="s">
        <v>2063</v>
      </c>
      <c r="OPG36" s="148" t="s">
        <v>2064</v>
      </c>
      <c r="OPH36" s="9" t="s">
        <v>2065</v>
      </c>
      <c r="OPI36" s="619">
        <v>1</v>
      </c>
      <c r="OPJ36" s="4">
        <v>1000000</v>
      </c>
      <c r="OPK36" s="4">
        <f>OPJ36*OPI36</f>
        <v>1000000</v>
      </c>
      <c r="OPL36" s="9" t="s">
        <v>2066</v>
      </c>
      <c r="OPM36" s="1">
        <v>65</v>
      </c>
      <c r="OPN36" s="619" t="s">
        <v>2063</v>
      </c>
      <c r="OPO36" s="148" t="s">
        <v>2064</v>
      </c>
      <c r="OPP36" s="9" t="s">
        <v>2065</v>
      </c>
      <c r="OPQ36" s="619">
        <v>1</v>
      </c>
      <c r="OPR36" s="4">
        <v>1000000</v>
      </c>
      <c r="OPS36" s="4">
        <f>OPR36*OPQ36</f>
        <v>1000000</v>
      </c>
      <c r="OPT36" s="9" t="s">
        <v>2066</v>
      </c>
      <c r="OPU36" s="1">
        <v>65</v>
      </c>
      <c r="OPV36" s="619" t="s">
        <v>2063</v>
      </c>
      <c r="OPW36" s="148" t="s">
        <v>2064</v>
      </c>
      <c r="OPX36" s="9" t="s">
        <v>2065</v>
      </c>
      <c r="OPY36" s="619">
        <v>1</v>
      </c>
      <c r="OPZ36" s="4">
        <v>1000000</v>
      </c>
      <c r="OQA36" s="4">
        <f>OPZ36*OPY36</f>
        <v>1000000</v>
      </c>
      <c r="OQB36" s="9" t="s">
        <v>2066</v>
      </c>
      <c r="OQC36" s="1">
        <v>65</v>
      </c>
      <c r="OQD36" s="619" t="s">
        <v>2063</v>
      </c>
      <c r="OQE36" s="148" t="s">
        <v>2064</v>
      </c>
      <c r="OQF36" s="9" t="s">
        <v>2065</v>
      </c>
      <c r="OQG36" s="619">
        <v>1</v>
      </c>
      <c r="OQH36" s="4">
        <v>1000000</v>
      </c>
      <c r="OQI36" s="4">
        <f>OQH36*OQG36</f>
        <v>1000000</v>
      </c>
      <c r="OQJ36" s="9" t="s">
        <v>2066</v>
      </c>
      <c r="OQK36" s="1">
        <v>65</v>
      </c>
      <c r="OQL36" s="619" t="s">
        <v>2063</v>
      </c>
      <c r="OQM36" s="148" t="s">
        <v>2064</v>
      </c>
      <c r="OQN36" s="9" t="s">
        <v>2065</v>
      </c>
      <c r="OQO36" s="619">
        <v>1</v>
      </c>
      <c r="OQP36" s="4">
        <v>1000000</v>
      </c>
      <c r="OQQ36" s="4">
        <f>OQP36*OQO36</f>
        <v>1000000</v>
      </c>
      <c r="OQR36" s="9" t="s">
        <v>2066</v>
      </c>
      <c r="OQS36" s="1">
        <v>65</v>
      </c>
      <c r="OQT36" s="619" t="s">
        <v>2063</v>
      </c>
      <c r="OQU36" s="148" t="s">
        <v>2064</v>
      </c>
      <c r="OQV36" s="9" t="s">
        <v>2065</v>
      </c>
      <c r="OQW36" s="619">
        <v>1</v>
      </c>
      <c r="OQX36" s="4">
        <v>1000000</v>
      </c>
      <c r="OQY36" s="4">
        <f>OQX36*OQW36</f>
        <v>1000000</v>
      </c>
      <c r="OQZ36" s="9" t="s">
        <v>2066</v>
      </c>
      <c r="ORA36" s="1">
        <v>65</v>
      </c>
      <c r="ORB36" s="619" t="s">
        <v>2063</v>
      </c>
      <c r="ORC36" s="148" t="s">
        <v>2064</v>
      </c>
      <c r="ORD36" s="9" t="s">
        <v>2065</v>
      </c>
      <c r="ORE36" s="619">
        <v>1</v>
      </c>
      <c r="ORF36" s="4">
        <v>1000000</v>
      </c>
      <c r="ORG36" s="4">
        <f>ORF36*ORE36</f>
        <v>1000000</v>
      </c>
      <c r="ORH36" s="9" t="s">
        <v>2066</v>
      </c>
      <c r="ORI36" s="1">
        <v>65</v>
      </c>
      <c r="ORJ36" s="619" t="s">
        <v>2063</v>
      </c>
      <c r="ORK36" s="148" t="s">
        <v>2064</v>
      </c>
      <c r="ORL36" s="9" t="s">
        <v>2065</v>
      </c>
      <c r="ORM36" s="619">
        <v>1</v>
      </c>
      <c r="ORN36" s="4">
        <v>1000000</v>
      </c>
      <c r="ORO36" s="4">
        <f>ORN36*ORM36</f>
        <v>1000000</v>
      </c>
      <c r="ORP36" s="9" t="s">
        <v>2066</v>
      </c>
      <c r="ORQ36" s="1">
        <v>65</v>
      </c>
      <c r="ORR36" s="619" t="s">
        <v>2063</v>
      </c>
      <c r="ORS36" s="148" t="s">
        <v>2064</v>
      </c>
      <c r="ORT36" s="9" t="s">
        <v>2065</v>
      </c>
      <c r="ORU36" s="619">
        <v>1</v>
      </c>
      <c r="ORV36" s="4">
        <v>1000000</v>
      </c>
      <c r="ORW36" s="4">
        <f>ORV36*ORU36</f>
        <v>1000000</v>
      </c>
      <c r="ORX36" s="9" t="s">
        <v>2066</v>
      </c>
      <c r="ORY36" s="1">
        <v>65</v>
      </c>
      <c r="ORZ36" s="619" t="s">
        <v>2063</v>
      </c>
      <c r="OSA36" s="148" t="s">
        <v>2064</v>
      </c>
      <c r="OSB36" s="9" t="s">
        <v>2065</v>
      </c>
      <c r="OSC36" s="619">
        <v>1</v>
      </c>
      <c r="OSD36" s="4">
        <v>1000000</v>
      </c>
      <c r="OSE36" s="4">
        <f>OSD36*OSC36</f>
        <v>1000000</v>
      </c>
      <c r="OSF36" s="9" t="s">
        <v>2066</v>
      </c>
      <c r="OSG36" s="1">
        <v>65</v>
      </c>
      <c r="OSH36" s="619" t="s">
        <v>2063</v>
      </c>
      <c r="OSI36" s="148" t="s">
        <v>2064</v>
      </c>
      <c r="OSJ36" s="9" t="s">
        <v>2065</v>
      </c>
      <c r="OSK36" s="619">
        <v>1</v>
      </c>
      <c r="OSL36" s="4">
        <v>1000000</v>
      </c>
      <c r="OSM36" s="4">
        <f>OSL36*OSK36</f>
        <v>1000000</v>
      </c>
      <c r="OSN36" s="9" t="s">
        <v>2066</v>
      </c>
      <c r="OSO36" s="1">
        <v>65</v>
      </c>
      <c r="OSP36" s="619" t="s">
        <v>2063</v>
      </c>
      <c r="OSQ36" s="148" t="s">
        <v>2064</v>
      </c>
      <c r="OSR36" s="9" t="s">
        <v>2065</v>
      </c>
      <c r="OSS36" s="619">
        <v>1</v>
      </c>
      <c r="OST36" s="4">
        <v>1000000</v>
      </c>
      <c r="OSU36" s="4">
        <f>OST36*OSS36</f>
        <v>1000000</v>
      </c>
      <c r="OSV36" s="9" t="s">
        <v>2066</v>
      </c>
      <c r="OSW36" s="1">
        <v>65</v>
      </c>
      <c r="OSX36" s="619" t="s">
        <v>2063</v>
      </c>
      <c r="OSY36" s="148" t="s">
        <v>2064</v>
      </c>
      <c r="OSZ36" s="9" t="s">
        <v>2065</v>
      </c>
      <c r="OTA36" s="619">
        <v>1</v>
      </c>
      <c r="OTB36" s="4">
        <v>1000000</v>
      </c>
      <c r="OTC36" s="4">
        <f>OTB36*OTA36</f>
        <v>1000000</v>
      </c>
      <c r="OTD36" s="9" t="s">
        <v>2066</v>
      </c>
      <c r="OTE36" s="1">
        <v>65</v>
      </c>
      <c r="OTF36" s="619" t="s">
        <v>2063</v>
      </c>
      <c r="OTG36" s="148" t="s">
        <v>2064</v>
      </c>
      <c r="OTH36" s="9" t="s">
        <v>2065</v>
      </c>
      <c r="OTI36" s="619">
        <v>1</v>
      </c>
      <c r="OTJ36" s="4">
        <v>1000000</v>
      </c>
      <c r="OTK36" s="4">
        <f>OTJ36*OTI36</f>
        <v>1000000</v>
      </c>
      <c r="OTL36" s="9" t="s">
        <v>2066</v>
      </c>
      <c r="OTM36" s="1">
        <v>65</v>
      </c>
      <c r="OTN36" s="619" t="s">
        <v>2063</v>
      </c>
      <c r="OTO36" s="148" t="s">
        <v>2064</v>
      </c>
      <c r="OTP36" s="9" t="s">
        <v>2065</v>
      </c>
      <c r="OTQ36" s="619">
        <v>1</v>
      </c>
      <c r="OTR36" s="4">
        <v>1000000</v>
      </c>
      <c r="OTS36" s="4">
        <f>OTR36*OTQ36</f>
        <v>1000000</v>
      </c>
      <c r="OTT36" s="9" t="s">
        <v>2066</v>
      </c>
      <c r="OTU36" s="1">
        <v>65</v>
      </c>
      <c r="OTV36" s="619" t="s">
        <v>2063</v>
      </c>
      <c r="OTW36" s="148" t="s">
        <v>2064</v>
      </c>
      <c r="OTX36" s="9" t="s">
        <v>2065</v>
      </c>
      <c r="OTY36" s="619">
        <v>1</v>
      </c>
      <c r="OTZ36" s="4">
        <v>1000000</v>
      </c>
      <c r="OUA36" s="4">
        <f>OTZ36*OTY36</f>
        <v>1000000</v>
      </c>
      <c r="OUB36" s="9" t="s">
        <v>2066</v>
      </c>
      <c r="OUC36" s="1">
        <v>65</v>
      </c>
      <c r="OUD36" s="619" t="s">
        <v>2063</v>
      </c>
      <c r="OUE36" s="148" t="s">
        <v>2064</v>
      </c>
      <c r="OUF36" s="9" t="s">
        <v>2065</v>
      </c>
      <c r="OUG36" s="619">
        <v>1</v>
      </c>
      <c r="OUH36" s="4">
        <v>1000000</v>
      </c>
      <c r="OUI36" s="4">
        <f>OUH36*OUG36</f>
        <v>1000000</v>
      </c>
      <c r="OUJ36" s="9" t="s">
        <v>2066</v>
      </c>
      <c r="OUK36" s="1">
        <v>65</v>
      </c>
      <c r="OUL36" s="619" t="s">
        <v>2063</v>
      </c>
      <c r="OUM36" s="148" t="s">
        <v>2064</v>
      </c>
      <c r="OUN36" s="9" t="s">
        <v>2065</v>
      </c>
      <c r="OUO36" s="619">
        <v>1</v>
      </c>
      <c r="OUP36" s="4">
        <v>1000000</v>
      </c>
      <c r="OUQ36" s="4">
        <f>OUP36*OUO36</f>
        <v>1000000</v>
      </c>
      <c r="OUR36" s="9" t="s">
        <v>2066</v>
      </c>
      <c r="OUS36" s="1">
        <v>65</v>
      </c>
      <c r="OUT36" s="619" t="s">
        <v>2063</v>
      </c>
      <c r="OUU36" s="148" t="s">
        <v>2064</v>
      </c>
      <c r="OUV36" s="9" t="s">
        <v>2065</v>
      </c>
      <c r="OUW36" s="619">
        <v>1</v>
      </c>
      <c r="OUX36" s="4">
        <v>1000000</v>
      </c>
      <c r="OUY36" s="4">
        <f>OUX36*OUW36</f>
        <v>1000000</v>
      </c>
      <c r="OUZ36" s="9" t="s">
        <v>2066</v>
      </c>
      <c r="OVA36" s="1">
        <v>65</v>
      </c>
      <c r="OVB36" s="619" t="s">
        <v>2063</v>
      </c>
      <c r="OVC36" s="148" t="s">
        <v>2064</v>
      </c>
      <c r="OVD36" s="9" t="s">
        <v>2065</v>
      </c>
      <c r="OVE36" s="619">
        <v>1</v>
      </c>
      <c r="OVF36" s="4">
        <v>1000000</v>
      </c>
      <c r="OVG36" s="4">
        <f>OVF36*OVE36</f>
        <v>1000000</v>
      </c>
      <c r="OVH36" s="9" t="s">
        <v>2066</v>
      </c>
      <c r="OVI36" s="1">
        <v>65</v>
      </c>
      <c r="OVJ36" s="619" t="s">
        <v>2063</v>
      </c>
      <c r="OVK36" s="148" t="s">
        <v>2064</v>
      </c>
      <c r="OVL36" s="9" t="s">
        <v>2065</v>
      </c>
      <c r="OVM36" s="619">
        <v>1</v>
      </c>
      <c r="OVN36" s="4">
        <v>1000000</v>
      </c>
      <c r="OVO36" s="4">
        <f>OVN36*OVM36</f>
        <v>1000000</v>
      </c>
      <c r="OVP36" s="9" t="s">
        <v>2066</v>
      </c>
      <c r="OVQ36" s="1">
        <v>65</v>
      </c>
      <c r="OVR36" s="619" t="s">
        <v>2063</v>
      </c>
      <c r="OVS36" s="148" t="s">
        <v>2064</v>
      </c>
      <c r="OVT36" s="9" t="s">
        <v>2065</v>
      </c>
      <c r="OVU36" s="619">
        <v>1</v>
      </c>
      <c r="OVV36" s="4">
        <v>1000000</v>
      </c>
      <c r="OVW36" s="4">
        <f>OVV36*OVU36</f>
        <v>1000000</v>
      </c>
      <c r="OVX36" s="9" t="s">
        <v>2066</v>
      </c>
      <c r="OVY36" s="1">
        <v>65</v>
      </c>
      <c r="OVZ36" s="619" t="s">
        <v>2063</v>
      </c>
      <c r="OWA36" s="148" t="s">
        <v>2064</v>
      </c>
      <c r="OWB36" s="9" t="s">
        <v>2065</v>
      </c>
      <c r="OWC36" s="619">
        <v>1</v>
      </c>
      <c r="OWD36" s="4">
        <v>1000000</v>
      </c>
      <c r="OWE36" s="4">
        <f>OWD36*OWC36</f>
        <v>1000000</v>
      </c>
      <c r="OWF36" s="9" t="s">
        <v>2066</v>
      </c>
      <c r="OWG36" s="1">
        <v>65</v>
      </c>
      <c r="OWH36" s="619" t="s">
        <v>2063</v>
      </c>
      <c r="OWI36" s="148" t="s">
        <v>2064</v>
      </c>
      <c r="OWJ36" s="9" t="s">
        <v>2065</v>
      </c>
      <c r="OWK36" s="619">
        <v>1</v>
      </c>
      <c r="OWL36" s="4">
        <v>1000000</v>
      </c>
      <c r="OWM36" s="4">
        <f>OWL36*OWK36</f>
        <v>1000000</v>
      </c>
      <c r="OWN36" s="9" t="s">
        <v>2066</v>
      </c>
      <c r="OWO36" s="1">
        <v>65</v>
      </c>
      <c r="OWP36" s="619" t="s">
        <v>2063</v>
      </c>
      <c r="OWQ36" s="148" t="s">
        <v>2064</v>
      </c>
      <c r="OWR36" s="9" t="s">
        <v>2065</v>
      </c>
      <c r="OWS36" s="619">
        <v>1</v>
      </c>
      <c r="OWT36" s="4">
        <v>1000000</v>
      </c>
      <c r="OWU36" s="4">
        <f>OWT36*OWS36</f>
        <v>1000000</v>
      </c>
      <c r="OWV36" s="9" t="s">
        <v>2066</v>
      </c>
      <c r="OWW36" s="1">
        <v>65</v>
      </c>
      <c r="OWX36" s="619" t="s">
        <v>2063</v>
      </c>
      <c r="OWY36" s="148" t="s">
        <v>2064</v>
      </c>
      <c r="OWZ36" s="9" t="s">
        <v>2065</v>
      </c>
      <c r="OXA36" s="619">
        <v>1</v>
      </c>
      <c r="OXB36" s="4">
        <v>1000000</v>
      </c>
      <c r="OXC36" s="4">
        <f>OXB36*OXA36</f>
        <v>1000000</v>
      </c>
      <c r="OXD36" s="9" t="s">
        <v>2066</v>
      </c>
      <c r="OXE36" s="1">
        <v>65</v>
      </c>
      <c r="OXF36" s="619" t="s">
        <v>2063</v>
      </c>
      <c r="OXG36" s="148" t="s">
        <v>2064</v>
      </c>
      <c r="OXH36" s="9" t="s">
        <v>2065</v>
      </c>
      <c r="OXI36" s="619">
        <v>1</v>
      </c>
      <c r="OXJ36" s="4">
        <v>1000000</v>
      </c>
      <c r="OXK36" s="4">
        <f>OXJ36*OXI36</f>
        <v>1000000</v>
      </c>
      <c r="OXL36" s="9" t="s">
        <v>2066</v>
      </c>
      <c r="OXM36" s="1">
        <v>65</v>
      </c>
      <c r="OXN36" s="619" t="s">
        <v>2063</v>
      </c>
      <c r="OXO36" s="148" t="s">
        <v>2064</v>
      </c>
      <c r="OXP36" s="9" t="s">
        <v>2065</v>
      </c>
      <c r="OXQ36" s="619">
        <v>1</v>
      </c>
      <c r="OXR36" s="4">
        <v>1000000</v>
      </c>
      <c r="OXS36" s="4">
        <f>OXR36*OXQ36</f>
        <v>1000000</v>
      </c>
      <c r="OXT36" s="9" t="s">
        <v>2066</v>
      </c>
      <c r="OXU36" s="1">
        <v>65</v>
      </c>
      <c r="OXV36" s="619" t="s">
        <v>2063</v>
      </c>
      <c r="OXW36" s="148" t="s">
        <v>2064</v>
      </c>
      <c r="OXX36" s="9" t="s">
        <v>2065</v>
      </c>
      <c r="OXY36" s="619">
        <v>1</v>
      </c>
      <c r="OXZ36" s="4">
        <v>1000000</v>
      </c>
      <c r="OYA36" s="4">
        <f>OXZ36*OXY36</f>
        <v>1000000</v>
      </c>
      <c r="OYB36" s="9" t="s">
        <v>2066</v>
      </c>
      <c r="OYC36" s="1">
        <v>65</v>
      </c>
      <c r="OYD36" s="619" t="s">
        <v>2063</v>
      </c>
      <c r="OYE36" s="148" t="s">
        <v>2064</v>
      </c>
      <c r="OYF36" s="9" t="s">
        <v>2065</v>
      </c>
      <c r="OYG36" s="619">
        <v>1</v>
      </c>
      <c r="OYH36" s="4">
        <v>1000000</v>
      </c>
      <c r="OYI36" s="4">
        <f>OYH36*OYG36</f>
        <v>1000000</v>
      </c>
      <c r="OYJ36" s="9" t="s">
        <v>2066</v>
      </c>
      <c r="OYK36" s="1">
        <v>65</v>
      </c>
      <c r="OYL36" s="619" t="s">
        <v>2063</v>
      </c>
      <c r="OYM36" s="148" t="s">
        <v>2064</v>
      </c>
      <c r="OYN36" s="9" t="s">
        <v>2065</v>
      </c>
      <c r="OYO36" s="619">
        <v>1</v>
      </c>
      <c r="OYP36" s="4">
        <v>1000000</v>
      </c>
      <c r="OYQ36" s="4">
        <f>OYP36*OYO36</f>
        <v>1000000</v>
      </c>
      <c r="OYR36" s="9" t="s">
        <v>2066</v>
      </c>
      <c r="OYS36" s="1">
        <v>65</v>
      </c>
      <c r="OYT36" s="619" t="s">
        <v>2063</v>
      </c>
      <c r="OYU36" s="148" t="s">
        <v>2064</v>
      </c>
      <c r="OYV36" s="9" t="s">
        <v>2065</v>
      </c>
      <c r="OYW36" s="619">
        <v>1</v>
      </c>
      <c r="OYX36" s="4">
        <v>1000000</v>
      </c>
      <c r="OYY36" s="4">
        <f>OYX36*OYW36</f>
        <v>1000000</v>
      </c>
      <c r="OYZ36" s="9" t="s">
        <v>2066</v>
      </c>
      <c r="OZA36" s="1">
        <v>65</v>
      </c>
      <c r="OZB36" s="619" t="s">
        <v>2063</v>
      </c>
      <c r="OZC36" s="148" t="s">
        <v>2064</v>
      </c>
      <c r="OZD36" s="9" t="s">
        <v>2065</v>
      </c>
      <c r="OZE36" s="619">
        <v>1</v>
      </c>
      <c r="OZF36" s="4">
        <v>1000000</v>
      </c>
      <c r="OZG36" s="4">
        <f>OZF36*OZE36</f>
        <v>1000000</v>
      </c>
      <c r="OZH36" s="9" t="s">
        <v>2066</v>
      </c>
      <c r="OZI36" s="1">
        <v>65</v>
      </c>
      <c r="OZJ36" s="619" t="s">
        <v>2063</v>
      </c>
      <c r="OZK36" s="148" t="s">
        <v>2064</v>
      </c>
      <c r="OZL36" s="9" t="s">
        <v>2065</v>
      </c>
      <c r="OZM36" s="619">
        <v>1</v>
      </c>
      <c r="OZN36" s="4">
        <v>1000000</v>
      </c>
      <c r="OZO36" s="4">
        <f>OZN36*OZM36</f>
        <v>1000000</v>
      </c>
      <c r="OZP36" s="9" t="s">
        <v>2066</v>
      </c>
      <c r="OZQ36" s="1">
        <v>65</v>
      </c>
      <c r="OZR36" s="619" t="s">
        <v>2063</v>
      </c>
      <c r="OZS36" s="148" t="s">
        <v>2064</v>
      </c>
      <c r="OZT36" s="9" t="s">
        <v>2065</v>
      </c>
      <c r="OZU36" s="619">
        <v>1</v>
      </c>
      <c r="OZV36" s="4">
        <v>1000000</v>
      </c>
      <c r="OZW36" s="4">
        <f>OZV36*OZU36</f>
        <v>1000000</v>
      </c>
      <c r="OZX36" s="9" t="s">
        <v>2066</v>
      </c>
      <c r="OZY36" s="1">
        <v>65</v>
      </c>
      <c r="OZZ36" s="619" t="s">
        <v>2063</v>
      </c>
      <c r="PAA36" s="148" t="s">
        <v>2064</v>
      </c>
      <c r="PAB36" s="9" t="s">
        <v>2065</v>
      </c>
      <c r="PAC36" s="619">
        <v>1</v>
      </c>
      <c r="PAD36" s="4">
        <v>1000000</v>
      </c>
      <c r="PAE36" s="4">
        <f>PAD36*PAC36</f>
        <v>1000000</v>
      </c>
      <c r="PAF36" s="9" t="s">
        <v>2066</v>
      </c>
      <c r="PAG36" s="1">
        <v>65</v>
      </c>
      <c r="PAH36" s="619" t="s">
        <v>2063</v>
      </c>
      <c r="PAI36" s="148" t="s">
        <v>2064</v>
      </c>
      <c r="PAJ36" s="9" t="s">
        <v>2065</v>
      </c>
      <c r="PAK36" s="619">
        <v>1</v>
      </c>
      <c r="PAL36" s="4">
        <v>1000000</v>
      </c>
      <c r="PAM36" s="4">
        <f>PAL36*PAK36</f>
        <v>1000000</v>
      </c>
      <c r="PAN36" s="9" t="s">
        <v>2066</v>
      </c>
      <c r="PAO36" s="1">
        <v>65</v>
      </c>
      <c r="PAP36" s="619" t="s">
        <v>2063</v>
      </c>
      <c r="PAQ36" s="148" t="s">
        <v>2064</v>
      </c>
      <c r="PAR36" s="9" t="s">
        <v>2065</v>
      </c>
      <c r="PAS36" s="619">
        <v>1</v>
      </c>
      <c r="PAT36" s="4">
        <v>1000000</v>
      </c>
      <c r="PAU36" s="4">
        <f>PAT36*PAS36</f>
        <v>1000000</v>
      </c>
      <c r="PAV36" s="9" t="s">
        <v>2066</v>
      </c>
      <c r="PAW36" s="1">
        <v>65</v>
      </c>
      <c r="PAX36" s="619" t="s">
        <v>2063</v>
      </c>
      <c r="PAY36" s="148" t="s">
        <v>2064</v>
      </c>
      <c r="PAZ36" s="9" t="s">
        <v>2065</v>
      </c>
      <c r="PBA36" s="619">
        <v>1</v>
      </c>
      <c r="PBB36" s="4">
        <v>1000000</v>
      </c>
      <c r="PBC36" s="4">
        <f>PBB36*PBA36</f>
        <v>1000000</v>
      </c>
      <c r="PBD36" s="9" t="s">
        <v>2066</v>
      </c>
      <c r="PBE36" s="1">
        <v>65</v>
      </c>
      <c r="PBF36" s="619" t="s">
        <v>2063</v>
      </c>
      <c r="PBG36" s="148" t="s">
        <v>2064</v>
      </c>
      <c r="PBH36" s="9" t="s">
        <v>2065</v>
      </c>
      <c r="PBI36" s="619">
        <v>1</v>
      </c>
      <c r="PBJ36" s="4">
        <v>1000000</v>
      </c>
      <c r="PBK36" s="4">
        <f>PBJ36*PBI36</f>
        <v>1000000</v>
      </c>
      <c r="PBL36" s="9" t="s">
        <v>2066</v>
      </c>
      <c r="PBM36" s="1">
        <v>65</v>
      </c>
      <c r="PBN36" s="619" t="s">
        <v>2063</v>
      </c>
      <c r="PBO36" s="148" t="s">
        <v>2064</v>
      </c>
      <c r="PBP36" s="9" t="s">
        <v>2065</v>
      </c>
      <c r="PBQ36" s="619">
        <v>1</v>
      </c>
      <c r="PBR36" s="4">
        <v>1000000</v>
      </c>
      <c r="PBS36" s="4">
        <f>PBR36*PBQ36</f>
        <v>1000000</v>
      </c>
      <c r="PBT36" s="9" t="s">
        <v>2066</v>
      </c>
      <c r="PBU36" s="1">
        <v>65</v>
      </c>
      <c r="PBV36" s="619" t="s">
        <v>2063</v>
      </c>
      <c r="PBW36" s="148" t="s">
        <v>2064</v>
      </c>
      <c r="PBX36" s="9" t="s">
        <v>2065</v>
      </c>
      <c r="PBY36" s="619">
        <v>1</v>
      </c>
      <c r="PBZ36" s="4">
        <v>1000000</v>
      </c>
      <c r="PCA36" s="4">
        <f>PBZ36*PBY36</f>
        <v>1000000</v>
      </c>
      <c r="PCB36" s="9" t="s">
        <v>2066</v>
      </c>
      <c r="PCC36" s="1">
        <v>65</v>
      </c>
      <c r="PCD36" s="619" t="s">
        <v>2063</v>
      </c>
      <c r="PCE36" s="148" t="s">
        <v>2064</v>
      </c>
      <c r="PCF36" s="9" t="s">
        <v>2065</v>
      </c>
      <c r="PCG36" s="619">
        <v>1</v>
      </c>
      <c r="PCH36" s="4">
        <v>1000000</v>
      </c>
      <c r="PCI36" s="4">
        <f>PCH36*PCG36</f>
        <v>1000000</v>
      </c>
      <c r="PCJ36" s="9" t="s">
        <v>2066</v>
      </c>
      <c r="PCK36" s="1">
        <v>65</v>
      </c>
      <c r="PCL36" s="619" t="s">
        <v>2063</v>
      </c>
      <c r="PCM36" s="148" t="s">
        <v>2064</v>
      </c>
      <c r="PCN36" s="9" t="s">
        <v>2065</v>
      </c>
      <c r="PCO36" s="619">
        <v>1</v>
      </c>
      <c r="PCP36" s="4">
        <v>1000000</v>
      </c>
      <c r="PCQ36" s="4">
        <f>PCP36*PCO36</f>
        <v>1000000</v>
      </c>
      <c r="PCR36" s="9" t="s">
        <v>2066</v>
      </c>
      <c r="PCS36" s="1">
        <v>65</v>
      </c>
      <c r="PCT36" s="619" t="s">
        <v>2063</v>
      </c>
      <c r="PCU36" s="148" t="s">
        <v>2064</v>
      </c>
      <c r="PCV36" s="9" t="s">
        <v>2065</v>
      </c>
      <c r="PCW36" s="619">
        <v>1</v>
      </c>
      <c r="PCX36" s="4">
        <v>1000000</v>
      </c>
      <c r="PCY36" s="4">
        <f>PCX36*PCW36</f>
        <v>1000000</v>
      </c>
      <c r="PCZ36" s="9" t="s">
        <v>2066</v>
      </c>
      <c r="PDA36" s="1">
        <v>65</v>
      </c>
      <c r="PDB36" s="619" t="s">
        <v>2063</v>
      </c>
      <c r="PDC36" s="148" t="s">
        <v>2064</v>
      </c>
      <c r="PDD36" s="9" t="s">
        <v>2065</v>
      </c>
      <c r="PDE36" s="619">
        <v>1</v>
      </c>
      <c r="PDF36" s="4">
        <v>1000000</v>
      </c>
      <c r="PDG36" s="4">
        <f>PDF36*PDE36</f>
        <v>1000000</v>
      </c>
      <c r="PDH36" s="9" t="s">
        <v>2066</v>
      </c>
      <c r="PDI36" s="1">
        <v>65</v>
      </c>
      <c r="PDJ36" s="619" t="s">
        <v>2063</v>
      </c>
      <c r="PDK36" s="148" t="s">
        <v>2064</v>
      </c>
      <c r="PDL36" s="9" t="s">
        <v>2065</v>
      </c>
      <c r="PDM36" s="619">
        <v>1</v>
      </c>
      <c r="PDN36" s="4">
        <v>1000000</v>
      </c>
      <c r="PDO36" s="4">
        <f>PDN36*PDM36</f>
        <v>1000000</v>
      </c>
      <c r="PDP36" s="9" t="s">
        <v>2066</v>
      </c>
      <c r="PDQ36" s="1">
        <v>65</v>
      </c>
      <c r="PDR36" s="619" t="s">
        <v>2063</v>
      </c>
      <c r="PDS36" s="148" t="s">
        <v>2064</v>
      </c>
      <c r="PDT36" s="9" t="s">
        <v>2065</v>
      </c>
      <c r="PDU36" s="619">
        <v>1</v>
      </c>
      <c r="PDV36" s="4">
        <v>1000000</v>
      </c>
      <c r="PDW36" s="4">
        <f>PDV36*PDU36</f>
        <v>1000000</v>
      </c>
      <c r="PDX36" s="9" t="s">
        <v>2066</v>
      </c>
      <c r="PDY36" s="1">
        <v>65</v>
      </c>
      <c r="PDZ36" s="619" t="s">
        <v>2063</v>
      </c>
      <c r="PEA36" s="148" t="s">
        <v>2064</v>
      </c>
      <c r="PEB36" s="9" t="s">
        <v>2065</v>
      </c>
      <c r="PEC36" s="619">
        <v>1</v>
      </c>
      <c r="PED36" s="4">
        <v>1000000</v>
      </c>
      <c r="PEE36" s="4">
        <f>PED36*PEC36</f>
        <v>1000000</v>
      </c>
      <c r="PEF36" s="9" t="s">
        <v>2066</v>
      </c>
      <c r="PEG36" s="1">
        <v>65</v>
      </c>
      <c r="PEH36" s="619" t="s">
        <v>2063</v>
      </c>
      <c r="PEI36" s="148" t="s">
        <v>2064</v>
      </c>
      <c r="PEJ36" s="9" t="s">
        <v>2065</v>
      </c>
      <c r="PEK36" s="619">
        <v>1</v>
      </c>
      <c r="PEL36" s="4">
        <v>1000000</v>
      </c>
      <c r="PEM36" s="4">
        <f>PEL36*PEK36</f>
        <v>1000000</v>
      </c>
      <c r="PEN36" s="9" t="s">
        <v>2066</v>
      </c>
      <c r="PEO36" s="1">
        <v>65</v>
      </c>
      <c r="PEP36" s="619" t="s">
        <v>2063</v>
      </c>
      <c r="PEQ36" s="148" t="s">
        <v>2064</v>
      </c>
      <c r="PER36" s="9" t="s">
        <v>2065</v>
      </c>
      <c r="PES36" s="619">
        <v>1</v>
      </c>
      <c r="PET36" s="4">
        <v>1000000</v>
      </c>
      <c r="PEU36" s="4">
        <f>PET36*PES36</f>
        <v>1000000</v>
      </c>
      <c r="PEV36" s="9" t="s">
        <v>2066</v>
      </c>
      <c r="PEW36" s="1">
        <v>65</v>
      </c>
      <c r="PEX36" s="619" t="s">
        <v>2063</v>
      </c>
      <c r="PEY36" s="148" t="s">
        <v>2064</v>
      </c>
      <c r="PEZ36" s="9" t="s">
        <v>2065</v>
      </c>
      <c r="PFA36" s="619">
        <v>1</v>
      </c>
      <c r="PFB36" s="4">
        <v>1000000</v>
      </c>
      <c r="PFC36" s="4">
        <f>PFB36*PFA36</f>
        <v>1000000</v>
      </c>
      <c r="PFD36" s="9" t="s">
        <v>2066</v>
      </c>
      <c r="PFE36" s="1">
        <v>65</v>
      </c>
      <c r="PFF36" s="619" t="s">
        <v>2063</v>
      </c>
      <c r="PFG36" s="148" t="s">
        <v>2064</v>
      </c>
      <c r="PFH36" s="9" t="s">
        <v>2065</v>
      </c>
      <c r="PFI36" s="619">
        <v>1</v>
      </c>
      <c r="PFJ36" s="4">
        <v>1000000</v>
      </c>
      <c r="PFK36" s="4">
        <f>PFJ36*PFI36</f>
        <v>1000000</v>
      </c>
      <c r="PFL36" s="9" t="s">
        <v>2066</v>
      </c>
      <c r="PFM36" s="1">
        <v>65</v>
      </c>
      <c r="PFN36" s="619" t="s">
        <v>2063</v>
      </c>
      <c r="PFO36" s="148" t="s">
        <v>2064</v>
      </c>
      <c r="PFP36" s="9" t="s">
        <v>2065</v>
      </c>
      <c r="PFQ36" s="619">
        <v>1</v>
      </c>
      <c r="PFR36" s="4">
        <v>1000000</v>
      </c>
      <c r="PFS36" s="4">
        <f>PFR36*PFQ36</f>
        <v>1000000</v>
      </c>
      <c r="PFT36" s="9" t="s">
        <v>2066</v>
      </c>
      <c r="PFU36" s="1">
        <v>65</v>
      </c>
      <c r="PFV36" s="619" t="s">
        <v>2063</v>
      </c>
      <c r="PFW36" s="148" t="s">
        <v>2064</v>
      </c>
      <c r="PFX36" s="9" t="s">
        <v>2065</v>
      </c>
      <c r="PFY36" s="619">
        <v>1</v>
      </c>
      <c r="PFZ36" s="4">
        <v>1000000</v>
      </c>
      <c r="PGA36" s="4">
        <f>PFZ36*PFY36</f>
        <v>1000000</v>
      </c>
      <c r="PGB36" s="9" t="s">
        <v>2066</v>
      </c>
      <c r="PGC36" s="1">
        <v>65</v>
      </c>
      <c r="PGD36" s="619" t="s">
        <v>2063</v>
      </c>
      <c r="PGE36" s="148" t="s">
        <v>2064</v>
      </c>
      <c r="PGF36" s="9" t="s">
        <v>2065</v>
      </c>
      <c r="PGG36" s="619">
        <v>1</v>
      </c>
      <c r="PGH36" s="4">
        <v>1000000</v>
      </c>
      <c r="PGI36" s="4">
        <f>PGH36*PGG36</f>
        <v>1000000</v>
      </c>
      <c r="PGJ36" s="9" t="s">
        <v>2066</v>
      </c>
      <c r="PGK36" s="1">
        <v>65</v>
      </c>
      <c r="PGL36" s="619" t="s">
        <v>2063</v>
      </c>
      <c r="PGM36" s="148" t="s">
        <v>2064</v>
      </c>
      <c r="PGN36" s="9" t="s">
        <v>2065</v>
      </c>
      <c r="PGO36" s="619">
        <v>1</v>
      </c>
      <c r="PGP36" s="4">
        <v>1000000</v>
      </c>
      <c r="PGQ36" s="4">
        <f>PGP36*PGO36</f>
        <v>1000000</v>
      </c>
      <c r="PGR36" s="9" t="s">
        <v>2066</v>
      </c>
      <c r="PGS36" s="1">
        <v>65</v>
      </c>
      <c r="PGT36" s="619" t="s">
        <v>2063</v>
      </c>
      <c r="PGU36" s="148" t="s">
        <v>2064</v>
      </c>
      <c r="PGV36" s="9" t="s">
        <v>2065</v>
      </c>
      <c r="PGW36" s="619">
        <v>1</v>
      </c>
      <c r="PGX36" s="4">
        <v>1000000</v>
      </c>
      <c r="PGY36" s="4">
        <f>PGX36*PGW36</f>
        <v>1000000</v>
      </c>
      <c r="PGZ36" s="9" t="s">
        <v>2066</v>
      </c>
      <c r="PHA36" s="1">
        <v>65</v>
      </c>
      <c r="PHB36" s="619" t="s">
        <v>2063</v>
      </c>
      <c r="PHC36" s="148" t="s">
        <v>2064</v>
      </c>
      <c r="PHD36" s="9" t="s">
        <v>2065</v>
      </c>
      <c r="PHE36" s="619">
        <v>1</v>
      </c>
      <c r="PHF36" s="4">
        <v>1000000</v>
      </c>
      <c r="PHG36" s="4">
        <f>PHF36*PHE36</f>
        <v>1000000</v>
      </c>
      <c r="PHH36" s="9" t="s">
        <v>2066</v>
      </c>
      <c r="PHI36" s="1">
        <v>65</v>
      </c>
      <c r="PHJ36" s="619" t="s">
        <v>2063</v>
      </c>
      <c r="PHK36" s="148" t="s">
        <v>2064</v>
      </c>
      <c r="PHL36" s="9" t="s">
        <v>2065</v>
      </c>
      <c r="PHM36" s="619">
        <v>1</v>
      </c>
      <c r="PHN36" s="4">
        <v>1000000</v>
      </c>
      <c r="PHO36" s="4">
        <f>PHN36*PHM36</f>
        <v>1000000</v>
      </c>
      <c r="PHP36" s="9" t="s">
        <v>2066</v>
      </c>
      <c r="PHQ36" s="1">
        <v>65</v>
      </c>
      <c r="PHR36" s="619" t="s">
        <v>2063</v>
      </c>
      <c r="PHS36" s="148" t="s">
        <v>2064</v>
      </c>
      <c r="PHT36" s="9" t="s">
        <v>2065</v>
      </c>
      <c r="PHU36" s="619">
        <v>1</v>
      </c>
      <c r="PHV36" s="4">
        <v>1000000</v>
      </c>
      <c r="PHW36" s="4">
        <f>PHV36*PHU36</f>
        <v>1000000</v>
      </c>
      <c r="PHX36" s="9" t="s">
        <v>2066</v>
      </c>
      <c r="PHY36" s="1">
        <v>65</v>
      </c>
      <c r="PHZ36" s="619" t="s">
        <v>2063</v>
      </c>
      <c r="PIA36" s="148" t="s">
        <v>2064</v>
      </c>
      <c r="PIB36" s="9" t="s">
        <v>2065</v>
      </c>
      <c r="PIC36" s="619">
        <v>1</v>
      </c>
      <c r="PID36" s="4">
        <v>1000000</v>
      </c>
      <c r="PIE36" s="4">
        <f>PID36*PIC36</f>
        <v>1000000</v>
      </c>
      <c r="PIF36" s="9" t="s">
        <v>2066</v>
      </c>
      <c r="PIG36" s="1">
        <v>65</v>
      </c>
      <c r="PIH36" s="619" t="s">
        <v>2063</v>
      </c>
      <c r="PII36" s="148" t="s">
        <v>2064</v>
      </c>
      <c r="PIJ36" s="9" t="s">
        <v>2065</v>
      </c>
      <c r="PIK36" s="619">
        <v>1</v>
      </c>
      <c r="PIL36" s="4">
        <v>1000000</v>
      </c>
      <c r="PIM36" s="4">
        <f>PIL36*PIK36</f>
        <v>1000000</v>
      </c>
      <c r="PIN36" s="9" t="s">
        <v>2066</v>
      </c>
      <c r="PIO36" s="1">
        <v>65</v>
      </c>
      <c r="PIP36" s="619" t="s">
        <v>2063</v>
      </c>
      <c r="PIQ36" s="148" t="s">
        <v>2064</v>
      </c>
      <c r="PIR36" s="9" t="s">
        <v>2065</v>
      </c>
      <c r="PIS36" s="619">
        <v>1</v>
      </c>
      <c r="PIT36" s="4">
        <v>1000000</v>
      </c>
      <c r="PIU36" s="4">
        <f>PIT36*PIS36</f>
        <v>1000000</v>
      </c>
      <c r="PIV36" s="9" t="s">
        <v>2066</v>
      </c>
      <c r="PIW36" s="1">
        <v>65</v>
      </c>
      <c r="PIX36" s="619" t="s">
        <v>2063</v>
      </c>
      <c r="PIY36" s="148" t="s">
        <v>2064</v>
      </c>
      <c r="PIZ36" s="9" t="s">
        <v>2065</v>
      </c>
      <c r="PJA36" s="619">
        <v>1</v>
      </c>
      <c r="PJB36" s="4">
        <v>1000000</v>
      </c>
      <c r="PJC36" s="4">
        <f>PJB36*PJA36</f>
        <v>1000000</v>
      </c>
      <c r="PJD36" s="9" t="s">
        <v>2066</v>
      </c>
      <c r="PJE36" s="1">
        <v>65</v>
      </c>
      <c r="PJF36" s="619" t="s">
        <v>2063</v>
      </c>
      <c r="PJG36" s="148" t="s">
        <v>2064</v>
      </c>
      <c r="PJH36" s="9" t="s">
        <v>2065</v>
      </c>
      <c r="PJI36" s="619">
        <v>1</v>
      </c>
      <c r="PJJ36" s="4">
        <v>1000000</v>
      </c>
      <c r="PJK36" s="4">
        <f>PJJ36*PJI36</f>
        <v>1000000</v>
      </c>
      <c r="PJL36" s="9" t="s">
        <v>2066</v>
      </c>
      <c r="PJM36" s="1">
        <v>65</v>
      </c>
      <c r="PJN36" s="619" t="s">
        <v>2063</v>
      </c>
      <c r="PJO36" s="148" t="s">
        <v>2064</v>
      </c>
      <c r="PJP36" s="9" t="s">
        <v>2065</v>
      </c>
      <c r="PJQ36" s="619">
        <v>1</v>
      </c>
      <c r="PJR36" s="4">
        <v>1000000</v>
      </c>
      <c r="PJS36" s="4">
        <f>PJR36*PJQ36</f>
        <v>1000000</v>
      </c>
      <c r="PJT36" s="9" t="s">
        <v>2066</v>
      </c>
      <c r="PJU36" s="1">
        <v>65</v>
      </c>
      <c r="PJV36" s="619" t="s">
        <v>2063</v>
      </c>
      <c r="PJW36" s="148" t="s">
        <v>2064</v>
      </c>
      <c r="PJX36" s="9" t="s">
        <v>2065</v>
      </c>
      <c r="PJY36" s="619">
        <v>1</v>
      </c>
      <c r="PJZ36" s="4">
        <v>1000000</v>
      </c>
      <c r="PKA36" s="4">
        <f>PJZ36*PJY36</f>
        <v>1000000</v>
      </c>
      <c r="PKB36" s="9" t="s">
        <v>2066</v>
      </c>
      <c r="PKC36" s="1">
        <v>65</v>
      </c>
      <c r="PKD36" s="619" t="s">
        <v>2063</v>
      </c>
      <c r="PKE36" s="148" t="s">
        <v>2064</v>
      </c>
      <c r="PKF36" s="9" t="s">
        <v>2065</v>
      </c>
      <c r="PKG36" s="619">
        <v>1</v>
      </c>
      <c r="PKH36" s="4">
        <v>1000000</v>
      </c>
      <c r="PKI36" s="4">
        <f>PKH36*PKG36</f>
        <v>1000000</v>
      </c>
      <c r="PKJ36" s="9" t="s">
        <v>2066</v>
      </c>
      <c r="PKK36" s="1">
        <v>65</v>
      </c>
      <c r="PKL36" s="619" t="s">
        <v>2063</v>
      </c>
      <c r="PKM36" s="148" t="s">
        <v>2064</v>
      </c>
      <c r="PKN36" s="9" t="s">
        <v>2065</v>
      </c>
      <c r="PKO36" s="619">
        <v>1</v>
      </c>
      <c r="PKP36" s="4">
        <v>1000000</v>
      </c>
      <c r="PKQ36" s="4">
        <f>PKP36*PKO36</f>
        <v>1000000</v>
      </c>
      <c r="PKR36" s="9" t="s">
        <v>2066</v>
      </c>
      <c r="PKS36" s="1">
        <v>65</v>
      </c>
      <c r="PKT36" s="619" t="s">
        <v>2063</v>
      </c>
      <c r="PKU36" s="148" t="s">
        <v>2064</v>
      </c>
      <c r="PKV36" s="9" t="s">
        <v>2065</v>
      </c>
      <c r="PKW36" s="619">
        <v>1</v>
      </c>
      <c r="PKX36" s="4">
        <v>1000000</v>
      </c>
      <c r="PKY36" s="4">
        <f>PKX36*PKW36</f>
        <v>1000000</v>
      </c>
      <c r="PKZ36" s="9" t="s">
        <v>2066</v>
      </c>
      <c r="PLA36" s="1">
        <v>65</v>
      </c>
      <c r="PLB36" s="619" t="s">
        <v>2063</v>
      </c>
      <c r="PLC36" s="148" t="s">
        <v>2064</v>
      </c>
      <c r="PLD36" s="9" t="s">
        <v>2065</v>
      </c>
      <c r="PLE36" s="619">
        <v>1</v>
      </c>
      <c r="PLF36" s="4">
        <v>1000000</v>
      </c>
      <c r="PLG36" s="4">
        <f>PLF36*PLE36</f>
        <v>1000000</v>
      </c>
      <c r="PLH36" s="9" t="s">
        <v>2066</v>
      </c>
      <c r="PLI36" s="1">
        <v>65</v>
      </c>
      <c r="PLJ36" s="619" t="s">
        <v>2063</v>
      </c>
      <c r="PLK36" s="148" t="s">
        <v>2064</v>
      </c>
      <c r="PLL36" s="9" t="s">
        <v>2065</v>
      </c>
      <c r="PLM36" s="619">
        <v>1</v>
      </c>
      <c r="PLN36" s="4">
        <v>1000000</v>
      </c>
      <c r="PLO36" s="4">
        <f>PLN36*PLM36</f>
        <v>1000000</v>
      </c>
      <c r="PLP36" s="9" t="s">
        <v>2066</v>
      </c>
      <c r="PLQ36" s="1">
        <v>65</v>
      </c>
      <c r="PLR36" s="619" t="s">
        <v>2063</v>
      </c>
      <c r="PLS36" s="148" t="s">
        <v>2064</v>
      </c>
      <c r="PLT36" s="9" t="s">
        <v>2065</v>
      </c>
      <c r="PLU36" s="619">
        <v>1</v>
      </c>
      <c r="PLV36" s="4">
        <v>1000000</v>
      </c>
      <c r="PLW36" s="4">
        <f>PLV36*PLU36</f>
        <v>1000000</v>
      </c>
      <c r="PLX36" s="9" t="s">
        <v>2066</v>
      </c>
      <c r="PLY36" s="1">
        <v>65</v>
      </c>
      <c r="PLZ36" s="619" t="s">
        <v>2063</v>
      </c>
      <c r="PMA36" s="148" t="s">
        <v>2064</v>
      </c>
      <c r="PMB36" s="9" t="s">
        <v>2065</v>
      </c>
      <c r="PMC36" s="619">
        <v>1</v>
      </c>
      <c r="PMD36" s="4">
        <v>1000000</v>
      </c>
      <c r="PME36" s="4">
        <f>PMD36*PMC36</f>
        <v>1000000</v>
      </c>
      <c r="PMF36" s="9" t="s">
        <v>2066</v>
      </c>
      <c r="PMG36" s="1">
        <v>65</v>
      </c>
      <c r="PMH36" s="619" t="s">
        <v>2063</v>
      </c>
      <c r="PMI36" s="148" t="s">
        <v>2064</v>
      </c>
      <c r="PMJ36" s="9" t="s">
        <v>2065</v>
      </c>
      <c r="PMK36" s="619">
        <v>1</v>
      </c>
      <c r="PML36" s="4">
        <v>1000000</v>
      </c>
      <c r="PMM36" s="4">
        <f>PML36*PMK36</f>
        <v>1000000</v>
      </c>
      <c r="PMN36" s="9" t="s">
        <v>2066</v>
      </c>
      <c r="PMO36" s="1">
        <v>65</v>
      </c>
      <c r="PMP36" s="619" t="s">
        <v>2063</v>
      </c>
      <c r="PMQ36" s="148" t="s">
        <v>2064</v>
      </c>
      <c r="PMR36" s="9" t="s">
        <v>2065</v>
      </c>
      <c r="PMS36" s="619">
        <v>1</v>
      </c>
      <c r="PMT36" s="4">
        <v>1000000</v>
      </c>
      <c r="PMU36" s="4">
        <f>PMT36*PMS36</f>
        <v>1000000</v>
      </c>
      <c r="PMV36" s="9" t="s">
        <v>2066</v>
      </c>
      <c r="PMW36" s="1">
        <v>65</v>
      </c>
      <c r="PMX36" s="619" t="s">
        <v>2063</v>
      </c>
      <c r="PMY36" s="148" t="s">
        <v>2064</v>
      </c>
      <c r="PMZ36" s="9" t="s">
        <v>2065</v>
      </c>
      <c r="PNA36" s="619">
        <v>1</v>
      </c>
      <c r="PNB36" s="4">
        <v>1000000</v>
      </c>
      <c r="PNC36" s="4">
        <f>PNB36*PNA36</f>
        <v>1000000</v>
      </c>
      <c r="PND36" s="9" t="s">
        <v>2066</v>
      </c>
      <c r="PNE36" s="1">
        <v>65</v>
      </c>
      <c r="PNF36" s="619" t="s">
        <v>2063</v>
      </c>
      <c r="PNG36" s="148" t="s">
        <v>2064</v>
      </c>
      <c r="PNH36" s="9" t="s">
        <v>2065</v>
      </c>
      <c r="PNI36" s="619">
        <v>1</v>
      </c>
      <c r="PNJ36" s="4">
        <v>1000000</v>
      </c>
      <c r="PNK36" s="4">
        <f>PNJ36*PNI36</f>
        <v>1000000</v>
      </c>
      <c r="PNL36" s="9" t="s">
        <v>2066</v>
      </c>
      <c r="PNM36" s="1">
        <v>65</v>
      </c>
      <c r="PNN36" s="619" t="s">
        <v>2063</v>
      </c>
      <c r="PNO36" s="148" t="s">
        <v>2064</v>
      </c>
      <c r="PNP36" s="9" t="s">
        <v>2065</v>
      </c>
      <c r="PNQ36" s="619">
        <v>1</v>
      </c>
      <c r="PNR36" s="4">
        <v>1000000</v>
      </c>
      <c r="PNS36" s="4">
        <f>PNR36*PNQ36</f>
        <v>1000000</v>
      </c>
      <c r="PNT36" s="9" t="s">
        <v>2066</v>
      </c>
      <c r="PNU36" s="1">
        <v>65</v>
      </c>
      <c r="PNV36" s="619" t="s">
        <v>2063</v>
      </c>
      <c r="PNW36" s="148" t="s">
        <v>2064</v>
      </c>
      <c r="PNX36" s="9" t="s">
        <v>2065</v>
      </c>
      <c r="PNY36" s="619">
        <v>1</v>
      </c>
      <c r="PNZ36" s="4">
        <v>1000000</v>
      </c>
      <c r="POA36" s="4">
        <f>PNZ36*PNY36</f>
        <v>1000000</v>
      </c>
      <c r="POB36" s="9" t="s">
        <v>2066</v>
      </c>
      <c r="POC36" s="1">
        <v>65</v>
      </c>
      <c r="POD36" s="619" t="s">
        <v>2063</v>
      </c>
      <c r="POE36" s="148" t="s">
        <v>2064</v>
      </c>
      <c r="POF36" s="9" t="s">
        <v>2065</v>
      </c>
      <c r="POG36" s="619">
        <v>1</v>
      </c>
      <c r="POH36" s="4">
        <v>1000000</v>
      </c>
      <c r="POI36" s="4">
        <f>POH36*POG36</f>
        <v>1000000</v>
      </c>
      <c r="POJ36" s="9" t="s">
        <v>2066</v>
      </c>
      <c r="POK36" s="1">
        <v>65</v>
      </c>
      <c r="POL36" s="619" t="s">
        <v>2063</v>
      </c>
      <c r="POM36" s="148" t="s">
        <v>2064</v>
      </c>
      <c r="PON36" s="9" t="s">
        <v>2065</v>
      </c>
      <c r="POO36" s="619">
        <v>1</v>
      </c>
      <c r="POP36" s="4">
        <v>1000000</v>
      </c>
      <c r="POQ36" s="4">
        <f>POP36*POO36</f>
        <v>1000000</v>
      </c>
      <c r="POR36" s="9" t="s">
        <v>2066</v>
      </c>
      <c r="POS36" s="1">
        <v>65</v>
      </c>
      <c r="POT36" s="619" t="s">
        <v>2063</v>
      </c>
      <c r="POU36" s="148" t="s">
        <v>2064</v>
      </c>
      <c r="POV36" s="9" t="s">
        <v>2065</v>
      </c>
      <c r="POW36" s="619">
        <v>1</v>
      </c>
      <c r="POX36" s="4">
        <v>1000000</v>
      </c>
      <c r="POY36" s="4">
        <f>POX36*POW36</f>
        <v>1000000</v>
      </c>
      <c r="POZ36" s="9" t="s">
        <v>2066</v>
      </c>
      <c r="PPA36" s="1">
        <v>65</v>
      </c>
      <c r="PPB36" s="619" t="s">
        <v>2063</v>
      </c>
      <c r="PPC36" s="148" t="s">
        <v>2064</v>
      </c>
      <c r="PPD36" s="9" t="s">
        <v>2065</v>
      </c>
      <c r="PPE36" s="619">
        <v>1</v>
      </c>
      <c r="PPF36" s="4">
        <v>1000000</v>
      </c>
      <c r="PPG36" s="4">
        <f>PPF36*PPE36</f>
        <v>1000000</v>
      </c>
      <c r="PPH36" s="9" t="s">
        <v>2066</v>
      </c>
      <c r="PPI36" s="1">
        <v>65</v>
      </c>
      <c r="PPJ36" s="619" t="s">
        <v>2063</v>
      </c>
      <c r="PPK36" s="148" t="s">
        <v>2064</v>
      </c>
      <c r="PPL36" s="9" t="s">
        <v>2065</v>
      </c>
      <c r="PPM36" s="619">
        <v>1</v>
      </c>
      <c r="PPN36" s="4">
        <v>1000000</v>
      </c>
      <c r="PPO36" s="4">
        <f>PPN36*PPM36</f>
        <v>1000000</v>
      </c>
      <c r="PPP36" s="9" t="s">
        <v>2066</v>
      </c>
      <c r="PPQ36" s="1">
        <v>65</v>
      </c>
      <c r="PPR36" s="619" t="s">
        <v>2063</v>
      </c>
      <c r="PPS36" s="148" t="s">
        <v>2064</v>
      </c>
      <c r="PPT36" s="9" t="s">
        <v>2065</v>
      </c>
      <c r="PPU36" s="619">
        <v>1</v>
      </c>
      <c r="PPV36" s="4">
        <v>1000000</v>
      </c>
      <c r="PPW36" s="4">
        <f>PPV36*PPU36</f>
        <v>1000000</v>
      </c>
      <c r="PPX36" s="9" t="s">
        <v>2066</v>
      </c>
      <c r="PPY36" s="1">
        <v>65</v>
      </c>
      <c r="PPZ36" s="619" t="s">
        <v>2063</v>
      </c>
      <c r="PQA36" s="148" t="s">
        <v>2064</v>
      </c>
      <c r="PQB36" s="9" t="s">
        <v>2065</v>
      </c>
      <c r="PQC36" s="619">
        <v>1</v>
      </c>
      <c r="PQD36" s="4">
        <v>1000000</v>
      </c>
      <c r="PQE36" s="4">
        <f>PQD36*PQC36</f>
        <v>1000000</v>
      </c>
      <c r="PQF36" s="9" t="s">
        <v>2066</v>
      </c>
      <c r="PQG36" s="1">
        <v>65</v>
      </c>
      <c r="PQH36" s="619" t="s">
        <v>2063</v>
      </c>
      <c r="PQI36" s="148" t="s">
        <v>2064</v>
      </c>
      <c r="PQJ36" s="9" t="s">
        <v>2065</v>
      </c>
      <c r="PQK36" s="619">
        <v>1</v>
      </c>
      <c r="PQL36" s="4">
        <v>1000000</v>
      </c>
      <c r="PQM36" s="4">
        <f>PQL36*PQK36</f>
        <v>1000000</v>
      </c>
      <c r="PQN36" s="9" t="s">
        <v>2066</v>
      </c>
      <c r="PQO36" s="1">
        <v>65</v>
      </c>
      <c r="PQP36" s="619" t="s">
        <v>2063</v>
      </c>
      <c r="PQQ36" s="148" t="s">
        <v>2064</v>
      </c>
      <c r="PQR36" s="9" t="s">
        <v>2065</v>
      </c>
      <c r="PQS36" s="619">
        <v>1</v>
      </c>
      <c r="PQT36" s="4">
        <v>1000000</v>
      </c>
      <c r="PQU36" s="4">
        <f>PQT36*PQS36</f>
        <v>1000000</v>
      </c>
      <c r="PQV36" s="9" t="s">
        <v>2066</v>
      </c>
      <c r="PQW36" s="1">
        <v>65</v>
      </c>
      <c r="PQX36" s="619" t="s">
        <v>2063</v>
      </c>
      <c r="PQY36" s="148" t="s">
        <v>2064</v>
      </c>
      <c r="PQZ36" s="9" t="s">
        <v>2065</v>
      </c>
      <c r="PRA36" s="619">
        <v>1</v>
      </c>
      <c r="PRB36" s="4">
        <v>1000000</v>
      </c>
      <c r="PRC36" s="4">
        <f>PRB36*PRA36</f>
        <v>1000000</v>
      </c>
      <c r="PRD36" s="9" t="s">
        <v>2066</v>
      </c>
      <c r="PRE36" s="1">
        <v>65</v>
      </c>
      <c r="PRF36" s="619" t="s">
        <v>2063</v>
      </c>
      <c r="PRG36" s="148" t="s">
        <v>2064</v>
      </c>
      <c r="PRH36" s="9" t="s">
        <v>2065</v>
      </c>
      <c r="PRI36" s="619">
        <v>1</v>
      </c>
      <c r="PRJ36" s="4">
        <v>1000000</v>
      </c>
      <c r="PRK36" s="4">
        <f>PRJ36*PRI36</f>
        <v>1000000</v>
      </c>
      <c r="PRL36" s="9" t="s">
        <v>2066</v>
      </c>
      <c r="PRM36" s="1">
        <v>65</v>
      </c>
      <c r="PRN36" s="619" t="s">
        <v>2063</v>
      </c>
      <c r="PRO36" s="148" t="s">
        <v>2064</v>
      </c>
      <c r="PRP36" s="9" t="s">
        <v>2065</v>
      </c>
      <c r="PRQ36" s="619">
        <v>1</v>
      </c>
      <c r="PRR36" s="4">
        <v>1000000</v>
      </c>
      <c r="PRS36" s="4">
        <f>PRR36*PRQ36</f>
        <v>1000000</v>
      </c>
      <c r="PRT36" s="9" t="s">
        <v>2066</v>
      </c>
      <c r="PRU36" s="1">
        <v>65</v>
      </c>
      <c r="PRV36" s="619" t="s">
        <v>2063</v>
      </c>
      <c r="PRW36" s="148" t="s">
        <v>2064</v>
      </c>
      <c r="PRX36" s="9" t="s">
        <v>2065</v>
      </c>
      <c r="PRY36" s="619">
        <v>1</v>
      </c>
      <c r="PRZ36" s="4">
        <v>1000000</v>
      </c>
      <c r="PSA36" s="4">
        <f>PRZ36*PRY36</f>
        <v>1000000</v>
      </c>
      <c r="PSB36" s="9" t="s">
        <v>2066</v>
      </c>
      <c r="PSC36" s="1">
        <v>65</v>
      </c>
      <c r="PSD36" s="619" t="s">
        <v>2063</v>
      </c>
      <c r="PSE36" s="148" t="s">
        <v>2064</v>
      </c>
      <c r="PSF36" s="9" t="s">
        <v>2065</v>
      </c>
      <c r="PSG36" s="619">
        <v>1</v>
      </c>
      <c r="PSH36" s="4">
        <v>1000000</v>
      </c>
      <c r="PSI36" s="4">
        <f>PSH36*PSG36</f>
        <v>1000000</v>
      </c>
      <c r="PSJ36" s="9" t="s">
        <v>2066</v>
      </c>
      <c r="PSK36" s="1">
        <v>65</v>
      </c>
      <c r="PSL36" s="619" t="s">
        <v>2063</v>
      </c>
      <c r="PSM36" s="148" t="s">
        <v>2064</v>
      </c>
      <c r="PSN36" s="9" t="s">
        <v>2065</v>
      </c>
      <c r="PSO36" s="619">
        <v>1</v>
      </c>
      <c r="PSP36" s="4">
        <v>1000000</v>
      </c>
      <c r="PSQ36" s="4">
        <f>PSP36*PSO36</f>
        <v>1000000</v>
      </c>
      <c r="PSR36" s="9" t="s">
        <v>2066</v>
      </c>
      <c r="PSS36" s="1">
        <v>65</v>
      </c>
      <c r="PST36" s="619" t="s">
        <v>2063</v>
      </c>
      <c r="PSU36" s="148" t="s">
        <v>2064</v>
      </c>
      <c r="PSV36" s="9" t="s">
        <v>2065</v>
      </c>
      <c r="PSW36" s="619">
        <v>1</v>
      </c>
      <c r="PSX36" s="4">
        <v>1000000</v>
      </c>
      <c r="PSY36" s="4">
        <f>PSX36*PSW36</f>
        <v>1000000</v>
      </c>
      <c r="PSZ36" s="9" t="s">
        <v>2066</v>
      </c>
      <c r="PTA36" s="1">
        <v>65</v>
      </c>
      <c r="PTB36" s="619" t="s">
        <v>2063</v>
      </c>
      <c r="PTC36" s="148" t="s">
        <v>2064</v>
      </c>
      <c r="PTD36" s="9" t="s">
        <v>2065</v>
      </c>
      <c r="PTE36" s="619">
        <v>1</v>
      </c>
      <c r="PTF36" s="4">
        <v>1000000</v>
      </c>
      <c r="PTG36" s="4">
        <f>PTF36*PTE36</f>
        <v>1000000</v>
      </c>
      <c r="PTH36" s="9" t="s">
        <v>2066</v>
      </c>
      <c r="PTI36" s="1">
        <v>65</v>
      </c>
      <c r="PTJ36" s="619" t="s">
        <v>2063</v>
      </c>
      <c r="PTK36" s="148" t="s">
        <v>2064</v>
      </c>
      <c r="PTL36" s="9" t="s">
        <v>2065</v>
      </c>
      <c r="PTM36" s="619">
        <v>1</v>
      </c>
      <c r="PTN36" s="4">
        <v>1000000</v>
      </c>
      <c r="PTO36" s="4">
        <f>PTN36*PTM36</f>
        <v>1000000</v>
      </c>
      <c r="PTP36" s="9" t="s">
        <v>2066</v>
      </c>
      <c r="PTQ36" s="1">
        <v>65</v>
      </c>
      <c r="PTR36" s="619" t="s">
        <v>2063</v>
      </c>
      <c r="PTS36" s="148" t="s">
        <v>2064</v>
      </c>
      <c r="PTT36" s="9" t="s">
        <v>2065</v>
      </c>
      <c r="PTU36" s="619">
        <v>1</v>
      </c>
      <c r="PTV36" s="4">
        <v>1000000</v>
      </c>
      <c r="PTW36" s="4">
        <f>PTV36*PTU36</f>
        <v>1000000</v>
      </c>
      <c r="PTX36" s="9" t="s">
        <v>2066</v>
      </c>
      <c r="PTY36" s="1">
        <v>65</v>
      </c>
      <c r="PTZ36" s="619" t="s">
        <v>2063</v>
      </c>
      <c r="PUA36" s="148" t="s">
        <v>2064</v>
      </c>
      <c r="PUB36" s="9" t="s">
        <v>2065</v>
      </c>
      <c r="PUC36" s="619">
        <v>1</v>
      </c>
      <c r="PUD36" s="4">
        <v>1000000</v>
      </c>
      <c r="PUE36" s="4">
        <f>PUD36*PUC36</f>
        <v>1000000</v>
      </c>
      <c r="PUF36" s="9" t="s">
        <v>2066</v>
      </c>
      <c r="PUG36" s="1">
        <v>65</v>
      </c>
      <c r="PUH36" s="619" t="s">
        <v>2063</v>
      </c>
      <c r="PUI36" s="148" t="s">
        <v>2064</v>
      </c>
      <c r="PUJ36" s="9" t="s">
        <v>2065</v>
      </c>
      <c r="PUK36" s="619">
        <v>1</v>
      </c>
      <c r="PUL36" s="4">
        <v>1000000</v>
      </c>
      <c r="PUM36" s="4">
        <f>PUL36*PUK36</f>
        <v>1000000</v>
      </c>
      <c r="PUN36" s="9" t="s">
        <v>2066</v>
      </c>
      <c r="PUO36" s="1">
        <v>65</v>
      </c>
      <c r="PUP36" s="619" t="s">
        <v>2063</v>
      </c>
      <c r="PUQ36" s="148" t="s">
        <v>2064</v>
      </c>
      <c r="PUR36" s="9" t="s">
        <v>2065</v>
      </c>
      <c r="PUS36" s="619">
        <v>1</v>
      </c>
      <c r="PUT36" s="4">
        <v>1000000</v>
      </c>
      <c r="PUU36" s="4">
        <f>PUT36*PUS36</f>
        <v>1000000</v>
      </c>
      <c r="PUV36" s="9" t="s">
        <v>2066</v>
      </c>
      <c r="PUW36" s="1">
        <v>65</v>
      </c>
      <c r="PUX36" s="619" t="s">
        <v>2063</v>
      </c>
      <c r="PUY36" s="148" t="s">
        <v>2064</v>
      </c>
      <c r="PUZ36" s="9" t="s">
        <v>2065</v>
      </c>
      <c r="PVA36" s="619">
        <v>1</v>
      </c>
      <c r="PVB36" s="4">
        <v>1000000</v>
      </c>
      <c r="PVC36" s="4">
        <f>PVB36*PVA36</f>
        <v>1000000</v>
      </c>
      <c r="PVD36" s="9" t="s">
        <v>2066</v>
      </c>
      <c r="PVE36" s="1">
        <v>65</v>
      </c>
      <c r="PVF36" s="619" t="s">
        <v>2063</v>
      </c>
      <c r="PVG36" s="148" t="s">
        <v>2064</v>
      </c>
      <c r="PVH36" s="9" t="s">
        <v>2065</v>
      </c>
      <c r="PVI36" s="619">
        <v>1</v>
      </c>
      <c r="PVJ36" s="4">
        <v>1000000</v>
      </c>
      <c r="PVK36" s="4">
        <f>PVJ36*PVI36</f>
        <v>1000000</v>
      </c>
      <c r="PVL36" s="9" t="s">
        <v>2066</v>
      </c>
      <c r="PVM36" s="1">
        <v>65</v>
      </c>
      <c r="PVN36" s="619" t="s">
        <v>2063</v>
      </c>
      <c r="PVO36" s="148" t="s">
        <v>2064</v>
      </c>
      <c r="PVP36" s="9" t="s">
        <v>2065</v>
      </c>
      <c r="PVQ36" s="619">
        <v>1</v>
      </c>
      <c r="PVR36" s="4">
        <v>1000000</v>
      </c>
      <c r="PVS36" s="4">
        <f>PVR36*PVQ36</f>
        <v>1000000</v>
      </c>
      <c r="PVT36" s="9" t="s">
        <v>2066</v>
      </c>
      <c r="PVU36" s="1">
        <v>65</v>
      </c>
      <c r="PVV36" s="619" t="s">
        <v>2063</v>
      </c>
      <c r="PVW36" s="148" t="s">
        <v>2064</v>
      </c>
      <c r="PVX36" s="9" t="s">
        <v>2065</v>
      </c>
      <c r="PVY36" s="619">
        <v>1</v>
      </c>
      <c r="PVZ36" s="4">
        <v>1000000</v>
      </c>
      <c r="PWA36" s="4">
        <f>PVZ36*PVY36</f>
        <v>1000000</v>
      </c>
      <c r="PWB36" s="9" t="s">
        <v>2066</v>
      </c>
      <c r="PWC36" s="1">
        <v>65</v>
      </c>
      <c r="PWD36" s="619" t="s">
        <v>2063</v>
      </c>
      <c r="PWE36" s="148" t="s">
        <v>2064</v>
      </c>
      <c r="PWF36" s="9" t="s">
        <v>2065</v>
      </c>
      <c r="PWG36" s="619">
        <v>1</v>
      </c>
      <c r="PWH36" s="4">
        <v>1000000</v>
      </c>
      <c r="PWI36" s="4">
        <f>PWH36*PWG36</f>
        <v>1000000</v>
      </c>
      <c r="PWJ36" s="9" t="s">
        <v>2066</v>
      </c>
      <c r="PWK36" s="1">
        <v>65</v>
      </c>
      <c r="PWL36" s="619" t="s">
        <v>2063</v>
      </c>
      <c r="PWM36" s="148" t="s">
        <v>2064</v>
      </c>
      <c r="PWN36" s="9" t="s">
        <v>2065</v>
      </c>
      <c r="PWO36" s="619">
        <v>1</v>
      </c>
      <c r="PWP36" s="4">
        <v>1000000</v>
      </c>
      <c r="PWQ36" s="4">
        <f>PWP36*PWO36</f>
        <v>1000000</v>
      </c>
      <c r="PWR36" s="9" t="s">
        <v>2066</v>
      </c>
      <c r="PWS36" s="1">
        <v>65</v>
      </c>
      <c r="PWT36" s="619" t="s">
        <v>2063</v>
      </c>
      <c r="PWU36" s="148" t="s">
        <v>2064</v>
      </c>
      <c r="PWV36" s="9" t="s">
        <v>2065</v>
      </c>
      <c r="PWW36" s="619">
        <v>1</v>
      </c>
      <c r="PWX36" s="4">
        <v>1000000</v>
      </c>
      <c r="PWY36" s="4">
        <f>PWX36*PWW36</f>
        <v>1000000</v>
      </c>
      <c r="PWZ36" s="9" t="s">
        <v>2066</v>
      </c>
      <c r="PXA36" s="1">
        <v>65</v>
      </c>
      <c r="PXB36" s="619" t="s">
        <v>2063</v>
      </c>
      <c r="PXC36" s="148" t="s">
        <v>2064</v>
      </c>
      <c r="PXD36" s="9" t="s">
        <v>2065</v>
      </c>
      <c r="PXE36" s="619">
        <v>1</v>
      </c>
      <c r="PXF36" s="4">
        <v>1000000</v>
      </c>
      <c r="PXG36" s="4">
        <f>PXF36*PXE36</f>
        <v>1000000</v>
      </c>
      <c r="PXH36" s="9" t="s">
        <v>2066</v>
      </c>
      <c r="PXI36" s="1">
        <v>65</v>
      </c>
      <c r="PXJ36" s="619" t="s">
        <v>2063</v>
      </c>
      <c r="PXK36" s="148" t="s">
        <v>2064</v>
      </c>
      <c r="PXL36" s="9" t="s">
        <v>2065</v>
      </c>
      <c r="PXM36" s="619">
        <v>1</v>
      </c>
      <c r="PXN36" s="4">
        <v>1000000</v>
      </c>
      <c r="PXO36" s="4">
        <f>PXN36*PXM36</f>
        <v>1000000</v>
      </c>
      <c r="PXP36" s="9" t="s">
        <v>2066</v>
      </c>
      <c r="PXQ36" s="1">
        <v>65</v>
      </c>
      <c r="PXR36" s="619" t="s">
        <v>2063</v>
      </c>
      <c r="PXS36" s="148" t="s">
        <v>2064</v>
      </c>
      <c r="PXT36" s="9" t="s">
        <v>2065</v>
      </c>
      <c r="PXU36" s="619">
        <v>1</v>
      </c>
      <c r="PXV36" s="4">
        <v>1000000</v>
      </c>
      <c r="PXW36" s="4">
        <f>PXV36*PXU36</f>
        <v>1000000</v>
      </c>
      <c r="PXX36" s="9" t="s">
        <v>2066</v>
      </c>
      <c r="PXY36" s="1">
        <v>65</v>
      </c>
      <c r="PXZ36" s="619" t="s">
        <v>2063</v>
      </c>
      <c r="PYA36" s="148" t="s">
        <v>2064</v>
      </c>
      <c r="PYB36" s="9" t="s">
        <v>2065</v>
      </c>
      <c r="PYC36" s="619">
        <v>1</v>
      </c>
      <c r="PYD36" s="4">
        <v>1000000</v>
      </c>
      <c r="PYE36" s="4">
        <f>PYD36*PYC36</f>
        <v>1000000</v>
      </c>
      <c r="PYF36" s="9" t="s">
        <v>2066</v>
      </c>
      <c r="PYG36" s="1">
        <v>65</v>
      </c>
      <c r="PYH36" s="619" t="s">
        <v>2063</v>
      </c>
      <c r="PYI36" s="148" t="s">
        <v>2064</v>
      </c>
      <c r="PYJ36" s="9" t="s">
        <v>2065</v>
      </c>
      <c r="PYK36" s="619">
        <v>1</v>
      </c>
      <c r="PYL36" s="4">
        <v>1000000</v>
      </c>
      <c r="PYM36" s="4">
        <f>PYL36*PYK36</f>
        <v>1000000</v>
      </c>
      <c r="PYN36" s="9" t="s">
        <v>2066</v>
      </c>
      <c r="PYO36" s="1">
        <v>65</v>
      </c>
      <c r="PYP36" s="619" t="s">
        <v>2063</v>
      </c>
      <c r="PYQ36" s="148" t="s">
        <v>2064</v>
      </c>
      <c r="PYR36" s="9" t="s">
        <v>2065</v>
      </c>
      <c r="PYS36" s="619">
        <v>1</v>
      </c>
      <c r="PYT36" s="4">
        <v>1000000</v>
      </c>
      <c r="PYU36" s="4">
        <f>PYT36*PYS36</f>
        <v>1000000</v>
      </c>
      <c r="PYV36" s="9" t="s">
        <v>2066</v>
      </c>
      <c r="PYW36" s="1">
        <v>65</v>
      </c>
      <c r="PYX36" s="619" t="s">
        <v>2063</v>
      </c>
      <c r="PYY36" s="148" t="s">
        <v>2064</v>
      </c>
      <c r="PYZ36" s="9" t="s">
        <v>2065</v>
      </c>
      <c r="PZA36" s="619">
        <v>1</v>
      </c>
      <c r="PZB36" s="4">
        <v>1000000</v>
      </c>
      <c r="PZC36" s="4">
        <f>PZB36*PZA36</f>
        <v>1000000</v>
      </c>
      <c r="PZD36" s="9" t="s">
        <v>2066</v>
      </c>
      <c r="PZE36" s="1">
        <v>65</v>
      </c>
      <c r="PZF36" s="619" t="s">
        <v>2063</v>
      </c>
      <c r="PZG36" s="148" t="s">
        <v>2064</v>
      </c>
      <c r="PZH36" s="9" t="s">
        <v>2065</v>
      </c>
      <c r="PZI36" s="619">
        <v>1</v>
      </c>
      <c r="PZJ36" s="4">
        <v>1000000</v>
      </c>
      <c r="PZK36" s="4">
        <f>PZJ36*PZI36</f>
        <v>1000000</v>
      </c>
      <c r="PZL36" s="9" t="s">
        <v>2066</v>
      </c>
      <c r="PZM36" s="1">
        <v>65</v>
      </c>
      <c r="PZN36" s="619" t="s">
        <v>2063</v>
      </c>
      <c r="PZO36" s="148" t="s">
        <v>2064</v>
      </c>
      <c r="PZP36" s="9" t="s">
        <v>2065</v>
      </c>
      <c r="PZQ36" s="619">
        <v>1</v>
      </c>
      <c r="PZR36" s="4">
        <v>1000000</v>
      </c>
      <c r="PZS36" s="4">
        <f>PZR36*PZQ36</f>
        <v>1000000</v>
      </c>
      <c r="PZT36" s="9" t="s">
        <v>2066</v>
      </c>
      <c r="PZU36" s="1">
        <v>65</v>
      </c>
      <c r="PZV36" s="619" t="s">
        <v>2063</v>
      </c>
      <c r="PZW36" s="148" t="s">
        <v>2064</v>
      </c>
      <c r="PZX36" s="9" t="s">
        <v>2065</v>
      </c>
      <c r="PZY36" s="619">
        <v>1</v>
      </c>
      <c r="PZZ36" s="4">
        <v>1000000</v>
      </c>
      <c r="QAA36" s="4">
        <f>PZZ36*PZY36</f>
        <v>1000000</v>
      </c>
      <c r="QAB36" s="9" t="s">
        <v>2066</v>
      </c>
      <c r="QAC36" s="1">
        <v>65</v>
      </c>
      <c r="QAD36" s="619" t="s">
        <v>2063</v>
      </c>
      <c r="QAE36" s="148" t="s">
        <v>2064</v>
      </c>
      <c r="QAF36" s="9" t="s">
        <v>2065</v>
      </c>
      <c r="QAG36" s="619">
        <v>1</v>
      </c>
      <c r="QAH36" s="4">
        <v>1000000</v>
      </c>
      <c r="QAI36" s="4">
        <f>QAH36*QAG36</f>
        <v>1000000</v>
      </c>
      <c r="QAJ36" s="9" t="s">
        <v>2066</v>
      </c>
      <c r="QAK36" s="1">
        <v>65</v>
      </c>
      <c r="QAL36" s="619" t="s">
        <v>2063</v>
      </c>
      <c r="QAM36" s="148" t="s">
        <v>2064</v>
      </c>
      <c r="QAN36" s="9" t="s">
        <v>2065</v>
      </c>
      <c r="QAO36" s="619">
        <v>1</v>
      </c>
      <c r="QAP36" s="4">
        <v>1000000</v>
      </c>
      <c r="QAQ36" s="4">
        <f>QAP36*QAO36</f>
        <v>1000000</v>
      </c>
      <c r="QAR36" s="9" t="s">
        <v>2066</v>
      </c>
      <c r="QAS36" s="1">
        <v>65</v>
      </c>
      <c r="QAT36" s="619" t="s">
        <v>2063</v>
      </c>
      <c r="QAU36" s="148" t="s">
        <v>2064</v>
      </c>
      <c r="QAV36" s="9" t="s">
        <v>2065</v>
      </c>
      <c r="QAW36" s="619">
        <v>1</v>
      </c>
      <c r="QAX36" s="4">
        <v>1000000</v>
      </c>
      <c r="QAY36" s="4">
        <f>QAX36*QAW36</f>
        <v>1000000</v>
      </c>
      <c r="QAZ36" s="9" t="s">
        <v>2066</v>
      </c>
      <c r="QBA36" s="1">
        <v>65</v>
      </c>
      <c r="QBB36" s="619" t="s">
        <v>2063</v>
      </c>
      <c r="QBC36" s="148" t="s">
        <v>2064</v>
      </c>
      <c r="QBD36" s="9" t="s">
        <v>2065</v>
      </c>
      <c r="QBE36" s="619">
        <v>1</v>
      </c>
      <c r="QBF36" s="4">
        <v>1000000</v>
      </c>
      <c r="QBG36" s="4">
        <f>QBF36*QBE36</f>
        <v>1000000</v>
      </c>
      <c r="QBH36" s="9" t="s">
        <v>2066</v>
      </c>
      <c r="QBI36" s="1">
        <v>65</v>
      </c>
      <c r="QBJ36" s="619" t="s">
        <v>2063</v>
      </c>
      <c r="QBK36" s="148" t="s">
        <v>2064</v>
      </c>
      <c r="QBL36" s="9" t="s">
        <v>2065</v>
      </c>
      <c r="QBM36" s="619">
        <v>1</v>
      </c>
      <c r="QBN36" s="4">
        <v>1000000</v>
      </c>
      <c r="QBO36" s="4">
        <f>QBN36*QBM36</f>
        <v>1000000</v>
      </c>
      <c r="QBP36" s="9" t="s">
        <v>2066</v>
      </c>
      <c r="QBQ36" s="1">
        <v>65</v>
      </c>
      <c r="QBR36" s="619" t="s">
        <v>2063</v>
      </c>
      <c r="QBS36" s="148" t="s">
        <v>2064</v>
      </c>
      <c r="QBT36" s="9" t="s">
        <v>2065</v>
      </c>
      <c r="QBU36" s="619">
        <v>1</v>
      </c>
      <c r="QBV36" s="4">
        <v>1000000</v>
      </c>
      <c r="QBW36" s="4">
        <f>QBV36*QBU36</f>
        <v>1000000</v>
      </c>
      <c r="QBX36" s="9" t="s">
        <v>2066</v>
      </c>
      <c r="QBY36" s="1">
        <v>65</v>
      </c>
      <c r="QBZ36" s="619" t="s">
        <v>2063</v>
      </c>
      <c r="QCA36" s="148" t="s">
        <v>2064</v>
      </c>
      <c r="QCB36" s="9" t="s">
        <v>2065</v>
      </c>
      <c r="QCC36" s="619">
        <v>1</v>
      </c>
      <c r="QCD36" s="4">
        <v>1000000</v>
      </c>
      <c r="QCE36" s="4">
        <f>QCD36*QCC36</f>
        <v>1000000</v>
      </c>
      <c r="QCF36" s="9" t="s">
        <v>2066</v>
      </c>
      <c r="QCG36" s="1">
        <v>65</v>
      </c>
      <c r="QCH36" s="619" t="s">
        <v>2063</v>
      </c>
      <c r="QCI36" s="148" t="s">
        <v>2064</v>
      </c>
      <c r="QCJ36" s="9" t="s">
        <v>2065</v>
      </c>
      <c r="QCK36" s="619">
        <v>1</v>
      </c>
      <c r="QCL36" s="4">
        <v>1000000</v>
      </c>
      <c r="QCM36" s="4">
        <f>QCL36*QCK36</f>
        <v>1000000</v>
      </c>
      <c r="QCN36" s="9" t="s">
        <v>2066</v>
      </c>
      <c r="QCO36" s="1">
        <v>65</v>
      </c>
      <c r="QCP36" s="619" t="s">
        <v>2063</v>
      </c>
      <c r="QCQ36" s="148" t="s">
        <v>2064</v>
      </c>
      <c r="QCR36" s="9" t="s">
        <v>2065</v>
      </c>
      <c r="QCS36" s="619">
        <v>1</v>
      </c>
      <c r="QCT36" s="4">
        <v>1000000</v>
      </c>
      <c r="QCU36" s="4">
        <f>QCT36*QCS36</f>
        <v>1000000</v>
      </c>
      <c r="QCV36" s="9" t="s">
        <v>2066</v>
      </c>
      <c r="QCW36" s="1">
        <v>65</v>
      </c>
      <c r="QCX36" s="619" t="s">
        <v>2063</v>
      </c>
      <c r="QCY36" s="148" t="s">
        <v>2064</v>
      </c>
      <c r="QCZ36" s="9" t="s">
        <v>2065</v>
      </c>
      <c r="QDA36" s="619">
        <v>1</v>
      </c>
      <c r="QDB36" s="4">
        <v>1000000</v>
      </c>
      <c r="QDC36" s="4">
        <f>QDB36*QDA36</f>
        <v>1000000</v>
      </c>
      <c r="QDD36" s="9" t="s">
        <v>2066</v>
      </c>
      <c r="QDE36" s="1">
        <v>65</v>
      </c>
      <c r="QDF36" s="619" t="s">
        <v>2063</v>
      </c>
      <c r="QDG36" s="148" t="s">
        <v>2064</v>
      </c>
      <c r="QDH36" s="9" t="s">
        <v>2065</v>
      </c>
      <c r="QDI36" s="619">
        <v>1</v>
      </c>
      <c r="QDJ36" s="4">
        <v>1000000</v>
      </c>
      <c r="QDK36" s="4">
        <f>QDJ36*QDI36</f>
        <v>1000000</v>
      </c>
      <c r="QDL36" s="9" t="s">
        <v>2066</v>
      </c>
      <c r="QDM36" s="1">
        <v>65</v>
      </c>
      <c r="QDN36" s="619" t="s">
        <v>2063</v>
      </c>
      <c r="QDO36" s="148" t="s">
        <v>2064</v>
      </c>
      <c r="QDP36" s="9" t="s">
        <v>2065</v>
      </c>
      <c r="QDQ36" s="619">
        <v>1</v>
      </c>
      <c r="QDR36" s="4">
        <v>1000000</v>
      </c>
      <c r="QDS36" s="4">
        <f>QDR36*QDQ36</f>
        <v>1000000</v>
      </c>
      <c r="QDT36" s="9" t="s">
        <v>2066</v>
      </c>
      <c r="QDU36" s="1">
        <v>65</v>
      </c>
      <c r="QDV36" s="619" t="s">
        <v>2063</v>
      </c>
      <c r="QDW36" s="148" t="s">
        <v>2064</v>
      </c>
      <c r="QDX36" s="9" t="s">
        <v>2065</v>
      </c>
      <c r="QDY36" s="619">
        <v>1</v>
      </c>
      <c r="QDZ36" s="4">
        <v>1000000</v>
      </c>
      <c r="QEA36" s="4">
        <f>QDZ36*QDY36</f>
        <v>1000000</v>
      </c>
      <c r="QEB36" s="9" t="s">
        <v>2066</v>
      </c>
      <c r="QEC36" s="1">
        <v>65</v>
      </c>
      <c r="QED36" s="619" t="s">
        <v>2063</v>
      </c>
      <c r="QEE36" s="148" t="s">
        <v>2064</v>
      </c>
      <c r="QEF36" s="9" t="s">
        <v>2065</v>
      </c>
      <c r="QEG36" s="619">
        <v>1</v>
      </c>
      <c r="QEH36" s="4">
        <v>1000000</v>
      </c>
      <c r="QEI36" s="4">
        <f>QEH36*QEG36</f>
        <v>1000000</v>
      </c>
      <c r="QEJ36" s="9" t="s">
        <v>2066</v>
      </c>
      <c r="QEK36" s="1">
        <v>65</v>
      </c>
      <c r="QEL36" s="619" t="s">
        <v>2063</v>
      </c>
      <c r="QEM36" s="148" t="s">
        <v>2064</v>
      </c>
      <c r="QEN36" s="9" t="s">
        <v>2065</v>
      </c>
      <c r="QEO36" s="619">
        <v>1</v>
      </c>
      <c r="QEP36" s="4">
        <v>1000000</v>
      </c>
      <c r="QEQ36" s="4">
        <f>QEP36*QEO36</f>
        <v>1000000</v>
      </c>
      <c r="QER36" s="9" t="s">
        <v>2066</v>
      </c>
      <c r="QES36" s="1">
        <v>65</v>
      </c>
      <c r="QET36" s="619" t="s">
        <v>2063</v>
      </c>
      <c r="QEU36" s="148" t="s">
        <v>2064</v>
      </c>
      <c r="QEV36" s="9" t="s">
        <v>2065</v>
      </c>
      <c r="QEW36" s="619">
        <v>1</v>
      </c>
      <c r="QEX36" s="4">
        <v>1000000</v>
      </c>
      <c r="QEY36" s="4">
        <f>QEX36*QEW36</f>
        <v>1000000</v>
      </c>
      <c r="QEZ36" s="9" t="s">
        <v>2066</v>
      </c>
      <c r="QFA36" s="1">
        <v>65</v>
      </c>
      <c r="QFB36" s="619" t="s">
        <v>2063</v>
      </c>
      <c r="QFC36" s="148" t="s">
        <v>2064</v>
      </c>
      <c r="QFD36" s="9" t="s">
        <v>2065</v>
      </c>
      <c r="QFE36" s="619">
        <v>1</v>
      </c>
      <c r="QFF36" s="4">
        <v>1000000</v>
      </c>
      <c r="QFG36" s="4">
        <f>QFF36*QFE36</f>
        <v>1000000</v>
      </c>
      <c r="QFH36" s="9" t="s">
        <v>2066</v>
      </c>
      <c r="QFI36" s="1">
        <v>65</v>
      </c>
      <c r="QFJ36" s="619" t="s">
        <v>2063</v>
      </c>
      <c r="QFK36" s="148" t="s">
        <v>2064</v>
      </c>
      <c r="QFL36" s="9" t="s">
        <v>2065</v>
      </c>
      <c r="QFM36" s="619">
        <v>1</v>
      </c>
      <c r="QFN36" s="4">
        <v>1000000</v>
      </c>
      <c r="QFO36" s="4">
        <f>QFN36*QFM36</f>
        <v>1000000</v>
      </c>
      <c r="QFP36" s="9" t="s">
        <v>2066</v>
      </c>
      <c r="QFQ36" s="1">
        <v>65</v>
      </c>
      <c r="QFR36" s="619" t="s">
        <v>2063</v>
      </c>
      <c r="QFS36" s="148" t="s">
        <v>2064</v>
      </c>
      <c r="QFT36" s="9" t="s">
        <v>2065</v>
      </c>
      <c r="QFU36" s="619">
        <v>1</v>
      </c>
      <c r="QFV36" s="4">
        <v>1000000</v>
      </c>
      <c r="QFW36" s="4">
        <f>QFV36*QFU36</f>
        <v>1000000</v>
      </c>
      <c r="QFX36" s="9" t="s">
        <v>2066</v>
      </c>
      <c r="QFY36" s="1">
        <v>65</v>
      </c>
      <c r="QFZ36" s="619" t="s">
        <v>2063</v>
      </c>
      <c r="QGA36" s="148" t="s">
        <v>2064</v>
      </c>
      <c r="QGB36" s="9" t="s">
        <v>2065</v>
      </c>
      <c r="QGC36" s="619">
        <v>1</v>
      </c>
      <c r="QGD36" s="4">
        <v>1000000</v>
      </c>
      <c r="QGE36" s="4">
        <f>QGD36*QGC36</f>
        <v>1000000</v>
      </c>
      <c r="QGF36" s="9" t="s">
        <v>2066</v>
      </c>
      <c r="QGG36" s="1">
        <v>65</v>
      </c>
      <c r="QGH36" s="619" t="s">
        <v>2063</v>
      </c>
      <c r="QGI36" s="148" t="s">
        <v>2064</v>
      </c>
      <c r="QGJ36" s="9" t="s">
        <v>2065</v>
      </c>
      <c r="QGK36" s="619">
        <v>1</v>
      </c>
      <c r="QGL36" s="4">
        <v>1000000</v>
      </c>
      <c r="QGM36" s="4">
        <f>QGL36*QGK36</f>
        <v>1000000</v>
      </c>
      <c r="QGN36" s="9" t="s">
        <v>2066</v>
      </c>
      <c r="QGO36" s="1">
        <v>65</v>
      </c>
      <c r="QGP36" s="619" t="s">
        <v>2063</v>
      </c>
      <c r="QGQ36" s="148" t="s">
        <v>2064</v>
      </c>
      <c r="QGR36" s="9" t="s">
        <v>2065</v>
      </c>
      <c r="QGS36" s="619">
        <v>1</v>
      </c>
      <c r="QGT36" s="4">
        <v>1000000</v>
      </c>
      <c r="QGU36" s="4">
        <f>QGT36*QGS36</f>
        <v>1000000</v>
      </c>
      <c r="QGV36" s="9" t="s">
        <v>2066</v>
      </c>
      <c r="QGW36" s="1">
        <v>65</v>
      </c>
      <c r="QGX36" s="619" t="s">
        <v>2063</v>
      </c>
      <c r="QGY36" s="148" t="s">
        <v>2064</v>
      </c>
      <c r="QGZ36" s="9" t="s">
        <v>2065</v>
      </c>
      <c r="QHA36" s="619">
        <v>1</v>
      </c>
      <c r="QHB36" s="4">
        <v>1000000</v>
      </c>
      <c r="QHC36" s="4">
        <f>QHB36*QHA36</f>
        <v>1000000</v>
      </c>
      <c r="QHD36" s="9" t="s">
        <v>2066</v>
      </c>
      <c r="QHE36" s="1">
        <v>65</v>
      </c>
      <c r="QHF36" s="619" t="s">
        <v>2063</v>
      </c>
      <c r="QHG36" s="148" t="s">
        <v>2064</v>
      </c>
      <c r="QHH36" s="9" t="s">
        <v>2065</v>
      </c>
      <c r="QHI36" s="619">
        <v>1</v>
      </c>
      <c r="QHJ36" s="4">
        <v>1000000</v>
      </c>
      <c r="QHK36" s="4">
        <f>QHJ36*QHI36</f>
        <v>1000000</v>
      </c>
      <c r="QHL36" s="9" t="s">
        <v>2066</v>
      </c>
      <c r="QHM36" s="1">
        <v>65</v>
      </c>
      <c r="QHN36" s="619" t="s">
        <v>2063</v>
      </c>
      <c r="QHO36" s="148" t="s">
        <v>2064</v>
      </c>
      <c r="QHP36" s="9" t="s">
        <v>2065</v>
      </c>
      <c r="QHQ36" s="619">
        <v>1</v>
      </c>
      <c r="QHR36" s="4">
        <v>1000000</v>
      </c>
      <c r="QHS36" s="4">
        <f>QHR36*QHQ36</f>
        <v>1000000</v>
      </c>
      <c r="QHT36" s="9" t="s">
        <v>2066</v>
      </c>
      <c r="QHU36" s="1">
        <v>65</v>
      </c>
      <c r="QHV36" s="619" t="s">
        <v>2063</v>
      </c>
      <c r="QHW36" s="148" t="s">
        <v>2064</v>
      </c>
      <c r="QHX36" s="9" t="s">
        <v>2065</v>
      </c>
      <c r="QHY36" s="619">
        <v>1</v>
      </c>
      <c r="QHZ36" s="4">
        <v>1000000</v>
      </c>
      <c r="QIA36" s="4">
        <f>QHZ36*QHY36</f>
        <v>1000000</v>
      </c>
      <c r="QIB36" s="9" t="s">
        <v>2066</v>
      </c>
      <c r="QIC36" s="1">
        <v>65</v>
      </c>
      <c r="QID36" s="619" t="s">
        <v>2063</v>
      </c>
      <c r="QIE36" s="148" t="s">
        <v>2064</v>
      </c>
      <c r="QIF36" s="9" t="s">
        <v>2065</v>
      </c>
      <c r="QIG36" s="619">
        <v>1</v>
      </c>
      <c r="QIH36" s="4">
        <v>1000000</v>
      </c>
      <c r="QII36" s="4">
        <f>QIH36*QIG36</f>
        <v>1000000</v>
      </c>
      <c r="QIJ36" s="9" t="s">
        <v>2066</v>
      </c>
      <c r="QIK36" s="1">
        <v>65</v>
      </c>
      <c r="QIL36" s="619" t="s">
        <v>2063</v>
      </c>
      <c r="QIM36" s="148" t="s">
        <v>2064</v>
      </c>
      <c r="QIN36" s="9" t="s">
        <v>2065</v>
      </c>
      <c r="QIO36" s="619">
        <v>1</v>
      </c>
      <c r="QIP36" s="4">
        <v>1000000</v>
      </c>
      <c r="QIQ36" s="4">
        <f>QIP36*QIO36</f>
        <v>1000000</v>
      </c>
      <c r="QIR36" s="9" t="s">
        <v>2066</v>
      </c>
      <c r="QIS36" s="1">
        <v>65</v>
      </c>
      <c r="QIT36" s="619" t="s">
        <v>2063</v>
      </c>
      <c r="QIU36" s="148" t="s">
        <v>2064</v>
      </c>
      <c r="QIV36" s="9" t="s">
        <v>2065</v>
      </c>
      <c r="QIW36" s="619">
        <v>1</v>
      </c>
      <c r="QIX36" s="4">
        <v>1000000</v>
      </c>
      <c r="QIY36" s="4">
        <f>QIX36*QIW36</f>
        <v>1000000</v>
      </c>
      <c r="QIZ36" s="9" t="s">
        <v>2066</v>
      </c>
      <c r="QJA36" s="1">
        <v>65</v>
      </c>
      <c r="QJB36" s="619" t="s">
        <v>2063</v>
      </c>
      <c r="QJC36" s="148" t="s">
        <v>2064</v>
      </c>
      <c r="QJD36" s="9" t="s">
        <v>2065</v>
      </c>
      <c r="QJE36" s="619">
        <v>1</v>
      </c>
      <c r="QJF36" s="4">
        <v>1000000</v>
      </c>
      <c r="QJG36" s="4">
        <f>QJF36*QJE36</f>
        <v>1000000</v>
      </c>
      <c r="QJH36" s="9" t="s">
        <v>2066</v>
      </c>
      <c r="QJI36" s="1">
        <v>65</v>
      </c>
      <c r="QJJ36" s="619" t="s">
        <v>2063</v>
      </c>
      <c r="QJK36" s="148" t="s">
        <v>2064</v>
      </c>
      <c r="QJL36" s="9" t="s">
        <v>2065</v>
      </c>
      <c r="QJM36" s="619">
        <v>1</v>
      </c>
      <c r="QJN36" s="4">
        <v>1000000</v>
      </c>
      <c r="QJO36" s="4">
        <f>QJN36*QJM36</f>
        <v>1000000</v>
      </c>
      <c r="QJP36" s="9" t="s">
        <v>2066</v>
      </c>
      <c r="QJQ36" s="1">
        <v>65</v>
      </c>
      <c r="QJR36" s="619" t="s">
        <v>2063</v>
      </c>
      <c r="QJS36" s="148" t="s">
        <v>2064</v>
      </c>
      <c r="QJT36" s="9" t="s">
        <v>2065</v>
      </c>
      <c r="QJU36" s="619">
        <v>1</v>
      </c>
      <c r="QJV36" s="4">
        <v>1000000</v>
      </c>
      <c r="QJW36" s="4">
        <f>QJV36*QJU36</f>
        <v>1000000</v>
      </c>
      <c r="QJX36" s="9" t="s">
        <v>2066</v>
      </c>
      <c r="QJY36" s="1">
        <v>65</v>
      </c>
      <c r="QJZ36" s="619" t="s">
        <v>2063</v>
      </c>
      <c r="QKA36" s="148" t="s">
        <v>2064</v>
      </c>
      <c r="QKB36" s="9" t="s">
        <v>2065</v>
      </c>
      <c r="QKC36" s="619">
        <v>1</v>
      </c>
      <c r="QKD36" s="4">
        <v>1000000</v>
      </c>
      <c r="QKE36" s="4">
        <f>QKD36*QKC36</f>
        <v>1000000</v>
      </c>
      <c r="QKF36" s="9" t="s">
        <v>2066</v>
      </c>
      <c r="QKG36" s="1">
        <v>65</v>
      </c>
      <c r="QKH36" s="619" t="s">
        <v>2063</v>
      </c>
      <c r="QKI36" s="148" t="s">
        <v>2064</v>
      </c>
      <c r="QKJ36" s="9" t="s">
        <v>2065</v>
      </c>
      <c r="QKK36" s="619">
        <v>1</v>
      </c>
      <c r="QKL36" s="4">
        <v>1000000</v>
      </c>
      <c r="QKM36" s="4">
        <f>QKL36*QKK36</f>
        <v>1000000</v>
      </c>
      <c r="QKN36" s="9" t="s">
        <v>2066</v>
      </c>
      <c r="QKO36" s="1">
        <v>65</v>
      </c>
      <c r="QKP36" s="619" t="s">
        <v>2063</v>
      </c>
      <c r="QKQ36" s="148" t="s">
        <v>2064</v>
      </c>
      <c r="QKR36" s="9" t="s">
        <v>2065</v>
      </c>
      <c r="QKS36" s="619">
        <v>1</v>
      </c>
      <c r="QKT36" s="4">
        <v>1000000</v>
      </c>
      <c r="QKU36" s="4">
        <f>QKT36*QKS36</f>
        <v>1000000</v>
      </c>
      <c r="QKV36" s="9" t="s">
        <v>2066</v>
      </c>
      <c r="QKW36" s="1">
        <v>65</v>
      </c>
      <c r="QKX36" s="619" t="s">
        <v>2063</v>
      </c>
      <c r="QKY36" s="148" t="s">
        <v>2064</v>
      </c>
      <c r="QKZ36" s="9" t="s">
        <v>2065</v>
      </c>
      <c r="QLA36" s="619">
        <v>1</v>
      </c>
      <c r="QLB36" s="4">
        <v>1000000</v>
      </c>
      <c r="QLC36" s="4">
        <f>QLB36*QLA36</f>
        <v>1000000</v>
      </c>
      <c r="QLD36" s="9" t="s">
        <v>2066</v>
      </c>
      <c r="QLE36" s="1">
        <v>65</v>
      </c>
      <c r="QLF36" s="619" t="s">
        <v>2063</v>
      </c>
      <c r="QLG36" s="148" t="s">
        <v>2064</v>
      </c>
      <c r="QLH36" s="9" t="s">
        <v>2065</v>
      </c>
      <c r="QLI36" s="619">
        <v>1</v>
      </c>
      <c r="QLJ36" s="4">
        <v>1000000</v>
      </c>
      <c r="QLK36" s="4">
        <f>QLJ36*QLI36</f>
        <v>1000000</v>
      </c>
      <c r="QLL36" s="9" t="s">
        <v>2066</v>
      </c>
      <c r="QLM36" s="1">
        <v>65</v>
      </c>
      <c r="QLN36" s="619" t="s">
        <v>2063</v>
      </c>
      <c r="QLO36" s="148" t="s">
        <v>2064</v>
      </c>
      <c r="QLP36" s="9" t="s">
        <v>2065</v>
      </c>
      <c r="QLQ36" s="619">
        <v>1</v>
      </c>
      <c r="QLR36" s="4">
        <v>1000000</v>
      </c>
      <c r="QLS36" s="4">
        <f>QLR36*QLQ36</f>
        <v>1000000</v>
      </c>
      <c r="QLT36" s="9" t="s">
        <v>2066</v>
      </c>
      <c r="QLU36" s="1">
        <v>65</v>
      </c>
      <c r="QLV36" s="619" t="s">
        <v>2063</v>
      </c>
      <c r="QLW36" s="148" t="s">
        <v>2064</v>
      </c>
      <c r="QLX36" s="9" t="s">
        <v>2065</v>
      </c>
      <c r="QLY36" s="619">
        <v>1</v>
      </c>
      <c r="QLZ36" s="4">
        <v>1000000</v>
      </c>
      <c r="QMA36" s="4">
        <f>QLZ36*QLY36</f>
        <v>1000000</v>
      </c>
      <c r="QMB36" s="9" t="s">
        <v>2066</v>
      </c>
      <c r="QMC36" s="1">
        <v>65</v>
      </c>
      <c r="QMD36" s="619" t="s">
        <v>2063</v>
      </c>
      <c r="QME36" s="148" t="s">
        <v>2064</v>
      </c>
      <c r="QMF36" s="9" t="s">
        <v>2065</v>
      </c>
      <c r="QMG36" s="619">
        <v>1</v>
      </c>
      <c r="QMH36" s="4">
        <v>1000000</v>
      </c>
      <c r="QMI36" s="4">
        <f>QMH36*QMG36</f>
        <v>1000000</v>
      </c>
      <c r="QMJ36" s="9" t="s">
        <v>2066</v>
      </c>
      <c r="QMK36" s="1">
        <v>65</v>
      </c>
      <c r="QML36" s="619" t="s">
        <v>2063</v>
      </c>
      <c r="QMM36" s="148" t="s">
        <v>2064</v>
      </c>
      <c r="QMN36" s="9" t="s">
        <v>2065</v>
      </c>
      <c r="QMO36" s="619">
        <v>1</v>
      </c>
      <c r="QMP36" s="4">
        <v>1000000</v>
      </c>
      <c r="QMQ36" s="4">
        <f>QMP36*QMO36</f>
        <v>1000000</v>
      </c>
      <c r="QMR36" s="9" t="s">
        <v>2066</v>
      </c>
      <c r="QMS36" s="1">
        <v>65</v>
      </c>
      <c r="QMT36" s="619" t="s">
        <v>2063</v>
      </c>
      <c r="QMU36" s="148" t="s">
        <v>2064</v>
      </c>
      <c r="QMV36" s="9" t="s">
        <v>2065</v>
      </c>
      <c r="QMW36" s="619">
        <v>1</v>
      </c>
      <c r="QMX36" s="4">
        <v>1000000</v>
      </c>
      <c r="QMY36" s="4">
        <f>QMX36*QMW36</f>
        <v>1000000</v>
      </c>
      <c r="QMZ36" s="9" t="s">
        <v>2066</v>
      </c>
      <c r="QNA36" s="1">
        <v>65</v>
      </c>
      <c r="QNB36" s="619" t="s">
        <v>2063</v>
      </c>
      <c r="QNC36" s="148" t="s">
        <v>2064</v>
      </c>
      <c r="QND36" s="9" t="s">
        <v>2065</v>
      </c>
      <c r="QNE36" s="619">
        <v>1</v>
      </c>
      <c r="QNF36" s="4">
        <v>1000000</v>
      </c>
      <c r="QNG36" s="4">
        <f>QNF36*QNE36</f>
        <v>1000000</v>
      </c>
      <c r="QNH36" s="9" t="s">
        <v>2066</v>
      </c>
      <c r="QNI36" s="1">
        <v>65</v>
      </c>
      <c r="QNJ36" s="619" t="s">
        <v>2063</v>
      </c>
      <c r="QNK36" s="148" t="s">
        <v>2064</v>
      </c>
      <c r="QNL36" s="9" t="s">
        <v>2065</v>
      </c>
      <c r="QNM36" s="619">
        <v>1</v>
      </c>
      <c r="QNN36" s="4">
        <v>1000000</v>
      </c>
      <c r="QNO36" s="4">
        <f>QNN36*QNM36</f>
        <v>1000000</v>
      </c>
      <c r="QNP36" s="9" t="s">
        <v>2066</v>
      </c>
      <c r="QNQ36" s="1">
        <v>65</v>
      </c>
      <c r="QNR36" s="619" t="s">
        <v>2063</v>
      </c>
      <c r="QNS36" s="148" t="s">
        <v>2064</v>
      </c>
      <c r="QNT36" s="9" t="s">
        <v>2065</v>
      </c>
      <c r="QNU36" s="619">
        <v>1</v>
      </c>
      <c r="QNV36" s="4">
        <v>1000000</v>
      </c>
      <c r="QNW36" s="4">
        <f>QNV36*QNU36</f>
        <v>1000000</v>
      </c>
      <c r="QNX36" s="9" t="s">
        <v>2066</v>
      </c>
      <c r="QNY36" s="1">
        <v>65</v>
      </c>
      <c r="QNZ36" s="619" t="s">
        <v>2063</v>
      </c>
      <c r="QOA36" s="148" t="s">
        <v>2064</v>
      </c>
      <c r="QOB36" s="9" t="s">
        <v>2065</v>
      </c>
      <c r="QOC36" s="619">
        <v>1</v>
      </c>
      <c r="QOD36" s="4">
        <v>1000000</v>
      </c>
      <c r="QOE36" s="4">
        <f>QOD36*QOC36</f>
        <v>1000000</v>
      </c>
      <c r="QOF36" s="9" t="s">
        <v>2066</v>
      </c>
      <c r="QOG36" s="1">
        <v>65</v>
      </c>
      <c r="QOH36" s="619" t="s">
        <v>2063</v>
      </c>
      <c r="QOI36" s="148" t="s">
        <v>2064</v>
      </c>
      <c r="QOJ36" s="9" t="s">
        <v>2065</v>
      </c>
      <c r="QOK36" s="619">
        <v>1</v>
      </c>
      <c r="QOL36" s="4">
        <v>1000000</v>
      </c>
      <c r="QOM36" s="4">
        <f>QOL36*QOK36</f>
        <v>1000000</v>
      </c>
      <c r="QON36" s="9" t="s">
        <v>2066</v>
      </c>
      <c r="QOO36" s="1">
        <v>65</v>
      </c>
      <c r="QOP36" s="619" t="s">
        <v>2063</v>
      </c>
      <c r="QOQ36" s="148" t="s">
        <v>2064</v>
      </c>
      <c r="QOR36" s="9" t="s">
        <v>2065</v>
      </c>
      <c r="QOS36" s="619">
        <v>1</v>
      </c>
      <c r="QOT36" s="4">
        <v>1000000</v>
      </c>
      <c r="QOU36" s="4">
        <f>QOT36*QOS36</f>
        <v>1000000</v>
      </c>
      <c r="QOV36" s="9" t="s">
        <v>2066</v>
      </c>
      <c r="QOW36" s="1">
        <v>65</v>
      </c>
      <c r="QOX36" s="619" t="s">
        <v>2063</v>
      </c>
      <c r="QOY36" s="148" t="s">
        <v>2064</v>
      </c>
      <c r="QOZ36" s="9" t="s">
        <v>2065</v>
      </c>
      <c r="QPA36" s="619">
        <v>1</v>
      </c>
      <c r="QPB36" s="4">
        <v>1000000</v>
      </c>
      <c r="QPC36" s="4">
        <f>QPB36*QPA36</f>
        <v>1000000</v>
      </c>
      <c r="QPD36" s="9" t="s">
        <v>2066</v>
      </c>
      <c r="QPE36" s="1">
        <v>65</v>
      </c>
      <c r="QPF36" s="619" t="s">
        <v>2063</v>
      </c>
      <c r="QPG36" s="148" t="s">
        <v>2064</v>
      </c>
      <c r="QPH36" s="9" t="s">
        <v>2065</v>
      </c>
      <c r="QPI36" s="619">
        <v>1</v>
      </c>
      <c r="QPJ36" s="4">
        <v>1000000</v>
      </c>
      <c r="QPK36" s="4">
        <f>QPJ36*QPI36</f>
        <v>1000000</v>
      </c>
      <c r="QPL36" s="9" t="s">
        <v>2066</v>
      </c>
      <c r="QPM36" s="1">
        <v>65</v>
      </c>
      <c r="QPN36" s="619" t="s">
        <v>2063</v>
      </c>
      <c r="QPO36" s="148" t="s">
        <v>2064</v>
      </c>
      <c r="QPP36" s="9" t="s">
        <v>2065</v>
      </c>
      <c r="QPQ36" s="619">
        <v>1</v>
      </c>
      <c r="QPR36" s="4">
        <v>1000000</v>
      </c>
      <c r="QPS36" s="4">
        <f>QPR36*QPQ36</f>
        <v>1000000</v>
      </c>
      <c r="QPT36" s="9" t="s">
        <v>2066</v>
      </c>
      <c r="QPU36" s="1">
        <v>65</v>
      </c>
      <c r="QPV36" s="619" t="s">
        <v>2063</v>
      </c>
      <c r="QPW36" s="148" t="s">
        <v>2064</v>
      </c>
      <c r="QPX36" s="9" t="s">
        <v>2065</v>
      </c>
      <c r="QPY36" s="619">
        <v>1</v>
      </c>
      <c r="QPZ36" s="4">
        <v>1000000</v>
      </c>
      <c r="QQA36" s="4">
        <f>QPZ36*QPY36</f>
        <v>1000000</v>
      </c>
      <c r="QQB36" s="9" t="s">
        <v>2066</v>
      </c>
      <c r="QQC36" s="1">
        <v>65</v>
      </c>
      <c r="QQD36" s="619" t="s">
        <v>2063</v>
      </c>
      <c r="QQE36" s="148" t="s">
        <v>2064</v>
      </c>
      <c r="QQF36" s="9" t="s">
        <v>2065</v>
      </c>
      <c r="QQG36" s="619">
        <v>1</v>
      </c>
      <c r="QQH36" s="4">
        <v>1000000</v>
      </c>
      <c r="QQI36" s="4">
        <f>QQH36*QQG36</f>
        <v>1000000</v>
      </c>
      <c r="QQJ36" s="9" t="s">
        <v>2066</v>
      </c>
      <c r="QQK36" s="1">
        <v>65</v>
      </c>
      <c r="QQL36" s="619" t="s">
        <v>2063</v>
      </c>
      <c r="QQM36" s="148" t="s">
        <v>2064</v>
      </c>
      <c r="QQN36" s="9" t="s">
        <v>2065</v>
      </c>
      <c r="QQO36" s="619">
        <v>1</v>
      </c>
      <c r="QQP36" s="4">
        <v>1000000</v>
      </c>
      <c r="QQQ36" s="4">
        <f>QQP36*QQO36</f>
        <v>1000000</v>
      </c>
      <c r="QQR36" s="9" t="s">
        <v>2066</v>
      </c>
      <c r="QQS36" s="1">
        <v>65</v>
      </c>
      <c r="QQT36" s="619" t="s">
        <v>2063</v>
      </c>
      <c r="QQU36" s="148" t="s">
        <v>2064</v>
      </c>
      <c r="QQV36" s="9" t="s">
        <v>2065</v>
      </c>
      <c r="QQW36" s="619">
        <v>1</v>
      </c>
      <c r="QQX36" s="4">
        <v>1000000</v>
      </c>
      <c r="QQY36" s="4">
        <f>QQX36*QQW36</f>
        <v>1000000</v>
      </c>
      <c r="QQZ36" s="9" t="s">
        <v>2066</v>
      </c>
      <c r="QRA36" s="1">
        <v>65</v>
      </c>
      <c r="QRB36" s="619" t="s">
        <v>2063</v>
      </c>
      <c r="QRC36" s="148" t="s">
        <v>2064</v>
      </c>
      <c r="QRD36" s="9" t="s">
        <v>2065</v>
      </c>
      <c r="QRE36" s="619">
        <v>1</v>
      </c>
      <c r="QRF36" s="4">
        <v>1000000</v>
      </c>
      <c r="QRG36" s="4">
        <f>QRF36*QRE36</f>
        <v>1000000</v>
      </c>
      <c r="QRH36" s="9" t="s">
        <v>2066</v>
      </c>
      <c r="QRI36" s="1">
        <v>65</v>
      </c>
      <c r="QRJ36" s="619" t="s">
        <v>2063</v>
      </c>
      <c r="QRK36" s="148" t="s">
        <v>2064</v>
      </c>
      <c r="QRL36" s="9" t="s">
        <v>2065</v>
      </c>
      <c r="QRM36" s="619">
        <v>1</v>
      </c>
      <c r="QRN36" s="4">
        <v>1000000</v>
      </c>
      <c r="QRO36" s="4">
        <f>QRN36*QRM36</f>
        <v>1000000</v>
      </c>
      <c r="QRP36" s="9" t="s">
        <v>2066</v>
      </c>
      <c r="QRQ36" s="1">
        <v>65</v>
      </c>
      <c r="QRR36" s="619" t="s">
        <v>2063</v>
      </c>
      <c r="QRS36" s="148" t="s">
        <v>2064</v>
      </c>
      <c r="QRT36" s="9" t="s">
        <v>2065</v>
      </c>
      <c r="QRU36" s="619">
        <v>1</v>
      </c>
      <c r="QRV36" s="4">
        <v>1000000</v>
      </c>
      <c r="QRW36" s="4">
        <f>QRV36*QRU36</f>
        <v>1000000</v>
      </c>
      <c r="QRX36" s="9" t="s">
        <v>2066</v>
      </c>
      <c r="QRY36" s="1">
        <v>65</v>
      </c>
      <c r="QRZ36" s="619" t="s">
        <v>2063</v>
      </c>
      <c r="QSA36" s="148" t="s">
        <v>2064</v>
      </c>
      <c r="QSB36" s="9" t="s">
        <v>2065</v>
      </c>
      <c r="QSC36" s="619">
        <v>1</v>
      </c>
      <c r="QSD36" s="4">
        <v>1000000</v>
      </c>
      <c r="QSE36" s="4">
        <f>QSD36*QSC36</f>
        <v>1000000</v>
      </c>
      <c r="QSF36" s="9" t="s">
        <v>2066</v>
      </c>
      <c r="QSG36" s="1">
        <v>65</v>
      </c>
      <c r="QSH36" s="619" t="s">
        <v>2063</v>
      </c>
      <c r="QSI36" s="148" t="s">
        <v>2064</v>
      </c>
      <c r="QSJ36" s="9" t="s">
        <v>2065</v>
      </c>
      <c r="QSK36" s="619">
        <v>1</v>
      </c>
      <c r="QSL36" s="4">
        <v>1000000</v>
      </c>
      <c r="QSM36" s="4">
        <f>QSL36*QSK36</f>
        <v>1000000</v>
      </c>
      <c r="QSN36" s="9" t="s">
        <v>2066</v>
      </c>
      <c r="QSO36" s="1">
        <v>65</v>
      </c>
      <c r="QSP36" s="619" t="s">
        <v>2063</v>
      </c>
      <c r="QSQ36" s="148" t="s">
        <v>2064</v>
      </c>
      <c r="QSR36" s="9" t="s">
        <v>2065</v>
      </c>
      <c r="QSS36" s="619">
        <v>1</v>
      </c>
      <c r="QST36" s="4">
        <v>1000000</v>
      </c>
      <c r="QSU36" s="4">
        <f>QST36*QSS36</f>
        <v>1000000</v>
      </c>
      <c r="QSV36" s="9" t="s">
        <v>2066</v>
      </c>
      <c r="QSW36" s="1">
        <v>65</v>
      </c>
      <c r="QSX36" s="619" t="s">
        <v>2063</v>
      </c>
      <c r="QSY36" s="148" t="s">
        <v>2064</v>
      </c>
      <c r="QSZ36" s="9" t="s">
        <v>2065</v>
      </c>
      <c r="QTA36" s="619">
        <v>1</v>
      </c>
      <c r="QTB36" s="4">
        <v>1000000</v>
      </c>
      <c r="QTC36" s="4">
        <f>QTB36*QTA36</f>
        <v>1000000</v>
      </c>
      <c r="QTD36" s="9" t="s">
        <v>2066</v>
      </c>
      <c r="QTE36" s="1">
        <v>65</v>
      </c>
      <c r="QTF36" s="619" t="s">
        <v>2063</v>
      </c>
      <c r="QTG36" s="148" t="s">
        <v>2064</v>
      </c>
      <c r="QTH36" s="9" t="s">
        <v>2065</v>
      </c>
      <c r="QTI36" s="619">
        <v>1</v>
      </c>
      <c r="QTJ36" s="4">
        <v>1000000</v>
      </c>
      <c r="QTK36" s="4">
        <f>QTJ36*QTI36</f>
        <v>1000000</v>
      </c>
      <c r="QTL36" s="9" t="s">
        <v>2066</v>
      </c>
      <c r="QTM36" s="1">
        <v>65</v>
      </c>
      <c r="QTN36" s="619" t="s">
        <v>2063</v>
      </c>
      <c r="QTO36" s="148" t="s">
        <v>2064</v>
      </c>
      <c r="QTP36" s="9" t="s">
        <v>2065</v>
      </c>
      <c r="QTQ36" s="619">
        <v>1</v>
      </c>
      <c r="QTR36" s="4">
        <v>1000000</v>
      </c>
      <c r="QTS36" s="4">
        <f>QTR36*QTQ36</f>
        <v>1000000</v>
      </c>
      <c r="QTT36" s="9" t="s">
        <v>2066</v>
      </c>
      <c r="QTU36" s="1">
        <v>65</v>
      </c>
      <c r="QTV36" s="619" t="s">
        <v>2063</v>
      </c>
      <c r="QTW36" s="148" t="s">
        <v>2064</v>
      </c>
      <c r="QTX36" s="9" t="s">
        <v>2065</v>
      </c>
      <c r="QTY36" s="619">
        <v>1</v>
      </c>
      <c r="QTZ36" s="4">
        <v>1000000</v>
      </c>
      <c r="QUA36" s="4">
        <f>QTZ36*QTY36</f>
        <v>1000000</v>
      </c>
      <c r="QUB36" s="9" t="s">
        <v>2066</v>
      </c>
      <c r="QUC36" s="1">
        <v>65</v>
      </c>
      <c r="QUD36" s="619" t="s">
        <v>2063</v>
      </c>
      <c r="QUE36" s="148" t="s">
        <v>2064</v>
      </c>
      <c r="QUF36" s="9" t="s">
        <v>2065</v>
      </c>
      <c r="QUG36" s="619">
        <v>1</v>
      </c>
      <c r="QUH36" s="4">
        <v>1000000</v>
      </c>
      <c r="QUI36" s="4">
        <f>QUH36*QUG36</f>
        <v>1000000</v>
      </c>
      <c r="QUJ36" s="9" t="s">
        <v>2066</v>
      </c>
      <c r="QUK36" s="1">
        <v>65</v>
      </c>
      <c r="QUL36" s="619" t="s">
        <v>2063</v>
      </c>
      <c r="QUM36" s="148" t="s">
        <v>2064</v>
      </c>
      <c r="QUN36" s="9" t="s">
        <v>2065</v>
      </c>
      <c r="QUO36" s="619">
        <v>1</v>
      </c>
      <c r="QUP36" s="4">
        <v>1000000</v>
      </c>
      <c r="QUQ36" s="4">
        <f>QUP36*QUO36</f>
        <v>1000000</v>
      </c>
      <c r="QUR36" s="9" t="s">
        <v>2066</v>
      </c>
      <c r="QUS36" s="1">
        <v>65</v>
      </c>
      <c r="QUT36" s="619" t="s">
        <v>2063</v>
      </c>
      <c r="QUU36" s="148" t="s">
        <v>2064</v>
      </c>
      <c r="QUV36" s="9" t="s">
        <v>2065</v>
      </c>
      <c r="QUW36" s="619">
        <v>1</v>
      </c>
      <c r="QUX36" s="4">
        <v>1000000</v>
      </c>
      <c r="QUY36" s="4">
        <f>QUX36*QUW36</f>
        <v>1000000</v>
      </c>
      <c r="QUZ36" s="9" t="s">
        <v>2066</v>
      </c>
      <c r="QVA36" s="1">
        <v>65</v>
      </c>
      <c r="QVB36" s="619" t="s">
        <v>2063</v>
      </c>
      <c r="QVC36" s="148" t="s">
        <v>2064</v>
      </c>
      <c r="QVD36" s="9" t="s">
        <v>2065</v>
      </c>
      <c r="QVE36" s="619">
        <v>1</v>
      </c>
      <c r="QVF36" s="4">
        <v>1000000</v>
      </c>
      <c r="QVG36" s="4">
        <f>QVF36*QVE36</f>
        <v>1000000</v>
      </c>
      <c r="QVH36" s="9" t="s">
        <v>2066</v>
      </c>
      <c r="QVI36" s="1">
        <v>65</v>
      </c>
      <c r="QVJ36" s="619" t="s">
        <v>2063</v>
      </c>
      <c r="QVK36" s="148" t="s">
        <v>2064</v>
      </c>
      <c r="QVL36" s="9" t="s">
        <v>2065</v>
      </c>
      <c r="QVM36" s="619">
        <v>1</v>
      </c>
      <c r="QVN36" s="4">
        <v>1000000</v>
      </c>
      <c r="QVO36" s="4">
        <f>QVN36*QVM36</f>
        <v>1000000</v>
      </c>
      <c r="QVP36" s="9" t="s">
        <v>2066</v>
      </c>
      <c r="QVQ36" s="1">
        <v>65</v>
      </c>
      <c r="QVR36" s="619" t="s">
        <v>2063</v>
      </c>
      <c r="QVS36" s="148" t="s">
        <v>2064</v>
      </c>
      <c r="QVT36" s="9" t="s">
        <v>2065</v>
      </c>
      <c r="QVU36" s="619">
        <v>1</v>
      </c>
      <c r="QVV36" s="4">
        <v>1000000</v>
      </c>
      <c r="QVW36" s="4">
        <f>QVV36*QVU36</f>
        <v>1000000</v>
      </c>
      <c r="QVX36" s="9" t="s">
        <v>2066</v>
      </c>
      <c r="QVY36" s="1">
        <v>65</v>
      </c>
      <c r="QVZ36" s="619" t="s">
        <v>2063</v>
      </c>
      <c r="QWA36" s="148" t="s">
        <v>2064</v>
      </c>
      <c r="QWB36" s="9" t="s">
        <v>2065</v>
      </c>
      <c r="QWC36" s="619">
        <v>1</v>
      </c>
      <c r="QWD36" s="4">
        <v>1000000</v>
      </c>
      <c r="QWE36" s="4">
        <f>QWD36*QWC36</f>
        <v>1000000</v>
      </c>
      <c r="QWF36" s="9" t="s">
        <v>2066</v>
      </c>
      <c r="QWG36" s="1">
        <v>65</v>
      </c>
      <c r="QWH36" s="619" t="s">
        <v>2063</v>
      </c>
      <c r="QWI36" s="148" t="s">
        <v>2064</v>
      </c>
      <c r="QWJ36" s="9" t="s">
        <v>2065</v>
      </c>
      <c r="QWK36" s="619">
        <v>1</v>
      </c>
      <c r="QWL36" s="4">
        <v>1000000</v>
      </c>
      <c r="QWM36" s="4">
        <f>QWL36*QWK36</f>
        <v>1000000</v>
      </c>
      <c r="QWN36" s="9" t="s">
        <v>2066</v>
      </c>
      <c r="QWO36" s="1">
        <v>65</v>
      </c>
      <c r="QWP36" s="619" t="s">
        <v>2063</v>
      </c>
      <c r="QWQ36" s="148" t="s">
        <v>2064</v>
      </c>
      <c r="QWR36" s="9" t="s">
        <v>2065</v>
      </c>
      <c r="QWS36" s="619">
        <v>1</v>
      </c>
      <c r="QWT36" s="4">
        <v>1000000</v>
      </c>
      <c r="QWU36" s="4">
        <f>QWT36*QWS36</f>
        <v>1000000</v>
      </c>
      <c r="QWV36" s="9" t="s">
        <v>2066</v>
      </c>
      <c r="QWW36" s="1">
        <v>65</v>
      </c>
      <c r="QWX36" s="619" t="s">
        <v>2063</v>
      </c>
      <c r="QWY36" s="148" t="s">
        <v>2064</v>
      </c>
      <c r="QWZ36" s="9" t="s">
        <v>2065</v>
      </c>
      <c r="QXA36" s="619">
        <v>1</v>
      </c>
      <c r="QXB36" s="4">
        <v>1000000</v>
      </c>
      <c r="QXC36" s="4">
        <f>QXB36*QXA36</f>
        <v>1000000</v>
      </c>
      <c r="QXD36" s="9" t="s">
        <v>2066</v>
      </c>
      <c r="QXE36" s="1">
        <v>65</v>
      </c>
      <c r="QXF36" s="619" t="s">
        <v>2063</v>
      </c>
      <c r="QXG36" s="148" t="s">
        <v>2064</v>
      </c>
      <c r="QXH36" s="9" t="s">
        <v>2065</v>
      </c>
      <c r="QXI36" s="619">
        <v>1</v>
      </c>
      <c r="QXJ36" s="4">
        <v>1000000</v>
      </c>
      <c r="QXK36" s="4">
        <f>QXJ36*QXI36</f>
        <v>1000000</v>
      </c>
      <c r="QXL36" s="9" t="s">
        <v>2066</v>
      </c>
      <c r="QXM36" s="1">
        <v>65</v>
      </c>
      <c r="QXN36" s="619" t="s">
        <v>2063</v>
      </c>
      <c r="QXO36" s="148" t="s">
        <v>2064</v>
      </c>
      <c r="QXP36" s="9" t="s">
        <v>2065</v>
      </c>
      <c r="QXQ36" s="619">
        <v>1</v>
      </c>
      <c r="QXR36" s="4">
        <v>1000000</v>
      </c>
      <c r="QXS36" s="4">
        <f>QXR36*QXQ36</f>
        <v>1000000</v>
      </c>
      <c r="QXT36" s="9" t="s">
        <v>2066</v>
      </c>
      <c r="QXU36" s="1">
        <v>65</v>
      </c>
      <c r="QXV36" s="619" t="s">
        <v>2063</v>
      </c>
      <c r="QXW36" s="148" t="s">
        <v>2064</v>
      </c>
      <c r="QXX36" s="9" t="s">
        <v>2065</v>
      </c>
      <c r="QXY36" s="619">
        <v>1</v>
      </c>
      <c r="QXZ36" s="4">
        <v>1000000</v>
      </c>
      <c r="QYA36" s="4">
        <f>QXZ36*QXY36</f>
        <v>1000000</v>
      </c>
      <c r="QYB36" s="9" t="s">
        <v>2066</v>
      </c>
      <c r="QYC36" s="1">
        <v>65</v>
      </c>
      <c r="QYD36" s="619" t="s">
        <v>2063</v>
      </c>
      <c r="QYE36" s="148" t="s">
        <v>2064</v>
      </c>
      <c r="QYF36" s="9" t="s">
        <v>2065</v>
      </c>
      <c r="QYG36" s="619">
        <v>1</v>
      </c>
      <c r="QYH36" s="4">
        <v>1000000</v>
      </c>
      <c r="QYI36" s="4">
        <f>QYH36*QYG36</f>
        <v>1000000</v>
      </c>
      <c r="QYJ36" s="9" t="s">
        <v>2066</v>
      </c>
      <c r="QYK36" s="1">
        <v>65</v>
      </c>
      <c r="QYL36" s="619" t="s">
        <v>2063</v>
      </c>
      <c r="QYM36" s="148" t="s">
        <v>2064</v>
      </c>
      <c r="QYN36" s="9" t="s">
        <v>2065</v>
      </c>
      <c r="QYO36" s="619">
        <v>1</v>
      </c>
      <c r="QYP36" s="4">
        <v>1000000</v>
      </c>
      <c r="QYQ36" s="4">
        <f>QYP36*QYO36</f>
        <v>1000000</v>
      </c>
      <c r="QYR36" s="9" t="s">
        <v>2066</v>
      </c>
      <c r="QYS36" s="1">
        <v>65</v>
      </c>
      <c r="QYT36" s="619" t="s">
        <v>2063</v>
      </c>
      <c r="QYU36" s="148" t="s">
        <v>2064</v>
      </c>
      <c r="QYV36" s="9" t="s">
        <v>2065</v>
      </c>
      <c r="QYW36" s="619">
        <v>1</v>
      </c>
      <c r="QYX36" s="4">
        <v>1000000</v>
      </c>
      <c r="QYY36" s="4">
        <f>QYX36*QYW36</f>
        <v>1000000</v>
      </c>
      <c r="QYZ36" s="9" t="s">
        <v>2066</v>
      </c>
      <c r="QZA36" s="1">
        <v>65</v>
      </c>
      <c r="QZB36" s="619" t="s">
        <v>2063</v>
      </c>
      <c r="QZC36" s="148" t="s">
        <v>2064</v>
      </c>
      <c r="QZD36" s="9" t="s">
        <v>2065</v>
      </c>
      <c r="QZE36" s="619">
        <v>1</v>
      </c>
      <c r="QZF36" s="4">
        <v>1000000</v>
      </c>
      <c r="QZG36" s="4">
        <f>QZF36*QZE36</f>
        <v>1000000</v>
      </c>
      <c r="QZH36" s="9" t="s">
        <v>2066</v>
      </c>
      <c r="QZI36" s="1">
        <v>65</v>
      </c>
      <c r="QZJ36" s="619" t="s">
        <v>2063</v>
      </c>
      <c r="QZK36" s="148" t="s">
        <v>2064</v>
      </c>
      <c r="QZL36" s="9" t="s">
        <v>2065</v>
      </c>
      <c r="QZM36" s="619">
        <v>1</v>
      </c>
      <c r="QZN36" s="4">
        <v>1000000</v>
      </c>
      <c r="QZO36" s="4">
        <f>QZN36*QZM36</f>
        <v>1000000</v>
      </c>
      <c r="QZP36" s="9" t="s">
        <v>2066</v>
      </c>
      <c r="QZQ36" s="1">
        <v>65</v>
      </c>
      <c r="QZR36" s="619" t="s">
        <v>2063</v>
      </c>
      <c r="QZS36" s="148" t="s">
        <v>2064</v>
      </c>
      <c r="QZT36" s="9" t="s">
        <v>2065</v>
      </c>
      <c r="QZU36" s="619">
        <v>1</v>
      </c>
      <c r="QZV36" s="4">
        <v>1000000</v>
      </c>
      <c r="QZW36" s="4">
        <f>QZV36*QZU36</f>
        <v>1000000</v>
      </c>
      <c r="QZX36" s="9" t="s">
        <v>2066</v>
      </c>
      <c r="QZY36" s="1">
        <v>65</v>
      </c>
      <c r="QZZ36" s="619" t="s">
        <v>2063</v>
      </c>
      <c r="RAA36" s="148" t="s">
        <v>2064</v>
      </c>
      <c r="RAB36" s="9" t="s">
        <v>2065</v>
      </c>
      <c r="RAC36" s="619">
        <v>1</v>
      </c>
      <c r="RAD36" s="4">
        <v>1000000</v>
      </c>
      <c r="RAE36" s="4">
        <f>RAD36*RAC36</f>
        <v>1000000</v>
      </c>
      <c r="RAF36" s="9" t="s">
        <v>2066</v>
      </c>
      <c r="RAG36" s="1">
        <v>65</v>
      </c>
      <c r="RAH36" s="619" t="s">
        <v>2063</v>
      </c>
      <c r="RAI36" s="148" t="s">
        <v>2064</v>
      </c>
      <c r="RAJ36" s="9" t="s">
        <v>2065</v>
      </c>
      <c r="RAK36" s="619">
        <v>1</v>
      </c>
      <c r="RAL36" s="4">
        <v>1000000</v>
      </c>
      <c r="RAM36" s="4">
        <f>RAL36*RAK36</f>
        <v>1000000</v>
      </c>
      <c r="RAN36" s="9" t="s">
        <v>2066</v>
      </c>
      <c r="RAO36" s="1">
        <v>65</v>
      </c>
      <c r="RAP36" s="619" t="s">
        <v>2063</v>
      </c>
      <c r="RAQ36" s="148" t="s">
        <v>2064</v>
      </c>
      <c r="RAR36" s="9" t="s">
        <v>2065</v>
      </c>
      <c r="RAS36" s="619">
        <v>1</v>
      </c>
      <c r="RAT36" s="4">
        <v>1000000</v>
      </c>
      <c r="RAU36" s="4">
        <f>RAT36*RAS36</f>
        <v>1000000</v>
      </c>
      <c r="RAV36" s="9" t="s">
        <v>2066</v>
      </c>
      <c r="RAW36" s="1">
        <v>65</v>
      </c>
      <c r="RAX36" s="619" t="s">
        <v>2063</v>
      </c>
      <c r="RAY36" s="148" t="s">
        <v>2064</v>
      </c>
      <c r="RAZ36" s="9" t="s">
        <v>2065</v>
      </c>
      <c r="RBA36" s="619">
        <v>1</v>
      </c>
      <c r="RBB36" s="4">
        <v>1000000</v>
      </c>
      <c r="RBC36" s="4">
        <f>RBB36*RBA36</f>
        <v>1000000</v>
      </c>
      <c r="RBD36" s="9" t="s">
        <v>2066</v>
      </c>
      <c r="RBE36" s="1">
        <v>65</v>
      </c>
      <c r="RBF36" s="619" t="s">
        <v>2063</v>
      </c>
      <c r="RBG36" s="148" t="s">
        <v>2064</v>
      </c>
      <c r="RBH36" s="9" t="s">
        <v>2065</v>
      </c>
      <c r="RBI36" s="619">
        <v>1</v>
      </c>
      <c r="RBJ36" s="4">
        <v>1000000</v>
      </c>
      <c r="RBK36" s="4">
        <f>RBJ36*RBI36</f>
        <v>1000000</v>
      </c>
      <c r="RBL36" s="9" t="s">
        <v>2066</v>
      </c>
      <c r="RBM36" s="1">
        <v>65</v>
      </c>
      <c r="RBN36" s="619" t="s">
        <v>2063</v>
      </c>
      <c r="RBO36" s="148" t="s">
        <v>2064</v>
      </c>
      <c r="RBP36" s="9" t="s">
        <v>2065</v>
      </c>
      <c r="RBQ36" s="619">
        <v>1</v>
      </c>
      <c r="RBR36" s="4">
        <v>1000000</v>
      </c>
      <c r="RBS36" s="4">
        <f>RBR36*RBQ36</f>
        <v>1000000</v>
      </c>
      <c r="RBT36" s="9" t="s">
        <v>2066</v>
      </c>
      <c r="RBU36" s="1">
        <v>65</v>
      </c>
      <c r="RBV36" s="619" t="s">
        <v>2063</v>
      </c>
      <c r="RBW36" s="148" t="s">
        <v>2064</v>
      </c>
      <c r="RBX36" s="9" t="s">
        <v>2065</v>
      </c>
      <c r="RBY36" s="619">
        <v>1</v>
      </c>
      <c r="RBZ36" s="4">
        <v>1000000</v>
      </c>
      <c r="RCA36" s="4">
        <f>RBZ36*RBY36</f>
        <v>1000000</v>
      </c>
      <c r="RCB36" s="9" t="s">
        <v>2066</v>
      </c>
      <c r="RCC36" s="1">
        <v>65</v>
      </c>
      <c r="RCD36" s="619" t="s">
        <v>2063</v>
      </c>
      <c r="RCE36" s="148" t="s">
        <v>2064</v>
      </c>
      <c r="RCF36" s="9" t="s">
        <v>2065</v>
      </c>
      <c r="RCG36" s="619">
        <v>1</v>
      </c>
      <c r="RCH36" s="4">
        <v>1000000</v>
      </c>
      <c r="RCI36" s="4">
        <f>RCH36*RCG36</f>
        <v>1000000</v>
      </c>
      <c r="RCJ36" s="9" t="s">
        <v>2066</v>
      </c>
      <c r="RCK36" s="1">
        <v>65</v>
      </c>
      <c r="RCL36" s="619" t="s">
        <v>2063</v>
      </c>
      <c r="RCM36" s="148" t="s">
        <v>2064</v>
      </c>
      <c r="RCN36" s="9" t="s">
        <v>2065</v>
      </c>
      <c r="RCO36" s="619">
        <v>1</v>
      </c>
      <c r="RCP36" s="4">
        <v>1000000</v>
      </c>
      <c r="RCQ36" s="4">
        <f>RCP36*RCO36</f>
        <v>1000000</v>
      </c>
      <c r="RCR36" s="9" t="s">
        <v>2066</v>
      </c>
      <c r="RCS36" s="1">
        <v>65</v>
      </c>
      <c r="RCT36" s="619" t="s">
        <v>2063</v>
      </c>
      <c r="RCU36" s="148" t="s">
        <v>2064</v>
      </c>
      <c r="RCV36" s="9" t="s">
        <v>2065</v>
      </c>
      <c r="RCW36" s="619">
        <v>1</v>
      </c>
      <c r="RCX36" s="4">
        <v>1000000</v>
      </c>
      <c r="RCY36" s="4">
        <f>RCX36*RCW36</f>
        <v>1000000</v>
      </c>
      <c r="RCZ36" s="9" t="s">
        <v>2066</v>
      </c>
      <c r="RDA36" s="1">
        <v>65</v>
      </c>
      <c r="RDB36" s="619" t="s">
        <v>2063</v>
      </c>
      <c r="RDC36" s="148" t="s">
        <v>2064</v>
      </c>
      <c r="RDD36" s="9" t="s">
        <v>2065</v>
      </c>
      <c r="RDE36" s="619">
        <v>1</v>
      </c>
      <c r="RDF36" s="4">
        <v>1000000</v>
      </c>
      <c r="RDG36" s="4">
        <f>RDF36*RDE36</f>
        <v>1000000</v>
      </c>
      <c r="RDH36" s="9" t="s">
        <v>2066</v>
      </c>
      <c r="RDI36" s="1">
        <v>65</v>
      </c>
      <c r="RDJ36" s="619" t="s">
        <v>2063</v>
      </c>
      <c r="RDK36" s="148" t="s">
        <v>2064</v>
      </c>
      <c r="RDL36" s="9" t="s">
        <v>2065</v>
      </c>
      <c r="RDM36" s="619">
        <v>1</v>
      </c>
      <c r="RDN36" s="4">
        <v>1000000</v>
      </c>
      <c r="RDO36" s="4">
        <f>RDN36*RDM36</f>
        <v>1000000</v>
      </c>
      <c r="RDP36" s="9" t="s">
        <v>2066</v>
      </c>
      <c r="RDQ36" s="1">
        <v>65</v>
      </c>
      <c r="RDR36" s="619" t="s">
        <v>2063</v>
      </c>
      <c r="RDS36" s="148" t="s">
        <v>2064</v>
      </c>
      <c r="RDT36" s="9" t="s">
        <v>2065</v>
      </c>
      <c r="RDU36" s="619">
        <v>1</v>
      </c>
      <c r="RDV36" s="4">
        <v>1000000</v>
      </c>
      <c r="RDW36" s="4">
        <f>RDV36*RDU36</f>
        <v>1000000</v>
      </c>
      <c r="RDX36" s="9" t="s">
        <v>2066</v>
      </c>
      <c r="RDY36" s="1">
        <v>65</v>
      </c>
      <c r="RDZ36" s="619" t="s">
        <v>2063</v>
      </c>
      <c r="REA36" s="148" t="s">
        <v>2064</v>
      </c>
      <c r="REB36" s="9" t="s">
        <v>2065</v>
      </c>
      <c r="REC36" s="619">
        <v>1</v>
      </c>
      <c r="RED36" s="4">
        <v>1000000</v>
      </c>
      <c r="REE36" s="4">
        <f>RED36*REC36</f>
        <v>1000000</v>
      </c>
      <c r="REF36" s="9" t="s">
        <v>2066</v>
      </c>
      <c r="REG36" s="1">
        <v>65</v>
      </c>
      <c r="REH36" s="619" t="s">
        <v>2063</v>
      </c>
      <c r="REI36" s="148" t="s">
        <v>2064</v>
      </c>
      <c r="REJ36" s="9" t="s">
        <v>2065</v>
      </c>
      <c r="REK36" s="619">
        <v>1</v>
      </c>
      <c r="REL36" s="4">
        <v>1000000</v>
      </c>
      <c r="REM36" s="4">
        <f>REL36*REK36</f>
        <v>1000000</v>
      </c>
      <c r="REN36" s="9" t="s">
        <v>2066</v>
      </c>
      <c r="REO36" s="1">
        <v>65</v>
      </c>
      <c r="REP36" s="619" t="s">
        <v>2063</v>
      </c>
      <c r="REQ36" s="148" t="s">
        <v>2064</v>
      </c>
      <c r="RER36" s="9" t="s">
        <v>2065</v>
      </c>
      <c r="RES36" s="619">
        <v>1</v>
      </c>
      <c r="RET36" s="4">
        <v>1000000</v>
      </c>
      <c r="REU36" s="4">
        <f>RET36*RES36</f>
        <v>1000000</v>
      </c>
      <c r="REV36" s="9" t="s">
        <v>2066</v>
      </c>
      <c r="REW36" s="1">
        <v>65</v>
      </c>
      <c r="REX36" s="619" t="s">
        <v>2063</v>
      </c>
      <c r="REY36" s="148" t="s">
        <v>2064</v>
      </c>
      <c r="REZ36" s="9" t="s">
        <v>2065</v>
      </c>
      <c r="RFA36" s="619">
        <v>1</v>
      </c>
      <c r="RFB36" s="4">
        <v>1000000</v>
      </c>
      <c r="RFC36" s="4">
        <f>RFB36*RFA36</f>
        <v>1000000</v>
      </c>
      <c r="RFD36" s="9" t="s">
        <v>2066</v>
      </c>
      <c r="RFE36" s="1">
        <v>65</v>
      </c>
      <c r="RFF36" s="619" t="s">
        <v>2063</v>
      </c>
      <c r="RFG36" s="148" t="s">
        <v>2064</v>
      </c>
      <c r="RFH36" s="9" t="s">
        <v>2065</v>
      </c>
      <c r="RFI36" s="619">
        <v>1</v>
      </c>
      <c r="RFJ36" s="4">
        <v>1000000</v>
      </c>
      <c r="RFK36" s="4">
        <f>RFJ36*RFI36</f>
        <v>1000000</v>
      </c>
      <c r="RFL36" s="9" t="s">
        <v>2066</v>
      </c>
      <c r="RFM36" s="1">
        <v>65</v>
      </c>
      <c r="RFN36" s="619" t="s">
        <v>2063</v>
      </c>
      <c r="RFO36" s="148" t="s">
        <v>2064</v>
      </c>
      <c r="RFP36" s="9" t="s">
        <v>2065</v>
      </c>
      <c r="RFQ36" s="619">
        <v>1</v>
      </c>
      <c r="RFR36" s="4">
        <v>1000000</v>
      </c>
      <c r="RFS36" s="4">
        <f>RFR36*RFQ36</f>
        <v>1000000</v>
      </c>
      <c r="RFT36" s="9" t="s">
        <v>2066</v>
      </c>
      <c r="RFU36" s="1">
        <v>65</v>
      </c>
      <c r="RFV36" s="619" t="s">
        <v>2063</v>
      </c>
      <c r="RFW36" s="148" t="s">
        <v>2064</v>
      </c>
      <c r="RFX36" s="9" t="s">
        <v>2065</v>
      </c>
      <c r="RFY36" s="619">
        <v>1</v>
      </c>
      <c r="RFZ36" s="4">
        <v>1000000</v>
      </c>
      <c r="RGA36" s="4">
        <f>RFZ36*RFY36</f>
        <v>1000000</v>
      </c>
      <c r="RGB36" s="9" t="s">
        <v>2066</v>
      </c>
      <c r="RGC36" s="1">
        <v>65</v>
      </c>
      <c r="RGD36" s="619" t="s">
        <v>2063</v>
      </c>
      <c r="RGE36" s="148" t="s">
        <v>2064</v>
      </c>
      <c r="RGF36" s="9" t="s">
        <v>2065</v>
      </c>
      <c r="RGG36" s="619">
        <v>1</v>
      </c>
      <c r="RGH36" s="4">
        <v>1000000</v>
      </c>
      <c r="RGI36" s="4">
        <f>RGH36*RGG36</f>
        <v>1000000</v>
      </c>
      <c r="RGJ36" s="9" t="s">
        <v>2066</v>
      </c>
      <c r="RGK36" s="1">
        <v>65</v>
      </c>
      <c r="RGL36" s="619" t="s">
        <v>2063</v>
      </c>
      <c r="RGM36" s="148" t="s">
        <v>2064</v>
      </c>
      <c r="RGN36" s="9" t="s">
        <v>2065</v>
      </c>
      <c r="RGO36" s="619">
        <v>1</v>
      </c>
      <c r="RGP36" s="4">
        <v>1000000</v>
      </c>
      <c r="RGQ36" s="4">
        <f>RGP36*RGO36</f>
        <v>1000000</v>
      </c>
      <c r="RGR36" s="9" t="s">
        <v>2066</v>
      </c>
      <c r="RGS36" s="1">
        <v>65</v>
      </c>
      <c r="RGT36" s="619" t="s">
        <v>2063</v>
      </c>
      <c r="RGU36" s="148" t="s">
        <v>2064</v>
      </c>
      <c r="RGV36" s="9" t="s">
        <v>2065</v>
      </c>
      <c r="RGW36" s="619">
        <v>1</v>
      </c>
      <c r="RGX36" s="4">
        <v>1000000</v>
      </c>
      <c r="RGY36" s="4">
        <f>RGX36*RGW36</f>
        <v>1000000</v>
      </c>
      <c r="RGZ36" s="9" t="s">
        <v>2066</v>
      </c>
      <c r="RHA36" s="1">
        <v>65</v>
      </c>
      <c r="RHB36" s="619" t="s">
        <v>2063</v>
      </c>
      <c r="RHC36" s="148" t="s">
        <v>2064</v>
      </c>
      <c r="RHD36" s="9" t="s">
        <v>2065</v>
      </c>
      <c r="RHE36" s="619">
        <v>1</v>
      </c>
      <c r="RHF36" s="4">
        <v>1000000</v>
      </c>
      <c r="RHG36" s="4">
        <f>RHF36*RHE36</f>
        <v>1000000</v>
      </c>
      <c r="RHH36" s="9" t="s">
        <v>2066</v>
      </c>
      <c r="RHI36" s="1">
        <v>65</v>
      </c>
      <c r="RHJ36" s="619" t="s">
        <v>2063</v>
      </c>
      <c r="RHK36" s="148" t="s">
        <v>2064</v>
      </c>
      <c r="RHL36" s="9" t="s">
        <v>2065</v>
      </c>
      <c r="RHM36" s="619">
        <v>1</v>
      </c>
      <c r="RHN36" s="4">
        <v>1000000</v>
      </c>
      <c r="RHO36" s="4">
        <f>RHN36*RHM36</f>
        <v>1000000</v>
      </c>
      <c r="RHP36" s="9" t="s">
        <v>2066</v>
      </c>
      <c r="RHQ36" s="1">
        <v>65</v>
      </c>
      <c r="RHR36" s="619" t="s">
        <v>2063</v>
      </c>
      <c r="RHS36" s="148" t="s">
        <v>2064</v>
      </c>
      <c r="RHT36" s="9" t="s">
        <v>2065</v>
      </c>
      <c r="RHU36" s="619">
        <v>1</v>
      </c>
      <c r="RHV36" s="4">
        <v>1000000</v>
      </c>
      <c r="RHW36" s="4">
        <f>RHV36*RHU36</f>
        <v>1000000</v>
      </c>
      <c r="RHX36" s="9" t="s">
        <v>2066</v>
      </c>
      <c r="RHY36" s="1">
        <v>65</v>
      </c>
      <c r="RHZ36" s="619" t="s">
        <v>2063</v>
      </c>
      <c r="RIA36" s="148" t="s">
        <v>2064</v>
      </c>
      <c r="RIB36" s="9" t="s">
        <v>2065</v>
      </c>
      <c r="RIC36" s="619">
        <v>1</v>
      </c>
      <c r="RID36" s="4">
        <v>1000000</v>
      </c>
      <c r="RIE36" s="4">
        <f>RID36*RIC36</f>
        <v>1000000</v>
      </c>
      <c r="RIF36" s="9" t="s">
        <v>2066</v>
      </c>
      <c r="RIG36" s="1">
        <v>65</v>
      </c>
      <c r="RIH36" s="619" t="s">
        <v>2063</v>
      </c>
      <c r="RII36" s="148" t="s">
        <v>2064</v>
      </c>
      <c r="RIJ36" s="9" t="s">
        <v>2065</v>
      </c>
      <c r="RIK36" s="619">
        <v>1</v>
      </c>
      <c r="RIL36" s="4">
        <v>1000000</v>
      </c>
      <c r="RIM36" s="4">
        <f>RIL36*RIK36</f>
        <v>1000000</v>
      </c>
      <c r="RIN36" s="9" t="s">
        <v>2066</v>
      </c>
      <c r="RIO36" s="1">
        <v>65</v>
      </c>
      <c r="RIP36" s="619" t="s">
        <v>2063</v>
      </c>
      <c r="RIQ36" s="148" t="s">
        <v>2064</v>
      </c>
      <c r="RIR36" s="9" t="s">
        <v>2065</v>
      </c>
      <c r="RIS36" s="619">
        <v>1</v>
      </c>
      <c r="RIT36" s="4">
        <v>1000000</v>
      </c>
      <c r="RIU36" s="4">
        <f>RIT36*RIS36</f>
        <v>1000000</v>
      </c>
      <c r="RIV36" s="9" t="s">
        <v>2066</v>
      </c>
      <c r="RIW36" s="1">
        <v>65</v>
      </c>
      <c r="RIX36" s="619" t="s">
        <v>2063</v>
      </c>
      <c r="RIY36" s="148" t="s">
        <v>2064</v>
      </c>
      <c r="RIZ36" s="9" t="s">
        <v>2065</v>
      </c>
      <c r="RJA36" s="619">
        <v>1</v>
      </c>
      <c r="RJB36" s="4">
        <v>1000000</v>
      </c>
      <c r="RJC36" s="4">
        <f>RJB36*RJA36</f>
        <v>1000000</v>
      </c>
      <c r="RJD36" s="9" t="s">
        <v>2066</v>
      </c>
      <c r="RJE36" s="1">
        <v>65</v>
      </c>
      <c r="RJF36" s="619" t="s">
        <v>2063</v>
      </c>
      <c r="RJG36" s="148" t="s">
        <v>2064</v>
      </c>
      <c r="RJH36" s="9" t="s">
        <v>2065</v>
      </c>
      <c r="RJI36" s="619">
        <v>1</v>
      </c>
      <c r="RJJ36" s="4">
        <v>1000000</v>
      </c>
      <c r="RJK36" s="4">
        <f>RJJ36*RJI36</f>
        <v>1000000</v>
      </c>
      <c r="RJL36" s="9" t="s">
        <v>2066</v>
      </c>
      <c r="RJM36" s="1">
        <v>65</v>
      </c>
      <c r="RJN36" s="619" t="s">
        <v>2063</v>
      </c>
      <c r="RJO36" s="148" t="s">
        <v>2064</v>
      </c>
      <c r="RJP36" s="9" t="s">
        <v>2065</v>
      </c>
      <c r="RJQ36" s="619">
        <v>1</v>
      </c>
      <c r="RJR36" s="4">
        <v>1000000</v>
      </c>
      <c r="RJS36" s="4">
        <f>RJR36*RJQ36</f>
        <v>1000000</v>
      </c>
      <c r="RJT36" s="9" t="s">
        <v>2066</v>
      </c>
      <c r="RJU36" s="1">
        <v>65</v>
      </c>
      <c r="RJV36" s="619" t="s">
        <v>2063</v>
      </c>
      <c r="RJW36" s="148" t="s">
        <v>2064</v>
      </c>
      <c r="RJX36" s="9" t="s">
        <v>2065</v>
      </c>
      <c r="RJY36" s="619">
        <v>1</v>
      </c>
      <c r="RJZ36" s="4">
        <v>1000000</v>
      </c>
      <c r="RKA36" s="4">
        <f>RJZ36*RJY36</f>
        <v>1000000</v>
      </c>
      <c r="RKB36" s="9" t="s">
        <v>2066</v>
      </c>
      <c r="RKC36" s="1">
        <v>65</v>
      </c>
      <c r="RKD36" s="619" t="s">
        <v>2063</v>
      </c>
      <c r="RKE36" s="148" t="s">
        <v>2064</v>
      </c>
      <c r="RKF36" s="9" t="s">
        <v>2065</v>
      </c>
      <c r="RKG36" s="619">
        <v>1</v>
      </c>
      <c r="RKH36" s="4">
        <v>1000000</v>
      </c>
      <c r="RKI36" s="4">
        <f>RKH36*RKG36</f>
        <v>1000000</v>
      </c>
      <c r="RKJ36" s="9" t="s">
        <v>2066</v>
      </c>
      <c r="RKK36" s="1">
        <v>65</v>
      </c>
      <c r="RKL36" s="619" t="s">
        <v>2063</v>
      </c>
      <c r="RKM36" s="148" t="s">
        <v>2064</v>
      </c>
      <c r="RKN36" s="9" t="s">
        <v>2065</v>
      </c>
      <c r="RKO36" s="619">
        <v>1</v>
      </c>
      <c r="RKP36" s="4">
        <v>1000000</v>
      </c>
      <c r="RKQ36" s="4">
        <f>RKP36*RKO36</f>
        <v>1000000</v>
      </c>
      <c r="RKR36" s="9" t="s">
        <v>2066</v>
      </c>
      <c r="RKS36" s="1">
        <v>65</v>
      </c>
      <c r="RKT36" s="619" t="s">
        <v>2063</v>
      </c>
      <c r="RKU36" s="148" t="s">
        <v>2064</v>
      </c>
      <c r="RKV36" s="9" t="s">
        <v>2065</v>
      </c>
      <c r="RKW36" s="619">
        <v>1</v>
      </c>
      <c r="RKX36" s="4">
        <v>1000000</v>
      </c>
      <c r="RKY36" s="4">
        <f>RKX36*RKW36</f>
        <v>1000000</v>
      </c>
      <c r="RKZ36" s="9" t="s">
        <v>2066</v>
      </c>
      <c r="RLA36" s="1">
        <v>65</v>
      </c>
      <c r="RLB36" s="619" t="s">
        <v>2063</v>
      </c>
      <c r="RLC36" s="148" t="s">
        <v>2064</v>
      </c>
      <c r="RLD36" s="9" t="s">
        <v>2065</v>
      </c>
      <c r="RLE36" s="619">
        <v>1</v>
      </c>
      <c r="RLF36" s="4">
        <v>1000000</v>
      </c>
      <c r="RLG36" s="4">
        <f>RLF36*RLE36</f>
        <v>1000000</v>
      </c>
      <c r="RLH36" s="9" t="s">
        <v>2066</v>
      </c>
      <c r="RLI36" s="1">
        <v>65</v>
      </c>
      <c r="RLJ36" s="619" t="s">
        <v>2063</v>
      </c>
      <c r="RLK36" s="148" t="s">
        <v>2064</v>
      </c>
      <c r="RLL36" s="9" t="s">
        <v>2065</v>
      </c>
      <c r="RLM36" s="619">
        <v>1</v>
      </c>
      <c r="RLN36" s="4">
        <v>1000000</v>
      </c>
      <c r="RLO36" s="4">
        <f>RLN36*RLM36</f>
        <v>1000000</v>
      </c>
      <c r="RLP36" s="9" t="s">
        <v>2066</v>
      </c>
      <c r="RLQ36" s="1">
        <v>65</v>
      </c>
      <c r="RLR36" s="619" t="s">
        <v>2063</v>
      </c>
      <c r="RLS36" s="148" t="s">
        <v>2064</v>
      </c>
      <c r="RLT36" s="9" t="s">
        <v>2065</v>
      </c>
      <c r="RLU36" s="619">
        <v>1</v>
      </c>
      <c r="RLV36" s="4">
        <v>1000000</v>
      </c>
      <c r="RLW36" s="4">
        <f>RLV36*RLU36</f>
        <v>1000000</v>
      </c>
      <c r="RLX36" s="9" t="s">
        <v>2066</v>
      </c>
      <c r="RLY36" s="1">
        <v>65</v>
      </c>
      <c r="RLZ36" s="619" t="s">
        <v>2063</v>
      </c>
      <c r="RMA36" s="148" t="s">
        <v>2064</v>
      </c>
      <c r="RMB36" s="9" t="s">
        <v>2065</v>
      </c>
      <c r="RMC36" s="619">
        <v>1</v>
      </c>
      <c r="RMD36" s="4">
        <v>1000000</v>
      </c>
      <c r="RME36" s="4">
        <f>RMD36*RMC36</f>
        <v>1000000</v>
      </c>
      <c r="RMF36" s="9" t="s">
        <v>2066</v>
      </c>
      <c r="RMG36" s="1">
        <v>65</v>
      </c>
      <c r="RMH36" s="619" t="s">
        <v>2063</v>
      </c>
      <c r="RMI36" s="148" t="s">
        <v>2064</v>
      </c>
      <c r="RMJ36" s="9" t="s">
        <v>2065</v>
      </c>
      <c r="RMK36" s="619">
        <v>1</v>
      </c>
      <c r="RML36" s="4">
        <v>1000000</v>
      </c>
      <c r="RMM36" s="4">
        <f>RML36*RMK36</f>
        <v>1000000</v>
      </c>
      <c r="RMN36" s="9" t="s">
        <v>2066</v>
      </c>
      <c r="RMO36" s="1">
        <v>65</v>
      </c>
      <c r="RMP36" s="619" t="s">
        <v>2063</v>
      </c>
      <c r="RMQ36" s="148" t="s">
        <v>2064</v>
      </c>
      <c r="RMR36" s="9" t="s">
        <v>2065</v>
      </c>
      <c r="RMS36" s="619">
        <v>1</v>
      </c>
      <c r="RMT36" s="4">
        <v>1000000</v>
      </c>
      <c r="RMU36" s="4">
        <f>RMT36*RMS36</f>
        <v>1000000</v>
      </c>
      <c r="RMV36" s="9" t="s">
        <v>2066</v>
      </c>
      <c r="RMW36" s="1">
        <v>65</v>
      </c>
      <c r="RMX36" s="619" t="s">
        <v>2063</v>
      </c>
      <c r="RMY36" s="148" t="s">
        <v>2064</v>
      </c>
      <c r="RMZ36" s="9" t="s">
        <v>2065</v>
      </c>
      <c r="RNA36" s="619">
        <v>1</v>
      </c>
      <c r="RNB36" s="4">
        <v>1000000</v>
      </c>
      <c r="RNC36" s="4">
        <f>RNB36*RNA36</f>
        <v>1000000</v>
      </c>
      <c r="RND36" s="9" t="s">
        <v>2066</v>
      </c>
      <c r="RNE36" s="1">
        <v>65</v>
      </c>
      <c r="RNF36" s="619" t="s">
        <v>2063</v>
      </c>
      <c r="RNG36" s="148" t="s">
        <v>2064</v>
      </c>
      <c r="RNH36" s="9" t="s">
        <v>2065</v>
      </c>
      <c r="RNI36" s="619">
        <v>1</v>
      </c>
      <c r="RNJ36" s="4">
        <v>1000000</v>
      </c>
      <c r="RNK36" s="4">
        <f>RNJ36*RNI36</f>
        <v>1000000</v>
      </c>
      <c r="RNL36" s="9" t="s">
        <v>2066</v>
      </c>
      <c r="RNM36" s="1">
        <v>65</v>
      </c>
      <c r="RNN36" s="619" t="s">
        <v>2063</v>
      </c>
      <c r="RNO36" s="148" t="s">
        <v>2064</v>
      </c>
      <c r="RNP36" s="9" t="s">
        <v>2065</v>
      </c>
      <c r="RNQ36" s="619">
        <v>1</v>
      </c>
      <c r="RNR36" s="4">
        <v>1000000</v>
      </c>
      <c r="RNS36" s="4">
        <f>RNR36*RNQ36</f>
        <v>1000000</v>
      </c>
      <c r="RNT36" s="9" t="s">
        <v>2066</v>
      </c>
      <c r="RNU36" s="1">
        <v>65</v>
      </c>
      <c r="RNV36" s="619" t="s">
        <v>2063</v>
      </c>
      <c r="RNW36" s="148" t="s">
        <v>2064</v>
      </c>
      <c r="RNX36" s="9" t="s">
        <v>2065</v>
      </c>
      <c r="RNY36" s="619">
        <v>1</v>
      </c>
      <c r="RNZ36" s="4">
        <v>1000000</v>
      </c>
      <c r="ROA36" s="4">
        <f>RNZ36*RNY36</f>
        <v>1000000</v>
      </c>
      <c r="ROB36" s="9" t="s">
        <v>2066</v>
      </c>
      <c r="ROC36" s="1">
        <v>65</v>
      </c>
      <c r="ROD36" s="619" t="s">
        <v>2063</v>
      </c>
      <c r="ROE36" s="148" t="s">
        <v>2064</v>
      </c>
      <c r="ROF36" s="9" t="s">
        <v>2065</v>
      </c>
      <c r="ROG36" s="619">
        <v>1</v>
      </c>
      <c r="ROH36" s="4">
        <v>1000000</v>
      </c>
      <c r="ROI36" s="4">
        <f>ROH36*ROG36</f>
        <v>1000000</v>
      </c>
      <c r="ROJ36" s="9" t="s">
        <v>2066</v>
      </c>
      <c r="ROK36" s="1">
        <v>65</v>
      </c>
      <c r="ROL36" s="619" t="s">
        <v>2063</v>
      </c>
      <c r="ROM36" s="148" t="s">
        <v>2064</v>
      </c>
      <c r="RON36" s="9" t="s">
        <v>2065</v>
      </c>
      <c r="ROO36" s="619">
        <v>1</v>
      </c>
      <c r="ROP36" s="4">
        <v>1000000</v>
      </c>
      <c r="ROQ36" s="4">
        <f>ROP36*ROO36</f>
        <v>1000000</v>
      </c>
      <c r="ROR36" s="9" t="s">
        <v>2066</v>
      </c>
      <c r="ROS36" s="1">
        <v>65</v>
      </c>
      <c r="ROT36" s="619" t="s">
        <v>2063</v>
      </c>
      <c r="ROU36" s="148" t="s">
        <v>2064</v>
      </c>
      <c r="ROV36" s="9" t="s">
        <v>2065</v>
      </c>
      <c r="ROW36" s="619">
        <v>1</v>
      </c>
      <c r="ROX36" s="4">
        <v>1000000</v>
      </c>
      <c r="ROY36" s="4">
        <f>ROX36*ROW36</f>
        <v>1000000</v>
      </c>
      <c r="ROZ36" s="9" t="s">
        <v>2066</v>
      </c>
      <c r="RPA36" s="1">
        <v>65</v>
      </c>
      <c r="RPB36" s="619" t="s">
        <v>2063</v>
      </c>
      <c r="RPC36" s="148" t="s">
        <v>2064</v>
      </c>
      <c r="RPD36" s="9" t="s">
        <v>2065</v>
      </c>
      <c r="RPE36" s="619">
        <v>1</v>
      </c>
      <c r="RPF36" s="4">
        <v>1000000</v>
      </c>
      <c r="RPG36" s="4">
        <f>RPF36*RPE36</f>
        <v>1000000</v>
      </c>
      <c r="RPH36" s="9" t="s">
        <v>2066</v>
      </c>
      <c r="RPI36" s="1">
        <v>65</v>
      </c>
      <c r="RPJ36" s="619" t="s">
        <v>2063</v>
      </c>
      <c r="RPK36" s="148" t="s">
        <v>2064</v>
      </c>
      <c r="RPL36" s="9" t="s">
        <v>2065</v>
      </c>
      <c r="RPM36" s="619">
        <v>1</v>
      </c>
      <c r="RPN36" s="4">
        <v>1000000</v>
      </c>
      <c r="RPO36" s="4">
        <f>RPN36*RPM36</f>
        <v>1000000</v>
      </c>
      <c r="RPP36" s="9" t="s">
        <v>2066</v>
      </c>
      <c r="RPQ36" s="1">
        <v>65</v>
      </c>
      <c r="RPR36" s="619" t="s">
        <v>2063</v>
      </c>
      <c r="RPS36" s="148" t="s">
        <v>2064</v>
      </c>
      <c r="RPT36" s="9" t="s">
        <v>2065</v>
      </c>
      <c r="RPU36" s="619">
        <v>1</v>
      </c>
      <c r="RPV36" s="4">
        <v>1000000</v>
      </c>
      <c r="RPW36" s="4">
        <f>RPV36*RPU36</f>
        <v>1000000</v>
      </c>
      <c r="RPX36" s="9" t="s">
        <v>2066</v>
      </c>
      <c r="RPY36" s="1">
        <v>65</v>
      </c>
      <c r="RPZ36" s="619" t="s">
        <v>2063</v>
      </c>
      <c r="RQA36" s="148" t="s">
        <v>2064</v>
      </c>
      <c r="RQB36" s="9" t="s">
        <v>2065</v>
      </c>
      <c r="RQC36" s="619">
        <v>1</v>
      </c>
      <c r="RQD36" s="4">
        <v>1000000</v>
      </c>
      <c r="RQE36" s="4">
        <f>RQD36*RQC36</f>
        <v>1000000</v>
      </c>
      <c r="RQF36" s="9" t="s">
        <v>2066</v>
      </c>
      <c r="RQG36" s="1">
        <v>65</v>
      </c>
      <c r="RQH36" s="619" t="s">
        <v>2063</v>
      </c>
      <c r="RQI36" s="148" t="s">
        <v>2064</v>
      </c>
      <c r="RQJ36" s="9" t="s">
        <v>2065</v>
      </c>
      <c r="RQK36" s="619">
        <v>1</v>
      </c>
      <c r="RQL36" s="4">
        <v>1000000</v>
      </c>
      <c r="RQM36" s="4">
        <f>RQL36*RQK36</f>
        <v>1000000</v>
      </c>
      <c r="RQN36" s="9" t="s">
        <v>2066</v>
      </c>
      <c r="RQO36" s="1">
        <v>65</v>
      </c>
      <c r="RQP36" s="619" t="s">
        <v>2063</v>
      </c>
      <c r="RQQ36" s="148" t="s">
        <v>2064</v>
      </c>
      <c r="RQR36" s="9" t="s">
        <v>2065</v>
      </c>
      <c r="RQS36" s="619">
        <v>1</v>
      </c>
      <c r="RQT36" s="4">
        <v>1000000</v>
      </c>
      <c r="RQU36" s="4">
        <f>RQT36*RQS36</f>
        <v>1000000</v>
      </c>
      <c r="RQV36" s="9" t="s">
        <v>2066</v>
      </c>
      <c r="RQW36" s="1">
        <v>65</v>
      </c>
      <c r="RQX36" s="619" t="s">
        <v>2063</v>
      </c>
      <c r="RQY36" s="148" t="s">
        <v>2064</v>
      </c>
      <c r="RQZ36" s="9" t="s">
        <v>2065</v>
      </c>
      <c r="RRA36" s="619">
        <v>1</v>
      </c>
      <c r="RRB36" s="4">
        <v>1000000</v>
      </c>
      <c r="RRC36" s="4">
        <f>RRB36*RRA36</f>
        <v>1000000</v>
      </c>
      <c r="RRD36" s="9" t="s">
        <v>2066</v>
      </c>
      <c r="RRE36" s="1">
        <v>65</v>
      </c>
      <c r="RRF36" s="619" t="s">
        <v>2063</v>
      </c>
      <c r="RRG36" s="148" t="s">
        <v>2064</v>
      </c>
      <c r="RRH36" s="9" t="s">
        <v>2065</v>
      </c>
      <c r="RRI36" s="619">
        <v>1</v>
      </c>
      <c r="RRJ36" s="4">
        <v>1000000</v>
      </c>
      <c r="RRK36" s="4">
        <f>RRJ36*RRI36</f>
        <v>1000000</v>
      </c>
      <c r="RRL36" s="9" t="s">
        <v>2066</v>
      </c>
      <c r="RRM36" s="1">
        <v>65</v>
      </c>
      <c r="RRN36" s="619" t="s">
        <v>2063</v>
      </c>
      <c r="RRO36" s="148" t="s">
        <v>2064</v>
      </c>
      <c r="RRP36" s="9" t="s">
        <v>2065</v>
      </c>
      <c r="RRQ36" s="619">
        <v>1</v>
      </c>
      <c r="RRR36" s="4">
        <v>1000000</v>
      </c>
      <c r="RRS36" s="4">
        <f>RRR36*RRQ36</f>
        <v>1000000</v>
      </c>
      <c r="RRT36" s="9" t="s">
        <v>2066</v>
      </c>
      <c r="RRU36" s="1">
        <v>65</v>
      </c>
      <c r="RRV36" s="619" t="s">
        <v>2063</v>
      </c>
      <c r="RRW36" s="148" t="s">
        <v>2064</v>
      </c>
      <c r="RRX36" s="9" t="s">
        <v>2065</v>
      </c>
      <c r="RRY36" s="619">
        <v>1</v>
      </c>
      <c r="RRZ36" s="4">
        <v>1000000</v>
      </c>
      <c r="RSA36" s="4">
        <f>RRZ36*RRY36</f>
        <v>1000000</v>
      </c>
      <c r="RSB36" s="9" t="s">
        <v>2066</v>
      </c>
      <c r="RSC36" s="1">
        <v>65</v>
      </c>
      <c r="RSD36" s="619" t="s">
        <v>2063</v>
      </c>
      <c r="RSE36" s="148" t="s">
        <v>2064</v>
      </c>
      <c r="RSF36" s="9" t="s">
        <v>2065</v>
      </c>
      <c r="RSG36" s="619">
        <v>1</v>
      </c>
      <c r="RSH36" s="4">
        <v>1000000</v>
      </c>
      <c r="RSI36" s="4">
        <f>RSH36*RSG36</f>
        <v>1000000</v>
      </c>
      <c r="RSJ36" s="9" t="s">
        <v>2066</v>
      </c>
      <c r="RSK36" s="1">
        <v>65</v>
      </c>
      <c r="RSL36" s="619" t="s">
        <v>2063</v>
      </c>
      <c r="RSM36" s="148" t="s">
        <v>2064</v>
      </c>
      <c r="RSN36" s="9" t="s">
        <v>2065</v>
      </c>
      <c r="RSO36" s="619">
        <v>1</v>
      </c>
      <c r="RSP36" s="4">
        <v>1000000</v>
      </c>
      <c r="RSQ36" s="4">
        <f>RSP36*RSO36</f>
        <v>1000000</v>
      </c>
      <c r="RSR36" s="9" t="s">
        <v>2066</v>
      </c>
      <c r="RSS36" s="1">
        <v>65</v>
      </c>
      <c r="RST36" s="619" t="s">
        <v>2063</v>
      </c>
      <c r="RSU36" s="148" t="s">
        <v>2064</v>
      </c>
      <c r="RSV36" s="9" t="s">
        <v>2065</v>
      </c>
      <c r="RSW36" s="619">
        <v>1</v>
      </c>
      <c r="RSX36" s="4">
        <v>1000000</v>
      </c>
      <c r="RSY36" s="4">
        <f>RSX36*RSW36</f>
        <v>1000000</v>
      </c>
      <c r="RSZ36" s="9" t="s">
        <v>2066</v>
      </c>
      <c r="RTA36" s="1">
        <v>65</v>
      </c>
      <c r="RTB36" s="619" t="s">
        <v>2063</v>
      </c>
      <c r="RTC36" s="148" t="s">
        <v>2064</v>
      </c>
      <c r="RTD36" s="9" t="s">
        <v>2065</v>
      </c>
      <c r="RTE36" s="619">
        <v>1</v>
      </c>
      <c r="RTF36" s="4">
        <v>1000000</v>
      </c>
      <c r="RTG36" s="4">
        <f>RTF36*RTE36</f>
        <v>1000000</v>
      </c>
      <c r="RTH36" s="9" t="s">
        <v>2066</v>
      </c>
      <c r="RTI36" s="1">
        <v>65</v>
      </c>
      <c r="RTJ36" s="619" t="s">
        <v>2063</v>
      </c>
      <c r="RTK36" s="148" t="s">
        <v>2064</v>
      </c>
      <c r="RTL36" s="9" t="s">
        <v>2065</v>
      </c>
      <c r="RTM36" s="619">
        <v>1</v>
      </c>
      <c r="RTN36" s="4">
        <v>1000000</v>
      </c>
      <c r="RTO36" s="4">
        <f>RTN36*RTM36</f>
        <v>1000000</v>
      </c>
      <c r="RTP36" s="9" t="s">
        <v>2066</v>
      </c>
      <c r="RTQ36" s="1">
        <v>65</v>
      </c>
      <c r="RTR36" s="619" t="s">
        <v>2063</v>
      </c>
      <c r="RTS36" s="148" t="s">
        <v>2064</v>
      </c>
      <c r="RTT36" s="9" t="s">
        <v>2065</v>
      </c>
      <c r="RTU36" s="619">
        <v>1</v>
      </c>
      <c r="RTV36" s="4">
        <v>1000000</v>
      </c>
      <c r="RTW36" s="4">
        <f>RTV36*RTU36</f>
        <v>1000000</v>
      </c>
      <c r="RTX36" s="9" t="s">
        <v>2066</v>
      </c>
      <c r="RTY36" s="1">
        <v>65</v>
      </c>
      <c r="RTZ36" s="619" t="s">
        <v>2063</v>
      </c>
      <c r="RUA36" s="148" t="s">
        <v>2064</v>
      </c>
      <c r="RUB36" s="9" t="s">
        <v>2065</v>
      </c>
      <c r="RUC36" s="619">
        <v>1</v>
      </c>
      <c r="RUD36" s="4">
        <v>1000000</v>
      </c>
      <c r="RUE36" s="4">
        <f>RUD36*RUC36</f>
        <v>1000000</v>
      </c>
      <c r="RUF36" s="9" t="s">
        <v>2066</v>
      </c>
      <c r="RUG36" s="1">
        <v>65</v>
      </c>
      <c r="RUH36" s="619" t="s">
        <v>2063</v>
      </c>
      <c r="RUI36" s="148" t="s">
        <v>2064</v>
      </c>
      <c r="RUJ36" s="9" t="s">
        <v>2065</v>
      </c>
      <c r="RUK36" s="619">
        <v>1</v>
      </c>
      <c r="RUL36" s="4">
        <v>1000000</v>
      </c>
      <c r="RUM36" s="4">
        <f>RUL36*RUK36</f>
        <v>1000000</v>
      </c>
      <c r="RUN36" s="9" t="s">
        <v>2066</v>
      </c>
      <c r="RUO36" s="1">
        <v>65</v>
      </c>
      <c r="RUP36" s="619" t="s">
        <v>2063</v>
      </c>
      <c r="RUQ36" s="148" t="s">
        <v>2064</v>
      </c>
      <c r="RUR36" s="9" t="s">
        <v>2065</v>
      </c>
      <c r="RUS36" s="619">
        <v>1</v>
      </c>
      <c r="RUT36" s="4">
        <v>1000000</v>
      </c>
      <c r="RUU36" s="4">
        <f>RUT36*RUS36</f>
        <v>1000000</v>
      </c>
      <c r="RUV36" s="9" t="s">
        <v>2066</v>
      </c>
      <c r="RUW36" s="1">
        <v>65</v>
      </c>
      <c r="RUX36" s="619" t="s">
        <v>2063</v>
      </c>
      <c r="RUY36" s="148" t="s">
        <v>2064</v>
      </c>
      <c r="RUZ36" s="9" t="s">
        <v>2065</v>
      </c>
      <c r="RVA36" s="619">
        <v>1</v>
      </c>
      <c r="RVB36" s="4">
        <v>1000000</v>
      </c>
      <c r="RVC36" s="4">
        <f>RVB36*RVA36</f>
        <v>1000000</v>
      </c>
      <c r="RVD36" s="9" t="s">
        <v>2066</v>
      </c>
      <c r="RVE36" s="1">
        <v>65</v>
      </c>
      <c r="RVF36" s="619" t="s">
        <v>2063</v>
      </c>
      <c r="RVG36" s="148" t="s">
        <v>2064</v>
      </c>
      <c r="RVH36" s="9" t="s">
        <v>2065</v>
      </c>
      <c r="RVI36" s="619">
        <v>1</v>
      </c>
      <c r="RVJ36" s="4">
        <v>1000000</v>
      </c>
      <c r="RVK36" s="4">
        <f>RVJ36*RVI36</f>
        <v>1000000</v>
      </c>
      <c r="RVL36" s="9" t="s">
        <v>2066</v>
      </c>
      <c r="RVM36" s="1">
        <v>65</v>
      </c>
      <c r="RVN36" s="619" t="s">
        <v>2063</v>
      </c>
      <c r="RVO36" s="148" t="s">
        <v>2064</v>
      </c>
      <c r="RVP36" s="9" t="s">
        <v>2065</v>
      </c>
      <c r="RVQ36" s="619">
        <v>1</v>
      </c>
      <c r="RVR36" s="4">
        <v>1000000</v>
      </c>
      <c r="RVS36" s="4">
        <f>RVR36*RVQ36</f>
        <v>1000000</v>
      </c>
      <c r="RVT36" s="9" t="s">
        <v>2066</v>
      </c>
      <c r="RVU36" s="1">
        <v>65</v>
      </c>
      <c r="RVV36" s="619" t="s">
        <v>2063</v>
      </c>
      <c r="RVW36" s="148" t="s">
        <v>2064</v>
      </c>
      <c r="RVX36" s="9" t="s">
        <v>2065</v>
      </c>
      <c r="RVY36" s="619">
        <v>1</v>
      </c>
      <c r="RVZ36" s="4">
        <v>1000000</v>
      </c>
      <c r="RWA36" s="4">
        <f>RVZ36*RVY36</f>
        <v>1000000</v>
      </c>
      <c r="RWB36" s="9" t="s">
        <v>2066</v>
      </c>
      <c r="RWC36" s="1">
        <v>65</v>
      </c>
      <c r="RWD36" s="619" t="s">
        <v>2063</v>
      </c>
      <c r="RWE36" s="148" t="s">
        <v>2064</v>
      </c>
      <c r="RWF36" s="9" t="s">
        <v>2065</v>
      </c>
      <c r="RWG36" s="619">
        <v>1</v>
      </c>
      <c r="RWH36" s="4">
        <v>1000000</v>
      </c>
      <c r="RWI36" s="4">
        <f>RWH36*RWG36</f>
        <v>1000000</v>
      </c>
      <c r="RWJ36" s="9" t="s">
        <v>2066</v>
      </c>
      <c r="RWK36" s="1">
        <v>65</v>
      </c>
      <c r="RWL36" s="619" t="s">
        <v>2063</v>
      </c>
      <c r="RWM36" s="148" t="s">
        <v>2064</v>
      </c>
      <c r="RWN36" s="9" t="s">
        <v>2065</v>
      </c>
      <c r="RWO36" s="619">
        <v>1</v>
      </c>
      <c r="RWP36" s="4">
        <v>1000000</v>
      </c>
      <c r="RWQ36" s="4">
        <f>RWP36*RWO36</f>
        <v>1000000</v>
      </c>
      <c r="RWR36" s="9" t="s">
        <v>2066</v>
      </c>
      <c r="RWS36" s="1">
        <v>65</v>
      </c>
      <c r="RWT36" s="619" t="s">
        <v>2063</v>
      </c>
      <c r="RWU36" s="148" t="s">
        <v>2064</v>
      </c>
      <c r="RWV36" s="9" t="s">
        <v>2065</v>
      </c>
      <c r="RWW36" s="619">
        <v>1</v>
      </c>
      <c r="RWX36" s="4">
        <v>1000000</v>
      </c>
      <c r="RWY36" s="4">
        <f>RWX36*RWW36</f>
        <v>1000000</v>
      </c>
      <c r="RWZ36" s="9" t="s">
        <v>2066</v>
      </c>
      <c r="RXA36" s="1">
        <v>65</v>
      </c>
      <c r="RXB36" s="619" t="s">
        <v>2063</v>
      </c>
      <c r="RXC36" s="148" t="s">
        <v>2064</v>
      </c>
      <c r="RXD36" s="9" t="s">
        <v>2065</v>
      </c>
      <c r="RXE36" s="619">
        <v>1</v>
      </c>
      <c r="RXF36" s="4">
        <v>1000000</v>
      </c>
      <c r="RXG36" s="4">
        <f>RXF36*RXE36</f>
        <v>1000000</v>
      </c>
      <c r="RXH36" s="9" t="s">
        <v>2066</v>
      </c>
      <c r="RXI36" s="1">
        <v>65</v>
      </c>
      <c r="RXJ36" s="619" t="s">
        <v>2063</v>
      </c>
      <c r="RXK36" s="148" t="s">
        <v>2064</v>
      </c>
      <c r="RXL36" s="9" t="s">
        <v>2065</v>
      </c>
      <c r="RXM36" s="619">
        <v>1</v>
      </c>
      <c r="RXN36" s="4">
        <v>1000000</v>
      </c>
      <c r="RXO36" s="4">
        <f>RXN36*RXM36</f>
        <v>1000000</v>
      </c>
      <c r="RXP36" s="9" t="s">
        <v>2066</v>
      </c>
      <c r="RXQ36" s="1">
        <v>65</v>
      </c>
      <c r="RXR36" s="619" t="s">
        <v>2063</v>
      </c>
      <c r="RXS36" s="148" t="s">
        <v>2064</v>
      </c>
      <c r="RXT36" s="9" t="s">
        <v>2065</v>
      </c>
      <c r="RXU36" s="619">
        <v>1</v>
      </c>
      <c r="RXV36" s="4">
        <v>1000000</v>
      </c>
      <c r="RXW36" s="4">
        <f>RXV36*RXU36</f>
        <v>1000000</v>
      </c>
      <c r="RXX36" s="9" t="s">
        <v>2066</v>
      </c>
      <c r="RXY36" s="1">
        <v>65</v>
      </c>
      <c r="RXZ36" s="619" t="s">
        <v>2063</v>
      </c>
      <c r="RYA36" s="148" t="s">
        <v>2064</v>
      </c>
      <c r="RYB36" s="9" t="s">
        <v>2065</v>
      </c>
      <c r="RYC36" s="619">
        <v>1</v>
      </c>
      <c r="RYD36" s="4">
        <v>1000000</v>
      </c>
      <c r="RYE36" s="4">
        <f>RYD36*RYC36</f>
        <v>1000000</v>
      </c>
      <c r="RYF36" s="9" t="s">
        <v>2066</v>
      </c>
      <c r="RYG36" s="1">
        <v>65</v>
      </c>
      <c r="RYH36" s="619" t="s">
        <v>2063</v>
      </c>
      <c r="RYI36" s="148" t="s">
        <v>2064</v>
      </c>
      <c r="RYJ36" s="9" t="s">
        <v>2065</v>
      </c>
      <c r="RYK36" s="619">
        <v>1</v>
      </c>
      <c r="RYL36" s="4">
        <v>1000000</v>
      </c>
      <c r="RYM36" s="4">
        <f>RYL36*RYK36</f>
        <v>1000000</v>
      </c>
      <c r="RYN36" s="9" t="s">
        <v>2066</v>
      </c>
      <c r="RYO36" s="1">
        <v>65</v>
      </c>
      <c r="RYP36" s="619" t="s">
        <v>2063</v>
      </c>
      <c r="RYQ36" s="148" t="s">
        <v>2064</v>
      </c>
      <c r="RYR36" s="9" t="s">
        <v>2065</v>
      </c>
      <c r="RYS36" s="619">
        <v>1</v>
      </c>
      <c r="RYT36" s="4">
        <v>1000000</v>
      </c>
      <c r="RYU36" s="4">
        <f>RYT36*RYS36</f>
        <v>1000000</v>
      </c>
      <c r="RYV36" s="9" t="s">
        <v>2066</v>
      </c>
      <c r="RYW36" s="1">
        <v>65</v>
      </c>
      <c r="RYX36" s="619" t="s">
        <v>2063</v>
      </c>
      <c r="RYY36" s="148" t="s">
        <v>2064</v>
      </c>
      <c r="RYZ36" s="9" t="s">
        <v>2065</v>
      </c>
      <c r="RZA36" s="619">
        <v>1</v>
      </c>
      <c r="RZB36" s="4">
        <v>1000000</v>
      </c>
      <c r="RZC36" s="4">
        <f>RZB36*RZA36</f>
        <v>1000000</v>
      </c>
      <c r="RZD36" s="9" t="s">
        <v>2066</v>
      </c>
      <c r="RZE36" s="1">
        <v>65</v>
      </c>
      <c r="RZF36" s="619" t="s">
        <v>2063</v>
      </c>
      <c r="RZG36" s="148" t="s">
        <v>2064</v>
      </c>
      <c r="RZH36" s="9" t="s">
        <v>2065</v>
      </c>
      <c r="RZI36" s="619">
        <v>1</v>
      </c>
      <c r="RZJ36" s="4">
        <v>1000000</v>
      </c>
      <c r="RZK36" s="4">
        <f>RZJ36*RZI36</f>
        <v>1000000</v>
      </c>
      <c r="RZL36" s="9" t="s">
        <v>2066</v>
      </c>
      <c r="RZM36" s="1">
        <v>65</v>
      </c>
      <c r="RZN36" s="619" t="s">
        <v>2063</v>
      </c>
      <c r="RZO36" s="148" t="s">
        <v>2064</v>
      </c>
      <c r="RZP36" s="9" t="s">
        <v>2065</v>
      </c>
      <c r="RZQ36" s="619">
        <v>1</v>
      </c>
      <c r="RZR36" s="4">
        <v>1000000</v>
      </c>
      <c r="RZS36" s="4">
        <f>RZR36*RZQ36</f>
        <v>1000000</v>
      </c>
      <c r="RZT36" s="9" t="s">
        <v>2066</v>
      </c>
      <c r="RZU36" s="1">
        <v>65</v>
      </c>
      <c r="RZV36" s="619" t="s">
        <v>2063</v>
      </c>
      <c r="RZW36" s="148" t="s">
        <v>2064</v>
      </c>
      <c r="RZX36" s="9" t="s">
        <v>2065</v>
      </c>
      <c r="RZY36" s="619">
        <v>1</v>
      </c>
      <c r="RZZ36" s="4">
        <v>1000000</v>
      </c>
      <c r="SAA36" s="4">
        <f>RZZ36*RZY36</f>
        <v>1000000</v>
      </c>
      <c r="SAB36" s="9" t="s">
        <v>2066</v>
      </c>
      <c r="SAC36" s="1">
        <v>65</v>
      </c>
      <c r="SAD36" s="619" t="s">
        <v>2063</v>
      </c>
      <c r="SAE36" s="148" t="s">
        <v>2064</v>
      </c>
      <c r="SAF36" s="9" t="s">
        <v>2065</v>
      </c>
      <c r="SAG36" s="619">
        <v>1</v>
      </c>
      <c r="SAH36" s="4">
        <v>1000000</v>
      </c>
      <c r="SAI36" s="4">
        <f>SAH36*SAG36</f>
        <v>1000000</v>
      </c>
      <c r="SAJ36" s="9" t="s">
        <v>2066</v>
      </c>
      <c r="SAK36" s="1">
        <v>65</v>
      </c>
      <c r="SAL36" s="619" t="s">
        <v>2063</v>
      </c>
      <c r="SAM36" s="148" t="s">
        <v>2064</v>
      </c>
      <c r="SAN36" s="9" t="s">
        <v>2065</v>
      </c>
      <c r="SAO36" s="619">
        <v>1</v>
      </c>
      <c r="SAP36" s="4">
        <v>1000000</v>
      </c>
      <c r="SAQ36" s="4">
        <f>SAP36*SAO36</f>
        <v>1000000</v>
      </c>
      <c r="SAR36" s="9" t="s">
        <v>2066</v>
      </c>
      <c r="SAS36" s="1">
        <v>65</v>
      </c>
      <c r="SAT36" s="619" t="s">
        <v>2063</v>
      </c>
      <c r="SAU36" s="148" t="s">
        <v>2064</v>
      </c>
      <c r="SAV36" s="9" t="s">
        <v>2065</v>
      </c>
      <c r="SAW36" s="619">
        <v>1</v>
      </c>
      <c r="SAX36" s="4">
        <v>1000000</v>
      </c>
      <c r="SAY36" s="4">
        <f>SAX36*SAW36</f>
        <v>1000000</v>
      </c>
      <c r="SAZ36" s="9" t="s">
        <v>2066</v>
      </c>
      <c r="SBA36" s="1">
        <v>65</v>
      </c>
      <c r="SBB36" s="619" t="s">
        <v>2063</v>
      </c>
      <c r="SBC36" s="148" t="s">
        <v>2064</v>
      </c>
      <c r="SBD36" s="9" t="s">
        <v>2065</v>
      </c>
      <c r="SBE36" s="619">
        <v>1</v>
      </c>
      <c r="SBF36" s="4">
        <v>1000000</v>
      </c>
      <c r="SBG36" s="4">
        <f>SBF36*SBE36</f>
        <v>1000000</v>
      </c>
      <c r="SBH36" s="9" t="s">
        <v>2066</v>
      </c>
      <c r="SBI36" s="1">
        <v>65</v>
      </c>
      <c r="SBJ36" s="619" t="s">
        <v>2063</v>
      </c>
      <c r="SBK36" s="148" t="s">
        <v>2064</v>
      </c>
      <c r="SBL36" s="9" t="s">
        <v>2065</v>
      </c>
      <c r="SBM36" s="619">
        <v>1</v>
      </c>
      <c r="SBN36" s="4">
        <v>1000000</v>
      </c>
      <c r="SBO36" s="4">
        <f>SBN36*SBM36</f>
        <v>1000000</v>
      </c>
      <c r="SBP36" s="9" t="s">
        <v>2066</v>
      </c>
      <c r="SBQ36" s="1">
        <v>65</v>
      </c>
      <c r="SBR36" s="619" t="s">
        <v>2063</v>
      </c>
      <c r="SBS36" s="148" t="s">
        <v>2064</v>
      </c>
      <c r="SBT36" s="9" t="s">
        <v>2065</v>
      </c>
      <c r="SBU36" s="619">
        <v>1</v>
      </c>
      <c r="SBV36" s="4">
        <v>1000000</v>
      </c>
      <c r="SBW36" s="4">
        <f>SBV36*SBU36</f>
        <v>1000000</v>
      </c>
      <c r="SBX36" s="9" t="s">
        <v>2066</v>
      </c>
      <c r="SBY36" s="1">
        <v>65</v>
      </c>
      <c r="SBZ36" s="619" t="s">
        <v>2063</v>
      </c>
      <c r="SCA36" s="148" t="s">
        <v>2064</v>
      </c>
      <c r="SCB36" s="9" t="s">
        <v>2065</v>
      </c>
      <c r="SCC36" s="619">
        <v>1</v>
      </c>
      <c r="SCD36" s="4">
        <v>1000000</v>
      </c>
      <c r="SCE36" s="4">
        <f>SCD36*SCC36</f>
        <v>1000000</v>
      </c>
      <c r="SCF36" s="9" t="s">
        <v>2066</v>
      </c>
      <c r="SCG36" s="1">
        <v>65</v>
      </c>
      <c r="SCH36" s="619" t="s">
        <v>2063</v>
      </c>
      <c r="SCI36" s="148" t="s">
        <v>2064</v>
      </c>
      <c r="SCJ36" s="9" t="s">
        <v>2065</v>
      </c>
      <c r="SCK36" s="619">
        <v>1</v>
      </c>
      <c r="SCL36" s="4">
        <v>1000000</v>
      </c>
      <c r="SCM36" s="4">
        <f>SCL36*SCK36</f>
        <v>1000000</v>
      </c>
      <c r="SCN36" s="9" t="s">
        <v>2066</v>
      </c>
      <c r="SCO36" s="1">
        <v>65</v>
      </c>
      <c r="SCP36" s="619" t="s">
        <v>2063</v>
      </c>
      <c r="SCQ36" s="148" t="s">
        <v>2064</v>
      </c>
      <c r="SCR36" s="9" t="s">
        <v>2065</v>
      </c>
      <c r="SCS36" s="619">
        <v>1</v>
      </c>
      <c r="SCT36" s="4">
        <v>1000000</v>
      </c>
      <c r="SCU36" s="4">
        <f>SCT36*SCS36</f>
        <v>1000000</v>
      </c>
      <c r="SCV36" s="9" t="s">
        <v>2066</v>
      </c>
      <c r="SCW36" s="1">
        <v>65</v>
      </c>
      <c r="SCX36" s="619" t="s">
        <v>2063</v>
      </c>
      <c r="SCY36" s="148" t="s">
        <v>2064</v>
      </c>
      <c r="SCZ36" s="9" t="s">
        <v>2065</v>
      </c>
      <c r="SDA36" s="619">
        <v>1</v>
      </c>
      <c r="SDB36" s="4">
        <v>1000000</v>
      </c>
      <c r="SDC36" s="4">
        <f>SDB36*SDA36</f>
        <v>1000000</v>
      </c>
      <c r="SDD36" s="9" t="s">
        <v>2066</v>
      </c>
      <c r="SDE36" s="1">
        <v>65</v>
      </c>
      <c r="SDF36" s="619" t="s">
        <v>2063</v>
      </c>
      <c r="SDG36" s="148" t="s">
        <v>2064</v>
      </c>
      <c r="SDH36" s="9" t="s">
        <v>2065</v>
      </c>
      <c r="SDI36" s="619">
        <v>1</v>
      </c>
      <c r="SDJ36" s="4">
        <v>1000000</v>
      </c>
      <c r="SDK36" s="4">
        <f>SDJ36*SDI36</f>
        <v>1000000</v>
      </c>
      <c r="SDL36" s="9" t="s">
        <v>2066</v>
      </c>
      <c r="SDM36" s="1">
        <v>65</v>
      </c>
      <c r="SDN36" s="619" t="s">
        <v>2063</v>
      </c>
      <c r="SDO36" s="148" t="s">
        <v>2064</v>
      </c>
      <c r="SDP36" s="9" t="s">
        <v>2065</v>
      </c>
      <c r="SDQ36" s="619">
        <v>1</v>
      </c>
      <c r="SDR36" s="4">
        <v>1000000</v>
      </c>
      <c r="SDS36" s="4">
        <f>SDR36*SDQ36</f>
        <v>1000000</v>
      </c>
      <c r="SDT36" s="9" t="s">
        <v>2066</v>
      </c>
      <c r="SDU36" s="1">
        <v>65</v>
      </c>
      <c r="SDV36" s="619" t="s">
        <v>2063</v>
      </c>
      <c r="SDW36" s="148" t="s">
        <v>2064</v>
      </c>
      <c r="SDX36" s="9" t="s">
        <v>2065</v>
      </c>
      <c r="SDY36" s="619">
        <v>1</v>
      </c>
      <c r="SDZ36" s="4">
        <v>1000000</v>
      </c>
      <c r="SEA36" s="4">
        <f>SDZ36*SDY36</f>
        <v>1000000</v>
      </c>
      <c r="SEB36" s="9" t="s">
        <v>2066</v>
      </c>
      <c r="SEC36" s="1">
        <v>65</v>
      </c>
      <c r="SED36" s="619" t="s">
        <v>2063</v>
      </c>
      <c r="SEE36" s="148" t="s">
        <v>2064</v>
      </c>
      <c r="SEF36" s="9" t="s">
        <v>2065</v>
      </c>
      <c r="SEG36" s="619">
        <v>1</v>
      </c>
      <c r="SEH36" s="4">
        <v>1000000</v>
      </c>
      <c r="SEI36" s="4">
        <f>SEH36*SEG36</f>
        <v>1000000</v>
      </c>
      <c r="SEJ36" s="9" t="s">
        <v>2066</v>
      </c>
      <c r="SEK36" s="1">
        <v>65</v>
      </c>
      <c r="SEL36" s="619" t="s">
        <v>2063</v>
      </c>
      <c r="SEM36" s="148" t="s">
        <v>2064</v>
      </c>
      <c r="SEN36" s="9" t="s">
        <v>2065</v>
      </c>
      <c r="SEO36" s="619">
        <v>1</v>
      </c>
      <c r="SEP36" s="4">
        <v>1000000</v>
      </c>
      <c r="SEQ36" s="4">
        <f>SEP36*SEO36</f>
        <v>1000000</v>
      </c>
      <c r="SER36" s="9" t="s">
        <v>2066</v>
      </c>
      <c r="SES36" s="1">
        <v>65</v>
      </c>
      <c r="SET36" s="619" t="s">
        <v>2063</v>
      </c>
      <c r="SEU36" s="148" t="s">
        <v>2064</v>
      </c>
      <c r="SEV36" s="9" t="s">
        <v>2065</v>
      </c>
      <c r="SEW36" s="619">
        <v>1</v>
      </c>
      <c r="SEX36" s="4">
        <v>1000000</v>
      </c>
      <c r="SEY36" s="4">
        <f>SEX36*SEW36</f>
        <v>1000000</v>
      </c>
      <c r="SEZ36" s="9" t="s">
        <v>2066</v>
      </c>
      <c r="SFA36" s="1">
        <v>65</v>
      </c>
      <c r="SFB36" s="619" t="s">
        <v>2063</v>
      </c>
      <c r="SFC36" s="148" t="s">
        <v>2064</v>
      </c>
      <c r="SFD36" s="9" t="s">
        <v>2065</v>
      </c>
      <c r="SFE36" s="619">
        <v>1</v>
      </c>
      <c r="SFF36" s="4">
        <v>1000000</v>
      </c>
      <c r="SFG36" s="4">
        <f>SFF36*SFE36</f>
        <v>1000000</v>
      </c>
      <c r="SFH36" s="9" t="s">
        <v>2066</v>
      </c>
      <c r="SFI36" s="1">
        <v>65</v>
      </c>
      <c r="SFJ36" s="619" t="s">
        <v>2063</v>
      </c>
      <c r="SFK36" s="148" t="s">
        <v>2064</v>
      </c>
      <c r="SFL36" s="9" t="s">
        <v>2065</v>
      </c>
      <c r="SFM36" s="619">
        <v>1</v>
      </c>
      <c r="SFN36" s="4">
        <v>1000000</v>
      </c>
      <c r="SFO36" s="4">
        <f>SFN36*SFM36</f>
        <v>1000000</v>
      </c>
      <c r="SFP36" s="9" t="s">
        <v>2066</v>
      </c>
      <c r="SFQ36" s="1">
        <v>65</v>
      </c>
      <c r="SFR36" s="619" t="s">
        <v>2063</v>
      </c>
      <c r="SFS36" s="148" t="s">
        <v>2064</v>
      </c>
      <c r="SFT36" s="9" t="s">
        <v>2065</v>
      </c>
      <c r="SFU36" s="619">
        <v>1</v>
      </c>
      <c r="SFV36" s="4">
        <v>1000000</v>
      </c>
      <c r="SFW36" s="4">
        <f>SFV36*SFU36</f>
        <v>1000000</v>
      </c>
      <c r="SFX36" s="9" t="s">
        <v>2066</v>
      </c>
      <c r="SFY36" s="1">
        <v>65</v>
      </c>
      <c r="SFZ36" s="619" t="s">
        <v>2063</v>
      </c>
      <c r="SGA36" s="148" t="s">
        <v>2064</v>
      </c>
      <c r="SGB36" s="9" t="s">
        <v>2065</v>
      </c>
      <c r="SGC36" s="619">
        <v>1</v>
      </c>
      <c r="SGD36" s="4">
        <v>1000000</v>
      </c>
      <c r="SGE36" s="4">
        <f>SGD36*SGC36</f>
        <v>1000000</v>
      </c>
      <c r="SGF36" s="9" t="s">
        <v>2066</v>
      </c>
      <c r="SGG36" s="1">
        <v>65</v>
      </c>
      <c r="SGH36" s="619" t="s">
        <v>2063</v>
      </c>
      <c r="SGI36" s="148" t="s">
        <v>2064</v>
      </c>
      <c r="SGJ36" s="9" t="s">
        <v>2065</v>
      </c>
      <c r="SGK36" s="619">
        <v>1</v>
      </c>
      <c r="SGL36" s="4">
        <v>1000000</v>
      </c>
      <c r="SGM36" s="4">
        <f>SGL36*SGK36</f>
        <v>1000000</v>
      </c>
      <c r="SGN36" s="9" t="s">
        <v>2066</v>
      </c>
      <c r="SGO36" s="1">
        <v>65</v>
      </c>
      <c r="SGP36" s="619" t="s">
        <v>2063</v>
      </c>
      <c r="SGQ36" s="148" t="s">
        <v>2064</v>
      </c>
      <c r="SGR36" s="9" t="s">
        <v>2065</v>
      </c>
      <c r="SGS36" s="619">
        <v>1</v>
      </c>
      <c r="SGT36" s="4">
        <v>1000000</v>
      </c>
      <c r="SGU36" s="4">
        <f>SGT36*SGS36</f>
        <v>1000000</v>
      </c>
      <c r="SGV36" s="9" t="s">
        <v>2066</v>
      </c>
      <c r="SGW36" s="1">
        <v>65</v>
      </c>
      <c r="SGX36" s="619" t="s">
        <v>2063</v>
      </c>
      <c r="SGY36" s="148" t="s">
        <v>2064</v>
      </c>
      <c r="SGZ36" s="9" t="s">
        <v>2065</v>
      </c>
      <c r="SHA36" s="619">
        <v>1</v>
      </c>
      <c r="SHB36" s="4">
        <v>1000000</v>
      </c>
      <c r="SHC36" s="4">
        <f>SHB36*SHA36</f>
        <v>1000000</v>
      </c>
      <c r="SHD36" s="9" t="s">
        <v>2066</v>
      </c>
      <c r="SHE36" s="1">
        <v>65</v>
      </c>
      <c r="SHF36" s="619" t="s">
        <v>2063</v>
      </c>
      <c r="SHG36" s="148" t="s">
        <v>2064</v>
      </c>
      <c r="SHH36" s="9" t="s">
        <v>2065</v>
      </c>
      <c r="SHI36" s="619">
        <v>1</v>
      </c>
      <c r="SHJ36" s="4">
        <v>1000000</v>
      </c>
      <c r="SHK36" s="4">
        <f>SHJ36*SHI36</f>
        <v>1000000</v>
      </c>
      <c r="SHL36" s="9" t="s">
        <v>2066</v>
      </c>
      <c r="SHM36" s="1">
        <v>65</v>
      </c>
      <c r="SHN36" s="619" t="s">
        <v>2063</v>
      </c>
      <c r="SHO36" s="148" t="s">
        <v>2064</v>
      </c>
      <c r="SHP36" s="9" t="s">
        <v>2065</v>
      </c>
      <c r="SHQ36" s="619">
        <v>1</v>
      </c>
      <c r="SHR36" s="4">
        <v>1000000</v>
      </c>
      <c r="SHS36" s="4">
        <f>SHR36*SHQ36</f>
        <v>1000000</v>
      </c>
      <c r="SHT36" s="9" t="s">
        <v>2066</v>
      </c>
      <c r="SHU36" s="1">
        <v>65</v>
      </c>
      <c r="SHV36" s="619" t="s">
        <v>2063</v>
      </c>
      <c r="SHW36" s="148" t="s">
        <v>2064</v>
      </c>
      <c r="SHX36" s="9" t="s">
        <v>2065</v>
      </c>
      <c r="SHY36" s="619">
        <v>1</v>
      </c>
      <c r="SHZ36" s="4">
        <v>1000000</v>
      </c>
      <c r="SIA36" s="4">
        <f>SHZ36*SHY36</f>
        <v>1000000</v>
      </c>
      <c r="SIB36" s="9" t="s">
        <v>2066</v>
      </c>
      <c r="SIC36" s="1">
        <v>65</v>
      </c>
      <c r="SID36" s="619" t="s">
        <v>2063</v>
      </c>
      <c r="SIE36" s="148" t="s">
        <v>2064</v>
      </c>
      <c r="SIF36" s="9" t="s">
        <v>2065</v>
      </c>
      <c r="SIG36" s="619">
        <v>1</v>
      </c>
      <c r="SIH36" s="4">
        <v>1000000</v>
      </c>
      <c r="SII36" s="4">
        <f>SIH36*SIG36</f>
        <v>1000000</v>
      </c>
      <c r="SIJ36" s="9" t="s">
        <v>2066</v>
      </c>
      <c r="SIK36" s="1">
        <v>65</v>
      </c>
      <c r="SIL36" s="619" t="s">
        <v>2063</v>
      </c>
      <c r="SIM36" s="148" t="s">
        <v>2064</v>
      </c>
      <c r="SIN36" s="9" t="s">
        <v>2065</v>
      </c>
      <c r="SIO36" s="619">
        <v>1</v>
      </c>
      <c r="SIP36" s="4">
        <v>1000000</v>
      </c>
      <c r="SIQ36" s="4">
        <f>SIP36*SIO36</f>
        <v>1000000</v>
      </c>
      <c r="SIR36" s="9" t="s">
        <v>2066</v>
      </c>
      <c r="SIS36" s="1">
        <v>65</v>
      </c>
      <c r="SIT36" s="619" t="s">
        <v>2063</v>
      </c>
      <c r="SIU36" s="148" t="s">
        <v>2064</v>
      </c>
      <c r="SIV36" s="9" t="s">
        <v>2065</v>
      </c>
      <c r="SIW36" s="619">
        <v>1</v>
      </c>
      <c r="SIX36" s="4">
        <v>1000000</v>
      </c>
      <c r="SIY36" s="4">
        <f>SIX36*SIW36</f>
        <v>1000000</v>
      </c>
      <c r="SIZ36" s="9" t="s">
        <v>2066</v>
      </c>
      <c r="SJA36" s="1">
        <v>65</v>
      </c>
      <c r="SJB36" s="619" t="s">
        <v>2063</v>
      </c>
      <c r="SJC36" s="148" t="s">
        <v>2064</v>
      </c>
      <c r="SJD36" s="9" t="s">
        <v>2065</v>
      </c>
      <c r="SJE36" s="619">
        <v>1</v>
      </c>
      <c r="SJF36" s="4">
        <v>1000000</v>
      </c>
      <c r="SJG36" s="4">
        <f>SJF36*SJE36</f>
        <v>1000000</v>
      </c>
      <c r="SJH36" s="9" t="s">
        <v>2066</v>
      </c>
      <c r="SJI36" s="1">
        <v>65</v>
      </c>
      <c r="SJJ36" s="619" t="s">
        <v>2063</v>
      </c>
      <c r="SJK36" s="148" t="s">
        <v>2064</v>
      </c>
      <c r="SJL36" s="9" t="s">
        <v>2065</v>
      </c>
      <c r="SJM36" s="619">
        <v>1</v>
      </c>
      <c r="SJN36" s="4">
        <v>1000000</v>
      </c>
      <c r="SJO36" s="4">
        <f>SJN36*SJM36</f>
        <v>1000000</v>
      </c>
      <c r="SJP36" s="9" t="s">
        <v>2066</v>
      </c>
      <c r="SJQ36" s="1">
        <v>65</v>
      </c>
      <c r="SJR36" s="619" t="s">
        <v>2063</v>
      </c>
      <c r="SJS36" s="148" t="s">
        <v>2064</v>
      </c>
      <c r="SJT36" s="9" t="s">
        <v>2065</v>
      </c>
      <c r="SJU36" s="619">
        <v>1</v>
      </c>
      <c r="SJV36" s="4">
        <v>1000000</v>
      </c>
      <c r="SJW36" s="4">
        <f>SJV36*SJU36</f>
        <v>1000000</v>
      </c>
      <c r="SJX36" s="9" t="s">
        <v>2066</v>
      </c>
      <c r="SJY36" s="1">
        <v>65</v>
      </c>
      <c r="SJZ36" s="619" t="s">
        <v>2063</v>
      </c>
      <c r="SKA36" s="148" t="s">
        <v>2064</v>
      </c>
      <c r="SKB36" s="9" t="s">
        <v>2065</v>
      </c>
      <c r="SKC36" s="619">
        <v>1</v>
      </c>
      <c r="SKD36" s="4">
        <v>1000000</v>
      </c>
      <c r="SKE36" s="4">
        <f>SKD36*SKC36</f>
        <v>1000000</v>
      </c>
      <c r="SKF36" s="9" t="s">
        <v>2066</v>
      </c>
      <c r="SKG36" s="1">
        <v>65</v>
      </c>
      <c r="SKH36" s="619" t="s">
        <v>2063</v>
      </c>
      <c r="SKI36" s="148" t="s">
        <v>2064</v>
      </c>
      <c r="SKJ36" s="9" t="s">
        <v>2065</v>
      </c>
      <c r="SKK36" s="619">
        <v>1</v>
      </c>
      <c r="SKL36" s="4">
        <v>1000000</v>
      </c>
      <c r="SKM36" s="4">
        <f>SKL36*SKK36</f>
        <v>1000000</v>
      </c>
      <c r="SKN36" s="9" t="s">
        <v>2066</v>
      </c>
      <c r="SKO36" s="1">
        <v>65</v>
      </c>
      <c r="SKP36" s="619" t="s">
        <v>2063</v>
      </c>
      <c r="SKQ36" s="148" t="s">
        <v>2064</v>
      </c>
      <c r="SKR36" s="9" t="s">
        <v>2065</v>
      </c>
      <c r="SKS36" s="619">
        <v>1</v>
      </c>
      <c r="SKT36" s="4">
        <v>1000000</v>
      </c>
      <c r="SKU36" s="4">
        <f>SKT36*SKS36</f>
        <v>1000000</v>
      </c>
      <c r="SKV36" s="9" t="s">
        <v>2066</v>
      </c>
      <c r="SKW36" s="1">
        <v>65</v>
      </c>
      <c r="SKX36" s="619" t="s">
        <v>2063</v>
      </c>
      <c r="SKY36" s="148" t="s">
        <v>2064</v>
      </c>
      <c r="SKZ36" s="9" t="s">
        <v>2065</v>
      </c>
      <c r="SLA36" s="619">
        <v>1</v>
      </c>
      <c r="SLB36" s="4">
        <v>1000000</v>
      </c>
      <c r="SLC36" s="4">
        <f>SLB36*SLA36</f>
        <v>1000000</v>
      </c>
      <c r="SLD36" s="9" t="s">
        <v>2066</v>
      </c>
      <c r="SLE36" s="1">
        <v>65</v>
      </c>
      <c r="SLF36" s="619" t="s">
        <v>2063</v>
      </c>
      <c r="SLG36" s="148" t="s">
        <v>2064</v>
      </c>
      <c r="SLH36" s="9" t="s">
        <v>2065</v>
      </c>
      <c r="SLI36" s="619">
        <v>1</v>
      </c>
      <c r="SLJ36" s="4">
        <v>1000000</v>
      </c>
      <c r="SLK36" s="4">
        <f>SLJ36*SLI36</f>
        <v>1000000</v>
      </c>
      <c r="SLL36" s="9" t="s">
        <v>2066</v>
      </c>
      <c r="SLM36" s="1">
        <v>65</v>
      </c>
      <c r="SLN36" s="619" t="s">
        <v>2063</v>
      </c>
      <c r="SLO36" s="148" t="s">
        <v>2064</v>
      </c>
      <c r="SLP36" s="9" t="s">
        <v>2065</v>
      </c>
      <c r="SLQ36" s="619">
        <v>1</v>
      </c>
      <c r="SLR36" s="4">
        <v>1000000</v>
      </c>
      <c r="SLS36" s="4">
        <f>SLR36*SLQ36</f>
        <v>1000000</v>
      </c>
      <c r="SLT36" s="9" t="s">
        <v>2066</v>
      </c>
      <c r="SLU36" s="1">
        <v>65</v>
      </c>
      <c r="SLV36" s="619" t="s">
        <v>2063</v>
      </c>
      <c r="SLW36" s="148" t="s">
        <v>2064</v>
      </c>
      <c r="SLX36" s="9" t="s">
        <v>2065</v>
      </c>
      <c r="SLY36" s="619">
        <v>1</v>
      </c>
      <c r="SLZ36" s="4">
        <v>1000000</v>
      </c>
      <c r="SMA36" s="4">
        <f>SLZ36*SLY36</f>
        <v>1000000</v>
      </c>
      <c r="SMB36" s="9" t="s">
        <v>2066</v>
      </c>
      <c r="SMC36" s="1">
        <v>65</v>
      </c>
      <c r="SMD36" s="619" t="s">
        <v>2063</v>
      </c>
      <c r="SME36" s="148" t="s">
        <v>2064</v>
      </c>
      <c r="SMF36" s="9" t="s">
        <v>2065</v>
      </c>
      <c r="SMG36" s="619">
        <v>1</v>
      </c>
      <c r="SMH36" s="4">
        <v>1000000</v>
      </c>
      <c r="SMI36" s="4">
        <f>SMH36*SMG36</f>
        <v>1000000</v>
      </c>
      <c r="SMJ36" s="9" t="s">
        <v>2066</v>
      </c>
      <c r="SMK36" s="1">
        <v>65</v>
      </c>
      <c r="SML36" s="619" t="s">
        <v>2063</v>
      </c>
      <c r="SMM36" s="148" t="s">
        <v>2064</v>
      </c>
      <c r="SMN36" s="9" t="s">
        <v>2065</v>
      </c>
      <c r="SMO36" s="619">
        <v>1</v>
      </c>
      <c r="SMP36" s="4">
        <v>1000000</v>
      </c>
      <c r="SMQ36" s="4">
        <f>SMP36*SMO36</f>
        <v>1000000</v>
      </c>
      <c r="SMR36" s="9" t="s">
        <v>2066</v>
      </c>
      <c r="SMS36" s="1">
        <v>65</v>
      </c>
      <c r="SMT36" s="619" t="s">
        <v>2063</v>
      </c>
      <c r="SMU36" s="148" t="s">
        <v>2064</v>
      </c>
      <c r="SMV36" s="9" t="s">
        <v>2065</v>
      </c>
      <c r="SMW36" s="619">
        <v>1</v>
      </c>
      <c r="SMX36" s="4">
        <v>1000000</v>
      </c>
      <c r="SMY36" s="4">
        <f>SMX36*SMW36</f>
        <v>1000000</v>
      </c>
      <c r="SMZ36" s="9" t="s">
        <v>2066</v>
      </c>
      <c r="SNA36" s="1">
        <v>65</v>
      </c>
      <c r="SNB36" s="619" t="s">
        <v>2063</v>
      </c>
      <c r="SNC36" s="148" t="s">
        <v>2064</v>
      </c>
      <c r="SND36" s="9" t="s">
        <v>2065</v>
      </c>
      <c r="SNE36" s="619">
        <v>1</v>
      </c>
      <c r="SNF36" s="4">
        <v>1000000</v>
      </c>
      <c r="SNG36" s="4">
        <f>SNF36*SNE36</f>
        <v>1000000</v>
      </c>
      <c r="SNH36" s="9" t="s">
        <v>2066</v>
      </c>
      <c r="SNI36" s="1">
        <v>65</v>
      </c>
      <c r="SNJ36" s="619" t="s">
        <v>2063</v>
      </c>
      <c r="SNK36" s="148" t="s">
        <v>2064</v>
      </c>
      <c r="SNL36" s="9" t="s">
        <v>2065</v>
      </c>
      <c r="SNM36" s="619">
        <v>1</v>
      </c>
      <c r="SNN36" s="4">
        <v>1000000</v>
      </c>
      <c r="SNO36" s="4">
        <f>SNN36*SNM36</f>
        <v>1000000</v>
      </c>
      <c r="SNP36" s="9" t="s">
        <v>2066</v>
      </c>
      <c r="SNQ36" s="1">
        <v>65</v>
      </c>
      <c r="SNR36" s="619" t="s">
        <v>2063</v>
      </c>
      <c r="SNS36" s="148" t="s">
        <v>2064</v>
      </c>
      <c r="SNT36" s="9" t="s">
        <v>2065</v>
      </c>
      <c r="SNU36" s="619">
        <v>1</v>
      </c>
      <c r="SNV36" s="4">
        <v>1000000</v>
      </c>
      <c r="SNW36" s="4">
        <f>SNV36*SNU36</f>
        <v>1000000</v>
      </c>
      <c r="SNX36" s="9" t="s">
        <v>2066</v>
      </c>
      <c r="SNY36" s="1">
        <v>65</v>
      </c>
      <c r="SNZ36" s="619" t="s">
        <v>2063</v>
      </c>
      <c r="SOA36" s="148" t="s">
        <v>2064</v>
      </c>
      <c r="SOB36" s="9" t="s">
        <v>2065</v>
      </c>
      <c r="SOC36" s="619">
        <v>1</v>
      </c>
      <c r="SOD36" s="4">
        <v>1000000</v>
      </c>
      <c r="SOE36" s="4">
        <f>SOD36*SOC36</f>
        <v>1000000</v>
      </c>
      <c r="SOF36" s="9" t="s">
        <v>2066</v>
      </c>
      <c r="SOG36" s="1">
        <v>65</v>
      </c>
      <c r="SOH36" s="619" t="s">
        <v>2063</v>
      </c>
      <c r="SOI36" s="148" t="s">
        <v>2064</v>
      </c>
      <c r="SOJ36" s="9" t="s">
        <v>2065</v>
      </c>
      <c r="SOK36" s="619">
        <v>1</v>
      </c>
      <c r="SOL36" s="4">
        <v>1000000</v>
      </c>
      <c r="SOM36" s="4">
        <f>SOL36*SOK36</f>
        <v>1000000</v>
      </c>
      <c r="SON36" s="9" t="s">
        <v>2066</v>
      </c>
      <c r="SOO36" s="1">
        <v>65</v>
      </c>
      <c r="SOP36" s="619" t="s">
        <v>2063</v>
      </c>
      <c r="SOQ36" s="148" t="s">
        <v>2064</v>
      </c>
      <c r="SOR36" s="9" t="s">
        <v>2065</v>
      </c>
      <c r="SOS36" s="619">
        <v>1</v>
      </c>
      <c r="SOT36" s="4">
        <v>1000000</v>
      </c>
      <c r="SOU36" s="4">
        <f>SOT36*SOS36</f>
        <v>1000000</v>
      </c>
      <c r="SOV36" s="9" t="s">
        <v>2066</v>
      </c>
      <c r="SOW36" s="1">
        <v>65</v>
      </c>
      <c r="SOX36" s="619" t="s">
        <v>2063</v>
      </c>
      <c r="SOY36" s="148" t="s">
        <v>2064</v>
      </c>
      <c r="SOZ36" s="9" t="s">
        <v>2065</v>
      </c>
      <c r="SPA36" s="619">
        <v>1</v>
      </c>
      <c r="SPB36" s="4">
        <v>1000000</v>
      </c>
      <c r="SPC36" s="4">
        <f>SPB36*SPA36</f>
        <v>1000000</v>
      </c>
      <c r="SPD36" s="9" t="s">
        <v>2066</v>
      </c>
      <c r="SPE36" s="1">
        <v>65</v>
      </c>
      <c r="SPF36" s="619" t="s">
        <v>2063</v>
      </c>
      <c r="SPG36" s="148" t="s">
        <v>2064</v>
      </c>
      <c r="SPH36" s="9" t="s">
        <v>2065</v>
      </c>
      <c r="SPI36" s="619">
        <v>1</v>
      </c>
      <c r="SPJ36" s="4">
        <v>1000000</v>
      </c>
      <c r="SPK36" s="4">
        <f>SPJ36*SPI36</f>
        <v>1000000</v>
      </c>
      <c r="SPL36" s="9" t="s">
        <v>2066</v>
      </c>
      <c r="SPM36" s="1">
        <v>65</v>
      </c>
      <c r="SPN36" s="619" t="s">
        <v>2063</v>
      </c>
      <c r="SPO36" s="148" t="s">
        <v>2064</v>
      </c>
      <c r="SPP36" s="9" t="s">
        <v>2065</v>
      </c>
      <c r="SPQ36" s="619">
        <v>1</v>
      </c>
      <c r="SPR36" s="4">
        <v>1000000</v>
      </c>
      <c r="SPS36" s="4">
        <f>SPR36*SPQ36</f>
        <v>1000000</v>
      </c>
      <c r="SPT36" s="9" t="s">
        <v>2066</v>
      </c>
      <c r="SPU36" s="1">
        <v>65</v>
      </c>
      <c r="SPV36" s="619" t="s">
        <v>2063</v>
      </c>
      <c r="SPW36" s="148" t="s">
        <v>2064</v>
      </c>
      <c r="SPX36" s="9" t="s">
        <v>2065</v>
      </c>
      <c r="SPY36" s="619">
        <v>1</v>
      </c>
      <c r="SPZ36" s="4">
        <v>1000000</v>
      </c>
      <c r="SQA36" s="4">
        <f>SPZ36*SPY36</f>
        <v>1000000</v>
      </c>
      <c r="SQB36" s="9" t="s">
        <v>2066</v>
      </c>
      <c r="SQC36" s="1">
        <v>65</v>
      </c>
      <c r="SQD36" s="619" t="s">
        <v>2063</v>
      </c>
      <c r="SQE36" s="148" t="s">
        <v>2064</v>
      </c>
      <c r="SQF36" s="9" t="s">
        <v>2065</v>
      </c>
      <c r="SQG36" s="619">
        <v>1</v>
      </c>
      <c r="SQH36" s="4">
        <v>1000000</v>
      </c>
      <c r="SQI36" s="4">
        <f>SQH36*SQG36</f>
        <v>1000000</v>
      </c>
      <c r="SQJ36" s="9" t="s">
        <v>2066</v>
      </c>
      <c r="SQK36" s="1">
        <v>65</v>
      </c>
      <c r="SQL36" s="619" t="s">
        <v>2063</v>
      </c>
      <c r="SQM36" s="148" t="s">
        <v>2064</v>
      </c>
      <c r="SQN36" s="9" t="s">
        <v>2065</v>
      </c>
      <c r="SQO36" s="619">
        <v>1</v>
      </c>
      <c r="SQP36" s="4">
        <v>1000000</v>
      </c>
      <c r="SQQ36" s="4">
        <f>SQP36*SQO36</f>
        <v>1000000</v>
      </c>
      <c r="SQR36" s="9" t="s">
        <v>2066</v>
      </c>
      <c r="SQS36" s="1">
        <v>65</v>
      </c>
      <c r="SQT36" s="619" t="s">
        <v>2063</v>
      </c>
      <c r="SQU36" s="148" t="s">
        <v>2064</v>
      </c>
      <c r="SQV36" s="9" t="s">
        <v>2065</v>
      </c>
      <c r="SQW36" s="619">
        <v>1</v>
      </c>
      <c r="SQX36" s="4">
        <v>1000000</v>
      </c>
      <c r="SQY36" s="4">
        <f>SQX36*SQW36</f>
        <v>1000000</v>
      </c>
      <c r="SQZ36" s="9" t="s">
        <v>2066</v>
      </c>
      <c r="SRA36" s="1">
        <v>65</v>
      </c>
      <c r="SRB36" s="619" t="s">
        <v>2063</v>
      </c>
      <c r="SRC36" s="148" t="s">
        <v>2064</v>
      </c>
      <c r="SRD36" s="9" t="s">
        <v>2065</v>
      </c>
      <c r="SRE36" s="619">
        <v>1</v>
      </c>
      <c r="SRF36" s="4">
        <v>1000000</v>
      </c>
      <c r="SRG36" s="4">
        <f>SRF36*SRE36</f>
        <v>1000000</v>
      </c>
      <c r="SRH36" s="9" t="s">
        <v>2066</v>
      </c>
      <c r="SRI36" s="1">
        <v>65</v>
      </c>
      <c r="SRJ36" s="619" t="s">
        <v>2063</v>
      </c>
      <c r="SRK36" s="148" t="s">
        <v>2064</v>
      </c>
      <c r="SRL36" s="9" t="s">
        <v>2065</v>
      </c>
      <c r="SRM36" s="619">
        <v>1</v>
      </c>
      <c r="SRN36" s="4">
        <v>1000000</v>
      </c>
      <c r="SRO36" s="4">
        <f>SRN36*SRM36</f>
        <v>1000000</v>
      </c>
      <c r="SRP36" s="9" t="s">
        <v>2066</v>
      </c>
      <c r="SRQ36" s="1">
        <v>65</v>
      </c>
      <c r="SRR36" s="619" t="s">
        <v>2063</v>
      </c>
      <c r="SRS36" s="148" t="s">
        <v>2064</v>
      </c>
      <c r="SRT36" s="9" t="s">
        <v>2065</v>
      </c>
      <c r="SRU36" s="619">
        <v>1</v>
      </c>
      <c r="SRV36" s="4">
        <v>1000000</v>
      </c>
      <c r="SRW36" s="4">
        <f>SRV36*SRU36</f>
        <v>1000000</v>
      </c>
      <c r="SRX36" s="9" t="s">
        <v>2066</v>
      </c>
      <c r="SRY36" s="1">
        <v>65</v>
      </c>
      <c r="SRZ36" s="619" t="s">
        <v>2063</v>
      </c>
      <c r="SSA36" s="148" t="s">
        <v>2064</v>
      </c>
      <c r="SSB36" s="9" t="s">
        <v>2065</v>
      </c>
      <c r="SSC36" s="619">
        <v>1</v>
      </c>
      <c r="SSD36" s="4">
        <v>1000000</v>
      </c>
      <c r="SSE36" s="4">
        <f>SSD36*SSC36</f>
        <v>1000000</v>
      </c>
      <c r="SSF36" s="9" t="s">
        <v>2066</v>
      </c>
      <c r="SSG36" s="1">
        <v>65</v>
      </c>
      <c r="SSH36" s="619" t="s">
        <v>2063</v>
      </c>
      <c r="SSI36" s="148" t="s">
        <v>2064</v>
      </c>
      <c r="SSJ36" s="9" t="s">
        <v>2065</v>
      </c>
      <c r="SSK36" s="619">
        <v>1</v>
      </c>
      <c r="SSL36" s="4">
        <v>1000000</v>
      </c>
      <c r="SSM36" s="4">
        <f>SSL36*SSK36</f>
        <v>1000000</v>
      </c>
      <c r="SSN36" s="9" t="s">
        <v>2066</v>
      </c>
      <c r="SSO36" s="1">
        <v>65</v>
      </c>
      <c r="SSP36" s="619" t="s">
        <v>2063</v>
      </c>
      <c r="SSQ36" s="148" t="s">
        <v>2064</v>
      </c>
      <c r="SSR36" s="9" t="s">
        <v>2065</v>
      </c>
      <c r="SSS36" s="619">
        <v>1</v>
      </c>
      <c r="SST36" s="4">
        <v>1000000</v>
      </c>
      <c r="SSU36" s="4">
        <f>SST36*SSS36</f>
        <v>1000000</v>
      </c>
      <c r="SSV36" s="9" t="s">
        <v>2066</v>
      </c>
      <c r="SSW36" s="1">
        <v>65</v>
      </c>
      <c r="SSX36" s="619" t="s">
        <v>2063</v>
      </c>
      <c r="SSY36" s="148" t="s">
        <v>2064</v>
      </c>
      <c r="SSZ36" s="9" t="s">
        <v>2065</v>
      </c>
      <c r="STA36" s="619">
        <v>1</v>
      </c>
      <c r="STB36" s="4">
        <v>1000000</v>
      </c>
      <c r="STC36" s="4">
        <f>STB36*STA36</f>
        <v>1000000</v>
      </c>
      <c r="STD36" s="9" t="s">
        <v>2066</v>
      </c>
      <c r="STE36" s="1">
        <v>65</v>
      </c>
      <c r="STF36" s="619" t="s">
        <v>2063</v>
      </c>
      <c r="STG36" s="148" t="s">
        <v>2064</v>
      </c>
      <c r="STH36" s="9" t="s">
        <v>2065</v>
      </c>
      <c r="STI36" s="619">
        <v>1</v>
      </c>
      <c r="STJ36" s="4">
        <v>1000000</v>
      </c>
      <c r="STK36" s="4">
        <f>STJ36*STI36</f>
        <v>1000000</v>
      </c>
      <c r="STL36" s="9" t="s">
        <v>2066</v>
      </c>
      <c r="STM36" s="1">
        <v>65</v>
      </c>
      <c r="STN36" s="619" t="s">
        <v>2063</v>
      </c>
      <c r="STO36" s="148" t="s">
        <v>2064</v>
      </c>
      <c r="STP36" s="9" t="s">
        <v>2065</v>
      </c>
      <c r="STQ36" s="619">
        <v>1</v>
      </c>
      <c r="STR36" s="4">
        <v>1000000</v>
      </c>
      <c r="STS36" s="4">
        <f>STR36*STQ36</f>
        <v>1000000</v>
      </c>
      <c r="STT36" s="9" t="s">
        <v>2066</v>
      </c>
      <c r="STU36" s="1">
        <v>65</v>
      </c>
      <c r="STV36" s="619" t="s">
        <v>2063</v>
      </c>
      <c r="STW36" s="148" t="s">
        <v>2064</v>
      </c>
      <c r="STX36" s="9" t="s">
        <v>2065</v>
      </c>
      <c r="STY36" s="619">
        <v>1</v>
      </c>
      <c r="STZ36" s="4">
        <v>1000000</v>
      </c>
      <c r="SUA36" s="4">
        <f>STZ36*STY36</f>
        <v>1000000</v>
      </c>
      <c r="SUB36" s="9" t="s">
        <v>2066</v>
      </c>
      <c r="SUC36" s="1">
        <v>65</v>
      </c>
      <c r="SUD36" s="619" t="s">
        <v>2063</v>
      </c>
      <c r="SUE36" s="148" t="s">
        <v>2064</v>
      </c>
      <c r="SUF36" s="9" t="s">
        <v>2065</v>
      </c>
      <c r="SUG36" s="619">
        <v>1</v>
      </c>
      <c r="SUH36" s="4">
        <v>1000000</v>
      </c>
      <c r="SUI36" s="4">
        <f>SUH36*SUG36</f>
        <v>1000000</v>
      </c>
      <c r="SUJ36" s="9" t="s">
        <v>2066</v>
      </c>
      <c r="SUK36" s="1">
        <v>65</v>
      </c>
      <c r="SUL36" s="619" t="s">
        <v>2063</v>
      </c>
      <c r="SUM36" s="148" t="s">
        <v>2064</v>
      </c>
      <c r="SUN36" s="9" t="s">
        <v>2065</v>
      </c>
      <c r="SUO36" s="619">
        <v>1</v>
      </c>
      <c r="SUP36" s="4">
        <v>1000000</v>
      </c>
      <c r="SUQ36" s="4">
        <f>SUP36*SUO36</f>
        <v>1000000</v>
      </c>
      <c r="SUR36" s="9" t="s">
        <v>2066</v>
      </c>
      <c r="SUS36" s="1">
        <v>65</v>
      </c>
      <c r="SUT36" s="619" t="s">
        <v>2063</v>
      </c>
      <c r="SUU36" s="148" t="s">
        <v>2064</v>
      </c>
      <c r="SUV36" s="9" t="s">
        <v>2065</v>
      </c>
      <c r="SUW36" s="619">
        <v>1</v>
      </c>
      <c r="SUX36" s="4">
        <v>1000000</v>
      </c>
      <c r="SUY36" s="4">
        <f>SUX36*SUW36</f>
        <v>1000000</v>
      </c>
      <c r="SUZ36" s="9" t="s">
        <v>2066</v>
      </c>
      <c r="SVA36" s="1">
        <v>65</v>
      </c>
      <c r="SVB36" s="619" t="s">
        <v>2063</v>
      </c>
      <c r="SVC36" s="148" t="s">
        <v>2064</v>
      </c>
      <c r="SVD36" s="9" t="s">
        <v>2065</v>
      </c>
      <c r="SVE36" s="619">
        <v>1</v>
      </c>
      <c r="SVF36" s="4">
        <v>1000000</v>
      </c>
      <c r="SVG36" s="4">
        <f>SVF36*SVE36</f>
        <v>1000000</v>
      </c>
      <c r="SVH36" s="9" t="s">
        <v>2066</v>
      </c>
      <c r="SVI36" s="1">
        <v>65</v>
      </c>
      <c r="SVJ36" s="619" t="s">
        <v>2063</v>
      </c>
      <c r="SVK36" s="148" t="s">
        <v>2064</v>
      </c>
      <c r="SVL36" s="9" t="s">
        <v>2065</v>
      </c>
      <c r="SVM36" s="619">
        <v>1</v>
      </c>
      <c r="SVN36" s="4">
        <v>1000000</v>
      </c>
      <c r="SVO36" s="4">
        <f>SVN36*SVM36</f>
        <v>1000000</v>
      </c>
      <c r="SVP36" s="9" t="s">
        <v>2066</v>
      </c>
      <c r="SVQ36" s="1">
        <v>65</v>
      </c>
      <c r="SVR36" s="619" t="s">
        <v>2063</v>
      </c>
      <c r="SVS36" s="148" t="s">
        <v>2064</v>
      </c>
      <c r="SVT36" s="9" t="s">
        <v>2065</v>
      </c>
      <c r="SVU36" s="619">
        <v>1</v>
      </c>
      <c r="SVV36" s="4">
        <v>1000000</v>
      </c>
      <c r="SVW36" s="4">
        <f>SVV36*SVU36</f>
        <v>1000000</v>
      </c>
      <c r="SVX36" s="9" t="s">
        <v>2066</v>
      </c>
      <c r="SVY36" s="1">
        <v>65</v>
      </c>
      <c r="SVZ36" s="619" t="s">
        <v>2063</v>
      </c>
      <c r="SWA36" s="148" t="s">
        <v>2064</v>
      </c>
      <c r="SWB36" s="9" t="s">
        <v>2065</v>
      </c>
      <c r="SWC36" s="619">
        <v>1</v>
      </c>
      <c r="SWD36" s="4">
        <v>1000000</v>
      </c>
      <c r="SWE36" s="4">
        <f>SWD36*SWC36</f>
        <v>1000000</v>
      </c>
      <c r="SWF36" s="9" t="s">
        <v>2066</v>
      </c>
      <c r="SWG36" s="1">
        <v>65</v>
      </c>
      <c r="SWH36" s="619" t="s">
        <v>2063</v>
      </c>
      <c r="SWI36" s="148" t="s">
        <v>2064</v>
      </c>
      <c r="SWJ36" s="9" t="s">
        <v>2065</v>
      </c>
      <c r="SWK36" s="619">
        <v>1</v>
      </c>
      <c r="SWL36" s="4">
        <v>1000000</v>
      </c>
      <c r="SWM36" s="4">
        <f>SWL36*SWK36</f>
        <v>1000000</v>
      </c>
      <c r="SWN36" s="9" t="s">
        <v>2066</v>
      </c>
      <c r="SWO36" s="1">
        <v>65</v>
      </c>
      <c r="SWP36" s="619" t="s">
        <v>2063</v>
      </c>
      <c r="SWQ36" s="148" t="s">
        <v>2064</v>
      </c>
      <c r="SWR36" s="9" t="s">
        <v>2065</v>
      </c>
      <c r="SWS36" s="619">
        <v>1</v>
      </c>
      <c r="SWT36" s="4">
        <v>1000000</v>
      </c>
      <c r="SWU36" s="4">
        <f>SWT36*SWS36</f>
        <v>1000000</v>
      </c>
      <c r="SWV36" s="9" t="s">
        <v>2066</v>
      </c>
      <c r="SWW36" s="1">
        <v>65</v>
      </c>
      <c r="SWX36" s="619" t="s">
        <v>2063</v>
      </c>
      <c r="SWY36" s="148" t="s">
        <v>2064</v>
      </c>
      <c r="SWZ36" s="9" t="s">
        <v>2065</v>
      </c>
      <c r="SXA36" s="619">
        <v>1</v>
      </c>
      <c r="SXB36" s="4">
        <v>1000000</v>
      </c>
      <c r="SXC36" s="4">
        <f>SXB36*SXA36</f>
        <v>1000000</v>
      </c>
      <c r="SXD36" s="9" t="s">
        <v>2066</v>
      </c>
      <c r="SXE36" s="1">
        <v>65</v>
      </c>
      <c r="SXF36" s="619" t="s">
        <v>2063</v>
      </c>
      <c r="SXG36" s="148" t="s">
        <v>2064</v>
      </c>
      <c r="SXH36" s="9" t="s">
        <v>2065</v>
      </c>
      <c r="SXI36" s="619">
        <v>1</v>
      </c>
      <c r="SXJ36" s="4">
        <v>1000000</v>
      </c>
      <c r="SXK36" s="4">
        <f>SXJ36*SXI36</f>
        <v>1000000</v>
      </c>
      <c r="SXL36" s="9" t="s">
        <v>2066</v>
      </c>
      <c r="SXM36" s="1">
        <v>65</v>
      </c>
      <c r="SXN36" s="619" t="s">
        <v>2063</v>
      </c>
      <c r="SXO36" s="148" t="s">
        <v>2064</v>
      </c>
      <c r="SXP36" s="9" t="s">
        <v>2065</v>
      </c>
      <c r="SXQ36" s="619">
        <v>1</v>
      </c>
      <c r="SXR36" s="4">
        <v>1000000</v>
      </c>
      <c r="SXS36" s="4">
        <f>SXR36*SXQ36</f>
        <v>1000000</v>
      </c>
      <c r="SXT36" s="9" t="s">
        <v>2066</v>
      </c>
      <c r="SXU36" s="1">
        <v>65</v>
      </c>
      <c r="SXV36" s="619" t="s">
        <v>2063</v>
      </c>
      <c r="SXW36" s="148" t="s">
        <v>2064</v>
      </c>
      <c r="SXX36" s="9" t="s">
        <v>2065</v>
      </c>
      <c r="SXY36" s="619">
        <v>1</v>
      </c>
      <c r="SXZ36" s="4">
        <v>1000000</v>
      </c>
      <c r="SYA36" s="4">
        <f>SXZ36*SXY36</f>
        <v>1000000</v>
      </c>
      <c r="SYB36" s="9" t="s">
        <v>2066</v>
      </c>
      <c r="SYC36" s="1">
        <v>65</v>
      </c>
      <c r="SYD36" s="619" t="s">
        <v>2063</v>
      </c>
      <c r="SYE36" s="148" t="s">
        <v>2064</v>
      </c>
      <c r="SYF36" s="9" t="s">
        <v>2065</v>
      </c>
      <c r="SYG36" s="619">
        <v>1</v>
      </c>
      <c r="SYH36" s="4">
        <v>1000000</v>
      </c>
      <c r="SYI36" s="4">
        <f>SYH36*SYG36</f>
        <v>1000000</v>
      </c>
      <c r="SYJ36" s="9" t="s">
        <v>2066</v>
      </c>
      <c r="SYK36" s="1">
        <v>65</v>
      </c>
      <c r="SYL36" s="619" t="s">
        <v>2063</v>
      </c>
      <c r="SYM36" s="148" t="s">
        <v>2064</v>
      </c>
      <c r="SYN36" s="9" t="s">
        <v>2065</v>
      </c>
      <c r="SYO36" s="619">
        <v>1</v>
      </c>
      <c r="SYP36" s="4">
        <v>1000000</v>
      </c>
      <c r="SYQ36" s="4">
        <f>SYP36*SYO36</f>
        <v>1000000</v>
      </c>
      <c r="SYR36" s="9" t="s">
        <v>2066</v>
      </c>
      <c r="SYS36" s="1">
        <v>65</v>
      </c>
      <c r="SYT36" s="619" t="s">
        <v>2063</v>
      </c>
      <c r="SYU36" s="148" t="s">
        <v>2064</v>
      </c>
      <c r="SYV36" s="9" t="s">
        <v>2065</v>
      </c>
      <c r="SYW36" s="619">
        <v>1</v>
      </c>
      <c r="SYX36" s="4">
        <v>1000000</v>
      </c>
      <c r="SYY36" s="4">
        <f>SYX36*SYW36</f>
        <v>1000000</v>
      </c>
      <c r="SYZ36" s="9" t="s">
        <v>2066</v>
      </c>
      <c r="SZA36" s="1">
        <v>65</v>
      </c>
      <c r="SZB36" s="619" t="s">
        <v>2063</v>
      </c>
      <c r="SZC36" s="148" t="s">
        <v>2064</v>
      </c>
      <c r="SZD36" s="9" t="s">
        <v>2065</v>
      </c>
      <c r="SZE36" s="619">
        <v>1</v>
      </c>
      <c r="SZF36" s="4">
        <v>1000000</v>
      </c>
      <c r="SZG36" s="4">
        <f>SZF36*SZE36</f>
        <v>1000000</v>
      </c>
      <c r="SZH36" s="9" t="s">
        <v>2066</v>
      </c>
      <c r="SZI36" s="1">
        <v>65</v>
      </c>
      <c r="SZJ36" s="619" t="s">
        <v>2063</v>
      </c>
      <c r="SZK36" s="148" t="s">
        <v>2064</v>
      </c>
      <c r="SZL36" s="9" t="s">
        <v>2065</v>
      </c>
      <c r="SZM36" s="619">
        <v>1</v>
      </c>
      <c r="SZN36" s="4">
        <v>1000000</v>
      </c>
      <c r="SZO36" s="4">
        <f>SZN36*SZM36</f>
        <v>1000000</v>
      </c>
      <c r="SZP36" s="9" t="s">
        <v>2066</v>
      </c>
      <c r="SZQ36" s="1">
        <v>65</v>
      </c>
      <c r="SZR36" s="619" t="s">
        <v>2063</v>
      </c>
      <c r="SZS36" s="148" t="s">
        <v>2064</v>
      </c>
      <c r="SZT36" s="9" t="s">
        <v>2065</v>
      </c>
      <c r="SZU36" s="619">
        <v>1</v>
      </c>
      <c r="SZV36" s="4">
        <v>1000000</v>
      </c>
      <c r="SZW36" s="4">
        <f>SZV36*SZU36</f>
        <v>1000000</v>
      </c>
      <c r="SZX36" s="9" t="s">
        <v>2066</v>
      </c>
      <c r="SZY36" s="1">
        <v>65</v>
      </c>
      <c r="SZZ36" s="619" t="s">
        <v>2063</v>
      </c>
      <c r="TAA36" s="148" t="s">
        <v>2064</v>
      </c>
      <c r="TAB36" s="9" t="s">
        <v>2065</v>
      </c>
      <c r="TAC36" s="619">
        <v>1</v>
      </c>
      <c r="TAD36" s="4">
        <v>1000000</v>
      </c>
      <c r="TAE36" s="4">
        <f>TAD36*TAC36</f>
        <v>1000000</v>
      </c>
      <c r="TAF36" s="9" t="s">
        <v>2066</v>
      </c>
      <c r="TAG36" s="1">
        <v>65</v>
      </c>
      <c r="TAH36" s="619" t="s">
        <v>2063</v>
      </c>
      <c r="TAI36" s="148" t="s">
        <v>2064</v>
      </c>
      <c r="TAJ36" s="9" t="s">
        <v>2065</v>
      </c>
      <c r="TAK36" s="619">
        <v>1</v>
      </c>
      <c r="TAL36" s="4">
        <v>1000000</v>
      </c>
      <c r="TAM36" s="4">
        <f>TAL36*TAK36</f>
        <v>1000000</v>
      </c>
      <c r="TAN36" s="9" t="s">
        <v>2066</v>
      </c>
      <c r="TAO36" s="1">
        <v>65</v>
      </c>
      <c r="TAP36" s="619" t="s">
        <v>2063</v>
      </c>
      <c r="TAQ36" s="148" t="s">
        <v>2064</v>
      </c>
      <c r="TAR36" s="9" t="s">
        <v>2065</v>
      </c>
      <c r="TAS36" s="619">
        <v>1</v>
      </c>
      <c r="TAT36" s="4">
        <v>1000000</v>
      </c>
      <c r="TAU36" s="4">
        <f>TAT36*TAS36</f>
        <v>1000000</v>
      </c>
      <c r="TAV36" s="9" t="s">
        <v>2066</v>
      </c>
      <c r="TAW36" s="1">
        <v>65</v>
      </c>
      <c r="TAX36" s="619" t="s">
        <v>2063</v>
      </c>
      <c r="TAY36" s="148" t="s">
        <v>2064</v>
      </c>
      <c r="TAZ36" s="9" t="s">
        <v>2065</v>
      </c>
      <c r="TBA36" s="619">
        <v>1</v>
      </c>
      <c r="TBB36" s="4">
        <v>1000000</v>
      </c>
      <c r="TBC36" s="4">
        <f>TBB36*TBA36</f>
        <v>1000000</v>
      </c>
      <c r="TBD36" s="9" t="s">
        <v>2066</v>
      </c>
      <c r="TBE36" s="1">
        <v>65</v>
      </c>
      <c r="TBF36" s="619" t="s">
        <v>2063</v>
      </c>
      <c r="TBG36" s="148" t="s">
        <v>2064</v>
      </c>
      <c r="TBH36" s="9" t="s">
        <v>2065</v>
      </c>
      <c r="TBI36" s="619">
        <v>1</v>
      </c>
      <c r="TBJ36" s="4">
        <v>1000000</v>
      </c>
      <c r="TBK36" s="4">
        <f>TBJ36*TBI36</f>
        <v>1000000</v>
      </c>
      <c r="TBL36" s="9" t="s">
        <v>2066</v>
      </c>
      <c r="TBM36" s="1">
        <v>65</v>
      </c>
      <c r="TBN36" s="619" t="s">
        <v>2063</v>
      </c>
      <c r="TBO36" s="148" t="s">
        <v>2064</v>
      </c>
      <c r="TBP36" s="9" t="s">
        <v>2065</v>
      </c>
      <c r="TBQ36" s="619">
        <v>1</v>
      </c>
      <c r="TBR36" s="4">
        <v>1000000</v>
      </c>
      <c r="TBS36" s="4">
        <f>TBR36*TBQ36</f>
        <v>1000000</v>
      </c>
      <c r="TBT36" s="9" t="s">
        <v>2066</v>
      </c>
      <c r="TBU36" s="1">
        <v>65</v>
      </c>
      <c r="TBV36" s="619" t="s">
        <v>2063</v>
      </c>
      <c r="TBW36" s="148" t="s">
        <v>2064</v>
      </c>
      <c r="TBX36" s="9" t="s">
        <v>2065</v>
      </c>
      <c r="TBY36" s="619">
        <v>1</v>
      </c>
      <c r="TBZ36" s="4">
        <v>1000000</v>
      </c>
      <c r="TCA36" s="4">
        <f>TBZ36*TBY36</f>
        <v>1000000</v>
      </c>
      <c r="TCB36" s="9" t="s">
        <v>2066</v>
      </c>
      <c r="TCC36" s="1">
        <v>65</v>
      </c>
      <c r="TCD36" s="619" t="s">
        <v>2063</v>
      </c>
      <c r="TCE36" s="148" t="s">
        <v>2064</v>
      </c>
      <c r="TCF36" s="9" t="s">
        <v>2065</v>
      </c>
      <c r="TCG36" s="619">
        <v>1</v>
      </c>
      <c r="TCH36" s="4">
        <v>1000000</v>
      </c>
      <c r="TCI36" s="4">
        <f>TCH36*TCG36</f>
        <v>1000000</v>
      </c>
      <c r="TCJ36" s="9" t="s">
        <v>2066</v>
      </c>
      <c r="TCK36" s="1">
        <v>65</v>
      </c>
      <c r="TCL36" s="619" t="s">
        <v>2063</v>
      </c>
      <c r="TCM36" s="148" t="s">
        <v>2064</v>
      </c>
      <c r="TCN36" s="9" t="s">
        <v>2065</v>
      </c>
      <c r="TCO36" s="619">
        <v>1</v>
      </c>
      <c r="TCP36" s="4">
        <v>1000000</v>
      </c>
      <c r="TCQ36" s="4">
        <f>TCP36*TCO36</f>
        <v>1000000</v>
      </c>
      <c r="TCR36" s="9" t="s">
        <v>2066</v>
      </c>
      <c r="TCS36" s="1">
        <v>65</v>
      </c>
      <c r="TCT36" s="619" t="s">
        <v>2063</v>
      </c>
      <c r="TCU36" s="148" t="s">
        <v>2064</v>
      </c>
      <c r="TCV36" s="9" t="s">
        <v>2065</v>
      </c>
      <c r="TCW36" s="619">
        <v>1</v>
      </c>
      <c r="TCX36" s="4">
        <v>1000000</v>
      </c>
      <c r="TCY36" s="4">
        <f>TCX36*TCW36</f>
        <v>1000000</v>
      </c>
      <c r="TCZ36" s="9" t="s">
        <v>2066</v>
      </c>
      <c r="TDA36" s="1">
        <v>65</v>
      </c>
      <c r="TDB36" s="619" t="s">
        <v>2063</v>
      </c>
      <c r="TDC36" s="148" t="s">
        <v>2064</v>
      </c>
      <c r="TDD36" s="9" t="s">
        <v>2065</v>
      </c>
      <c r="TDE36" s="619">
        <v>1</v>
      </c>
      <c r="TDF36" s="4">
        <v>1000000</v>
      </c>
      <c r="TDG36" s="4">
        <f>TDF36*TDE36</f>
        <v>1000000</v>
      </c>
      <c r="TDH36" s="9" t="s">
        <v>2066</v>
      </c>
      <c r="TDI36" s="1">
        <v>65</v>
      </c>
      <c r="TDJ36" s="619" t="s">
        <v>2063</v>
      </c>
      <c r="TDK36" s="148" t="s">
        <v>2064</v>
      </c>
      <c r="TDL36" s="9" t="s">
        <v>2065</v>
      </c>
      <c r="TDM36" s="619">
        <v>1</v>
      </c>
      <c r="TDN36" s="4">
        <v>1000000</v>
      </c>
      <c r="TDO36" s="4">
        <f>TDN36*TDM36</f>
        <v>1000000</v>
      </c>
      <c r="TDP36" s="9" t="s">
        <v>2066</v>
      </c>
      <c r="TDQ36" s="1">
        <v>65</v>
      </c>
      <c r="TDR36" s="619" t="s">
        <v>2063</v>
      </c>
      <c r="TDS36" s="148" t="s">
        <v>2064</v>
      </c>
      <c r="TDT36" s="9" t="s">
        <v>2065</v>
      </c>
      <c r="TDU36" s="619">
        <v>1</v>
      </c>
      <c r="TDV36" s="4">
        <v>1000000</v>
      </c>
      <c r="TDW36" s="4">
        <f>TDV36*TDU36</f>
        <v>1000000</v>
      </c>
      <c r="TDX36" s="9" t="s">
        <v>2066</v>
      </c>
      <c r="TDY36" s="1">
        <v>65</v>
      </c>
      <c r="TDZ36" s="619" t="s">
        <v>2063</v>
      </c>
      <c r="TEA36" s="148" t="s">
        <v>2064</v>
      </c>
      <c r="TEB36" s="9" t="s">
        <v>2065</v>
      </c>
      <c r="TEC36" s="619">
        <v>1</v>
      </c>
      <c r="TED36" s="4">
        <v>1000000</v>
      </c>
      <c r="TEE36" s="4">
        <f>TED36*TEC36</f>
        <v>1000000</v>
      </c>
      <c r="TEF36" s="9" t="s">
        <v>2066</v>
      </c>
      <c r="TEG36" s="1">
        <v>65</v>
      </c>
      <c r="TEH36" s="619" t="s">
        <v>2063</v>
      </c>
      <c r="TEI36" s="148" t="s">
        <v>2064</v>
      </c>
      <c r="TEJ36" s="9" t="s">
        <v>2065</v>
      </c>
      <c r="TEK36" s="619">
        <v>1</v>
      </c>
      <c r="TEL36" s="4">
        <v>1000000</v>
      </c>
      <c r="TEM36" s="4">
        <f>TEL36*TEK36</f>
        <v>1000000</v>
      </c>
      <c r="TEN36" s="9" t="s">
        <v>2066</v>
      </c>
      <c r="TEO36" s="1">
        <v>65</v>
      </c>
      <c r="TEP36" s="619" t="s">
        <v>2063</v>
      </c>
      <c r="TEQ36" s="148" t="s">
        <v>2064</v>
      </c>
      <c r="TER36" s="9" t="s">
        <v>2065</v>
      </c>
      <c r="TES36" s="619">
        <v>1</v>
      </c>
      <c r="TET36" s="4">
        <v>1000000</v>
      </c>
      <c r="TEU36" s="4">
        <f>TET36*TES36</f>
        <v>1000000</v>
      </c>
      <c r="TEV36" s="9" t="s">
        <v>2066</v>
      </c>
      <c r="TEW36" s="1">
        <v>65</v>
      </c>
      <c r="TEX36" s="619" t="s">
        <v>2063</v>
      </c>
      <c r="TEY36" s="148" t="s">
        <v>2064</v>
      </c>
      <c r="TEZ36" s="9" t="s">
        <v>2065</v>
      </c>
      <c r="TFA36" s="619">
        <v>1</v>
      </c>
      <c r="TFB36" s="4">
        <v>1000000</v>
      </c>
      <c r="TFC36" s="4">
        <f>TFB36*TFA36</f>
        <v>1000000</v>
      </c>
      <c r="TFD36" s="9" t="s">
        <v>2066</v>
      </c>
      <c r="TFE36" s="1">
        <v>65</v>
      </c>
      <c r="TFF36" s="619" t="s">
        <v>2063</v>
      </c>
      <c r="TFG36" s="148" t="s">
        <v>2064</v>
      </c>
      <c r="TFH36" s="9" t="s">
        <v>2065</v>
      </c>
      <c r="TFI36" s="619">
        <v>1</v>
      </c>
      <c r="TFJ36" s="4">
        <v>1000000</v>
      </c>
      <c r="TFK36" s="4">
        <f>TFJ36*TFI36</f>
        <v>1000000</v>
      </c>
      <c r="TFL36" s="9" t="s">
        <v>2066</v>
      </c>
      <c r="TFM36" s="1">
        <v>65</v>
      </c>
      <c r="TFN36" s="619" t="s">
        <v>2063</v>
      </c>
      <c r="TFO36" s="148" t="s">
        <v>2064</v>
      </c>
      <c r="TFP36" s="9" t="s">
        <v>2065</v>
      </c>
      <c r="TFQ36" s="619">
        <v>1</v>
      </c>
      <c r="TFR36" s="4">
        <v>1000000</v>
      </c>
      <c r="TFS36" s="4">
        <f>TFR36*TFQ36</f>
        <v>1000000</v>
      </c>
      <c r="TFT36" s="9" t="s">
        <v>2066</v>
      </c>
      <c r="TFU36" s="1">
        <v>65</v>
      </c>
      <c r="TFV36" s="619" t="s">
        <v>2063</v>
      </c>
      <c r="TFW36" s="148" t="s">
        <v>2064</v>
      </c>
      <c r="TFX36" s="9" t="s">
        <v>2065</v>
      </c>
      <c r="TFY36" s="619">
        <v>1</v>
      </c>
      <c r="TFZ36" s="4">
        <v>1000000</v>
      </c>
      <c r="TGA36" s="4">
        <f>TFZ36*TFY36</f>
        <v>1000000</v>
      </c>
      <c r="TGB36" s="9" t="s">
        <v>2066</v>
      </c>
      <c r="TGC36" s="1">
        <v>65</v>
      </c>
      <c r="TGD36" s="619" t="s">
        <v>2063</v>
      </c>
      <c r="TGE36" s="148" t="s">
        <v>2064</v>
      </c>
      <c r="TGF36" s="9" t="s">
        <v>2065</v>
      </c>
      <c r="TGG36" s="619">
        <v>1</v>
      </c>
      <c r="TGH36" s="4">
        <v>1000000</v>
      </c>
      <c r="TGI36" s="4">
        <f>TGH36*TGG36</f>
        <v>1000000</v>
      </c>
      <c r="TGJ36" s="9" t="s">
        <v>2066</v>
      </c>
      <c r="TGK36" s="1">
        <v>65</v>
      </c>
      <c r="TGL36" s="619" t="s">
        <v>2063</v>
      </c>
      <c r="TGM36" s="148" t="s">
        <v>2064</v>
      </c>
      <c r="TGN36" s="9" t="s">
        <v>2065</v>
      </c>
      <c r="TGO36" s="619">
        <v>1</v>
      </c>
      <c r="TGP36" s="4">
        <v>1000000</v>
      </c>
      <c r="TGQ36" s="4">
        <f>TGP36*TGO36</f>
        <v>1000000</v>
      </c>
      <c r="TGR36" s="9" t="s">
        <v>2066</v>
      </c>
      <c r="TGS36" s="1">
        <v>65</v>
      </c>
      <c r="TGT36" s="619" t="s">
        <v>2063</v>
      </c>
      <c r="TGU36" s="148" t="s">
        <v>2064</v>
      </c>
      <c r="TGV36" s="9" t="s">
        <v>2065</v>
      </c>
      <c r="TGW36" s="619">
        <v>1</v>
      </c>
      <c r="TGX36" s="4">
        <v>1000000</v>
      </c>
      <c r="TGY36" s="4">
        <f>TGX36*TGW36</f>
        <v>1000000</v>
      </c>
      <c r="TGZ36" s="9" t="s">
        <v>2066</v>
      </c>
      <c r="THA36" s="1">
        <v>65</v>
      </c>
      <c r="THB36" s="619" t="s">
        <v>2063</v>
      </c>
      <c r="THC36" s="148" t="s">
        <v>2064</v>
      </c>
      <c r="THD36" s="9" t="s">
        <v>2065</v>
      </c>
      <c r="THE36" s="619">
        <v>1</v>
      </c>
      <c r="THF36" s="4">
        <v>1000000</v>
      </c>
      <c r="THG36" s="4">
        <f>THF36*THE36</f>
        <v>1000000</v>
      </c>
      <c r="THH36" s="9" t="s">
        <v>2066</v>
      </c>
      <c r="THI36" s="1">
        <v>65</v>
      </c>
      <c r="THJ36" s="619" t="s">
        <v>2063</v>
      </c>
      <c r="THK36" s="148" t="s">
        <v>2064</v>
      </c>
      <c r="THL36" s="9" t="s">
        <v>2065</v>
      </c>
      <c r="THM36" s="619">
        <v>1</v>
      </c>
      <c r="THN36" s="4">
        <v>1000000</v>
      </c>
      <c r="THO36" s="4">
        <f>THN36*THM36</f>
        <v>1000000</v>
      </c>
      <c r="THP36" s="9" t="s">
        <v>2066</v>
      </c>
      <c r="THQ36" s="1">
        <v>65</v>
      </c>
      <c r="THR36" s="619" t="s">
        <v>2063</v>
      </c>
      <c r="THS36" s="148" t="s">
        <v>2064</v>
      </c>
      <c r="THT36" s="9" t="s">
        <v>2065</v>
      </c>
      <c r="THU36" s="619">
        <v>1</v>
      </c>
      <c r="THV36" s="4">
        <v>1000000</v>
      </c>
      <c r="THW36" s="4">
        <f>THV36*THU36</f>
        <v>1000000</v>
      </c>
      <c r="THX36" s="9" t="s">
        <v>2066</v>
      </c>
      <c r="THY36" s="1">
        <v>65</v>
      </c>
      <c r="THZ36" s="619" t="s">
        <v>2063</v>
      </c>
      <c r="TIA36" s="148" t="s">
        <v>2064</v>
      </c>
      <c r="TIB36" s="9" t="s">
        <v>2065</v>
      </c>
      <c r="TIC36" s="619">
        <v>1</v>
      </c>
      <c r="TID36" s="4">
        <v>1000000</v>
      </c>
      <c r="TIE36" s="4">
        <f>TID36*TIC36</f>
        <v>1000000</v>
      </c>
      <c r="TIF36" s="9" t="s">
        <v>2066</v>
      </c>
      <c r="TIG36" s="1">
        <v>65</v>
      </c>
      <c r="TIH36" s="619" t="s">
        <v>2063</v>
      </c>
      <c r="TII36" s="148" t="s">
        <v>2064</v>
      </c>
      <c r="TIJ36" s="9" t="s">
        <v>2065</v>
      </c>
      <c r="TIK36" s="619">
        <v>1</v>
      </c>
      <c r="TIL36" s="4">
        <v>1000000</v>
      </c>
      <c r="TIM36" s="4">
        <f>TIL36*TIK36</f>
        <v>1000000</v>
      </c>
      <c r="TIN36" s="9" t="s">
        <v>2066</v>
      </c>
      <c r="TIO36" s="1">
        <v>65</v>
      </c>
      <c r="TIP36" s="619" t="s">
        <v>2063</v>
      </c>
      <c r="TIQ36" s="148" t="s">
        <v>2064</v>
      </c>
      <c r="TIR36" s="9" t="s">
        <v>2065</v>
      </c>
      <c r="TIS36" s="619">
        <v>1</v>
      </c>
      <c r="TIT36" s="4">
        <v>1000000</v>
      </c>
      <c r="TIU36" s="4">
        <f>TIT36*TIS36</f>
        <v>1000000</v>
      </c>
      <c r="TIV36" s="9" t="s">
        <v>2066</v>
      </c>
      <c r="TIW36" s="1">
        <v>65</v>
      </c>
      <c r="TIX36" s="619" t="s">
        <v>2063</v>
      </c>
      <c r="TIY36" s="148" t="s">
        <v>2064</v>
      </c>
      <c r="TIZ36" s="9" t="s">
        <v>2065</v>
      </c>
      <c r="TJA36" s="619">
        <v>1</v>
      </c>
      <c r="TJB36" s="4">
        <v>1000000</v>
      </c>
      <c r="TJC36" s="4">
        <f>TJB36*TJA36</f>
        <v>1000000</v>
      </c>
      <c r="TJD36" s="9" t="s">
        <v>2066</v>
      </c>
      <c r="TJE36" s="1">
        <v>65</v>
      </c>
      <c r="TJF36" s="619" t="s">
        <v>2063</v>
      </c>
      <c r="TJG36" s="148" t="s">
        <v>2064</v>
      </c>
      <c r="TJH36" s="9" t="s">
        <v>2065</v>
      </c>
      <c r="TJI36" s="619">
        <v>1</v>
      </c>
      <c r="TJJ36" s="4">
        <v>1000000</v>
      </c>
      <c r="TJK36" s="4">
        <f>TJJ36*TJI36</f>
        <v>1000000</v>
      </c>
      <c r="TJL36" s="9" t="s">
        <v>2066</v>
      </c>
      <c r="TJM36" s="1">
        <v>65</v>
      </c>
      <c r="TJN36" s="619" t="s">
        <v>2063</v>
      </c>
      <c r="TJO36" s="148" t="s">
        <v>2064</v>
      </c>
      <c r="TJP36" s="9" t="s">
        <v>2065</v>
      </c>
      <c r="TJQ36" s="619">
        <v>1</v>
      </c>
      <c r="TJR36" s="4">
        <v>1000000</v>
      </c>
      <c r="TJS36" s="4">
        <f>TJR36*TJQ36</f>
        <v>1000000</v>
      </c>
      <c r="TJT36" s="9" t="s">
        <v>2066</v>
      </c>
      <c r="TJU36" s="1">
        <v>65</v>
      </c>
      <c r="TJV36" s="619" t="s">
        <v>2063</v>
      </c>
      <c r="TJW36" s="148" t="s">
        <v>2064</v>
      </c>
      <c r="TJX36" s="9" t="s">
        <v>2065</v>
      </c>
      <c r="TJY36" s="619">
        <v>1</v>
      </c>
      <c r="TJZ36" s="4">
        <v>1000000</v>
      </c>
      <c r="TKA36" s="4">
        <f>TJZ36*TJY36</f>
        <v>1000000</v>
      </c>
      <c r="TKB36" s="9" t="s">
        <v>2066</v>
      </c>
      <c r="TKC36" s="1">
        <v>65</v>
      </c>
      <c r="TKD36" s="619" t="s">
        <v>2063</v>
      </c>
      <c r="TKE36" s="148" t="s">
        <v>2064</v>
      </c>
      <c r="TKF36" s="9" t="s">
        <v>2065</v>
      </c>
      <c r="TKG36" s="619">
        <v>1</v>
      </c>
      <c r="TKH36" s="4">
        <v>1000000</v>
      </c>
      <c r="TKI36" s="4">
        <f>TKH36*TKG36</f>
        <v>1000000</v>
      </c>
      <c r="TKJ36" s="9" t="s">
        <v>2066</v>
      </c>
      <c r="TKK36" s="1">
        <v>65</v>
      </c>
      <c r="TKL36" s="619" t="s">
        <v>2063</v>
      </c>
      <c r="TKM36" s="148" t="s">
        <v>2064</v>
      </c>
      <c r="TKN36" s="9" t="s">
        <v>2065</v>
      </c>
      <c r="TKO36" s="619">
        <v>1</v>
      </c>
      <c r="TKP36" s="4">
        <v>1000000</v>
      </c>
      <c r="TKQ36" s="4">
        <f>TKP36*TKO36</f>
        <v>1000000</v>
      </c>
      <c r="TKR36" s="9" t="s">
        <v>2066</v>
      </c>
      <c r="TKS36" s="1">
        <v>65</v>
      </c>
      <c r="TKT36" s="619" t="s">
        <v>2063</v>
      </c>
      <c r="TKU36" s="148" t="s">
        <v>2064</v>
      </c>
      <c r="TKV36" s="9" t="s">
        <v>2065</v>
      </c>
      <c r="TKW36" s="619">
        <v>1</v>
      </c>
      <c r="TKX36" s="4">
        <v>1000000</v>
      </c>
      <c r="TKY36" s="4">
        <f>TKX36*TKW36</f>
        <v>1000000</v>
      </c>
      <c r="TKZ36" s="9" t="s">
        <v>2066</v>
      </c>
      <c r="TLA36" s="1">
        <v>65</v>
      </c>
      <c r="TLB36" s="619" t="s">
        <v>2063</v>
      </c>
      <c r="TLC36" s="148" t="s">
        <v>2064</v>
      </c>
      <c r="TLD36" s="9" t="s">
        <v>2065</v>
      </c>
      <c r="TLE36" s="619">
        <v>1</v>
      </c>
      <c r="TLF36" s="4">
        <v>1000000</v>
      </c>
      <c r="TLG36" s="4">
        <f>TLF36*TLE36</f>
        <v>1000000</v>
      </c>
      <c r="TLH36" s="9" t="s">
        <v>2066</v>
      </c>
      <c r="TLI36" s="1">
        <v>65</v>
      </c>
      <c r="TLJ36" s="619" t="s">
        <v>2063</v>
      </c>
      <c r="TLK36" s="148" t="s">
        <v>2064</v>
      </c>
      <c r="TLL36" s="9" t="s">
        <v>2065</v>
      </c>
      <c r="TLM36" s="619">
        <v>1</v>
      </c>
      <c r="TLN36" s="4">
        <v>1000000</v>
      </c>
      <c r="TLO36" s="4">
        <f>TLN36*TLM36</f>
        <v>1000000</v>
      </c>
      <c r="TLP36" s="9" t="s">
        <v>2066</v>
      </c>
      <c r="TLQ36" s="1">
        <v>65</v>
      </c>
      <c r="TLR36" s="619" t="s">
        <v>2063</v>
      </c>
      <c r="TLS36" s="148" t="s">
        <v>2064</v>
      </c>
      <c r="TLT36" s="9" t="s">
        <v>2065</v>
      </c>
      <c r="TLU36" s="619">
        <v>1</v>
      </c>
      <c r="TLV36" s="4">
        <v>1000000</v>
      </c>
      <c r="TLW36" s="4">
        <f>TLV36*TLU36</f>
        <v>1000000</v>
      </c>
      <c r="TLX36" s="9" t="s">
        <v>2066</v>
      </c>
      <c r="TLY36" s="1">
        <v>65</v>
      </c>
      <c r="TLZ36" s="619" t="s">
        <v>2063</v>
      </c>
      <c r="TMA36" s="148" t="s">
        <v>2064</v>
      </c>
      <c r="TMB36" s="9" t="s">
        <v>2065</v>
      </c>
      <c r="TMC36" s="619">
        <v>1</v>
      </c>
      <c r="TMD36" s="4">
        <v>1000000</v>
      </c>
      <c r="TME36" s="4">
        <f>TMD36*TMC36</f>
        <v>1000000</v>
      </c>
      <c r="TMF36" s="9" t="s">
        <v>2066</v>
      </c>
      <c r="TMG36" s="1">
        <v>65</v>
      </c>
      <c r="TMH36" s="619" t="s">
        <v>2063</v>
      </c>
      <c r="TMI36" s="148" t="s">
        <v>2064</v>
      </c>
      <c r="TMJ36" s="9" t="s">
        <v>2065</v>
      </c>
      <c r="TMK36" s="619">
        <v>1</v>
      </c>
      <c r="TML36" s="4">
        <v>1000000</v>
      </c>
      <c r="TMM36" s="4">
        <f>TML36*TMK36</f>
        <v>1000000</v>
      </c>
      <c r="TMN36" s="9" t="s">
        <v>2066</v>
      </c>
      <c r="TMO36" s="1">
        <v>65</v>
      </c>
      <c r="TMP36" s="619" t="s">
        <v>2063</v>
      </c>
      <c r="TMQ36" s="148" t="s">
        <v>2064</v>
      </c>
      <c r="TMR36" s="9" t="s">
        <v>2065</v>
      </c>
      <c r="TMS36" s="619">
        <v>1</v>
      </c>
      <c r="TMT36" s="4">
        <v>1000000</v>
      </c>
      <c r="TMU36" s="4">
        <f>TMT36*TMS36</f>
        <v>1000000</v>
      </c>
      <c r="TMV36" s="9" t="s">
        <v>2066</v>
      </c>
      <c r="TMW36" s="1">
        <v>65</v>
      </c>
      <c r="TMX36" s="619" t="s">
        <v>2063</v>
      </c>
      <c r="TMY36" s="148" t="s">
        <v>2064</v>
      </c>
      <c r="TMZ36" s="9" t="s">
        <v>2065</v>
      </c>
      <c r="TNA36" s="619">
        <v>1</v>
      </c>
      <c r="TNB36" s="4">
        <v>1000000</v>
      </c>
      <c r="TNC36" s="4">
        <f>TNB36*TNA36</f>
        <v>1000000</v>
      </c>
      <c r="TND36" s="9" t="s">
        <v>2066</v>
      </c>
      <c r="TNE36" s="1">
        <v>65</v>
      </c>
      <c r="TNF36" s="619" t="s">
        <v>2063</v>
      </c>
      <c r="TNG36" s="148" t="s">
        <v>2064</v>
      </c>
      <c r="TNH36" s="9" t="s">
        <v>2065</v>
      </c>
      <c r="TNI36" s="619">
        <v>1</v>
      </c>
      <c r="TNJ36" s="4">
        <v>1000000</v>
      </c>
      <c r="TNK36" s="4">
        <f>TNJ36*TNI36</f>
        <v>1000000</v>
      </c>
      <c r="TNL36" s="9" t="s">
        <v>2066</v>
      </c>
      <c r="TNM36" s="1">
        <v>65</v>
      </c>
      <c r="TNN36" s="619" t="s">
        <v>2063</v>
      </c>
      <c r="TNO36" s="148" t="s">
        <v>2064</v>
      </c>
      <c r="TNP36" s="9" t="s">
        <v>2065</v>
      </c>
      <c r="TNQ36" s="619">
        <v>1</v>
      </c>
      <c r="TNR36" s="4">
        <v>1000000</v>
      </c>
      <c r="TNS36" s="4">
        <f>TNR36*TNQ36</f>
        <v>1000000</v>
      </c>
      <c r="TNT36" s="9" t="s">
        <v>2066</v>
      </c>
      <c r="TNU36" s="1">
        <v>65</v>
      </c>
      <c r="TNV36" s="619" t="s">
        <v>2063</v>
      </c>
      <c r="TNW36" s="148" t="s">
        <v>2064</v>
      </c>
      <c r="TNX36" s="9" t="s">
        <v>2065</v>
      </c>
      <c r="TNY36" s="619">
        <v>1</v>
      </c>
      <c r="TNZ36" s="4">
        <v>1000000</v>
      </c>
      <c r="TOA36" s="4">
        <f>TNZ36*TNY36</f>
        <v>1000000</v>
      </c>
      <c r="TOB36" s="9" t="s">
        <v>2066</v>
      </c>
      <c r="TOC36" s="1">
        <v>65</v>
      </c>
      <c r="TOD36" s="619" t="s">
        <v>2063</v>
      </c>
      <c r="TOE36" s="148" t="s">
        <v>2064</v>
      </c>
      <c r="TOF36" s="9" t="s">
        <v>2065</v>
      </c>
      <c r="TOG36" s="619">
        <v>1</v>
      </c>
      <c r="TOH36" s="4">
        <v>1000000</v>
      </c>
      <c r="TOI36" s="4">
        <f>TOH36*TOG36</f>
        <v>1000000</v>
      </c>
      <c r="TOJ36" s="9" t="s">
        <v>2066</v>
      </c>
      <c r="TOK36" s="1">
        <v>65</v>
      </c>
      <c r="TOL36" s="619" t="s">
        <v>2063</v>
      </c>
      <c r="TOM36" s="148" t="s">
        <v>2064</v>
      </c>
      <c r="TON36" s="9" t="s">
        <v>2065</v>
      </c>
      <c r="TOO36" s="619">
        <v>1</v>
      </c>
      <c r="TOP36" s="4">
        <v>1000000</v>
      </c>
      <c r="TOQ36" s="4">
        <f>TOP36*TOO36</f>
        <v>1000000</v>
      </c>
      <c r="TOR36" s="9" t="s">
        <v>2066</v>
      </c>
      <c r="TOS36" s="1">
        <v>65</v>
      </c>
      <c r="TOT36" s="619" t="s">
        <v>2063</v>
      </c>
      <c r="TOU36" s="148" t="s">
        <v>2064</v>
      </c>
      <c r="TOV36" s="9" t="s">
        <v>2065</v>
      </c>
      <c r="TOW36" s="619">
        <v>1</v>
      </c>
      <c r="TOX36" s="4">
        <v>1000000</v>
      </c>
      <c r="TOY36" s="4">
        <f>TOX36*TOW36</f>
        <v>1000000</v>
      </c>
      <c r="TOZ36" s="9" t="s">
        <v>2066</v>
      </c>
      <c r="TPA36" s="1">
        <v>65</v>
      </c>
      <c r="TPB36" s="619" t="s">
        <v>2063</v>
      </c>
      <c r="TPC36" s="148" t="s">
        <v>2064</v>
      </c>
      <c r="TPD36" s="9" t="s">
        <v>2065</v>
      </c>
      <c r="TPE36" s="619">
        <v>1</v>
      </c>
      <c r="TPF36" s="4">
        <v>1000000</v>
      </c>
      <c r="TPG36" s="4">
        <f>TPF36*TPE36</f>
        <v>1000000</v>
      </c>
      <c r="TPH36" s="9" t="s">
        <v>2066</v>
      </c>
      <c r="TPI36" s="1">
        <v>65</v>
      </c>
      <c r="TPJ36" s="619" t="s">
        <v>2063</v>
      </c>
      <c r="TPK36" s="148" t="s">
        <v>2064</v>
      </c>
      <c r="TPL36" s="9" t="s">
        <v>2065</v>
      </c>
      <c r="TPM36" s="619">
        <v>1</v>
      </c>
      <c r="TPN36" s="4">
        <v>1000000</v>
      </c>
      <c r="TPO36" s="4">
        <f>TPN36*TPM36</f>
        <v>1000000</v>
      </c>
      <c r="TPP36" s="9" t="s">
        <v>2066</v>
      </c>
      <c r="TPQ36" s="1">
        <v>65</v>
      </c>
      <c r="TPR36" s="619" t="s">
        <v>2063</v>
      </c>
      <c r="TPS36" s="148" t="s">
        <v>2064</v>
      </c>
      <c r="TPT36" s="9" t="s">
        <v>2065</v>
      </c>
      <c r="TPU36" s="619">
        <v>1</v>
      </c>
      <c r="TPV36" s="4">
        <v>1000000</v>
      </c>
      <c r="TPW36" s="4">
        <f>TPV36*TPU36</f>
        <v>1000000</v>
      </c>
      <c r="TPX36" s="9" t="s">
        <v>2066</v>
      </c>
      <c r="TPY36" s="1">
        <v>65</v>
      </c>
      <c r="TPZ36" s="619" t="s">
        <v>2063</v>
      </c>
      <c r="TQA36" s="148" t="s">
        <v>2064</v>
      </c>
      <c r="TQB36" s="9" t="s">
        <v>2065</v>
      </c>
      <c r="TQC36" s="619">
        <v>1</v>
      </c>
      <c r="TQD36" s="4">
        <v>1000000</v>
      </c>
      <c r="TQE36" s="4">
        <f>TQD36*TQC36</f>
        <v>1000000</v>
      </c>
      <c r="TQF36" s="9" t="s">
        <v>2066</v>
      </c>
      <c r="TQG36" s="1">
        <v>65</v>
      </c>
      <c r="TQH36" s="619" t="s">
        <v>2063</v>
      </c>
      <c r="TQI36" s="148" t="s">
        <v>2064</v>
      </c>
      <c r="TQJ36" s="9" t="s">
        <v>2065</v>
      </c>
      <c r="TQK36" s="619">
        <v>1</v>
      </c>
      <c r="TQL36" s="4">
        <v>1000000</v>
      </c>
      <c r="TQM36" s="4">
        <f>TQL36*TQK36</f>
        <v>1000000</v>
      </c>
      <c r="TQN36" s="9" t="s">
        <v>2066</v>
      </c>
      <c r="TQO36" s="1">
        <v>65</v>
      </c>
      <c r="TQP36" s="619" t="s">
        <v>2063</v>
      </c>
      <c r="TQQ36" s="148" t="s">
        <v>2064</v>
      </c>
      <c r="TQR36" s="9" t="s">
        <v>2065</v>
      </c>
      <c r="TQS36" s="619">
        <v>1</v>
      </c>
      <c r="TQT36" s="4">
        <v>1000000</v>
      </c>
      <c r="TQU36" s="4">
        <f>TQT36*TQS36</f>
        <v>1000000</v>
      </c>
      <c r="TQV36" s="9" t="s">
        <v>2066</v>
      </c>
      <c r="TQW36" s="1">
        <v>65</v>
      </c>
      <c r="TQX36" s="619" t="s">
        <v>2063</v>
      </c>
      <c r="TQY36" s="148" t="s">
        <v>2064</v>
      </c>
      <c r="TQZ36" s="9" t="s">
        <v>2065</v>
      </c>
      <c r="TRA36" s="619">
        <v>1</v>
      </c>
      <c r="TRB36" s="4">
        <v>1000000</v>
      </c>
      <c r="TRC36" s="4">
        <f>TRB36*TRA36</f>
        <v>1000000</v>
      </c>
      <c r="TRD36" s="9" t="s">
        <v>2066</v>
      </c>
      <c r="TRE36" s="1">
        <v>65</v>
      </c>
      <c r="TRF36" s="619" t="s">
        <v>2063</v>
      </c>
      <c r="TRG36" s="148" t="s">
        <v>2064</v>
      </c>
      <c r="TRH36" s="9" t="s">
        <v>2065</v>
      </c>
      <c r="TRI36" s="619">
        <v>1</v>
      </c>
      <c r="TRJ36" s="4">
        <v>1000000</v>
      </c>
      <c r="TRK36" s="4">
        <f>TRJ36*TRI36</f>
        <v>1000000</v>
      </c>
      <c r="TRL36" s="9" t="s">
        <v>2066</v>
      </c>
      <c r="TRM36" s="1">
        <v>65</v>
      </c>
      <c r="TRN36" s="619" t="s">
        <v>2063</v>
      </c>
      <c r="TRO36" s="148" t="s">
        <v>2064</v>
      </c>
      <c r="TRP36" s="9" t="s">
        <v>2065</v>
      </c>
      <c r="TRQ36" s="619">
        <v>1</v>
      </c>
      <c r="TRR36" s="4">
        <v>1000000</v>
      </c>
      <c r="TRS36" s="4">
        <f>TRR36*TRQ36</f>
        <v>1000000</v>
      </c>
      <c r="TRT36" s="9" t="s">
        <v>2066</v>
      </c>
      <c r="TRU36" s="1">
        <v>65</v>
      </c>
      <c r="TRV36" s="619" t="s">
        <v>2063</v>
      </c>
      <c r="TRW36" s="148" t="s">
        <v>2064</v>
      </c>
      <c r="TRX36" s="9" t="s">
        <v>2065</v>
      </c>
      <c r="TRY36" s="619">
        <v>1</v>
      </c>
      <c r="TRZ36" s="4">
        <v>1000000</v>
      </c>
      <c r="TSA36" s="4">
        <f>TRZ36*TRY36</f>
        <v>1000000</v>
      </c>
      <c r="TSB36" s="9" t="s">
        <v>2066</v>
      </c>
      <c r="TSC36" s="1">
        <v>65</v>
      </c>
      <c r="TSD36" s="619" t="s">
        <v>2063</v>
      </c>
      <c r="TSE36" s="148" t="s">
        <v>2064</v>
      </c>
      <c r="TSF36" s="9" t="s">
        <v>2065</v>
      </c>
      <c r="TSG36" s="619">
        <v>1</v>
      </c>
      <c r="TSH36" s="4">
        <v>1000000</v>
      </c>
      <c r="TSI36" s="4">
        <f>TSH36*TSG36</f>
        <v>1000000</v>
      </c>
      <c r="TSJ36" s="9" t="s">
        <v>2066</v>
      </c>
      <c r="TSK36" s="1">
        <v>65</v>
      </c>
      <c r="TSL36" s="619" t="s">
        <v>2063</v>
      </c>
      <c r="TSM36" s="148" t="s">
        <v>2064</v>
      </c>
      <c r="TSN36" s="9" t="s">
        <v>2065</v>
      </c>
      <c r="TSO36" s="619">
        <v>1</v>
      </c>
      <c r="TSP36" s="4">
        <v>1000000</v>
      </c>
      <c r="TSQ36" s="4">
        <f>TSP36*TSO36</f>
        <v>1000000</v>
      </c>
      <c r="TSR36" s="9" t="s">
        <v>2066</v>
      </c>
      <c r="TSS36" s="1">
        <v>65</v>
      </c>
      <c r="TST36" s="619" t="s">
        <v>2063</v>
      </c>
      <c r="TSU36" s="148" t="s">
        <v>2064</v>
      </c>
      <c r="TSV36" s="9" t="s">
        <v>2065</v>
      </c>
      <c r="TSW36" s="619">
        <v>1</v>
      </c>
      <c r="TSX36" s="4">
        <v>1000000</v>
      </c>
      <c r="TSY36" s="4">
        <f>TSX36*TSW36</f>
        <v>1000000</v>
      </c>
      <c r="TSZ36" s="9" t="s">
        <v>2066</v>
      </c>
      <c r="TTA36" s="1">
        <v>65</v>
      </c>
      <c r="TTB36" s="619" t="s">
        <v>2063</v>
      </c>
      <c r="TTC36" s="148" t="s">
        <v>2064</v>
      </c>
      <c r="TTD36" s="9" t="s">
        <v>2065</v>
      </c>
      <c r="TTE36" s="619">
        <v>1</v>
      </c>
      <c r="TTF36" s="4">
        <v>1000000</v>
      </c>
      <c r="TTG36" s="4">
        <f>TTF36*TTE36</f>
        <v>1000000</v>
      </c>
      <c r="TTH36" s="9" t="s">
        <v>2066</v>
      </c>
      <c r="TTI36" s="1">
        <v>65</v>
      </c>
      <c r="TTJ36" s="619" t="s">
        <v>2063</v>
      </c>
      <c r="TTK36" s="148" t="s">
        <v>2064</v>
      </c>
      <c r="TTL36" s="9" t="s">
        <v>2065</v>
      </c>
      <c r="TTM36" s="619">
        <v>1</v>
      </c>
      <c r="TTN36" s="4">
        <v>1000000</v>
      </c>
      <c r="TTO36" s="4">
        <f>TTN36*TTM36</f>
        <v>1000000</v>
      </c>
      <c r="TTP36" s="9" t="s">
        <v>2066</v>
      </c>
      <c r="TTQ36" s="1">
        <v>65</v>
      </c>
      <c r="TTR36" s="619" t="s">
        <v>2063</v>
      </c>
      <c r="TTS36" s="148" t="s">
        <v>2064</v>
      </c>
      <c r="TTT36" s="9" t="s">
        <v>2065</v>
      </c>
      <c r="TTU36" s="619">
        <v>1</v>
      </c>
      <c r="TTV36" s="4">
        <v>1000000</v>
      </c>
      <c r="TTW36" s="4">
        <f>TTV36*TTU36</f>
        <v>1000000</v>
      </c>
      <c r="TTX36" s="9" t="s">
        <v>2066</v>
      </c>
      <c r="TTY36" s="1">
        <v>65</v>
      </c>
      <c r="TTZ36" s="619" t="s">
        <v>2063</v>
      </c>
      <c r="TUA36" s="148" t="s">
        <v>2064</v>
      </c>
      <c r="TUB36" s="9" t="s">
        <v>2065</v>
      </c>
      <c r="TUC36" s="619">
        <v>1</v>
      </c>
      <c r="TUD36" s="4">
        <v>1000000</v>
      </c>
      <c r="TUE36" s="4">
        <f>TUD36*TUC36</f>
        <v>1000000</v>
      </c>
      <c r="TUF36" s="9" t="s">
        <v>2066</v>
      </c>
      <c r="TUG36" s="1">
        <v>65</v>
      </c>
      <c r="TUH36" s="619" t="s">
        <v>2063</v>
      </c>
      <c r="TUI36" s="148" t="s">
        <v>2064</v>
      </c>
      <c r="TUJ36" s="9" t="s">
        <v>2065</v>
      </c>
      <c r="TUK36" s="619">
        <v>1</v>
      </c>
      <c r="TUL36" s="4">
        <v>1000000</v>
      </c>
      <c r="TUM36" s="4">
        <f>TUL36*TUK36</f>
        <v>1000000</v>
      </c>
      <c r="TUN36" s="9" t="s">
        <v>2066</v>
      </c>
      <c r="TUO36" s="1">
        <v>65</v>
      </c>
      <c r="TUP36" s="619" t="s">
        <v>2063</v>
      </c>
      <c r="TUQ36" s="148" t="s">
        <v>2064</v>
      </c>
      <c r="TUR36" s="9" t="s">
        <v>2065</v>
      </c>
      <c r="TUS36" s="619">
        <v>1</v>
      </c>
      <c r="TUT36" s="4">
        <v>1000000</v>
      </c>
      <c r="TUU36" s="4">
        <f>TUT36*TUS36</f>
        <v>1000000</v>
      </c>
      <c r="TUV36" s="9" t="s">
        <v>2066</v>
      </c>
      <c r="TUW36" s="1">
        <v>65</v>
      </c>
      <c r="TUX36" s="619" t="s">
        <v>2063</v>
      </c>
      <c r="TUY36" s="148" t="s">
        <v>2064</v>
      </c>
      <c r="TUZ36" s="9" t="s">
        <v>2065</v>
      </c>
      <c r="TVA36" s="619">
        <v>1</v>
      </c>
      <c r="TVB36" s="4">
        <v>1000000</v>
      </c>
      <c r="TVC36" s="4">
        <f>TVB36*TVA36</f>
        <v>1000000</v>
      </c>
      <c r="TVD36" s="9" t="s">
        <v>2066</v>
      </c>
      <c r="TVE36" s="1">
        <v>65</v>
      </c>
      <c r="TVF36" s="619" t="s">
        <v>2063</v>
      </c>
      <c r="TVG36" s="148" t="s">
        <v>2064</v>
      </c>
      <c r="TVH36" s="9" t="s">
        <v>2065</v>
      </c>
      <c r="TVI36" s="619">
        <v>1</v>
      </c>
      <c r="TVJ36" s="4">
        <v>1000000</v>
      </c>
      <c r="TVK36" s="4">
        <f>TVJ36*TVI36</f>
        <v>1000000</v>
      </c>
      <c r="TVL36" s="9" t="s">
        <v>2066</v>
      </c>
      <c r="TVM36" s="1">
        <v>65</v>
      </c>
      <c r="TVN36" s="619" t="s">
        <v>2063</v>
      </c>
      <c r="TVO36" s="148" t="s">
        <v>2064</v>
      </c>
      <c r="TVP36" s="9" t="s">
        <v>2065</v>
      </c>
      <c r="TVQ36" s="619">
        <v>1</v>
      </c>
      <c r="TVR36" s="4">
        <v>1000000</v>
      </c>
      <c r="TVS36" s="4">
        <f>TVR36*TVQ36</f>
        <v>1000000</v>
      </c>
      <c r="TVT36" s="9" t="s">
        <v>2066</v>
      </c>
      <c r="TVU36" s="1">
        <v>65</v>
      </c>
      <c r="TVV36" s="619" t="s">
        <v>2063</v>
      </c>
      <c r="TVW36" s="148" t="s">
        <v>2064</v>
      </c>
      <c r="TVX36" s="9" t="s">
        <v>2065</v>
      </c>
      <c r="TVY36" s="619">
        <v>1</v>
      </c>
      <c r="TVZ36" s="4">
        <v>1000000</v>
      </c>
      <c r="TWA36" s="4">
        <f>TVZ36*TVY36</f>
        <v>1000000</v>
      </c>
      <c r="TWB36" s="9" t="s">
        <v>2066</v>
      </c>
      <c r="TWC36" s="1">
        <v>65</v>
      </c>
      <c r="TWD36" s="619" t="s">
        <v>2063</v>
      </c>
      <c r="TWE36" s="148" t="s">
        <v>2064</v>
      </c>
      <c r="TWF36" s="9" t="s">
        <v>2065</v>
      </c>
      <c r="TWG36" s="619">
        <v>1</v>
      </c>
      <c r="TWH36" s="4">
        <v>1000000</v>
      </c>
      <c r="TWI36" s="4">
        <f>TWH36*TWG36</f>
        <v>1000000</v>
      </c>
      <c r="TWJ36" s="9" t="s">
        <v>2066</v>
      </c>
      <c r="TWK36" s="1">
        <v>65</v>
      </c>
      <c r="TWL36" s="619" t="s">
        <v>2063</v>
      </c>
      <c r="TWM36" s="148" t="s">
        <v>2064</v>
      </c>
      <c r="TWN36" s="9" t="s">
        <v>2065</v>
      </c>
      <c r="TWO36" s="619">
        <v>1</v>
      </c>
      <c r="TWP36" s="4">
        <v>1000000</v>
      </c>
      <c r="TWQ36" s="4">
        <f>TWP36*TWO36</f>
        <v>1000000</v>
      </c>
      <c r="TWR36" s="9" t="s">
        <v>2066</v>
      </c>
      <c r="TWS36" s="1">
        <v>65</v>
      </c>
      <c r="TWT36" s="619" t="s">
        <v>2063</v>
      </c>
      <c r="TWU36" s="148" t="s">
        <v>2064</v>
      </c>
      <c r="TWV36" s="9" t="s">
        <v>2065</v>
      </c>
      <c r="TWW36" s="619">
        <v>1</v>
      </c>
      <c r="TWX36" s="4">
        <v>1000000</v>
      </c>
      <c r="TWY36" s="4">
        <f>TWX36*TWW36</f>
        <v>1000000</v>
      </c>
      <c r="TWZ36" s="9" t="s">
        <v>2066</v>
      </c>
      <c r="TXA36" s="1">
        <v>65</v>
      </c>
      <c r="TXB36" s="619" t="s">
        <v>2063</v>
      </c>
      <c r="TXC36" s="148" t="s">
        <v>2064</v>
      </c>
      <c r="TXD36" s="9" t="s">
        <v>2065</v>
      </c>
      <c r="TXE36" s="619">
        <v>1</v>
      </c>
      <c r="TXF36" s="4">
        <v>1000000</v>
      </c>
      <c r="TXG36" s="4">
        <f>TXF36*TXE36</f>
        <v>1000000</v>
      </c>
      <c r="TXH36" s="9" t="s">
        <v>2066</v>
      </c>
      <c r="TXI36" s="1">
        <v>65</v>
      </c>
      <c r="TXJ36" s="619" t="s">
        <v>2063</v>
      </c>
      <c r="TXK36" s="148" t="s">
        <v>2064</v>
      </c>
      <c r="TXL36" s="9" t="s">
        <v>2065</v>
      </c>
      <c r="TXM36" s="619">
        <v>1</v>
      </c>
      <c r="TXN36" s="4">
        <v>1000000</v>
      </c>
      <c r="TXO36" s="4">
        <f>TXN36*TXM36</f>
        <v>1000000</v>
      </c>
      <c r="TXP36" s="9" t="s">
        <v>2066</v>
      </c>
      <c r="TXQ36" s="1">
        <v>65</v>
      </c>
      <c r="TXR36" s="619" t="s">
        <v>2063</v>
      </c>
      <c r="TXS36" s="148" t="s">
        <v>2064</v>
      </c>
      <c r="TXT36" s="9" t="s">
        <v>2065</v>
      </c>
      <c r="TXU36" s="619">
        <v>1</v>
      </c>
      <c r="TXV36" s="4">
        <v>1000000</v>
      </c>
      <c r="TXW36" s="4">
        <f>TXV36*TXU36</f>
        <v>1000000</v>
      </c>
      <c r="TXX36" s="9" t="s">
        <v>2066</v>
      </c>
      <c r="TXY36" s="1">
        <v>65</v>
      </c>
      <c r="TXZ36" s="619" t="s">
        <v>2063</v>
      </c>
      <c r="TYA36" s="148" t="s">
        <v>2064</v>
      </c>
      <c r="TYB36" s="9" t="s">
        <v>2065</v>
      </c>
      <c r="TYC36" s="619">
        <v>1</v>
      </c>
      <c r="TYD36" s="4">
        <v>1000000</v>
      </c>
      <c r="TYE36" s="4">
        <f>TYD36*TYC36</f>
        <v>1000000</v>
      </c>
      <c r="TYF36" s="9" t="s">
        <v>2066</v>
      </c>
      <c r="TYG36" s="1">
        <v>65</v>
      </c>
      <c r="TYH36" s="619" t="s">
        <v>2063</v>
      </c>
      <c r="TYI36" s="148" t="s">
        <v>2064</v>
      </c>
      <c r="TYJ36" s="9" t="s">
        <v>2065</v>
      </c>
      <c r="TYK36" s="619">
        <v>1</v>
      </c>
      <c r="TYL36" s="4">
        <v>1000000</v>
      </c>
      <c r="TYM36" s="4">
        <f>TYL36*TYK36</f>
        <v>1000000</v>
      </c>
      <c r="TYN36" s="9" t="s">
        <v>2066</v>
      </c>
      <c r="TYO36" s="1">
        <v>65</v>
      </c>
      <c r="TYP36" s="619" t="s">
        <v>2063</v>
      </c>
      <c r="TYQ36" s="148" t="s">
        <v>2064</v>
      </c>
      <c r="TYR36" s="9" t="s">
        <v>2065</v>
      </c>
      <c r="TYS36" s="619">
        <v>1</v>
      </c>
      <c r="TYT36" s="4">
        <v>1000000</v>
      </c>
      <c r="TYU36" s="4">
        <f>TYT36*TYS36</f>
        <v>1000000</v>
      </c>
      <c r="TYV36" s="9" t="s">
        <v>2066</v>
      </c>
      <c r="TYW36" s="1">
        <v>65</v>
      </c>
      <c r="TYX36" s="619" t="s">
        <v>2063</v>
      </c>
      <c r="TYY36" s="148" t="s">
        <v>2064</v>
      </c>
      <c r="TYZ36" s="9" t="s">
        <v>2065</v>
      </c>
      <c r="TZA36" s="619">
        <v>1</v>
      </c>
      <c r="TZB36" s="4">
        <v>1000000</v>
      </c>
      <c r="TZC36" s="4">
        <f>TZB36*TZA36</f>
        <v>1000000</v>
      </c>
      <c r="TZD36" s="9" t="s">
        <v>2066</v>
      </c>
      <c r="TZE36" s="1">
        <v>65</v>
      </c>
      <c r="TZF36" s="619" t="s">
        <v>2063</v>
      </c>
      <c r="TZG36" s="148" t="s">
        <v>2064</v>
      </c>
      <c r="TZH36" s="9" t="s">
        <v>2065</v>
      </c>
      <c r="TZI36" s="619">
        <v>1</v>
      </c>
      <c r="TZJ36" s="4">
        <v>1000000</v>
      </c>
      <c r="TZK36" s="4">
        <f>TZJ36*TZI36</f>
        <v>1000000</v>
      </c>
      <c r="TZL36" s="9" t="s">
        <v>2066</v>
      </c>
      <c r="TZM36" s="1">
        <v>65</v>
      </c>
      <c r="TZN36" s="619" t="s">
        <v>2063</v>
      </c>
      <c r="TZO36" s="148" t="s">
        <v>2064</v>
      </c>
      <c r="TZP36" s="9" t="s">
        <v>2065</v>
      </c>
      <c r="TZQ36" s="619">
        <v>1</v>
      </c>
      <c r="TZR36" s="4">
        <v>1000000</v>
      </c>
      <c r="TZS36" s="4">
        <f>TZR36*TZQ36</f>
        <v>1000000</v>
      </c>
      <c r="TZT36" s="9" t="s">
        <v>2066</v>
      </c>
      <c r="TZU36" s="1">
        <v>65</v>
      </c>
      <c r="TZV36" s="619" t="s">
        <v>2063</v>
      </c>
      <c r="TZW36" s="148" t="s">
        <v>2064</v>
      </c>
      <c r="TZX36" s="9" t="s">
        <v>2065</v>
      </c>
      <c r="TZY36" s="619">
        <v>1</v>
      </c>
      <c r="TZZ36" s="4">
        <v>1000000</v>
      </c>
      <c r="UAA36" s="4">
        <f>TZZ36*TZY36</f>
        <v>1000000</v>
      </c>
      <c r="UAB36" s="9" t="s">
        <v>2066</v>
      </c>
      <c r="UAC36" s="1">
        <v>65</v>
      </c>
      <c r="UAD36" s="619" t="s">
        <v>2063</v>
      </c>
      <c r="UAE36" s="148" t="s">
        <v>2064</v>
      </c>
      <c r="UAF36" s="9" t="s">
        <v>2065</v>
      </c>
      <c r="UAG36" s="619">
        <v>1</v>
      </c>
      <c r="UAH36" s="4">
        <v>1000000</v>
      </c>
      <c r="UAI36" s="4">
        <f>UAH36*UAG36</f>
        <v>1000000</v>
      </c>
      <c r="UAJ36" s="9" t="s">
        <v>2066</v>
      </c>
      <c r="UAK36" s="1">
        <v>65</v>
      </c>
      <c r="UAL36" s="619" t="s">
        <v>2063</v>
      </c>
      <c r="UAM36" s="148" t="s">
        <v>2064</v>
      </c>
      <c r="UAN36" s="9" t="s">
        <v>2065</v>
      </c>
      <c r="UAO36" s="619">
        <v>1</v>
      </c>
      <c r="UAP36" s="4">
        <v>1000000</v>
      </c>
      <c r="UAQ36" s="4">
        <f>UAP36*UAO36</f>
        <v>1000000</v>
      </c>
      <c r="UAR36" s="9" t="s">
        <v>2066</v>
      </c>
      <c r="UAS36" s="1">
        <v>65</v>
      </c>
      <c r="UAT36" s="619" t="s">
        <v>2063</v>
      </c>
      <c r="UAU36" s="148" t="s">
        <v>2064</v>
      </c>
      <c r="UAV36" s="9" t="s">
        <v>2065</v>
      </c>
      <c r="UAW36" s="619">
        <v>1</v>
      </c>
      <c r="UAX36" s="4">
        <v>1000000</v>
      </c>
      <c r="UAY36" s="4">
        <f>UAX36*UAW36</f>
        <v>1000000</v>
      </c>
      <c r="UAZ36" s="9" t="s">
        <v>2066</v>
      </c>
      <c r="UBA36" s="1">
        <v>65</v>
      </c>
      <c r="UBB36" s="619" t="s">
        <v>2063</v>
      </c>
      <c r="UBC36" s="148" t="s">
        <v>2064</v>
      </c>
      <c r="UBD36" s="9" t="s">
        <v>2065</v>
      </c>
      <c r="UBE36" s="619">
        <v>1</v>
      </c>
      <c r="UBF36" s="4">
        <v>1000000</v>
      </c>
      <c r="UBG36" s="4">
        <f>UBF36*UBE36</f>
        <v>1000000</v>
      </c>
      <c r="UBH36" s="9" t="s">
        <v>2066</v>
      </c>
      <c r="UBI36" s="1">
        <v>65</v>
      </c>
      <c r="UBJ36" s="619" t="s">
        <v>2063</v>
      </c>
      <c r="UBK36" s="148" t="s">
        <v>2064</v>
      </c>
      <c r="UBL36" s="9" t="s">
        <v>2065</v>
      </c>
      <c r="UBM36" s="619">
        <v>1</v>
      </c>
      <c r="UBN36" s="4">
        <v>1000000</v>
      </c>
      <c r="UBO36" s="4">
        <f>UBN36*UBM36</f>
        <v>1000000</v>
      </c>
      <c r="UBP36" s="9" t="s">
        <v>2066</v>
      </c>
      <c r="UBQ36" s="1">
        <v>65</v>
      </c>
      <c r="UBR36" s="619" t="s">
        <v>2063</v>
      </c>
      <c r="UBS36" s="148" t="s">
        <v>2064</v>
      </c>
      <c r="UBT36" s="9" t="s">
        <v>2065</v>
      </c>
      <c r="UBU36" s="619">
        <v>1</v>
      </c>
      <c r="UBV36" s="4">
        <v>1000000</v>
      </c>
      <c r="UBW36" s="4">
        <f>UBV36*UBU36</f>
        <v>1000000</v>
      </c>
      <c r="UBX36" s="9" t="s">
        <v>2066</v>
      </c>
      <c r="UBY36" s="1">
        <v>65</v>
      </c>
      <c r="UBZ36" s="619" t="s">
        <v>2063</v>
      </c>
      <c r="UCA36" s="148" t="s">
        <v>2064</v>
      </c>
      <c r="UCB36" s="9" t="s">
        <v>2065</v>
      </c>
      <c r="UCC36" s="619">
        <v>1</v>
      </c>
      <c r="UCD36" s="4">
        <v>1000000</v>
      </c>
      <c r="UCE36" s="4">
        <f>UCD36*UCC36</f>
        <v>1000000</v>
      </c>
      <c r="UCF36" s="9" t="s">
        <v>2066</v>
      </c>
      <c r="UCG36" s="1">
        <v>65</v>
      </c>
      <c r="UCH36" s="619" t="s">
        <v>2063</v>
      </c>
      <c r="UCI36" s="148" t="s">
        <v>2064</v>
      </c>
      <c r="UCJ36" s="9" t="s">
        <v>2065</v>
      </c>
      <c r="UCK36" s="619">
        <v>1</v>
      </c>
      <c r="UCL36" s="4">
        <v>1000000</v>
      </c>
      <c r="UCM36" s="4">
        <f>UCL36*UCK36</f>
        <v>1000000</v>
      </c>
      <c r="UCN36" s="9" t="s">
        <v>2066</v>
      </c>
      <c r="UCO36" s="1">
        <v>65</v>
      </c>
      <c r="UCP36" s="619" t="s">
        <v>2063</v>
      </c>
      <c r="UCQ36" s="148" t="s">
        <v>2064</v>
      </c>
      <c r="UCR36" s="9" t="s">
        <v>2065</v>
      </c>
      <c r="UCS36" s="619">
        <v>1</v>
      </c>
      <c r="UCT36" s="4">
        <v>1000000</v>
      </c>
      <c r="UCU36" s="4">
        <f>UCT36*UCS36</f>
        <v>1000000</v>
      </c>
      <c r="UCV36" s="9" t="s">
        <v>2066</v>
      </c>
      <c r="UCW36" s="1">
        <v>65</v>
      </c>
      <c r="UCX36" s="619" t="s">
        <v>2063</v>
      </c>
      <c r="UCY36" s="148" t="s">
        <v>2064</v>
      </c>
      <c r="UCZ36" s="9" t="s">
        <v>2065</v>
      </c>
      <c r="UDA36" s="619">
        <v>1</v>
      </c>
      <c r="UDB36" s="4">
        <v>1000000</v>
      </c>
      <c r="UDC36" s="4">
        <f>UDB36*UDA36</f>
        <v>1000000</v>
      </c>
      <c r="UDD36" s="9" t="s">
        <v>2066</v>
      </c>
      <c r="UDE36" s="1">
        <v>65</v>
      </c>
      <c r="UDF36" s="619" t="s">
        <v>2063</v>
      </c>
      <c r="UDG36" s="148" t="s">
        <v>2064</v>
      </c>
      <c r="UDH36" s="9" t="s">
        <v>2065</v>
      </c>
      <c r="UDI36" s="619">
        <v>1</v>
      </c>
      <c r="UDJ36" s="4">
        <v>1000000</v>
      </c>
      <c r="UDK36" s="4">
        <f>UDJ36*UDI36</f>
        <v>1000000</v>
      </c>
      <c r="UDL36" s="9" t="s">
        <v>2066</v>
      </c>
      <c r="UDM36" s="1">
        <v>65</v>
      </c>
      <c r="UDN36" s="619" t="s">
        <v>2063</v>
      </c>
      <c r="UDO36" s="148" t="s">
        <v>2064</v>
      </c>
      <c r="UDP36" s="9" t="s">
        <v>2065</v>
      </c>
      <c r="UDQ36" s="619">
        <v>1</v>
      </c>
      <c r="UDR36" s="4">
        <v>1000000</v>
      </c>
      <c r="UDS36" s="4">
        <f>UDR36*UDQ36</f>
        <v>1000000</v>
      </c>
      <c r="UDT36" s="9" t="s">
        <v>2066</v>
      </c>
      <c r="UDU36" s="1">
        <v>65</v>
      </c>
      <c r="UDV36" s="619" t="s">
        <v>2063</v>
      </c>
      <c r="UDW36" s="148" t="s">
        <v>2064</v>
      </c>
      <c r="UDX36" s="9" t="s">
        <v>2065</v>
      </c>
      <c r="UDY36" s="619">
        <v>1</v>
      </c>
      <c r="UDZ36" s="4">
        <v>1000000</v>
      </c>
      <c r="UEA36" s="4">
        <f>UDZ36*UDY36</f>
        <v>1000000</v>
      </c>
      <c r="UEB36" s="9" t="s">
        <v>2066</v>
      </c>
      <c r="UEC36" s="1">
        <v>65</v>
      </c>
      <c r="UED36" s="619" t="s">
        <v>2063</v>
      </c>
      <c r="UEE36" s="148" t="s">
        <v>2064</v>
      </c>
      <c r="UEF36" s="9" t="s">
        <v>2065</v>
      </c>
      <c r="UEG36" s="619">
        <v>1</v>
      </c>
      <c r="UEH36" s="4">
        <v>1000000</v>
      </c>
      <c r="UEI36" s="4">
        <f>UEH36*UEG36</f>
        <v>1000000</v>
      </c>
      <c r="UEJ36" s="9" t="s">
        <v>2066</v>
      </c>
      <c r="UEK36" s="1">
        <v>65</v>
      </c>
      <c r="UEL36" s="619" t="s">
        <v>2063</v>
      </c>
      <c r="UEM36" s="148" t="s">
        <v>2064</v>
      </c>
      <c r="UEN36" s="9" t="s">
        <v>2065</v>
      </c>
      <c r="UEO36" s="619">
        <v>1</v>
      </c>
      <c r="UEP36" s="4">
        <v>1000000</v>
      </c>
      <c r="UEQ36" s="4">
        <f>UEP36*UEO36</f>
        <v>1000000</v>
      </c>
      <c r="UER36" s="9" t="s">
        <v>2066</v>
      </c>
      <c r="UES36" s="1">
        <v>65</v>
      </c>
      <c r="UET36" s="619" t="s">
        <v>2063</v>
      </c>
      <c r="UEU36" s="148" t="s">
        <v>2064</v>
      </c>
      <c r="UEV36" s="9" t="s">
        <v>2065</v>
      </c>
      <c r="UEW36" s="619">
        <v>1</v>
      </c>
      <c r="UEX36" s="4">
        <v>1000000</v>
      </c>
      <c r="UEY36" s="4">
        <f>UEX36*UEW36</f>
        <v>1000000</v>
      </c>
      <c r="UEZ36" s="9" t="s">
        <v>2066</v>
      </c>
      <c r="UFA36" s="1">
        <v>65</v>
      </c>
      <c r="UFB36" s="619" t="s">
        <v>2063</v>
      </c>
      <c r="UFC36" s="148" t="s">
        <v>2064</v>
      </c>
      <c r="UFD36" s="9" t="s">
        <v>2065</v>
      </c>
      <c r="UFE36" s="619">
        <v>1</v>
      </c>
      <c r="UFF36" s="4">
        <v>1000000</v>
      </c>
      <c r="UFG36" s="4">
        <f>UFF36*UFE36</f>
        <v>1000000</v>
      </c>
      <c r="UFH36" s="9" t="s">
        <v>2066</v>
      </c>
      <c r="UFI36" s="1">
        <v>65</v>
      </c>
      <c r="UFJ36" s="619" t="s">
        <v>2063</v>
      </c>
      <c r="UFK36" s="148" t="s">
        <v>2064</v>
      </c>
      <c r="UFL36" s="9" t="s">
        <v>2065</v>
      </c>
      <c r="UFM36" s="619">
        <v>1</v>
      </c>
      <c r="UFN36" s="4">
        <v>1000000</v>
      </c>
      <c r="UFO36" s="4">
        <f>UFN36*UFM36</f>
        <v>1000000</v>
      </c>
      <c r="UFP36" s="9" t="s">
        <v>2066</v>
      </c>
      <c r="UFQ36" s="1">
        <v>65</v>
      </c>
      <c r="UFR36" s="619" t="s">
        <v>2063</v>
      </c>
      <c r="UFS36" s="148" t="s">
        <v>2064</v>
      </c>
      <c r="UFT36" s="9" t="s">
        <v>2065</v>
      </c>
      <c r="UFU36" s="619">
        <v>1</v>
      </c>
      <c r="UFV36" s="4">
        <v>1000000</v>
      </c>
      <c r="UFW36" s="4">
        <f>UFV36*UFU36</f>
        <v>1000000</v>
      </c>
      <c r="UFX36" s="9" t="s">
        <v>2066</v>
      </c>
      <c r="UFY36" s="1">
        <v>65</v>
      </c>
      <c r="UFZ36" s="619" t="s">
        <v>2063</v>
      </c>
      <c r="UGA36" s="148" t="s">
        <v>2064</v>
      </c>
      <c r="UGB36" s="9" t="s">
        <v>2065</v>
      </c>
      <c r="UGC36" s="619">
        <v>1</v>
      </c>
      <c r="UGD36" s="4">
        <v>1000000</v>
      </c>
      <c r="UGE36" s="4">
        <f>UGD36*UGC36</f>
        <v>1000000</v>
      </c>
      <c r="UGF36" s="9" t="s">
        <v>2066</v>
      </c>
      <c r="UGG36" s="1">
        <v>65</v>
      </c>
      <c r="UGH36" s="619" t="s">
        <v>2063</v>
      </c>
      <c r="UGI36" s="148" t="s">
        <v>2064</v>
      </c>
      <c r="UGJ36" s="9" t="s">
        <v>2065</v>
      </c>
      <c r="UGK36" s="619">
        <v>1</v>
      </c>
      <c r="UGL36" s="4">
        <v>1000000</v>
      </c>
      <c r="UGM36" s="4">
        <f>UGL36*UGK36</f>
        <v>1000000</v>
      </c>
      <c r="UGN36" s="9" t="s">
        <v>2066</v>
      </c>
      <c r="UGO36" s="1">
        <v>65</v>
      </c>
      <c r="UGP36" s="619" t="s">
        <v>2063</v>
      </c>
      <c r="UGQ36" s="148" t="s">
        <v>2064</v>
      </c>
      <c r="UGR36" s="9" t="s">
        <v>2065</v>
      </c>
      <c r="UGS36" s="619">
        <v>1</v>
      </c>
      <c r="UGT36" s="4">
        <v>1000000</v>
      </c>
      <c r="UGU36" s="4">
        <f>UGT36*UGS36</f>
        <v>1000000</v>
      </c>
      <c r="UGV36" s="9" t="s">
        <v>2066</v>
      </c>
      <c r="UGW36" s="1">
        <v>65</v>
      </c>
      <c r="UGX36" s="619" t="s">
        <v>2063</v>
      </c>
      <c r="UGY36" s="148" t="s">
        <v>2064</v>
      </c>
      <c r="UGZ36" s="9" t="s">
        <v>2065</v>
      </c>
      <c r="UHA36" s="619">
        <v>1</v>
      </c>
      <c r="UHB36" s="4">
        <v>1000000</v>
      </c>
      <c r="UHC36" s="4">
        <f>UHB36*UHA36</f>
        <v>1000000</v>
      </c>
      <c r="UHD36" s="9" t="s">
        <v>2066</v>
      </c>
      <c r="UHE36" s="1">
        <v>65</v>
      </c>
      <c r="UHF36" s="619" t="s">
        <v>2063</v>
      </c>
      <c r="UHG36" s="148" t="s">
        <v>2064</v>
      </c>
      <c r="UHH36" s="9" t="s">
        <v>2065</v>
      </c>
      <c r="UHI36" s="619">
        <v>1</v>
      </c>
      <c r="UHJ36" s="4">
        <v>1000000</v>
      </c>
      <c r="UHK36" s="4">
        <f>UHJ36*UHI36</f>
        <v>1000000</v>
      </c>
      <c r="UHL36" s="9" t="s">
        <v>2066</v>
      </c>
      <c r="UHM36" s="1">
        <v>65</v>
      </c>
      <c r="UHN36" s="619" t="s">
        <v>2063</v>
      </c>
      <c r="UHO36" s="148" t="s">
        <v>2064</v>
      </c>
      <c r="UHP36" s="9" t="s">
        <v>2065</v>
      </c>
      <c r="UHQ36" s="619">
        <v>1</v>
      </c>
      <c r="UHR36" s="4">
        <v>1000000</v>
      </c>
      <c r="UHS36" s="4">
        <f>UHR36*UHQ36</f>
        <v>1000000</v>
      </c>
      <c r="UHT36" s="9" t="s">
        <v>2066</v>
      </c>
      <c r="UHU36" s="1">
        <v>65</v>
      </c>
      <c r="UHV36" s="619" t="s">
        <v>2063</v>
      </c>
      <c r="UHW36" s="148" t="s">
        <v>2064</v>
      </c>
      <c r="UHX36" s="9" t="s">
        <v>2065</v>
      </c>
      <c r="UHY36" s="619">
        <v>1</v>
      </c>
      <c r="UHZ36" s="4">
        <v>1000000</v>
      </c>
      <c r="UIA36" s="4">
        <f>UHZ36*UHY36</f>
        <v>1000000</v>
      </c>
      <c r="UIB36" s="9" t="s">
        <v>2066</v>
      </c>
      <c r="UIC36" s="1">
        <v>65</v>
      </c>
      <c r="UID36" s="619" t="s">
        <v>2063</v>
      </c>
      <c r="UIE36" s="148" t="s">
        <v>2064</v>
      </c>
      <c r="UIF36" s="9" t="s">
        <v>2065</v>
      </c>
      <c r="UIG36" s="619">
        <v>1</v>
      </c>
      <c r="UIH36" s="4">
        <v>1000000</v>
      </c>
      <c r="UII36" s="4">
        <f>UIH36*UIG36</f>
        <v>1000000</v>
      </c>
      <c r="UIJ36" s="9" t="s">
        <v>2066</v>
      </c>
      <c r="UIK36" s="1">
        <v>65</v>
      </c>
      <c r="UIL36" s="619" t="s">
        <v>2063</v>
      </c>
      <c r="UIM36" s="148" t="s">
        <v>2064</v>
      </c>
      <c r="UIN36" s="9" t="s">
        <v>2065</v>
      </c>
      <c r="UIO36" s="619">
        <v>1</v>
      </c>
      <c r="UIP36" s="4">
        <v>1000000</v>
      </c>
      <c r="UIQ36" s="4">
        <f>UIP36*UIO36</f>
        <v>1000000</v>
      </c>
      <c r="UIR36" s="9" t="s">
        <v>2066</v>
      </c>
      <c r="UIS36" s="1">
        <v>65</v>
      </c>
      <c r="UIT36" s="619" t="s">
        <v>2063</v>
      </c>
      <c r="UIU36" s="148" t="s">
        <v>2064</v>
      </c>
      <c r="UIV36" s="9" t="s">
        <v>2065</v>
      </c>
      <c r="UIW36" s="619">
        <v>1</v>
      </c>
      <c r="UIX36" s="4">
        <v>1000000</v>
      </c>
      <c r="UIY36" s="4">
        <f>UIX36*UIW36</f>
        <v>1000000</v>
      </c>
      <c r="UIZ36" s="9" t="s">
        <v>2066</v>
      </c>
      <c r="UJA36" s="1">
        <v>65</v>
      </c>
      <c r="UJB36" s="619" t="s">
        <v>2063</v>
      </c>
      <c r="UJC36" s="148" t="s">
        <v>2064</v>
      </c>
      <c r="UJD36" s="9" t="s">
        <v>2065</v>
      </c>
      <c r="UJE36" s="619">
        <v>1</v>
      </c>
      <c r="UJF36" s="4">
        <v>1000000</v>
      </c>
      <c r="UJG36" s="4">
        <f>UJF36*UJE36</f>
        <v>1000000</v>
      </c>
      <c r="UJH36" s="9" t="s">
        <v>2066</v>
      </c>
      <c r="UJI36" s="1">
        <v>65</v>
      </c>
      <c r="UJJ36" s="619" t="s">
        <v>2063</v>
      </c>
      <c r="UJK36" s="148" t="s">
        <v>2064</v>
      </c>
      <c r="UJL36" s="9" t="s">
        <v>2065</v>
      </c>
      <c r="UJM36" s="619">
        <v>1</v>
      </c>
      <c r="UJN36" s="4">
        <v>1000000</v>
      </c>
      <c r="UJO36" s="4">
        <f>UJN36*UJM36</f>
        <v>1000000</v>
      </c>
      <c r="UJP36" s="9" t="s">
        <v>2066</v>
      </c>
      <c r="UJQ36" s="1">
        <v>65</v>
      </c>
      <c r="UJR36" s="619" t="s">
        <v>2063</v>
      </c>
      <c r="UJS36" s="148" t="s">
        <v>2064</v>
      </c>
      <c r="UJT36" s="9" t="s">
        <v>2065</v>
      </c>
      <c r="UJU36" s="619">
        <v>1</v>
      </c>
      <c r="UJV36" s="4">
        <v>1000000</v>
      </c>
      <c r="UJW36" s="4">
        <f>UJV36*UJU36</f>
        <v>1000000</v>
      </c>
      <c r="UJX36" s="9" t="s">
        <v>2066</v>
      </c>
      <c r="UJY36" s="1">
        <v>65</v>
      </c>
      <c r="UJZ36" s="619" t="s">
        <v>2063</v>
      </c>
      <c r="UKA36" s="148" t="s">
        <v>2064</v>
      </c>
      <c r="UKB36" s="9" t="s">
        <v>2065</v>
      </c>
      <c r="UKC36" s="619">
        <v>1</v>
      </c>
      <c r="UKD36" s="4">
        <v>1000000</v>
      </c>
      <c r="UKE36" s="4">
        <f>UKD36*UKC36</f>
        <v>1000000</v>
      </c>
      <c r="UKF36" s="9" t="s">
        <v>2066</v>
      </c>
      <c r="UKG36" s="1">
        <v>65</v>
      </c>
      <c r="UKH36" s="619" t="s">
        <v>2063</v>
      </c>
      <c r="UKI36" s="148" t="s">
        <v>2064</v>
      </c>
      <c r="UKJ36" s="9" t="s">
        <v>2065</v>
      </c>
      <c r="UKK36" s="619">
        <v>1</v>
      </c>
      <c r="UKL36" s="4">
        <v>1000000</v>
      </c>
      <c r="UKM36" s="4">
        <f>UKL36*UKK36</f>
        <v>1000000</v>
      </c>
      <c r="UKN36" s="9" t="s">
        <v>2066</v>
      </c>
      <c r="UKO36" s="1">
        <v>65</v>
      </c>
      <c r="UKP36" s="619" t="s">
        <v>2063</v>
      </c>
      <c r="UKQ36" s="148" t="s">
        <v>2064</v>
      </c>
      <c r="UKR36" s="9" t="s">
        <v>2065</v>
      </c>
      <c r="UKS36" s="619">
        <v>1</v>
      </c>
      <c r="UKT36" s="4">
        <v>1000000</v>
      </c>
      <c r="UKU36" s="4">
        <f>UKT36*UKS36</f>
        <v>1000000</v>
      </c>
      <c r="UKV36" s="9" t="s">
        <v>2066</v>
      </c>
      <c r="UKW36" s="1">
        <v>65</v>
      </c>
      <c r="UKX36" s="619" t="s">
        <v>2063</v>
      </c>
      <c r="UKY36" s="148" t="s">
        <v>2064</v>
      </c>
      <c r="UKZ36" s="9" t="s">
        <v>2065</v>
      </c>
      <c r="ULA36" s="619">
        <v>1</v>
      </c>
      <c r="ULB36" s="4">
        <v>1000000</v>
      </c>
      <c r="ULC36" s="4">
        <f>ULB36*ULA36</f>
        <v>1000000</v>
      </c>
      <c r="ULD36" s="9" t="s">
        <v>2066</v>
      </c>
      <c r="ULE36" s="1">
        <v>65</v>
      </c>
      <c r="ULF36" s="619" t="s">
        <v>2063</v>
      </c>
      <c r="ULG36" s="148" t="s">
        <v>2064</v>
      </c>
      <c r="ULH36" s="9" t="s">
        <v>2065</v>
      </c>
      <c r="ULI36" s="619">
        <v>1</v>
      </c>
      <c r="ULJ36" s="4">
        <v>1000000</v>
      </c>
      <c r="ULK36" s="4">
        <f>ULJ36*ULI36</f>
        <v>1000000</v>
      </c>
      <c r="ULL36" s="9" t="s">
        <v>2066</v>
      </c>
      <c r="ULM36" s="1">
        <v>65</v>
      </c>
      <c r="ULN36" s="619" t="s">
        <v>2063</v>
      </c>
      <c r="ULO36" s="148" t="s">
        <v>2064</v>
      </c>
      <c r="ULP36" s="9" t="s">
        <v>2065</v>
      </c>
      <c r="ULQ36" s="619">
        <v>1</v>
      </c>
      <c r="ULR36" s="4">
        <v>1000000</v>
      </c>
      <c r="ULS36" s="4">
        <f>ULR36*ULQ36</f>
        <v>1000000</v>
      </c>
      <c r="ULT36" s="9" t="s">
        <v>2066</v>
      </c>
      <c r="ULU36" s="1">
        <v>65</v>
      </c>
      <c r="ULV36" s="619" t="s">
        <v>2063</v>
      </c>
      <c r="ULW36" s="148" t="s">
        <v>2064</v>
      </c>
      <c r="ULX36" s="9" t="s">
        <v>2065</v>
      </c>
      <c r="ULY36" s="619">
        <v>1</v>
      </c>
      <c r="ULZ36" s="4">
        <v>1000000</v>
      </c>
      <c r="UMA36" s="4">
        <f>ULZ36*ULY36</f>
        <v>1000000</v>
      </c>
      <c r="UMB36" s="9" t="s">
        <v>2066</v>
      </c>
      <c r="UMC36" s="1">
        <v>65</v>
      </c>
      <c r="UMD36" s="619" t="s">
        <v>2063</v>
      </c>
      <c r="UME36" s="148" t="s">
        <v>2064</v>
      </c>
      <c r="UMF36" s="9" t="s">
        <v>2065</v>
      </c>
      <c r="UMG36" s="619">
        <v>1</v>
      </c>
      <c r="UMH36" s="4">
        <v>1000000</v>
      </c>
      <c r="UMI36" s="4">
        <f>UMH36*UMG36</f>
        <v>1000000</v>
      </c>
      <c r="UMJ36" s="9" t="s">
        <v>2066</v>
      </c>
      <c r="UMK36" s="1">
        <v>65</v>
      </c>
      <c r="UML36" s="619" t="s">
        <v>2063</v>
      </c>
      <c r="UMM36" s="148" t="s">
        <v>2064</v>
      </c>
      <c r="UMN36" s="9" t="s">
        <v>2065</v>
      </c>
      <c r="UMO36" s="619">
        <v>1</v>
      </c>
      <c r="UMP36" s="4">
        <v>1000000</v>
      </c>
      <c r="UMQ36" s="4">
        <f>UMP36*UMO36</f>
        <v>1000000</v>
      </c>
      <c r="UMR36" s="9" t="s">
        <v>2066</v>
      </c>
      <c r="UMS36" s="1">
        <v>65</v>
      </c>
      <c r="UMT36" s="619" t="s">
        <v>2063</v>
      </c>
      <c r="UMU36" s="148" t="s">
        <v>2064</v>
      </c>
      <c r="UMV36" s="9" t="s">
        <v>2065</v>
      </c>
      <c r="UMW36" s="619">
        <v>1</v>
      </c>
      <c r="UMX36" s="4">
        <v>1000000</v>
      </c>
      <c r="UMY36" s="4">
        <f>UMX36*UMW36</f>
        <v>1000000</v>
      </c>
      <c r="UMZ36" s="9" t="s">
        <v>2066</v>
      </c>
      <c r="UNA36" s="1">
        <v>65</v>
      </c>
      <c r="UNB36" s="619" t="s">
        <v>2063</v>
      </c>
      <c r="UNC36" s="148" t="s">
        <v>2064</v>
      </c>
      <c r="UND36" s="9" t="s">
        <v>2065</v>
      </c>
      <c r="UNE36" s="619">
        <v>1</v>
      </c>
      <c r="UNF36" s="4">
        <v>1000000</v>
      </c>
      <c r="UNG36" s="4">
        <f>UNF36*UNE36</f>
        <v>1000000</v>
      </c>
      <c r="UNH36" s="9" t="s">
        <v>2066</v>
      </c>
      <c r="UNI36" s="1">
        <v>65</v>
      </c>
      <c r="UNJ36" s="619" t="s">
        <v>2063</v>
      </c>
      <c r="UNK36" s="148" t="s">
        <v>2064</v>
      </c>
      <c r="UNL36" s="9" t="s">
        <v>2065</v>
      </c>
      <c r="UNM36" s="619">
        <v>1</v>
      </c>
      <c r="UNN36" s="4">
        <v>1000000</v>
      </c>
      <c r="UNO36" s="4">
        <f>UNN36*UNM36</f>
        <v>1000000</v>
      </c>
      <c r="UNP36" s="9" t="s">
        <v>2066</v>
      </c>
      <c r="UNQ36" s="1">
        <v>65</v>
      </c>
      <c r="UNR36" s="619" t="s">
        <v>2063</v>
      </c>
      <c r="UNS36" s="148" t="s">
        <v>2064</v>
      </c>
      <c r="UNT36" s="9" t="s">
        <v>2065</v>
      </c>
      <c r="UNU36" s="619">
        <v>1</v>
      </c>
      <c r="UNV36" s="4">
        <v>1000000</v>
      </c>
      <c r="UNW36" s="4">
        <f>UNV36*UNU36</f>
        <v>1000000</v>
      </c>
      <c r="UNX36" s="9" t="s">
        <v>2066</v>
      </c>
      <c r="UNY36" s="1">
        <v>65</v>
      </c>
      <c r="UNZ36" s="619" t="s">
        <v>2063</v>
      </c>
      <c r="UOA36" s="148" t="s">
        <v>2064</v>
      </c>
      <c r="UOB36" s="9" t="s">
        <v>2065</v>
      </c>
      <c r="UOC36" s="619">
        <v>1</v>
      </c>
      <c r="UOD36" s="4">
        <v>1000000</v>
      </c>
      <c r="UOE36" s="4">
        <f>UOD36*UOC36</f>
        <v>1000000</v>
      </c>
      <c r="UOF36" s="9" t="s">
        <v>2066</v>
      </c>
      <c r="UOG36" s="1">
        <v>65</v>
      </c>
      <c r="UOH36" s="619" t="s">
        <v>2063</v>
      </c>
      <c r="UOI36" s="148" t="s">
        <v>2064</v>
      </c>
      <c r="UOJ36" s="9" t="s">
        <v>2065</v>
      </c>
      <c r="UOK36" s="619">
        <v>1</v>
      </c>
      <c r="UOL36" s="4">
        <v>1000000</v>
      </c>
      <c r="UOM36" s="4">
        <f>UOL36*UOK36</f>
        <v>1000000</v>
      </c>
      <c r="UON36" s="9" t="s">
        <v>2066</v>
      </c>
      <c r="UOO36" s="1">
        <v>65</v>
      </c>
      <c r="UOP36" s="619" t="s">
        <v>2063</v>
      </c>
      <c r="UOQ36" s="148" t="s">
        <v>2064</v>
      </c>
      <c r="UOR36" s="9" t="s">
        <v>2065</v>
      </c>
      <c r="UOS36" s="619">
        <v>1</v>
      </c>
      <c r="UOT36" s="4">
        <v>1000000</v>
      </c>
      <c r="UOU36" s="4">
        <f>UOT36*UOS36</f>
        <v>1000000</v>
      </c>
      <c r="UOV36" s="9" t="s">
        <v>2066</v>
      </c>
      <c r="UOW36" s="1">
        <v>65</v>
      </c>
      <c r="UOX36" s="619" t="s">
        <v>2063</v>
      </c>
      <c r="UOY36" s="148" t="s">
        <v>2064</v>
      </c>
      <c r="UOZ36" s="9" t="s">
        <v>2065</v>
      </c>
      <c r="UPA36" s="619">
        <v>1</v>
      </c>
      <c r="UPB36" s="4">
        <v>1000000</v>
      </c>
      <c r="UPC36" s="4">
        <f>UPB36*UPA36</f>
        <v>1000000</v>
      </c>
      <c r="UPD36" s="9" t="s">
        <v>2066</v>
      </c>
      <c r="UPE36" s="1">
        <v>65</v>
      </c>
      <c r="UPF36" s="619" t="s">
        <v>2063</v>
      </c>
      <c r="UPG36" s="148" t="s">
        <v>2064</v>
      </c>
      <c r="UPH36" s="9" t="s">
        <v>2065</v>
      </c>
      <c r="UPI36" s="619">
        <v>1</v>
      </c>
      <c r="UPJ36" s="4">
        <v>1000000</v>
      </c>
      <c r="UPK36" s="4">
        <f>UPJ36*UPI36</f>
        <v>1000000</v>
      </c>
      <c r="UPL36" s="9" t="s">
        <v>2066</v>
      </c>
      <c r="UPM36" s="1">
        <v>65</v>
      </c>
      <c r="UPN36" s="619" t="s">
        <v>2063</v>
      </c>
      <c r="UPO36" s="148" t="s">
        <v>2064</v>
      </c>
      <c r="UPP36" s="9" t="s">
        <v>2065</v>
      </c>
      <c r="UPQ36" s="619">
        <v>1</v>
      </c>
      <c r="UPR36" s="4">
        <v>1000000</v>
      </c>
      <c r="UPS36" s="4">
        <f>UPR36*UPQ36</f>
        <v>1000000</v>
      </c>
      <c r="UPT36" s="9" t="s">
        <v>2066</v>
      </c>
      <c r="UPU36" s="1">
        <v>65</v>
      </c>
      <c r="UPV36" s="619" t="s">
        <v>2063</v>
      </c>
      <c r="UPW36" s="148" t="s">
        <v>2064</v>
      </c>
      <c r="UPX36" s="9" t="s">
        <v>2065</v>
      </c>
      <c r="UPY36" s="619">
        <v>1</v>
      </c>
      <c r="UPZ36" s="4">
        <v>1000000</v>
      </c>
      <c r="UQA36" s="4">
        <f>UPZ36*UPY36</f>
        <v>1000000</v>
      </c>
      <c r="UQB36" s="9" t="s">
        <v>2066</v>
      </c>
      <c r="UQC36" s="1">
        <v>65</v>
      </c>
      <c r="UQD36" s="619" t="s">
        <v>2063</v>
      </c>
      <c r="UQE36" s="148" t="s">
        <v>2064</v>
      </c>
      <c r="UQF36" s="9" t="s">
        <v>2065</v>
      </c>
      <c r="UQG36" s="619">
        <v>1</v>
      </c>
      <c r="UQH36" s="4">
        <v>1000000</v>
      </c>
      <c r="UQI36" s="4">
        <f>UQH36*UQG36</f>
        <v>1000000</v>
      </c>
      <c r="UQJ36" s="9" t="s">
        <v>2066</v>
      </c>
      <c r="UQK36" s="1">
        <v>65</v>
      </c>
      <c r="UQL36" s="619" t="s">
        <v>2063</v>
      </c>
      <c r="UQM36" s="148" t="s">
        <v>2064</v>
      </c>
      <c r="UQN36" s="9" t="s">
        <v>2065</v>
      </c>
      <c r="UQO36" s="619">
        <v>1</v>
      </c>
      <c r="UQP36" s="4">
        <v>1000000</v>
      </c>
      <c r="UQQ36" s="4">
        <f>UQP36*UQO36</f>
        <v>1000000</v>
      </c>
      <c r="UQR36" s="9" t="s">
        <v>2066</v>
      </c>
      <c r="UQS36" s="1">
        <v>65</v>
      </c>
      <c r="UQT36" s="619" t="s">
        <v>2063</v>
      </c>
      <c r="UQU36" s="148" t="s">
        <v>2064</v>
      </c>
      <c r="UQV36" s="9" t="s">
        <v>2065</v>
      </c>
      <c r="UQW36" s="619">
        <v>1</v>
      </c>
      <c r="UQX36" s="4">
        <v>1000000</v>
      </c>
      <c r="UQY36" s="4">
        <f>UQX36*UQW36</f>
        <v>1000000</v>
      </c>
      <c r="UQZ36" s="9" t="s">
        <v>2066</v>
      </c>
      <c r="URA36" s="1">
        <v>65</v>
      </c>
      <c r="URB36" s="619" t="s">
        <v>2063</v>
      </c>
      <c r="URC36" s="148" t="s">
        <v>2064</v>
      </c>
      <c r="URD36" s="9" t="s">
        <v>2065</v>
      </c>
      <c r="URE36" s="619">
        <v>1</v>
      </c>
      <c r="URF36" s="4">
        <v>1000000</v>
      </c>
      <c r="URG36" s="4">
        <f>URF36*URE36</f>
        <v>1000000</v>
      </c>
      <c r="URH36" s="9" t="s">
        <v>2066</v>
      </c>
      <c r="URI36" s="1">
        <v>65</v>
      </c>
      <c r="URJ36" s="619" t="s">
        <v>2063</v>
      </c>
      <c r="URK36" s="148" t="s">
        <v>2064</v>
      </c>
      <c r="URL36" s="9" t="s">
        <v>2065</v>
      </c>
      <c r="URM36" s="619">
        <v>1</v>
      </c>
      <c r="URN36" s="4">
        <v>1000000</v>
      </c>
      <c r="URO36" s="4">
        <f>URN36*URM36</f>
        <v>1000000</v>
      </c>
      <c r="URP36" s="9" t="s">
        <v>2066</v>
      </c>
      <c r="URQ36" s="1">
        <v>65</v>
      </c>
      <c r="URR36" s="619" t="s">
        <v>2063</v>
      </c>
      <c r="URS36" s="148" t="s">
        <v>2064</v>
      </c>
      <c r="URT36" s="9" t="s">
        <v>2065</v>
      </c>
      <c r="URU36" s="619">
        <v>1</v>
      </c>
      <c r="URV36" s="4">
        <v>1000000</v>
      </c>
      <c r="URW36" s="4">
        <f>URV36*URU36</f>
        <v>1000000</v>
      </c>
      <c r="URX36" s="9" t="s">
        <v>2066</v>
      </c>
      <c r="URY36" s="1">
        <v>65</v>
      </c>
      <c r="URZ36" s="619" t="s">
        <v>2063</v>
      </c>
      <c r="USA36" s="148" t="s">
        <v>2064</v>
      </c>
      <c r="USB36" s="9" t="s">
        <v>2065</v>
      </c>
      <c r="USC36" s="619">
        <v>1</v>
      </c>
      <c r="USD36" s="4">
        <v>1000000</v>
      </c>
      <c r="USE36" s="4">
        <f>USD36*USC36</f>
        <v>1000000</v>
      </c>
      <c r="USF36" s="9" t="s">
        <v>2066</v>
      </c>
      <c r="USG36" s="1">
        <v>65</v>
      </c>
      <c r="USH36" s="619" t="s">
        <v>2063</v>
      </c>
      <c r="USI36" s="148" t="s">
        <v>2064</v>
      </c>
      <c r="USJ36" s="9" t="s">
        <v>2065</v>
      </c>
      <c r="USK36" s="619">
        <v>1</v>
      </c>
      <c r="USL36" s="4">
        <v>1000000</v>
      </c>
      <c r="USM36" s="4">
        <f>USL36*USK36</f>
        <v>1000000</v>
      </c>
      <c r="USN36" s="9" t="s">
        <v>2066</v>
      </c>
      <c r="USO36" s="1">
        <v>65</v>
      </c>
      <c r="USP36" s="619" t="s">
        <v>2063</v>
      </c>
      <c r="USQ36" s="148" t="s">
        <v>2064</v>
      </c>
      <c r="USR36" s="9" t="s">
        <v>2065</v>
      </c>
      <c r="USS36" s="619">
        <v>1</v>
      </c>
      <c r="UST36" s="4">
        <v>1000000</v>
      </c>
      <c r="USU36" s="4">
        <f>UST36*USS36</f>
        <v>1000000</v>
      </c>
      <c r="USV36" s="9" t="s">
        <v>2066</v>
      </c>
      <c r="USW36" s="1">
        <v>65</v>
      </c>
      <c r="USX36" s="619" t="s">
        <v>2063</v>
      </c>
      <c r="USY36" s="148" t="s">
        <v>2064</v>
      </c>
      <c r="USZ36" s="9" t="s">
        <v>2065</v>
      </c>
      <c r="UTA36" s="619">
        <v>1</v>
      </c>
      <c r="UTB36" s="4">
        <v>1000000</v>
      </c>
      <c r="UTC36" s="4">
        <f>UTB36*UTA36</f>
        <v>1000000</v>
      </c>
      <c r="UTD36" s="9" t="s">
        <v>2066</v>
      </c>
      <c r="UTE36" s="1">
        <v>65</v>
      </c>
      <c r="UTF36" s="619" t="s">
        <v>2063</v>
      </c>
      <c r="UTG36" s="148" t="s">
        <v>2064</v>
      </c>
      <c r="UTH36" s="9" t="s">
        <v>2065</v>
      </c>
      <c r="UTI36" s="619">
        <v>1</v>
      </c>
      <c r="UTJ36" s="4">
        <v>1000000</v>
      </c>
      <c r="UTK36" s="4">
        <f>UTJ36*UTI36</f>
        <v>1000000</v>
      </c>
      <c r="UTL36" s="9" t="s">
        <v>2066</v>
      </c>
      <c r="UTM36" s="1">
        <v>65</v>
      </c>
      <c r="UTN36" s="619" t="s">
        <v>2063</v>
      </c>
      <c r="UTO36" s="148" t="s">
        <v>2064</v>
      </c>
      <c r="UTP36" s="9" t="s">
        <v>2065</v>
      </c>
      <c r="UTQ36" s="619">
        <v>1</v>
      </c>
      <c r="UTR36" s="4">
        <v>1000000</v>
      </c>
      <c r="UTS36" s="4">
        <f>UTR36*UTQ36</f>
        <v>1000000</v>
      </c>
      <c r="UTT36" s="9" t="s">
        <v>2066</v>
      </c>
      <c r="UTU36" s="1">
        <v>65</v>
      </c>
      <c r="UTV36" s="619" t="s">
        <v>2063</v>
      </c>
      <c r="UTW36" s="148" t="s">
        <v>2064</v>
      </c>
      <c r="UTX36" s="9" t="s">
        <v>2065</v>
      </c>
      <c r="UTY36" s="619">
        <v>1</v>
      </c>
      <c r="UTZ36" s="4">
        <v>1000000</v>
      </c>
      <c r="UUA36" s="4">
        <f>UTZ36*UTY36</f>
        <v>1000000</v>
      </c>
      <c r="UUB36" s="9" t="s">
        <v>2066</v>
      </c>
      <c r="UUC36" s="1">
        <v>65</v>
      </c>
      <c r="UUD36" s="619" t="s">
        <v>2063</v>
      </c>
      <c r="UUE36" s="148" t="s">
        <v>2064</v>
      </c>
      <c r="UUF36" s="9" t="s">
        <v>2065</v>
      </c>
      <c r="UUG36" s="619">
        <v>1</v>
      </c>
      <c r="UUH36" s="4">
        <v>1000000</v>
      </c>
      <c r="UUI36" s="4">
        <f>UUH36*UUG36</f>
        <v>1000000</v>
      </c>
      <c r="UUJ36" s="9" t="s">
        <v>2066</v>
      </c>
      <c r="UUK36" s="1">
        <v>65</v>
      </c>
      <c r="UUL36" s="619" t="s">
        <v>2063</v>
      </c>
      <c r="UUM36" s="148" t="s">
        <v>2064</v>
      </c>
      <c r="UUN36" s="9" t="s">
        <v>2065</v>
      </c>
      <c r="UUO36" s="619">
        <v>1</v>
      </c>
      <c r="UUP36" s="4">
        <v>1000000</v>
      </c>
      <c r="UUQ36" s="4">
        <f>UUP36*UUO36</f>
        <v>1000000</v>
      </c>
      <c r="UUR36" s="9" t="s">
        <v>2066</v>
      </c>
      <c r="UUS36" s="1">
        <v>65</v>
      </c>
      <c r="UUT36" s="619" t="s">
        <v>2063</v>
      </c>
      <c r="UUU36" s="148" t="s">
        <v>2064</v>
      </c>
      <c r="UUV36" s="9" t="s">
        <v>2065</v>
      </c>
      <c r="UUW36" s="619">
        <v>1</v>
      </c>
      <c r="UUX36" s="4">
        <v>1000000</v>
      </c>
      <c r="UUY36" s="4">
        <f>UUX36*UUW36</f>
        <v>1000000</v>
      </c>
      <c r="UUZ36" s="9" t="s">
        <v>2066</v>
      </c>
      <c r="UVA36" s="1">
        <v>65</v>
      </c>
      <c r="UVB36" s="619" t="s">
        <v>2063</v>
      </c>
      <c r="UVC36" s="148" t="s">
        <v>2064</v>
      </c>
      <c r="UVD36" s="9" t="s">
        <v>2065</v>
      </c>
      <c r="UVE36" s="619">
        <v>1</v>
      </c>
      <c r="UVF36" s="4">
        <v>1000000</v>
      </c>
      <c r="UVG36" s="4">
        <f>UVF36*UVE36</f>
        <v>1000000</v>
      </c>
      <c r="UVH36" s="9" t="s">
        <v>2066</v>
      </c>
      <c r="UVI36" s="1">
        <v>65</v>
      </c>
      <c r="UVJ36" s="619" t="s">
        <v>2063</v>
      </c>
      <c r="UVK36" s="148" t="s">
        <v>2064</v>
      </c>
      <c r="UVL36" s="9" t="s">
        <v>2065</v>
      </c>
      <c r="UVM36" s="619">
        <v>1</v>
      </c>
      <c r="UVN36" s="4">
        <v>1000000</v>
      </c>
      <c r="UVO36" s="4">
        <f>UVN36*UVM36</f>
        <v>1000000</v>
      </c>
      <c r="UVP36" s="9" t="s">
        <v>2066</v>
      </c>
      <c r="UVQ36" s="1">
        <v>65</v>
      </c>
      <c r="UVR36" s="619" t="s">
        <v>2063</v>
      </c>
      <c r="UVS36" s="148" t="s">
        <v>2064</v>
      </c>
      <c r="UVT36" s="9" t="s">
        <v>2065</v>
      </c>
      <c r="UVU36" s="619">
        <v>1</v>
      </c>
      <c r="UVV36" s="4">
        <v>1000000</v>
      </c>
      <c r="UVW36" s="4">
        <f>UVV36*UVU36</f>
        <v>1000000</v>
      </c>
      <c r="UVX36" s="9" t="s">
        <v>2066</v>
      </c>
      <c r="UVY36" s="1">
        <v>65</v>
      </c>
      <c r="UVZ36" s="619" t="s">
        <v>2063</v>
      </c>
      <c r="UWA36" s="148" t="s">
        <v>2064</v>
      </c>
      <c r="UWB36" s="9" t="s">
        <v>2065</v>
      </c>
      <c r="UWC36" s="619">
        <v>1</v>
      </c>
      <c r="UWD36" s="4">
        <v>1000000</v>
      </c>
      <c r="UWE36" s="4">
        <f>UWD36*UWC36</f>
        <v>1000000</v>
      </c>
      <c r="UWF36" s="9" t="s">
        <v>2066</v>
      </c>
      <c r="UWG36" s="1">
        <v>65</v>
      </c>
      <c r="UWH36" s="619" t="s">
        <v>2063</v>
      </c>
      <c r="UWI36" s="148" t="s">
        <v>2064</v>
      </c>
      <c r="UWJ36" s="9" t="s">
        <v>2065</v>
      </c>
      <c r="UWK36" s="619">
        <v>1</v>
      </c>
      <c r="UWL36" s="4">
        <v>1000000</v>
      </c>
      <c r="UWM36" s="4">
        <f>UWL36*UWK36</f>
        <v>1000000</v>
      </c>
      <c r="UWN36" s="9" t="s">
        <v>2066</v>
      </c>
      <c r="UWO36" s="1">
        <v>65</v>
      </c>
      <c r="UWP36" s="619" t="s">
        <v>2063</v>
      </c>
      <c r="UWQ36" s="148" t="s">
        <v>2064</v>
      </c>
      <c r="UWR36" s="9" t="s">
        <v>2065</v>
      </c>
      <c r="UWS36" s="619">
        <v>1</v>
      </c>
      <c r="UWT36" s="4">
        <v>1000000</v>
      </c>
      <c r="UWU36" s="4">
        <f>UWT36*UWS36</f>
        <v>1000000</v>
      </c>
      <c r="UWV36" s="9" t="s">
        <v>2066</v>
      </c>
      <c r="UWW36" s="1">
        <v>65</v>
      </c>
      <c r="UWX36" s="619" t="s">
        <v>2063</v>
      </c>
      <c r="UWY36" s="148" t="s">
        <v>2064</v>
      </c>
      <c r="UWZ36" s="9" t="s">
        <v>2065</v>
      </c>
      <c r="UXA36" s="619">
        <v>1</v>
      </c>
      <c r="UXB36" s="4">
        <v>1000000</v>
      </c>
      <c r="UXC36" s="4">
        <f>UXB36*UXA36</f>
        <v>1000000</v>
      </c>
      <c r="UXD36" s="9" t="s">
        <v>2066</v>
      </c>
      <c r="UXE36" s="1">
        <v>65</v>
      </c>
      <c r="UXF36" s="619" t="s">
        <v>2063</v>
      </c>
      <c r="UXG36" s="148" t="s">
        <v>2064</v>
      </c>
      <c r="UXH36" s="9" t="s">
        <v>2065</v>
      </c>
      <c r="UXI36" s="619">
        <v>1</v>
      </c>
      <c r="UXJ36" s="4">
        <v>1000000</v>
      </c>
      <c r="UXK36" s="4">
        <f>UXJ36*UXI36</f>
        <v>1000000</v>
      </c>
      <c r="UXL36" s="9" t="s">
        <v>2066</v>
      </c>
      <c r="UXM36" s="1">
        <v>65</v>
      </c>
      <c r="UXN36" s="619" t="s">
        <v>2063</v>
      </c>
      <c r="UXO36" s="148" t="s">
        <v>2064</v>
      </c>
      <c r="UXP36" s="9" t="s">
        <v>2065</v>
      </c>
      <c r="UXQ36" s="619">
        <v>1</v>
      </c>
      <c r="UXR36" s="4">
        <v>1000000</v>
      </c>
      <c r="UXS36" s="4">
        <f>UXR36*UXQ36</f>
        <v>1000000</v>
      </c>
      <c r="UXT36" s="9" t="s">
        <v>2066</v>
      </c>
      <c r="UXU36" s="1">
        <v>65</v>
      </c>
      <c r="UXV36" s="619" t="s">
        <v>2063</v>
      </c>
      <c r="UXW36" s="148" t="s">
        <v>2064</v>
      </c>
      <c r="UXX36" s="9" t="s">
        <v>2065</v>
      </c>
      <c r="UXY36" s="619">
        <v>1</v>
      </c>
      <c r="UXZ36" s="4">
        <v>1000000</v>
      </c>
      <c r="UYA36" s="4">
        <f>UXZ36*UXY36</f>
        <v>1000000</v>
      </c>
      <c r="UYB36" s="9" t="s">
        <v>2066</v>
      </c>
      <c r="UYC36" s="1">
        <v>65</v>
      </c>
      <c r="UYD36" s="619" t="s">
        <v>2063</v>
      </c>
      <c r="UYE36" s="148" t="s">
        <v>2064</v>
      </c>
      <c r="UYF36" s="9" t="s">
        <v>2065</v>
      </c>
      <c r="UYG36" s="619">
        <v>1</v>
      </c>
      <c r="UYH36" s="4">
        <v>1000000</v>
      </c>
      <c r="UYI36" s="4">
        <f>UYH36*UYG36</f>
        <v>1000000</v>
      </c>
      <c r="UYJ36" s="9" t="s">
        <v>2066</v>
      </c>
      <c r="UYK36" s="1">
        <v>65</v>
      </c>
      <c r="UYL36" s="619" t="s">
        <v>2063</v>
      </c>
      <c r="UYM36" s="148" t="s">
        <v>2064</v>
      </c>
      <c r="UYN36" s="9" t="s">
        <v>2065</v>
      </c>
      <c r="UYO36" s="619">
        <v>1</v>
      </c>
      <c r="UYP36" s="4">
        <v>1000000</v>
      </c>
      <c r="UYQ36" s="4">
        <f>UYP36*UYO36</f>
        <v>1000000</v>
      </c>
      <c r="UYR36" s="9" t="s">
        <v>2066</v>
      </c>
      <c r="UYS36" s="1">
        <v>65</v>
      </c>
      <c r="UYT36" s="619" t="s">
        <v>2063</v>
      </c>
      <c r="UYU36" s="148" t="s">
        <v>2064</v>
      </c>
      <c r="UYV36" s="9" t="s">
        <v>2065</v>
      </c>
      <c r="UYW36" s="619">
        <v>1</v>
      </c>
      <c r="UYX36" s="4">
        <v>1000000</v>
      </c>
      <c r="UYY36" s="4">
        <f>UYX36*UYW36</f>
        <v>1000000</v>
      </c>
      <c r="UYZ36" s="9" t="s">
        <v>2066</v>
      </c>
      <c r="UZA36" s="1">
        <v>65</v>
      </c>
      <c r="UZB36" s="619" t="s">
        <v>2063</v>
      </c>
      <c r="UZC36" s="148" t="s">
        <v>2064</v>
      </c>
      <c r="UZD36" s="9" t="s">
        <v>2065</v>
      </c>
      <c r="UZE36" s="619">
        <v>1</v>
      </c>
      <c r="UZF36" s="4">
        <v>1000000</v>
      </c>
      <c r="UZG36" s="4">
        <f>UZF36*UZE36</f>
        <v>1000000</v>
      </c>
      <c r="UZH36" s="9" t="s">
        <v>2066</v>
      </c>
      <c r="UZI36" s="1">
        <v>65</v>
      </c>
      <c r="UZJ36" s="619" t="s">
        <v>2063</v>
      </c>
      <c r="UZK36" s="148" t="s">
        <v>2064</v>
      </c>
      <c r="UZL36" s="9" t="s">
        <v>2065</v>
      </c>
      <c r="UZM36" s="619">
        <v>1</v>
      </c>
      <c r="UZN36" s="4">
        <v>1000000</v>
      </c>
      <c r="UZO36" s="4">
        <f>UZN36*UZM36</f>
        <v>1000000</v>
      </c>
      <c r="UZP36" s="9" t="s">
        <v>2066</v>
      </c>
      <c r="UZQ36" s="1">
        <v>65</v>
      </c>
      <c r="UZR36" s="619" t="s">
        <v>2063</v>
      </c>
      <c r="UZS36" s="148" t="s">
        <v>2064</v>
      </c>
      <c r="UZT36" s="9" t="s">
        <v>2065</v>
      </c>
      <c r="UZU36" s="619">
        <v>1</v>
      </c>
      <c r="UZV36" s="4">
        <v>1000000</v>
      </c>
      <c r="UZW36" s="4">
        <f>UZV36*UZU36</f>
        <v>1000000</v>
      </c>
      <c r="UZX36" s="9" t="s">
        <v>2066</v>
      </c>
      <c r="UZY36" s="1">
        <v>65</v>
      </c>
      <c r="UZZ36" s="619" t="s">
        <v>2063</v>
      </c>
      <c r="VAA36" s="148" t="s">
        <v>2064</v>
      </c>
      <c r="VAB36" s="9" t="s">
        <v>2065</v>
      </c>
      <c r="VAC36" s="619">
        <v>1</v>
      </c>
      <c r="VAD36" s="4">
        <v>1000000</v>
      </c>
      <c r="VAE36" s="4">
        <f>VAD36*VAC36</f>
        <v>1000000</v>
      </c>
      <c r="VAF36" s="9" t="s">
        <v>2066</v>
      </c>
      <c r="VAG36" s="1">
        <v>65</v>
      </c>
      <c r="VAH36" s="619" t="s">
        <v>2063</v>
      </c>
      <c r="VAI36" s="148" t="s">
        <v>2064</v>
      </c>
      <c r="VAJ36" s="9" t="s">
        <v>2065</v>
      </c>
      <c r="VAK36" s="619">
        <v>1</v>
      </c>
      <c r="VAL36" s="4">
        <v>1000000</v>
      </c>
      <c r="VAM36" s="4">
        <f>VAL36*VAK36</f>
        <v>1000000</v>
      </c>
      <c r="VAN36" s="9" t="s">
        <v>2066</v>
      </c>
      <c r="VAO36" s="1">
        <v>65</v>
      </c>
      <c r="VAP36" s="619" t="s">
        <v>2063</v>
      </c>
      <c r="VAQ36" s="148" t="s">
        <v>2064</v>
      </c>
      <c r="VAR36" s="9" t="s">
        <v>2065</v>
      </c>
      <c r="VAS36" s="619">
        <v>1</v>
      </c>
      <c r="VAT36" s="4">
        <v>1000000</v>
      </c>
      <c r="VAU36" s="4">
        <f>VAT36*VAS36</f>
        <v>1000000</v>
      </c>
      <c r="VAV36" s="9" t="s">
        <v>2066</v>
      </c>
      <c r="VAW36" s="1">
        <v>65</v>
      </c>
      <c r="VAX36" s="619" t="s">
        <v>2063</v>
      </c>
      <c r="VAY36" s="148" t="s">
        <v>2064</v>
      </c>
      <c r="VAZ36" s="9" t="s">
        <v>2065</v>
      </c>
      <c r="VBA36" s="619">
        <v>1</v>
      </c>
      <c r="VBB36" s="4">
        <v>1000000</v>
      </c>
      <c r="VBC36" s="4">
        <f>VBB36*VBA36</f>
        <v>1000000</v>
      </c>
      <c r="VBD36" s="9" t="s">
        <v>2066</v>
      </c>
      <c r="VBE36" s="1">
        <v>65</v>
      </c>
      <c r="VBF36" s="619" t="s">
        <v>2063</v>
      </c>
      <c r="VBG36" s="148" t="s">
        <v>2064</v>
      </c>
      <c r="VBH36" s="9" t="s">
        <v>2065</v>
      </c>
      <c r="VBI36" s="619">
        <v>1</v>
      </c>
      <c r="VBJ36" s="4">
        <v>1000000</v>
      </c>
      <c r="VBK36" s="4">
        <f>VBJ36*VBI36</f>
        <v>1000000</v>
      </c>
      <c r="VBL36" s="9" t="s">
        <v>2066</v>
      </c>
      <c r="VBM36" s="1">
        <v>65</v>
      </c>
      <c r="VBN36" s="619" t="s">
        <v>2063</v>
      </c>
      <c r="VBO36" s="148" t="s">
        <v>2064</v>
      </c>
      <c r="VBP36" s="9" t="s">
        <v>2065</v>
      </c>
      <c r="VBQ36" s="619">
        <v>1</v>
      </c>
      <c r="VBR36" s="4">
        <v>1000000</v>
      </c>
      <c r="VBS36" s="4">
        <f>VBR36*VBQ36</f>
        <v>1000000</v>
      </c>
      <c r="VBT36" s="9" t="s">
        <v>2066</v>
      </c>
      <c r="VBU36" s="1">
        <v>65</v>
      </c>
      <c r="VBV36" s="619" t="s">
        <v>2063</v>
      </c>
      <c r="VBW36" s="148" t="s">
        <v>2064</v>
      </c>
      <c r="VBX36" s="9" t="s">
        <v>2065</v>
      </c>
      <c r="VBY36" s="619">
        <v>1</v>
      </c>
      <c r="VBZ36" s="4">
        <v>1000000</v>
      </c>
      <c r="VCA36" s="4">
        <f>VBZ36*VBY36</f>
        <v>1000000</v>
      </c>
      <c r="VCB36" s="9" t="s">
        <v>2066</v>
      </c>
      <c r="VCC36" s="1">
        <v>65</v>
      </c>
      <c r="VCD36" s="619" t="s">
        <v>2063</v>
      </c>
      <c r="VCE36" s="148" t="s">
        <v>2064</v>
      </c>
      <c r="VCF36" s="9" t="s">
        <v>2065</v>
      </c>
      <c r="VCG36" s="619">
        <v>1</v>
      </c>
      <c r="VCH36" s="4">
        <v>1000000</v>
      </c>
      <c r="VCI36" s="4">
        <f>VCH36*VCG36</f>
        <v>1000000</v>
      </c>
      <c r="VCJ36" s="9" t="s">
        <v>2066</v>
      </c>
      <c r="VCK36" s="1">
        <v>65</v>
      </c>
      <c r="VCL36" s="619" t="s">
        <v>2063</v>
      </c>
      <c r="VCM36" s="148" t="s">
        <v>2064</v>
      </c>
      <c r="VCN36" s="9" t="s">
        <v>2065</v>
      </c>
      <c r="VCO36" s="619">
        <v>1</v>
      </c>
      <c r="VCP36" s="4">
        <v>1000000</v>
      </c>
      <c r="VCQ36" s="4">
        <f>VCP36*VCO36</f>
        <v>1000000</v>
      </c>
      <c r="VCR36" s="9" t="s">
        <v>2066</v>
      </c>
      <c r="VCS36" s="1">
        <v>65</v>
      </c>
      <c r="VCT36" s="619" t="s">
        <v>2063</v>
      </c>
      <c r="VCU36" s="148" t="s">
        <v>2064</v>
      </c>
      <c r="VCV36" s="9" t="s">
        <v>2065</v>
      </c>
      <c r="VCW36" s="619">
        <v>1</v>
      </c>
      <c r="VCX36" s="4">
        <v>1000000</v>
      </c>
      <c r="VCY36" s="4">
        <f>VCX36*VCW36</f>
        <v>1000000</v>
      </c>
      <c r="VCZ36" s="9" t="s">
        <v>2066</v>
      </c>
      <c r="VDA36" s="1">
        <v>65</v>
      </c>
      <c r="VDB36" s="619" t="s">
        <v>2063</v>
      </c>
      <c r="VDC36" s="148" t="s">
        <v>2064</v>
      </c>
      <c r="VDD36" s="9" t="s">
        <v>2065</v>
      </c>
      <c r="VDE36" s="619">
        <v>1</v>
      </c>
      <c r="VDF36" s="4">
        <v>1000000</v>
      </c>
      <c r="VDG36" s="4">
        <f>VDF36*VDE36</f>
        <v>1000000</v>
      </c>
      <c r="VDH36" s="9" t="s">
        <v>2066</v>
      </c>
      <c r="VDI36" s="1">
        <v>65</v>
      </c>
      <c r="VDJ36" s="619" t="s">
        <v>2063</v>
      </c>
      <c r="VDK36" s="148" t="s">
        <v>2064</v>
      </c>
      <c r="VDL36" s="9" t="s">
        <v>2065</v>
      </c>
      <c r="VDM36" s="619">
        <v>1</v>
      </c>
      <c r="VDN36" s="4">
        <v>1000000</v>
      </c>
      <c r="VDO36" s="4">
        <f>VDN36*VDM36</f>
        <v>1000000</v>
      </c>
      <c r="VDP36" s="9" t="s">
        <v>2066</v>
      </c>
      <c r="VDQ36" s="1">
        <v>65</v>
      </c>
      <c r="VDR36" s="619" t="s">
        <v>2063</v>
      </c>
      <c r="VDS36" s="148" t="s">
        <v>2064</v>
      </c>
      <c r="VDT36" s="9" t="s">
        <v>2065</v>
      </c>
      <c r="VDU36" s="619">
        <v>1</v>
      </c>
      <c r="VDV36" s="4">
        <v>1000000</v>
      </c>
      <c r="VDW36" s="4">
        <f>VDV36*VDU36</f>
        <v>1000000</v>
      </c>
      <c r="VDX36" s="9" t="s">
        <v>2066</v>
      </c>
      <c r="VDY36" s="1">
        <v>65</v>
      </c>
      <c r="VDZ36" s="619" t="s">
        <v>2063</v>
      </c>
      <c r="VEA36" s="148" t="s">
        <v>2064</v>
      </c>
      <c r="VEB36" s="9" t="s">
        <v>2065</v>
      </c>
      <c r="VEC36" s="619">
        <v>1</v>
      </c>
      <c r="VED36" s="4">
        <v>1000000</v>
      </c>
      <c r="VEE36" s="4">
        <f>VED36*VEC36</f>
        <v>1000000</v>
      </c>
      <c r="VEF36" s="9" t="s">
        <v>2066</v>
      </c>
      <c r="VEG36" s="1">
        <v>65</v>
      </c>
      <c r="VEH36" s="619" t="s">
        <v>2063</v>
      </c>
      <c r="VEI36" s="148" t="s">
        <v>2064</v>
      </c>
      <c r="VEJ36" s="9" t="s">
        <v>2065</v>
      </c>
      <c r="VEK36" s="619">
        <v>1</v>
      </c>
      <c r="VEL36" s="4">
        <v>1000000</v>
      </c>
      <c r="VEM36" s="4">
        <f>VEL36*VEK36</f>
        <v>1000000</v>
      </c>
      <c r="VEN36" s="9" t="s">
        <v>2066</v>
      </c>
      <c r="VEO36" s="1">
        <v>65</v>
      </c>
      <c r="VEP36" s="619" t="s">
        <v>2063</v>
      </c>
      <c r="VEQ36" s="148" t="s">
        <v>2064</v>
      </c>
      <c r="VER36" s="9" t="s">
        <v>2065</v>
      </c>
      <c r="VES36" s="619">
        <v>1</v>
      </c>
      <c r="VET36" s="4">
        <v>1000000</v>
      </c>
      <c r="VEU36" s="4">
        <f>VET36*VES36</f>
        <v>1000000</v>
      </c>
      <c r="VEV36" s="9" t="s">
        <v>2066</v>
      </c>
      <c r="VEW36" s="1">
        <v>65</v>
      </c>
      <c r="VEX36" s="619" t="s">
        <v>2063</v>
      </c>
      <c r="VEY36" s="148" t="s">
        <v>2064</v>
      </c>
      <c r="VEZ36" s="9" t="s">
        <v>2065</v>
      </c>
      <c r="VFA36" s="619">
        <v>1</v>
      </c>
      <c r="VFB36" s="4">
        <v>1000000</v>
      </c>
      <c r="VFC36" s="4">
        <f>VFB36*VFA36</f>
        <v>1000000</v>
      </c>
      <c r="VFD36" s="9" t="s">
        <v>2066</v>
      </c>
      <c r="VFE36" s="1">
        <v>65</v>
      </c>
      <c r="VFF36" s="619" t="s">
        <v>2063</v>
      </c>
      <c r="VFG36" s="148" t="s">
        <v>2064</v>
      </c>
      <c r="VFH36" s="9" t="s">
        <v>2065</v>
      </c>
      <c r="VFI36" s="619">
        <v>1</v>
      </c>
      <c r="VFJ36" s="4">
        <v>1000000</v>
      </c>
      <c r="VFK36" s="4">
        <f>VFJ36*VFI36</f>
        <v>1000000</v>
      </c>
      <c r="VFL36" s="9" t="s">
        <v>2066</v>
      </c>
      <c r="VFM36" s="1">
        <v>65</v>
      </c>
      <c r="VFN36" s="619" t="s">
        <v>2063</v>
      </c>
      <c r="VFO36" s="148" t="s">
        <v>2064</v>
      </c>
      <c r="VFP36" s="9" t="s">
        <v>2065</v>
      </c>
      <c r="VFQ36" s="619">
        <v>1</v>
      </c>
      <c r="VFR36" s="4">
        <v>1000000</v>
      </c>
      <c r="VFS36" s="4">
        <f>VFR36*VFQ36</f>
        <v>1000000</v>
      </c>
      <c r="VFT36" s="9" t="s">
        <v>2066</v>
      </c>
      <c r="VFU36" s="1">
        <v>65</v>
      </c>
      <c r="VFV36" s="619" t="s">
        <v>2063</v>
      </c>
      <c r="VFW36" s="148" t="s">
        <v>2064</v>
      </c>
      <c r="VFX36" s="9" t="s">
        <v>2065</v>
      </c>
      <c r="VFY36" s="619">
        <v>1</v>
      </c>
      <c r="VFZ36" s="4">
        <v>1000000</v>
      </c>
      <c r="VGA36" s="4">
        <f>VFZ36*VFY36</f>
        <v>1000000</v>
      </c>
      <c r="VGB36" s="9" t="s">
        <v>2066</v>
      </c>
      <c r="VGC36" s="1">
        <v>65</v>
      </c>
      <c r="VGD36" s="619" t="s">
        <v>2063</v>
      </c>
      <c r="VGE36" s="148" t="s">
        <v>2064</v>
      </c>
      <c r="VGF36" s="9" t="s">
        <v>2065</v>
      </c>
      <c r="VGG36" s="619">
        <v>1</v>
      </c>
      <c r="VGH36" s="4">
        <v>1000000</v>
      </c>
      <c r="VGI36" s="4">
        <f>VGH36*VGG36</f>
        <v>1000000</v>
      </c>
      <c r="VGJ36" s="9" t="s">
        <v>2066</v>
      </c>
      <c r="VGK36" s="1">
        <v>65</v>
      </c>
      <c r="VGL36" s="619" t="s">
        <v>2063</v>
      </c>
      <c r="VGM36" s="148" t="s">
        <v>2064</v>
      </c>
      <c r="VGN36" s="9" t="s">
        <v>2065</v>
      </c>
      <c r="VGO36" s="619">
        <v>1</v>
      </c>
      <c r="VGP36" s="4">
        <v>1000000</v>
      </c>
      <c r="VGQ36" s="4">
        <f>VGP36*VGO36</f>
        <v>1000000</v>
      </c>
      <c r="VGR36" s="9" t="s">
        <v>2066</v>
      </c>
      <c r="VGS36" s="1">
        <v>65</v>
      </c>
      <c r="VGT36" s="619" t="s">
        <v>2063</v>
      </c>
      <c r="VGU36" s="148" t="s">
        <v>2064</v>
      </c>
      <c r="VGV36" s="9" t="s">
        <v>2065</v>
      </c>
      <c r="VGW36" s="619">
        <v>1</v>
      </c>
      <c r="VGX36" s="4">
        <v>1000000</v>
      </c>
      <c r="VGY36" s="4">
        <f>VGX36*VGW36</f>
        <v>1000000</v>
      </c>
      <c r="VGZ36" s="9" t="s">
        <v>2066</v>
      </c>
      <c r="VHA36" s="1">
        <v>65</v>
      </c>
      <c r="VHB36" s="619" t="s">
        <v>2063</v>
      </c>
      <c r="VHC36" s="148" t="s">
        <v>2064</v>
      </c>
      <c r="VHD36" s="9" t="s">
        <v>2065</v>
      </c>
      <c r="VHE36" s="619">
        <v>1</v>
      </c>
      <c r="VHF36" s="4">
        <v>1000000</v>
      </c>
      <c r="VHG36" s="4">
        <f>VHF36*VHE36</f>
        <v>1000000</v>
      </c>
      <c r="VHH36" s="9" t="s">
        <v>2066</v>
      </c>
      <c r="VHI36" s="1">
        <v>65</v>
      </c>
      <c r="VHJ36" s="619" t="s">
        <v>2063</v>
      </c>
      <c r="VHK36" s="148" t="s">
        <v>2064</v>
      </c>
      <c r="VHL36" s="9" t="s">
        <v>2065</v>
      </c>
      <c r="VHM36" s="619">
        <v>1</v>
      </c>
      <c r="VHN36" s="4">
        <v>1000000</v>
      </c>
      <c r="VHO36" s="4">
        <f>VHN36*VHM36</f>
        <v>1000000</v>
      </c>
      <c r="VHP36" s="9" t="s">
        <v>2066</v>
      </c>
      <c r="VHQ36" s="1">
        <v>65</v>
      </c>
      <c r="VHR36" s="619" t="s">
        <v>2063</v>
      </c>
      <c r="VHS36" s="148" t="s">
        <v>2064</v>
      </c>
      <c r="VHT36" s="9" t="s">
        <v>2065</v>
      </c>
      <c r="VHU36" s="619">
        <v>1</v>
      </c>
      <c r="VHV36" s="4">
        <v>1000000</v>
      </c>
      <c r="VHW36" s="4">
        <f>VHV36*VHU36</f>
        <v>1000000</v>
      </c>
      <c r="VHX36" s="9" t="s">
        <v>2066</v>
      </c>
      <c r="VHY36" s="1">
        <v>65</v>
      </c>
      <c r="VHZ36" s="619" t="s">
        <v>2063</v>
      </c>
      <c r="VIA36" s="148" t="s">
        <v>2064</v>
      </c>
      <c r="VIB36" s="9" t="s">
        <v>2065</v>
      </c>
      <c r="VIC36" s="619">
        <v>1</v>
      </c>
      <c r="VID36" s="4">
        <v>1000000</v>
      </c>
      <c r="VIE36" s="4">
        <f>VID36*VIC36</f>
        <v>1000000</v>
      </c>
      <c r="VIF36" s="9" t="s">
        <v>2066</v>
      </c>
      <c r="VIG36" s="1">
        <v>65</v>
      </c>
      <c r="VIH36" s="619" t="s">
        <v>2063</v>
      </c>
      <c r="VII36" s="148" t="s">
        <v>2064</v>
      </c>
      <c r="VIJ36" s="9" t="s">
        <v>2065</v>
      </c>
      <c r="VIK36" s="619">
        <v>1</v>
      </c>
      <c r="VIL36" s="4">
        <v>1000000</v>
      </c>
      <c r="VIM36" s="4">
        <f>VIL36*VIK36</f>
        <v>1000000</v>
      </c>
      <c r="VIN36" s="9" t="s">
        <v>2066</v>
      </c>
      <c r="VIO36" s="1">
        <v>65</v>
      </c>
      <c r="VIP36" s="619" t="s">
        <v>2063</v>
      </c>
      <c r="VIQ36" s="148" t="s">
        <v>2064</v>
      </c>
      <c r="VIR36" s="9" t="s">
        <v>2065</v>
      </c>
      <c r="VIS36" s="619">
        <v>1</v>
      </c>
      <c r="VIT36" s="4">
        <v>1000000</v>
      </c>
      <c r="VIU36" s="4">
        <f>VIT36*VIS36</f>
        <v>1000000</v>
      </c>
      <c r="VIV36" s="9" t="s">
        <v>2066</v>
      </c>
      <c r="VIW36" s="1">
        <v>65</v>
      </c>
      <c r="VIX36" s="619" t="s">
        <v>2063</v>
      </c>
      <c r="VIY36" s="148" t="s">
        <v>2064</v>
      </c>
      <c r="VIZ36" s="9" t="s">
        <v>2065</v>
      </c>
      <c r="VJA36" s="619">
        <v>1</v>
      </c>
      <c r="VJB36" s="4">
        <v>1000000</v>
      </c>
      <c r="VJC36" s="4">
        <f>VJB36*VJA36</f>
        <v>1000000</v>
      </c>
      <c r="VJD36" s="9" t="s">
        <v>2066</v>
      </c>
      <c r="VJE36" s="1">
        <v>65</v>
      </c>
      <c r="VJF36" s="619" t="s">
        <v>2063</v>
      </c>
      <c r="VJG36" s="148" t="s">
        <v>2064</v>
      </c>
      <c r="VJH36" s="9" t="s">
        <v>2065</v>
      </c>
      <c r="VJI36" s="619">
        <v>1</v>
      </c>
      <c r="VJJ36" s="4">
        <v>1000000</v>
      </c>
      <c r="VJK36" s="4">
        <f>VJJ36*VJI36</f>
        <v>1000000</v>
      </c>
      <c r="VJL36" s="9" t="s">
        <v>2066</v>
      </c>
      <c r="VJM36" s="1">
        <v>65</v>
      </c>
      <c r="VJN36" s="619" t="s">
        <v>2063</v>
      </c>
      <c r="VJO36" s="148" t="s">
        <v>2064</v>
      </c>
      <c r="VJP36" s="9" t="s">
        <v>2065</v>
      </c>
      <c r="VJQ36" s="619">
        <v>1</v>
      </c>
      <c r="VJR36" s="4">
        <v>1000000</v>
      </c>
      <c r="VJS36" s="4">
        <f>VJR36*VJQ36</f>
        <v>1000000</v>
      </c>
      <c r="VJT36" s="9" t="s">
        <v>2066</v>
      </c>
      <c r="VJU36" s="1">
        <v>65</v>
      </c>
      <c r="VJV36" s="619" t="s">
        <v>2063</v>
      </c>
      <c r="VJW36" s="148" t="s">
        <v>2064</v>
      </c>
      <c r="VJX36" s="9" t="s">
        <v>2065</v>
      </c>
      <c r="VJY36" s="619">
        <v>1</v>
      </c>
      <c r="VJZ36" s="4">
        <v>1000000</v>
      </c>
      <c r="VKA36" s="4">
        <f>VJZ36*VJY36</f>
        <v>1000000</v>
      </c>
      <c r="VKB36" s="9" t="s">
        <v>2066</v>
      </c>
      <c r="VKC36" s="1">
        <v>65</v>
      </c>
      <c r="VKD36" s="619" t="s">
        <v>2063</v>
      </c>
      <c r="VKE36" s="148" t="s">
        <v>2064</v>
      </c>
      <c r="VKF36" s="9" t="s">
        <v>2065</v>
      </c>
      <c r="VKG36" s="619">
        <v>1</v>
      </c>
      <c r="VKH36" s="4">
        <v>1000000</v>
      </c>
      <c r="VKI36" s="4">
        <f>VKH36*VKG36</f>
        <v>1000000</v>
      </c>
      <c r="VKJ36" s="9" t="s">
        <v>2066</v>
      </c>
      <c r="VKK36" s="1">
        <v>65</v>
      </c>
      <c r="VKL36" s="619" t="s">
        <v>2063</v>
      </c>
      <c r="VKM36" s="148" t="s">
        <v>2064</v>
      </c>
      <c r="VKN36" s="9" t="s">
        <v>2065</v>
      </c>
      <c r="VKO36" s="619">
        <v>1</v>
      </c>
      <c r="VKP36" s="4">
        <v>1000000</v>
      </c>
      <c r="VKQ36" s="4">
        <f>VKP36*VKO36</f>
        <v>1000000</v>
      </c>
      <c r="VKR36" s="9" t="s">
        <v>2066</v>
      </c>
      <c r="VKS36" s="1">
        <v>65</v>
      </c>
      <c r="VKT36" s="619" t="s">
        <v>2063</v>
      </c>
      <c r="VKU36" s="148" t="s">
        <v>2064</v>
      </c>
      <c r="VKV36" s="9" t="s">
        <v>2065</v>
      </c>
      <c r="VKW36" s="619">
        <v>1</v>
      </c>
      <c r="VKX36" s="4">
        <v>1000000</v>
      </c>
      <c r="VKY36" s="4">
        <f>VKX36*VKW36</f>
        <v>1000000</v>
      </c>
      <c r="VKZ36" s="9" t="s">
        <v>2066</v>
      </c>
      <c r="VLA36" s="1">
        <v>65</v>
      </c>
      <c r="VLB36" s="619" t="s">
        <v>2063</v>
      </c>
      <c r="VLC36" s="148" t="s">
        <v>2064</v>
      </c>
      <c r="VLD36" s="9" t="s">
        <v>2065</v>
      </c>
      <c r="VLE36" s="619">
        <v>1</v>
      </c>
      <c r="VLF36" s="4">
        <v>1000000</v>
      </c>
      <c r="VLG36" s="4">
        <f>VLF36*VLE36</f>
        <v>1000000</v>
      </c>
      <c r="VLH36" s="9" t="s">
        <v>2066</v>
      </c>
      <c r="VLI36" s="1">
        <v>65</v>
      </c>
      <c r="VLJ36" s="619" t="s">
        <v>2063</v>
      </c>
      <c r="VLK36" s="148" t="s">
        <v>2064</v>
      </c>
      <c r="VLL36" s="9" t="s">
        <v>2065</v>
      </c>
      <c r="VLM36" s="619">
        <v>1</v>
      </c>
      <c r="VLN36" s="4">
        <v>1000000</v>
      </c>
      <c r="VLO36" s="4">
        <f>VLN36*VLM36</f>
        <v>1000000</v>
      </c>
      <c r="VLP36" s="9" t="s">
        <v>2066</v>
      </c>
      <c r="VLQ36" s="1">
        <v>65</v>
      </c>
      <c r="VLR36" s="619" t="s">
        <v>2063</v>
      </c>
      <c r="VLS36" s="148" t="s">
        <v>2064</v>
      </c>
      <c r="VLT36" s="9" t="s">
        <v>2065</v>
      </c>
      <c r="VLU36" s="619">
        <v>1</v>
      </c>
      <c r="VLV36" s="4">
        <v>1000000</v>
      </c>
      <c r="VLW36" s="4">
        <f>VLV36*VLU36</f>
        <v>1000000</v>
      </c>
      <c r="VLX36" s="9" t="s">
        <v>2066</v>
      </c>
      <c r="VLY36" s="1">
        <v>65</v>
      </c>
      <c r="VLZ36" s="619" t="s">
        <v>2063</v>
      </c>
      <c r="VMA36" s="148" t="s">
        <v>2064</v>
      </c>
      <c r="VMB36" s="9" t="s">
        <v>2065</v>
      </c>
      <c r="VMC36" s="619">
        <v>1</v>
      </c>
      <c r="VMD36" s="4">
        <v>1000000</v>
      </c>
      <c r="VME36" s="4">
        <f>VMD36*VMC36</f>
        <v>1000000</v>
      </c>
      <c r="VMF36" s="9" t="s">
        <v>2066</v>
      </c>
      <c r="VMG36" s="1">
        <v>65</v>
      </c>
      <c r="VMH36" s="619" t="s">
        <v>2063</v>
      </c>
      <c r="VMI36" s="148" t="s">
        <v>2064</v>
      </c>
      <c r="VMJ36" s="9" t="s">
        <v>2065</v>
      </c>
      <c r="VMK36" s="619">
        <v>1</v>
      </c>
      <c r="VML36" s="4">
        <v>1000000</v>
      </c>
      <c r="VMM36" s="4">
        <f>VML36*VMK36</f>
        <v>1000000</v>
      </c>
      <c r="VMN36" s="9" t="s">
        <v>2066</v>
      </c>
      <c r="VMO36" s="1">
        <v>65</v>
      </c>
      <c r="VMP36" s="619" t="s">
        <v>2063</v>
      </c>
      <c r="VMQ36" s="148" t="s">
        <v>2064</v>
      </c>
      <c r="VMR36" s="9" t="s">
        <v>2065</v>
      </c>
      <c r="VMS36" s="619">
        <v>1</v>
      </c>
      <c r="VMT36" s="4">
        <v>1000000</v>
      </c>
      <c r="VMU36" s="4">
        <f>VMT36*VMS36</f>
        <v>1000000</v>
      </c>
      <c r="VMV36" s="9" t="s">
        <v>2066</v>
      </c>
      <c r="VMW36" s="1">
        <v>65</v>
      </c>
      <c r="VMX36" s="619" t="s">
        <v>2063</v>
      </c>
      <c r="VMY36" s="148" t="s">
        <v>2064</v>
      </c>
      <c r="VMZ36" s="9" t="s">
        <v>2065</v>
      </c>
      <c r="VNA36" s="619">
        <v>1</v>
      </c>
      <c r="VNB36" s="4">
        <v>1000000</v>
      </c>
      <c r="VNC36" s="4">
        <f>VNB36*VNA36</f>
        <v>1000000</v>
      </c>
      <c r="VND36" s="9" t="s">
        <v>2066</v>
      </c>
      <c r="VNE36" s="1">
        <v>65</v>
      </c>
      <c r="VNF36" s="619" t="s">
        <v>2063</v>
      </c>
      <c r="VNG36" s="148" t="s">
        <v>2064</v>
      </c>
      <c r="VNH36" s="9" t="s">
        <v>2065</v>
      </c>
      <c r="VNI36" s="619">
        <v>1</v>
      </c>
      <c r="VNJ36" s="4">
        <v>1000000</v>
      </c>
      <c r="VNK36" s="4">
        <f>VNJ36*VNI36</f>
        <v>1000000</v>
      </c>
      <c r="VNL36" s="9" t="s">
        <v>2066</v>
      </c>
      <c r="VNM36" s="1">
        <v>65</v>
      </c>
      <c r="VNN36" s="619" t="s">
        <v>2063</v>
      </c>
      <c r="VNO36" s="148" t="s">
        <v>2064</v>
      </c>
      <c r="VNP36" s="9" t="s">
        <v>2065</v>
      </c>
      <c r="VNQ36" s="619">
        <v>1</v>
      </c>
      <c r="VNR36" s="4">
        <v>1000000</v>
      </c>
      <c r="VNS36" s="4">
        <f>VNR36*VNQ36</f>
        <v>1000000</v>
      </c>
      <c r="VNT36" s="9" t="s">
        <v>2066</v>
      </c>
      <c r="VNU36" s="1">
        <v>65</v>
      </c>
      <c r="VNV36" s="619" t="s">
        <v>2063</v>
      </c>
      <c r="VNW36" s="148" t="s">
        <v>2064</v>
      </c>
      <c r="VNX36" s="9" t="s">
        <v>2065</v>
      </c>
      <c r="VNY36" s="619">
        <v>1</v>
      </c>
      <c r="VNZ36" s="4">
        <v>1000000</v>
      </c>
      <c r="VOA36" s="4">
        <f>VNZ36*VNY36</f>
        <v>1000000</v>
      </c>
      <c r="VOB36" s="9" t="s">
        <v>2066</v>
      </c>
      <c r="VOC36" s="1">
        <v>65</v>
      </c>
      <c r="VOD36" s="619" t="s">
        <v>2063</v>
      </c>
      <c r="VOE36" s="148" t="s">
        <v>2064</v>
      </c>
      <c r="VOF36" s="9" t="s">
        <v>2065</v>
      </c>
      <c r="VOG36" s="619">
        <v>1</v>
      </c>
      <c r="VOH36" s="4">
        <v>1000000</v>
      </c>
      <c r="VOI36" s="4">
        <f>VOH36*VOG36</f>
        <v>1000000</v>
      </c>
      <c r="VOJ36" s="9" t="s">
        <v>2066</v>
      </c>
      <c r="VOK36" s="1">
        <v>65</v>
      </c>
      <c r="VOL36" s="619" t="s">
        <v>2063</v>
      </c>
      <c r="VOM36" s="148" t="s">
        <v>2064</v>
      </c>
      <c r="VON36" s="9" t="s">
        <v>2065</v>
      </c>
      <c r="VOO36" s="619">
        <v>1</v>
      </c>
      <c r="VOP36" s="4">
        <v>1000000</v>
      </c>
      <c r="VOQ36" s="4">
        <f>VOP36*VOO36</f>
        <v>1000000</v>
      </c>
      <c r="VOR36" s="9" t="s">
        <v>2066</v>
      </c>
      <c r="VOS36" s="1">
        <v>65</v>
      </c>
      <c r="VOT36" s="619" t="s">
        <v>2063</v>
      </c>
      <c r="VOU36" s="148" t="s">
        <v>2064</v>
      </c>
      <c r="VOV36" s="9" t="s">
        <v>2065</v>
      </c>
      <c r="VOW36" s="619">
        <v>1</v>
      </c>
      <c r="VOX36" s="4">
        <v>1000000</v>
      </c>
      <c r="VOY36" s="4">
        <f>VOX36*VOW36</f>
        <v>1000000</v>
      </c>
      <c r="VOZ36" s="9" t="s">
        <v>2066</v>
      </c>
      <c r="VPA36" s="1">
        <v>65</v>
      </c>
      <c r="VPB36" s="619" t="s">
        <v>2063</v>
      </c>
      <c r="VPC36" s="148" t="s">
        <v>2064</v>
      </c>
      <c r="VPD36" s="9" t="s">
        <v>2065</v>
      </c>
      <c r="VPE36" s="619">
        <v>1</v>
      </c>
      <c r="VPF36" s="4">
        <v>1000000</v>
      </c>
      <c r="VPG36" s="4">
        <f>VPF36*VPE36</f>
        <v>1000000</v>
      </c>
      <c r="VPH36" s="9" t="s">
        <v>2066</v>
      </c>
      <c r="VPI36" s="1">
        <v>65</v>
      </c>
      <c r="VPJ36" s="619" t="s">
        <v>2063</v>
      </c>
      <c r="VPK36" s="148" t="s">
        <v>2064</v>
      </c>
      <c r="VPL36" s="9" t="s">
        <v>2065</v>
      </c>
      <c r="VPM36" s="619">
        <v>1</v>
      </c>
      <c r="VPN36" s="4">
        <v>1000000</v>
      </c>
      <c r="VPO36" s="4">
        <f>VPN36*VPM36</f>
        <v>1000000</v>
      </c>
      <c r="VPP36" s="9" t="s">
        <v>2066</v>
      </c>
      <c r="VPQ36" s="1">
        <v>65</v>
      </c>
      <c r="VPR36" s="619" t="s">
        <v>2063</v>
      </c>
      <c r="VPS36" s="148" t="s">
        <v>2064</v>
      </c>
      <c r="VPT36" s="9" t="s">
        <v>2065</v>
      </c>
      <c r="VPU36" s="619">
        <v>1</v>
      </c>
      <c r="VPV36" s="4">
        <v>1000000</v>
      </c>
      <c r="VPW36" s="4">
        <f>VPV36*VPU36</f>
        <v>1000000</v>
      </c>
      <c r="VPX36" s="9" t="s">
        <v>2066</v>
      </c>
      <c r="VPY36" s="1">
        <v>65</v>
      </c>
      <c r="VPZ36" s="619" t="s">
        <v>2063</v>
      </c>
      <c r="VQA36" s="148" t="s">
        <v>2064</v>
      </c>
      <c r="VQB36" s="9" t="s">
        <v>2065</v>
      </c>
      <c r="VQC36" s="619">
        <v>1</v>
      </c>
      <c r="VQD36" s="4">
        <v>1000000</v>
      </c>
      <c r="VQE36" s="4">
        <f>VQD36*VQC36</f>
        <v>1000000</v>
      </c>
      <c r="VQF36" s="9" t="s">
        <v>2066</v>
      </c>
      <c r="VQG36" s="1">
        <v>65</v>
      </c>
      <c r="VQH36" s="619" t="s">
        <v>2063</v>
      </c>
      <c r="VQI36" s="148" t="s">
        <v>2064</v>
      </c>
      <c r="VQJ36" s="9" t="s">
        <v>2065</v>
      </c>
      <c r="VQK36" s="619">
        <v>1</v>
      </c>
      <c r="VQL36" s="4">
        <v>1000000</v>
      </c>
      <c r="VQM36" s="4">
        <f>VQL36*VQK36</f>
        <v>1000000</v>
      </c>
      <c r="VQN36" s="9" t="s">
        <v>2066</v>
      </c>
      <c r="VQO36" s="1">
        <v>65</v>
      </c>
      <c r="VQP36" s="619" t="s">
        <v>2063</v>
      </c>
      <c r="VQQ36" s="148" t="s">
        <v>2064</v>
      </c>
      <c r="VQR36" s="9" t="s">
        <v>2065</v>
      </c>
      <c r="VQS36" s="619">
        <v>1</v>
      </c>
      <c r="VQT36" s="4">
        <v>1000000</v>
      </c>
      <c r="VQU36" s="4">
        <f>VQT36*VQS36</f>
        <v>1000000</v>
      </c>
      <c r="VQV36" s="9" t="s">
        <v>2066</v>
      </c>
      <c r="VQW36" s="1">
        <v>65</v>
      </c>
      <c r="VQX36" s="619" t="s">
        <v>2063</v>
      </c>
      <c r="VQY36" s="148" t="s">
        <v>2064</v>
      </c>
      <c r="VQZ36" s="9" t="s">
        <v>2065</v>
      </c>
      <c r="VRA36" s="619">
        <v>1</v>
      </c>
      <c r="VRB36" s="4">
        <v>1000000</v>
      </c>
      <c r="VRC36" s="4">
        <f>VRB36*VRA36</f>
        <v>1000000</v>
      </c>
      <c r="VRD36" s="9" t="s">
        <v>2066</v>
      </c>
      <c r="VRE36" s="1">
        <v>65</v>
      </c>
      <c r="VRF36" s="619" t="s">
        <v>2063</v>
      </c>
      <c r="VRG36" s="148" t="s">
        <v>2064</v>
      </c>
      <c r="VRH36" s="9" t="s">
        <v>2065</v>
      </c>
      <c r="VRI36" s="619">
        <v>1</v>
      </c>
      <c r="VRJ36" s="4">
        <v>1000000</v>
      </c>
      <c r="VRK36" s="4">
        <f>VRJ36*VRI36</f>
        <v>1000000</v>
      </c>
      <c r="VRL36" s="9" t="s">
        <v>2066</v>
      </c>
      <c r="VRM36" s="1">
        <v>65</v>
      </c>
      <c r="VRN36" s="619" t="s">
        <v>2063</v>
      </c>
      <c r="VRO36" s="148" t="s">
        <v>2064</v>
      </c>
      <c r="VRP36" s="9" t="s">
        <v>2065</v>
      </c>
      <c r="VRQ36" s="619">
        <v>1</v>
      </c>
      <c r="VRR36" s="4">
        <v>1000000</v>
      </c>
      <c r="VRS36" s="4">
        <f>VRR36*VRQ36</f>
        <v>1000000</v>
      </c>
      <c r="VRT36" s="9" t="s">
        <v>2066</v>
      </c>
      <c r="VRU36" s="1">
        <v>65</v>
      </c>
      <c r="VRV36" s="619" t="s">
        <v>2063</v>
      </c>
      <c r="VRW36" s="148" t="s">
        <v>2064</v>
      </c>
      <c r="VRX36" s="9" t="s">
        <v>2065</v>
      </c>
      <c r="VRY36" s="619">
        <v>1</v>
      </c>
      <c r="VRZ36" s="4">
        <v>1000000</v>
      </c>
      <c r="VSA36" s="4">
        <f>VRZ36*VRY36</f>
        <v>1000000</v>
      </c>
      <c r="VSB36" s="9" t="s">
        <v>2066</v>
      </c>
      <c r="VSC36" s="1">
        <v>65</v>
      </c>
      <c r="VSD36" s="619" t="s">
        <v>2063</v>
      </c>
      <c r="VSE36" s="148" t="s">
        <v>2064</v>
      </c>
      <c r="VSF36" s="9" t="s">
        <v>2065</v>
      </c>
      <c r="VSG36" s="619">
        <v>1</v>
      </c>
      <c r="VSH36" s="4">
        <v>1000000</v>
      </c>
      <c r="VSI36" s="4">
        <f>VSH36*VSG36</f>
        <v>1000000</v>
      </c>
      <c r="VSJ36" s="9" t="s">
        <v>2066</v>
      </c>
      <c r="VSK36" s="1">
        <v>65</v>
      </c>
      <c r="VSL36" s="619" t="s">
        <v>2063</v>
      </c>
      <c r="VSM36" s="148" t="s">
        <v>2064</v>
      </c>
      <c r="VSN36" s="9" t="s">
        <v>2065</v>
      </c>
      <c r="VSO36" s="619">
        <v>1</v>
      </c>
      <c r="VSP36" s="4">
        <v>1000000</v>
      </c>
      <c r="VSQ36" s="4">
        <f>VSP36*VSO36</f>
        <v>1000000</v>
      </c>
      <c r="VSR36" s="9" t="s">
        <v>2066</v>
      </c>
      <c r="VSS36" s="1">
        <v>65</v>
      </c>
      <c r="VST36" s="619" t="s">
        <v>2063</v>
      </c>
      <c r="VSU36" s="148" t="s">
        <v>2064</v>
      </c>
      <c r="VSV36" s="9" t="s">
        <v>2065</v>
      </c>
      <c r="VSW36" s="619">
        <v>1</v>
      </c>
      <c r="VSX36" s="4">
        <v>1000000</v>
      </c>
      <c r="VSY36" s="4">
        <f>VSX36*VSW36</f>
        <v>1000000</v>
      </c>
      <c r="VSZ36" s="9" t="s">
        <v>2066</v>
      </c>
      <c r="VTA36" s="1">
        <v>65</v>
      </c>
      <c r="VTB36" s="619" t="s">
        <v>2063</v>
      </c>
      <c r="VTC36" s="148" t="s">
        <v>2064</v>
      </c>
      <c r="VTD36" s="9" t="s">
        <v>2065</v>
      </c>
      <c r="VTE36" s="619">
        <v>1</v>
      </c>
      <c r="VTF36" s="4">
        <v>1000000</v>
      </c>
      <c r="VTG36" s="4">
        <f>VTF36*VTE36</f>
        <v>1000000</v>
      </c>
      <c r="VTH36" s="9" t="s">
        <v>2066</v>
      </c>
      <c r="VTI36" s="1">
        <v>65</v>
      </c>
      <c r="VTJ36" s="619" t="s">
        <v>2063</v>
      </c>
      <c r="VTK36" s="148" t="s">
        <v>2064</v>
      </c>
      <c r="VTL36" s="9" t="s">
        <v>2065</v>
      </c>
      <c r="VTM36" s="619">
        <v>1</v>
      </c>
      <c r="VTN36" s="4">
        <v>1000000</v>
      </c>
      <c r="VTO36" s="4">
        <f>VTN36*VTM36</f>
        <v>1000000</v>
      </c>
      <c r="VTP36" s="9" t="s">
        <v>2066</v>
      </c>
      <c r="VTQ36" s="1">
        <v>65</v>
      </c>
      <c r="VTR36" s="619" t="s">
        <v>2063</v>
      </c>
      <c r="VTS36" s="148" t="s">
        <v>2064</v>
      </c>
      <c r="VTT36" s="9" t="s">
        <v>2065</v>
      </c>
      <c r="VTU36" s="619">
        <v>1</v>
      </c>
      <c r="VTV36" s="4">
        <v>1000000</v>
      </c>
      <c r="VTW36" s="4">
        <f>VTV36*VTU36</f>
        <v>1000000</v>
      </c>
      <c r="VTX36" s="9" t="s">
        <v>2066</v>
      </c>
      <c r="VTY36" s="1">
        <v>65</v>
      </c>
      <c r="VTZ36" s="619" t="s">
        <v>2063</v>
      </c>
      <c r="VUA36" s="148" t="s">
        <v>2064</v>
      </c>
      <c r="VUB36" s="9" t="s">
        <v>2065</v>
      </c>
      <c r="VUC36" s="619">
        <v>1</v>
      </c>
      <c r="VUD36" s="4">
        <v>1000000</v>
      </c>
      <c r="VUE36" s="4">
        <f>VUD36*VUC36</f>
        <v>1000000</v>
      </c>
      <c r="VUF36" s="9" t="s">
        <v>2066</v>
      </c>
      <c r="VUG36" s="1">
        <v>65</v>
      </c>
      <c r="VUH36" s="619" t="s">
        <v>2063</v>
      </c>
      <c r="VUI36" s="148" t="s">
        <v>2064</v>
      </c>
      <c r="VUJ36" s="9" t="s">
        <v>2065</v>
      </c>
      <c r="VUK36" s="619">
        <v>1</v>
      </c>
      <c r="VUL36" s="4">
        <v>1000000</v>
      </c>
      <c r="VUM36" s="4">
        <f>VUL36*VUK36</f>
        <v>1000000</v>
      </c>
      <c r="VUN36" s="9" t="s">
        <v>2066</v>
      </c>
      <c r="VUO36" s="1">
        <v>65</v>
      </c>
      <c r="VUP36" s="619" t="s">
        <v>2063</v>
      </c>
      <c r="VUQ36" s="148" t="s">
        <v>2064</v>
      </c>
      <c r="VUR36" s="9" t="s">
        <v>2065</v>
      </c>
      <c r="VUS36" s="619">
        <v>1</v>
      </c>
      <c r="VUT36" s="4">
        <v>1000000</v>
      </c>
      <c r="VUU36" s="4">
        <f>VUT36*VUS36</f>
        <v>1000000</v>
      </c>
      <c r="VUV36" s="9" t="s">
        <v>2066</v>
      </c>
      <c r="VUW36" s="1">
        <v>65</v>
      </c>
      <c r="VUX36" s="619" t="s">
        <v>2063</v>
      </c>
      <c r="VUY36" s="148" t="s">
        <v>2064</v>
      </c>
      <c r="VUZ36" s="9" t="s">
        <v>2065</v>
      </c>
      <c r="VVA36" s="619">
        <v>1</v>
      </c>
      <c r="VVB36" s="4">
        <v>1000000</v>
      </c>
      <c r="VVC36" s="4">
        <f>VVB36*VVA36</f>
        <v>1000000</v>
      </c>
      <c r="VVD36" s="9" t="s">
        <v>2066</v>
      </c>
      <c r="VVE36" s="1">
        <v>65</v>
      </c>
      <c r="VVF36" s="619" t="s">
        <v>2063</v>
      </c>
      <c r="VVG36" s="148" t="s">
        <v>2064</v>
      </c>
      <c r="VVH36" s="9" t="s">
        <v>2065</v>
      </c>
      <c r="VVI36" s="619">
        <v>1</v>
      </c>
      <c r="VVJ36" s="4">
        <v>1000000</v>
      </c>
      <c r="VVK36" s="4">
        <f>VVJ36*VVI36</f>
        <v>1000000</v>
      </c>
      <c r="VVL36" s="9" t="s">
        <v>2066</v>
      </c>
      <c r="VVM36" s="1">
        <v>65</v>
      </c>
      <c r="VVN36" s="619" t="s">
        <v>2063</v>
      </c>
      <c r="VVO36" s="148" t="s">
        <v>2064</v>
      </c>
      <c r="VVP36" s="9" t="s">
        <v>2065</v>
      </c>
      <c r="VVQ36" s="619">
        <v>1</v>
      </c>
      <c r="VVR36" s="4">
        <v>1000000</v>
      </c>
      <c r="VVS36" s="4">
        <f>VVR36*VVQ36</f>
        <v>1000000</v>
      </c>
      <c r="VVT36" s="9" t="s">
        <v>2066</v>
      </c>
      <c r="VVU36" s="1">
        <v>65</v>
      </c>
      <c r="VVV36" s="619" t="s">
        <v>2063</v>
      </c>
      <c r="VVW36" s="148" t="s">
        <v>2064</v>
      </c>
      <c r="VVX36" s="9" t="s">
        <v>2065</v>
      </c>
      <c r="VVY36" s="619">
        <v>1</v>
      </c>
      <c r="VVZ36" s="4">
        <v>1000000</v>
      </c>
      <c r="VWA36" s="4">
        <f>VVZ36*VVY36</f>
        <v>1000000</v>
      </c>
      <c r="VWB36" s="9" t="s">
        <v>2066</v>
      </c>
      <c r="VWC36" s="1">
        <v>65</v>
      </c>
      <c r="VWD36" s="619" t="s">
        <v>2063</v>
      </c>
      <c r="VWE36" s="148" t="s">
        <v>2064</v>
      </c>
      <c r="VWF36" s="9" t="s">
        <v>2065</v>
      </c>
      <c r="VWG36" s="619">
        <v>1</v>
      </c>
      <c r="VWH36" s="4">
        <v>1000000</v>
      </c>
      <c r="VWI36" s="4">
        <f>VWH36*VWG36</f>
        <v>1000000</v>
      </c>
      <c r="VWJ36" s="9" t="s">
        <v>2066</v>
      </c>
      <c r="VWK36" s="1">
        <v>65</v>
      </c>
      <c r="VWL36" s="619" t="s">
        <v>2063</v>
      </c>
      <c r="VWM36" s="148" t="s">
        <v>2064</v>
      </c>
      <c r="VWN36" s="9" t="s">
        <v>2065</v>
      </c>
      <c r="VWO36" s="619">
        <v>1</v>
      </c>
      <c r="VWP36" s="4">
        <v>1000000</v>
      </c>
      <c r="VWQ36" s="4">
        <f>VWP36*VWO36</f>
        <v>1000000</v>
      </c>
      <c r="VWR36" s="9" t="s">
        <v>2066</v>
      </c>
      <c r="VWS36" s="1">
        <v>65</v>
      </c>
      <c r="VWT36" s="619" t="s">
        <v>2063</v>
      </c>
      <c r="VWU36" s="148" t="s">
        <v>2064</v>
      </c>
      <c r="VWV36" s="9" t="s">
        <v>2065</v>
      </c>
      <c r="VWW36" s="619">
        <v>1</v>
      </c>
      <c r="VWX36" s="4">
        <v>1000000</v>
      </c>
      <c r="VWY36" s="4">
        <f>VWX36*VWW36</f>
        <v>1000000</v>
      </c>
      <c r="VWZ36" s="9" t="s">
        <v>2066</v>
      </c>
      <c r="VXA36" s="1">
        <v>65</v>
      </c>
      <c r="VXB36" s="619" t="s">
        <v>2063</v>
      </c>
      <c r="VXC36" s="148" t="s">
        <v>2064</v>
      </c>
      <c r="VXD36" s="9" t="s">
        <v>2065</v>
      </c>
      <c r="VXE36" s="619">
        <v>1</v>
      </c>
      <c r="VXF36" s="4">
        <v>1000000</v>
      </c>
      <c r="VXG36" s="4">
        <f>VXF36*VXE36</f>
        <v>1000000</v>
      </c>
      <c r="VXH36" s="9" t="s">
        <v>2066</v>
      </c>
      <c r="VXI36" s="1">
        <v>65</v>
      </c>
      <c r="VXJ36" s="619" t="s">
        <v>2063</v>
      </c>
      <c r="VXK36" s="148" t="s">
        <v>2064</v>
      </c>
      <c r="VXL36" s="9" t="s">
        <v>2065</v>
      </c>
      <c r="VXM36" s="619">
        <v>1</v>
      </c>
      <c r="VXN36" s="4">
        <v>1000000</v>
      </c>
      <c r="VXO36" s="4">
        <f>VXN36*VXM36</f>
        <v>1000000</v>
      </c>
      <c r="VXP36" s="9" t="s">
        <v>2066</v>
      </c>
      <c r="VXQ36" s="1">
        <v>65</v>
      </c>
      <c r="VXR36" s="619" t="s">
        <v>2063</v>
      </c>
      <c r="VXS36" s="148" t="s">
        <v>2064</v>
      </c>
      <c r="VXT36" s="9" t="s">
        <v>2065</v>
      </c>
      <c r="VXU36" s="619">
        <v>1</v>
      </c>
      <c r="VXV36" s="4">
        <v>1000000</v>
      </c>
      <c r="VXW36" s="4">
        <f>VXV36*VXU36</f>
        <v>1000000</v>
      </c>
      <c r="VXX36" s="9" t="s">
        <v>2066</v>
      </c>
      <c r="VXY36" s="1">
        <v>65</v>
      </c>
      <c r="VXZ36" s="619" t="s">
        <v>2063</v>
      </c>
      <c r="VYA36" s="148" t="s">
        <v>2064</v>
      </c>
      <c r="VYB36" s="9" t="s">
        <v>2065</v>
      </c>
      <c r="VYC36" s="619">
        <v>1</v>
      </c>
      <c r="VYD36" s="4">
        <v>1000000</v>
      </c>
      <c r="VYE36" s="4">
        <f>VYD36*VYC36</f>
        <v>1000000</v>
      </c>
      <c r="VYF36" s="9" t="s">
        <v>2066</v>
      </c>
      <c r="VYG36" s="1">
        <v>65</v>
      </c>
      <c r="VYH36" s="619" t="s">
        <v>2063</v>
      </c>
      <c r="VYI36" s="148" t="s">
        <v>2064</v>
      </c>
      <c r="VYJ36" s="9" t="s">
        <v>2065</v>
      </c>
      <c r="VYK36" s="619">
        <v>1</v>
      </c>
      <c r="VYL36" s="4">
        <v>1000000</v>
      </c>
      <c r="VYM36" s="4">
        <f>VYL36*VYK36</f>
        <v>1000000</v>
      </c>
      <c r="VYN36" s="9" t="s">
        <v>2066</v>
      </c>
      <c r="VYO36" s="1">
        <v>65</v>
      </c>
      <c r="VYP36" s="619" t="s">
        <v>2063</v>
      </c>
      <c r="VYQ36" s="148" t="s">
        <v>2064</v>
      </c>
      <c r="VYR36" s="9" t="s">
        <v>2065</v>
      </c>
      <c r="VYS36" s="619">
        <v>1</v>
      </c>
      <c r="VYT36" s="4">
        <v>1000000</v>
      </c>
      <c r="VYU36" s="4">
        <f>VYT36*VYS36</f>
        <v>1000000</v>
      </c>
      <c r="VYV36" s="9" t="s">
        <v>2066</v>
      </c>
      <c r="VYW36" s="1">
        <v>65</v>
      </c>
      <c r="VYX36" s="619" t="s">
        <v>2063</v>
      </c>
      <c r="VYY36" s="148" t="s">
        <v>2064</v>
      </c>
      <c r="VYZ36" s="9" t="s">
        <v>2065</v>
      </c>
      <c r="VZA36" s="619">
        <v>1</v>
      </c>
      <c r="VZB36" s="4">
        <v>1000000</v>
      </c>
      <c r="VZC36" s="4">
        <f>VZB36*VZA36</f>
        <v>1000000</v>
      </c>
      <c r="VZD36" s="9" t="s">
        <v>2066</v>
      </c>
      <c r="VZE36" s="1">
        <v>65</v>
      </c>
      <c r="VZF36" s="619" t="s">
        <v>2063</v>
      </c>
      <c r="VZG36" s="148" t="s">
        <v>2064</v>
      </c>
      <c r="VZH36" s="9" t="s">
        <v>2065</v>
      </c>
      <c r="VZI36" s="619">
        <v>1</v>
      </c>
      <c r="VZJ36" s="4">
        <v>1000000</v>
      </c>
      <c r="VZK36" s="4">
        <f>VZJ36*VZI36</f>
        <v>1000000</v>
      </c>
      <c r="VZL36" s="9" t="s">
        <v>2066</v>
      </c>
      <c r="VZM36" s="1">
        <v>65</v>
      </c>
      <c r="VZN36" s="619" t="s">
        <v>2063</v>
      </c>
      <c r="VZO36" s="148" t="s">
        <v>2064</v>
      </c>
      <c r="VZP36" s="9" t="s">
        <v>2065</v>
      </c>
      <c r="VZQ36" s="619">
        <v>1</v>
      </c>
      <c r="VZR36" s="4">
        <v>1000000</v>
      </c>
      <c r="VZS36" s="4">
        <f>VZR36*VZQ36</f>
        <v>1000000</v>
      </c>
      <c r="VZT36" s="9" t="s">
        <v>2066</v>
      </c>
      <c r="VZU36" s="1">
        <v>65</v>
      </c>
      <c r="VZV36" s="619" t="s">
        <v>2063</v>
      </c>
      <c r="VZW36" s="148" t="s">
        <v>2064</v>
      </c>
      <c r="VZX36" s="9" t="s">
        <v>2065</v>
      </c>
      <c r="VZY36" s="619">
        <v>1</v>
      </c>
      <c r="VZZ36" s="4">
        <v>1000000</v>
      </c>
      <c r="WAA36" s="4">
        <f>VZZ36*VZY36</f>
        <v>1000000</v>
      </c>
      <c r="WAB36" s="9" t="s">
        <v>2066</v>
      </c>
      <c r="WAC36" s="1">
        <v>65</v>
      </c>
      <c r="WAD36" s="619" t="s">
        <v>2063</v>
      </c>
      <c r="WAE36" s="148" t="s">
        <v>2064</v>
      </c>
      <c r="WAF36" s="9" t="s">
        <v>2065</v>
      </c>
      <c r="WAG36" s="619">
        <v>1</v>
      </c>
      <c r="WAH36" s="4">
        <v>1000000</v>
      </c>
      <c r="WAI36" s="4">
        <f>WAH36*WAG36</f>
        <v>1000000</v>
      </c>
      <c r="WAJ36" s="9" t="s">
        <v>2066</v>
      </c>
      <c r="WAK36" s="1">
        <v>65</v>
      </c>
      <c r="WAL36" s="619" t="s">
        <v>2063</v>
      </c>
      <c r="WAM36" s="148" t="s">
        <v>2064</v>
      </c>
      <c r="WAN36" s="9" t="s">
        <v>2065</v>
      </c>
      <c r="WAO36" s="619">
        <v>1</v>
      </c>
      <c r="WAP36" s="4">
        <v>1000000</v>
      </c>
      <c r="WAQ36" s="4">
        <f>WAP36*WAO36</f>
        <v>1000000</v>
      </c>
      <c r="WAR36" s="9" t="s">
        <v>2066</v>
      </c>
      <c r="WAS36" s="1">
        <v>65</v>
      </c>
      <c r="WAT36" s="619" t="s">
        <v>2063</v>
      </c>
      <c r="WAU36" s="148" t="s">
        <v>2064</v>
      </c>
      <c r="WAV36" s="9" t="s">
        <v>2065</v>
      </c>
      <c r="WAW36" s="619">
        <v>1</v>
      </c>
      <c r="WAX36" s="4">
        <v>1000000</v>
      </c>
      <c r="WAY36" s="4">
        <f>WAX36*WAW36</f>
        <v>1000000</v>
      </c>
      <c r="WAZ36" s="9" t="s">
        <v>2066</v>
      </c>
      <c r="WBA36" s="1">
        <v>65</v>
      </c>
      <c r="WBB36" s="619" t="s">
        <v>2063</v>
      </c>
      <c r="WBC36" s="148" t="s">
        <v>2064</v>
      </c>
      <c r="WBD36" s="9" t="s">
        <v>2065</v>
      </c>
      <c r="WBE36" s="619">
        <v>1</v>
      </c>
      <c r="WBF36" s="4">
        <v>1000000</v>
      </c>
      <c r="WBG36" s="4">
        <f>WBF36*WBE36</f>
        <v>1000000</v>
      </c>
      <c r="WBH36" s="9" t="s">
        <v>2066</v>
      </c>
      <c r="WBI36" s="1">
        <v>65</v>
      </c>
      <c r="WBJ36" s="619" t="s">
        <v>2063</v>
      </c>
      <c r="WBK36" s="148" t="s">
        <v>2064</v>
      </c>
      <c r="WBL36" s="9" t="s">
        <v>2065</v>
      </c>
      <c r="WBM36" s="619">
        <v>1</v>
      </c>
      <c r="WBN36" s="4">
        <v>1000000</v>
      </c>
      <c r="WBO36" s="4">
        <f>WBN36*WBM36</f>
        <v>1000000</v>
      </c>
      <c r="WBP36" s="9" t="s">
        <v>2066</v>
      </c>
      <c r="WBQ36" s="1">
        <v>65</v>
      </c>
      <c r="WBR36" s="619" t="s">
        <v>2063</v>
      </c>
      <c r="WBS36" s="148" t="s">
        <v>2064</v>
      </c>
      <c r="WBT36" s="9" t="s">
        <v>2065</v>
      </c>
      <c r="WBU36" s="619">
        <v>1</v>
      </c>
      <c r="WBV36" s="4">
        <v>1000000</v>
      </c>
      <c r="WBW36" s="4">
        <f>WBV36*WBU36</f>
        <v>1000000</v>
      </c>
      <c r="WBX36" s="9" t="s">
        <v>2066</v>
      </c>
      <c r="WBY36" s="1">
        <v>65</v>
      </c>
      <c r="WBZ36" s="619" t="s">
        <v>2063</v>
      </c>
      <c r="WCA36" s="148" t="s">
        <v>2064</v>
      </c>
      <c r="WCB36" s="9" t="s">
        <v>2065</v>
      </c>
      <c r="WCC36" s="619">
        <v>1</v>
      </c>
      <c r="WCD36" s="4">
        <v>1000000</v>
      </c>
      <c r="WCE36" s="4">
        <f>WCD36*WCC36</f>
        <v>1000000</v>
      </c>
      <c r="WCF36" s="9" t="s">
        <v>2066</v>
      </c>
      <c r="WCG36" s="1">
        <v>65</v>
      </c>
      <c r="WCH36" s="619" t="s">
        <v>2063</v>
      </c>
      <c r="WCI36" s="148" t="s">
        <v>2064</v>
      </c>
      <c r="WCJ36" s="9" t="s">
        <v>2065</v>
      </c>
      <c r="WCK36" s="619">
        <v>1</v>
      </c>
      <c r="WCL36" s="4">
        <v>1000000</v>
      </c>
      <c r="WCM36" s="4">
        <f>WCL36*WCK36</f>
        <v>1000000</v>
      </c>
      <c r="WCN36" s="9" t="s">
        <v>2066</v>
      </c>
      <c r="WCO36" s="1">
        <v>65</v>
      </c>
      <c r="WCP36" s="619" t="s">
        <v>2063</v>
      </c>
      <c r="WCQ36" s="148" t="s">
        <v>2064</v>
      </c>
      <c r="WCR36" s="9" t="s">
        <v>2065</v>
      </c>
      <c r="WCS36" s="619">
        <v>1</v>
      </c>
      <c r="WCT36" s="4">
        <v>1000000</v>
      </c>
      <c r="WCU36" s="4">
        <f>WCT36*WCS36</f>
        <v>1000000</v>
      </c>
      <c r="WCV36" s="9" t="s">
        <v>2066</v>
      </c>
      <c r="WCW36" s="1">
        <v>65</v>
      </c>
      <c r="WCX36" s="619" t="s">
        <v>2063</v>
      </c>
      <c r="WCY36" s="148" t="s">
        <v>2064</v>
      </c>
      <c r="WCZ36" s="9" t="s">
        <v>2065</v>
      </c>
      <c r="WDA36" s="619">
        <v>1</v>
      </c>
      <c r="WDB36" s="4">
        <v>1000000</v>
      </c>
      <c r="WDC36" s="4">
        <f>WDB36*WDA36</f>
        <v>1000000</v>
      </c>
      <c r="WDD36" s="9" t="s">
        <v>2066</v>
      </c>
      <c r="WDE36" s="1">
        <v>65</v>
      </c>
      <c r="WDF36" s="619" t="s">
        <v>2063</v>
      </c>
      <c r="WDG36" s="148" t="s">
        <v>2064</v>
      </c>
      <c r="WDH36" s="9" t="s">
        <v>2065</v>
      </c>
      <c r="WDI36" s="619">
        <v>1</v>
      </c>
      <c r="WDJ36" s="4">
        <v>1000000</v>
      </c>
      <c r="WDK36" s="4">
        <f>WDJ36*WDI36</f>
        <v>1000000</v>
      </c>
      <c r="WDL36" s="9" t="s">
        <v>2066</v>
      </c>
      <c r="WDM36" s="1">
        <v>65</v>
      </c>
      <c r="WDN36" s="619" t="s">
        <v>2063</v>
      </c>
      <c r="WDO36" s="148" t="s">
        <v>2064</v>
      </c>
      <c r="WDP36" s="9" t="s">
        <v>2065</v>
      </c>
      <c r="WDQ36" s="619">
        <v>1</v>
      </c>
      <c r="WDR36" s="4">
        <v>1000000</v>
      </c>
      <c r="WDS36" s="4">
        <f>WDR36*WDQ36</f>
        <v>1000000</v>
      </c>
      <c r="WDT36" s="9" t="s">
        <v>2066</v>
      </c>
      <c r="WDU36" s="1">
        <v>65</v>
      </c>
      <c r="WDV36" s="619" t="s">
        <v>2063</v>
      </c>
      <c r="WDW36" s="148" t="s">
        <v>2064</v>
      </c>
      <c r="WDX36" s="9" t="s">
        <v>2065</v>
      </c>
      <c r="WDY36" s="619">
        <v>1</v>
      </c>
      <c r="WDZ36" s="4">
        <v>1000000</v>
      </c>
      <c r="WEA36" s="4">
        <f>WDZ36*WDY36</f>
        <v>1000000</v>
      </c>
      <c r="WEB36" s="9" t="s">
        <v>2066</v>
      </c>
      <c r="WEC36" s="1">
        <v>65</v>
      </c>
      <c r="WED36" s="619" t="s">
        <v>2063</v>
      </c>
      <c r="WEE36" s="148" t="s">
        <v>2064</v>
      </c>
      <c r="WEF36" s="9" t="s">
        <v>2065</v>
      </c>
      <c r="WEG36" s="619">
        <v>1</v>
      </c>
      <c r="WEH36" s="4">
        <v>1000000</v>
      </c>
      <c r="WEI36" s="4">
        <f>WEH36*WEG36</f>
        <v>1000000</v>
      </c>
      <c r="WEJ36" s="9" t="s">
        <v>2066</v>
      </c>
      <c r="WEK36" s="1">
        <v>65</v>
      </c>
      <c r="WEL36" s="619" t="s">
        <v>2063</v>
      </c>
      <c r="WEM36" s="148" t="s">
        <v>2064</v>
      </c>
      <c r="WEN36" s="9" t="s">
        <v>2065</v>
      </c>
      <c r="WEO36" s="619">
        <v>1</v>
      </c>
      <c r="WEP36" s="4">
        <v>1000000</v>
      </c>
      <c r="WEQ36" s="4">
        <f>WEP36*WEO36</f>
        <v>1000000</v>
      </c>
      <c r="WER36" s="9" t="s">
        <v>2066</v>
      </c>
      <c r="WES36" s="1">
        <v>65</v>
      </c>
      <c r="WET36" s="619" t="s">
        <v>2063</v>
      </c>
      <c r="WEU36" s="148" t="s">
        <v>2064</v>
      </c>
      <c r="WEV36" s="9" t="s">
        <v>2065</v>
      </c>
      <c r="WEW36" s="619">
        <v>1</v>
      </c>
      <c r="WEX36" s="4">
        <v>1000000</v>
      </c>
      <c r="WEY36" s="4">
        <f>WEX36*WEW36</f>
        <v>1000000</v>
      </c>
      <c r="WEZ36" s="9" t="s">
        <v>2066</v>
      </c>
      <c r="WFA36" s="1">
        <v>65</v>
      </c>
      <c r="WFB36" s="619" t="s">
        <v>2063</v>
      </c>
      <c r="WFC36" s="148" t="s">
        <v>2064</v>
      </c>
      <c r="WFD36" s="9" t="s">
        <v>2065</v>
      </c>
      <c r="WFE36" s="619">
        <v>1</v>
      </c>
      <c r="WFF36" s="4">
        <v>1000000</v>
      </c>
      <c r="WFG36" s="4">
        <f>WFF36*WFE36</f>
        <v>1000000</v>
      </c>
      <c r="WFH36" s="9" t="s">
        <v>2066</v>
      </c>
      <c r="WFI36" s="1">
        <v>65</v>
      </c>
      <c r="WFJ36" s="619" t="s">
        <v>2063</v>
      </c>
      <c r="WFK36" s="148" t="s">
        <v>2064</v>
      </c>
      <c r="WFL36" s="9" t="s">
        <v>2065</v>
      </c>
      <c r="WFM36" s="619">
        <v>1</v>
      </c>
      <c r="WFN36" s="4">
        <v>1000000</v>
      </c>
      <c r="WFO36" s="4">
        <f>WFN36*WFM36</f>
        <v>1000000</v>
      </c>
      <c r="WFP36" s="9" t="s">
        <v>2066</v>
      </c>
      <c r="WFQ36" s="1">
        <v>65</v>
      </c>
      <c r="WFR36" s="619" t="s">
        <v>2063</v>
      </c>
      <c r="WFS36" s="148" t="s">
        <v>2064</v>
      </c>
      <c r="WFT36" s="9" t="s">
        <v>2065</v>
      </c>
      <c r="WFU36" s="619">
        <v>1</v>
      </c>
      <c r="WFV36" s="4">
        <v>1000000</v>
      </c>
      <c r="WFW36" s="4">
        <f>WFV36*WFU36</f>
        <v>1000000</v>
      </c>
      <c r="WFX36" s="9" t="s">
        <v>2066</v>
      </c>
      <c r="WFY36" s="1">
        <v>65</v>
      </c>
      <c r="WFZ36" s="619" t="s">
        <v>2063</v>
      </c>
      <c r="WGA36" s="148" t="s">
        <v>2064</v>
      </c>
      <c r="WGB36" s="9" t="s">
        <v>2065</v>
      </c>
      <c r="WGC36" s="619">
        <v>1</v>
      </c>
      <c r="WGD36" s="4">
        <v>1000000</v>
      </c>
      <c r="WGE36" s="4">
        <f>WGD36*WGC36</f>
        <v>1000000</v>
      </c>
      <c r="WGF36" s="9" t="s">
        <v>2066</v>
      </c>
      <c r="WGG36" s="1">
        <v>65</v>
      </c>
      <c r="WGH36" s="619" t="s">
        <v>2063</v>
      </c>
      <c r="WGI36" s="148" t="s">
        <v>2064</v>
      </c>
      <c r="WGJ36" s="9" t="s">
        <v>2065</v>
      </c>
      <c r="WGK36" s="619">
        <v>1</v>
      </c>
      <c r="WGL36" s="4">
        <v>1000000</v>
      </c>
      <c r="WGM36" s="4">
        <f>WGL36*WGK36</f>
        <v>1000000</v>
      </c>
      <c r="WGN36" s="9" t="s">
        <v>2066</v>
      </c>
      <c r="WGO36" s="1">
        <v>65</v>
      </c>
      <c r="WGP36" s="619" t="s">
        <v>2063</v>
      </c>
      <c r="WGQ36" s="148" t="s">
        <v>2064</v>
      </c>
      <c r="WGR36" s="9" t="s">
        <v>2065</v>
      </c>
      <c r="WGS36" s="619">
        <v>1</v>
      </c>
      <c r="WGT36" s="4">
        <v>1000000</v>
      </c>
      <c r="WGU36" s="4">
        <f>WGT36*WGS36</f>
        <v>1000000</v>
      </c>
      <c r="WGV36" s="9" t="s">
        <v>2066</v>
      </c>
      <c r="WGW36" s="1">
        <v>65</v>
      </c>
      <c r="WGX36" s="619" t="s">
        <v>2063</v>
      </c>
      <c r="WGY36" s="148" t="s">
        <v>2064</v>
      </c>
      <c r="WGZ36" s="9" t="s">
        <v>2065</v>
      </c>
      <c r="WHA36" s="619">
        <v>1</v>
      </c>
      <c r="WHB36" s="4">
        <v>1000000</v>
      </c>
      <c r="WHC36" s="4">
        <f>WHB36*WHA36</f>
        <v>1000000</v>
      </c>
      <c r="WHD36" s="9" t="s">
        <v>2066</v>
      </c>
      <c r="WHE36" s="1">
        <v>65</v>
      </c>
      <c r="WHF36" s="619" t="s">
        <v>2063</v>
      </c>
      <c r="WHG36" s="148" t="s">
        <v>2064</v>
      </c>
      <c r="WHH36" s="9" t="s">
        <v>2065</v>
      </c>
      <c r="WHI36" s="619">
        <v>1</v>
      </c>
      <c r="WHJ36" s="4">
        <v>1000000</v>
      </c>
      <c r="WHK36" s="4">
        <f>WHJ36*WHI36</f>
        <v>1000000</v>
      </c>
      <c r="WHL36" s="9" t="s">
        <v>2066</v>
      </c>
      <c r="WHM36" s="1">
        <v>65</v>
      </c>
      <c r="WHN36" s="619" t="s">
        <v>2063</v>
      </c>
      <c r="WHO36" s="148" t="s">
        <v>2064</v>
      </c>
      <c r="WHP36" s="9" t="s">
        <v>2065</v>
      </c>
      <c r="WHQ36" s="619">
        <v>1</v>
      </c>
      <c r="WHR36" s="4">
        <v>1000000</v>
      </c>
      <c r="WHS36" s="4">
        <f>WHR36*WHQ36</f>
        <v>1000000</v>
      </c>
      <c r="WHT36" s="9" t="s">
        <v>2066</v>
      </c>
      <c r="WHU36" s="1">
        <v>65</v>
      </c>
      <c r="WHV36" s="619" t="s">
        <v>2063</v>
      </c>
      <c r="WHW36" s="148" t="s">
        <v>2064</v>
      </c>
      <c r="WHX36" s="9" t="s">
        <v>2065</v>
      </c>
      <c r="WHY36" s="619">
        <v>1</v>
      </c>
      <c r="WHZ36" s="4">
        <v>1000000</v>
      </c>
      <c r="WIA36" s="4">
        <f>WHZ36*WHY36</f>
        <v>1000000</v>
      </c>
      <c r="WIB36" s="9" t="s">
        <v>2066</v>
      </c>
      <c r="WIC36" s="1">
        <v>65</v>
      </c>
      <c r="WID36" s="619" t="s">
        <v>2063</v>
      </c>
      <c r="WIE36" s="148" t="s">
        <v>2064</v>
      </c>
      <c r="WIF36" s="9" t="s">
        <v>2065</v>
      </c>
      <c r="WIG36" s="619">
        <v>1</v>
      </c>
      <c r="WIH36" s="4">
        <v>1000000</v>
      </c>
      <c r="WII36" s="4">
        <f>WIH36*WIG36</f>
        <v>1000000</v>
      </c>
      <c r="WIJ36" s="9" t="s">
        <v>2066</v>
      </c>
      <c r="WIK36" s="1">
        <v>65</v>
      </c>
      <c r="WIL36" s="619" t="s">
        <v>2063</v>
      </c>
      <c r="WIM36" s="148" t="s">
        <v>2064</v>
      </c>
      <c r="WIN36" s="9" t="s">
        <v>2065</v>
      </c>
      <c r="WIO36" s="619">
        <v>1</v>
      </c>
      <c r="WIP36" s="4">
        <v>1000000</v>
      </c>
      <c r="WIQ36" s="4">
        <f>WIP36*WIO36</f>
        <v>1000000</v>
      </c>
      <c r="WIR36" s="9" t="s">
        <v>2066</v>
      </c>
      <c r="WIS36" s="1">
        <v>65</v>
      </c>
      <c r="WIT36" s="619" t="s">
        <v>2063</v>
      </c>
      <c r="WIU36" s="148" t="s">
        <v>2064</v>
      </c>
      <c r="WIV36" s="9" t="s">
        <v>2065</v>
      </c>
      <c r="WIW36" s="619">
        <v>1</v>
      </c>
      <c r="WIX36" s="4">
        <v>1000000</v>
      </c>
      <c r="WIY36" s="4">
        <f>WIX36*WIW36</f>
        <v>1000000</v>
      </c>
      <c r="WIZ36" s="9" t="s">
        <v>2066</v>
      </c>
      <c r="WJA36" s="1">
        <v>65</v>
      </c>
      <c r="WJB36" s="619" t="s">
        <v>2063</v>
      </c>
      <c r="WJC36" s="148" t="s">
        <v>2064</v>
      </c>
      <c r="WJD36" s="9" t="s">
        <v>2065</v>
      </c>
      <c r="WJE36" s="619">
        <v>1</v>
      </c>
      <c r="WJF36" s="4">
        <v>1000000</v>
      </c>
      <c r="WJG36" s="4">
        <f>WJF36*WJE36</f>
        <v>1000000</v>
      </c>
      <c r="WJH36" s="9" t="s">
        <v>2066</v>
      </c>
      <c r="WJI36" s="1">
        <v>65</v>
      </c>
      <c r="WJJ36" s="619" t="s">
        <v>2063</v>
      </c>
      <c r="WJK36" s="148" t="s">
        <v>2064</v>
      </c>
      <c r="WJL36" s="9" t="s">
        <v>2065</v>
      </c>
      <c r="WJM36" s="619">
        <v>1</v>
      </c>
      <c r="WJN36" s="4">
        <v>1000000</v>
      </c>
      <c r="WJO36" s="4">
        <f>WJN36*WJM36</f>
        <v>1000000</v>
      </c>
      <c r="WJP36" s="9" t="s">
        <v>2066</v>
      </c>
      <c r="WJQ36" s="1">
        <v>65</v>
      </c>
      <c r="WJR36" s="619" t="s">
        <v>2063</v>
      </c>
      <c r="WJS36" s="148" t="s">
        <v>2064</v>
      </c>
      <c r="WJT36" s="9" t="s">
        <v>2065</v>
      </c>
      <c r="WJU36" s="619">
        <v>1</v>
      </c>
      <c r="WJV36" s="4">
        <v>1000000</v>
      </c>
      <c r="WJW36" s="4">
        <f>WJV36*WJU36</f>
        <v>1000000</v>
      </c>
      <c r="WJX36" s="9" t="s">
        <v>2066</v>
      </c>
      <c r="WJY36" s="1">
        <v>65</v>
      </c>
      <c r="WJZ36" s="619" t="s">
        <v>2063</v>
      </c>
      <c r="WKA36" s="148" t="s">
        <v>2064</v>
      </c>
      <c r="WKB36" s="9" t="s">
        <v>2065</v>
      </c>
      <c r="WKC36" s="619">
        <v>1</v>
      </c>
      <c r="WKD36" s="4">
        <v>1000000</v>
      </c>
      <c r="WKE36" s="4">
        <f>WKD36*WKC36</f>
        <v>1000000</v>
      </c>
      <c r="WKF36" s="9" t="s">
        <v>2066</v>
      </c>
      <c r="WKG36" s="1">
        <v>65</v>
      </c>
      <c r="WKH36" s="619" t="s">
        <v>2063</v>
      </c>
      <c r="WKI36" s="148" t="s">
        <v>2064</v>
      </c>
      <c r="WKJ36" s="9" t="s">
        <v>2065</v>
      </c>
      <c r="WKK36" s="619">
        <v>1</v>
      </c>
      <c r="WKL36" s="4">
        <v>1000000</v>
      </c>
      <c r="WKM36" s="4">
        <f>WKL36*WKK36</f>
        <v>1000000</v>
      </c>
      <c r="WKN36" s="9" t="s">
        <v>2066</v>
      </c>
      <c r="WKO36" s="1">
        <v>65</v>
      </c>
      <c r="WKP36" s="619" t="s">
        <v>2063</v>
      </c>
      <c r="WKQ36" s="148" t="s">
        <v>2064</v>
      </c>
      <c r="WKR36" s="9" t="s">
        <v>2065</v>
      </c>
      <c r="WKS36" s="619">
        <v>1</v>
      </c>
      <c r="WKT36" s="4">
        <v>1000000</v>
      </c>
      <c r="WKU36" s="4">
        <f>WKT36*WKS36</f>
        <v>1000000</v>
      </c>
      <c r="WKV36" s="9" t="s">
        <v>2066</v>
      </c>
      <c r="WKW36" s="1">
        <v>65</v>
      </c>
      <c r="WKX36" s="619" t="s">
        <v>2063</v>
      </c>
      <c r="WKY36" s="148" t="s">
        <v>2064</v>
      </c>
      <c r="WKZ36" s="9" t="s">
        <v>2065</v>
      </c>
      <c r="WLA36" s="619">
        <v>1</v>
      </c>
      <c r="WLB36" s="4">
        <v>1000000</v>
      </c>
      <c r="WLC36" s="4">
        <f>WLB36*WLA36</f>
        <v>1000000</v>
      </c>
      <c r="WLD36" s="9" t="s">
        <v>2066</v>
      </c>
      <c r="WLE36" s="1">
        <v>65</v>
      </c>
      <c r="WLF36" s="619" t="s">
        <v>2063</v>
      </c>
      <c r="WLG36" s="148" t="s">
        <v>2064</v>
      </c>
      <c r="WLH36" s="9" t="s">
        <v>2065</v>
      </c>
      <c r="WLI36" s="619">
        <v>1</v>
      </c>
      <c r="WLJ36" s="4">
        <v>1000000</v>
      </c>
      <c r="WLK36" s="4">
        <f>WLJ36*WLI36</f>
        <v>1000000</v>
      </c>
      <c r="WLL36" s="9" t="s">
        <v>2066</v>
      </c>
      <c r="WLM36" s="1">
        <v>65</v>
      </c>
      <c r="WLN36" s="619" t="s">
        <v>2063</v>
      </c>
      <c r="WLO36" s="148" t="s">
        <v>2064</v>
      </c>
      <c r="WLP36" s="9" t="s">
        <v>2065</v>
      </c>
      <c r="WLQ36" s="619">
        <v>1</v>
      </c>
      <c r="WLR36" s="4">
        <v>1000000</v>
      </c>
      <c r="WLS36" s="4">
        <f>WLR36*WLQ36</f>
        <v>1000000</v>
      </c>
      <c r="WLT36" s="9" t="s">
        <v>2066</v>
      </c>
      <c r="WLU36" s="1">
        <v>65</v>
      </c>
      <c r="WLV36" s="619" t="s">
        <v>2063</v>
      </c>
      <c r="WLW36" s="148" t="s">
        <v>2064</v>
      </c>
      <c r="WLX36" s="9" t="s">
        <v>2065</v>
      </c>
      <c r="WLY36" s="619">
        <v>1</v>
      </c>
      <c r="WLZ36" s="4">
        <v>1000000</v>
      </c>
      <c r="WMA36" s="4">
        <f>WLZ36*WLY36</f>
        <v>1000000</v>
      </c>
      <c r="WMB36" s="9" t="s">
        <v>2066</v>
      </c>
      <c r="WMC36" s="1">
        <v>65</v>
      </c>
      <c r="WMD36" s="619" t="s">
        <v>2063</v>
      </c>
      <c r="WME36" s="148" t="s">
        <v>2064</v>
      </c>
      <c r="WMF36" s="9" t="s">
        <v>2065</v>
      </c>
      <c r="WMG36" s="619">
        <v>1</v>
      </c>
      <c r="WMH36" s="4">
        <v>1000000</v>
      </c>
      <c r="WMI36" s="4">
        <f>WMH36*WMG36</f>
        <v>1000000</v>
      </c>
      <c r="WMJ36" s="9" t="s">
        <v>2066</v>
      </c>
      <c r="WMK36" s="1">
        <v>65</v>
      </c>
      <c r="WML36" s="619" t="s">
        <v>2063</v>
      </c>
      <c r="WMM36" s="148" t="s">
        <v>2064</v>
      </c>
      <c r="WMN36" s="9" t="s">
        <v>2065</v>
      </c>
      <c r="WMO36" s="619">
        <v>1</v>
      </c>
      <c r="WMP36" s="4">
        <v>1000000</v>
      </c>
      <c r="WMQ36" s="4">
        <f>WMP36*WMO36</f>
        <v>1000000</v>
      </c>
      <c r="WMR36" s="9" t="s">
        <v>2066</v>
      </c>
      <c r="WMS36" s="1">
        <v>65</v>
      </c>
      <c r="WMT36" s="619" t="s">
        <v>2063</v>
      </c>
      <c r="WMU36" s="148" t="s">
        <v>2064</v>
      </c>
      <c r="WMV36" s="9" t="s">
        <v>2065</v>
      </c>
      <c r="WMW36" s="619">
        <v>1</v>
      </c>
      <c r="WMX36" s="4">
        <v>1000000</v>
      </c>
      <c r="WMY36" s="4">
        <f>WMX36*WMW36</f>
        <v>1000000</v>
      </c>
      <c r="WMZ36" s="9" t="s">
        <v>2066</v>
      </c>
      <c r="WNA36" s="1">
        <v>65</v>
      </c>
      <c r="WNB36" s="619" t="s">
        <v>2063</v>
      </c>
      <c r="WNC36" s="148" t="s">
        <v>2064</v>
      </c>
      <c r="WND36" s="9" t="s">
        <v>2065</v>
      </c>
      <c r="WNE36" s="619">
        <v>1</v>
      </c>
      <c r="WNF36" s="4">
        <v>1000000</v>
      </c>
      <c r="WNG36" s="4">
        <f>WNF36*WNE36</f>
        <v>1000000</v>
      </c>
      <c r="WNH36" s="9" t="s">
        <v>2066</v>
      </c>
      <c r="WNI36" s="1">
        <v>65</v>
      </c>
      <c r="WNJ36" s="619" t="s">
        <v>2063</v>
      </c>
      <c r="WNK36" s="148" t="s">
        <v>2064</v>
      </c>
      <c r="WNL36" s="9" t="s">
        <v>2065</v>
      </c>
      <c r="WNM36" s="619">
        <v>1</v>
      </c>
      <c r="WNN36" s="4">
        <v>1000000</v>
      </c>
      <c r="WNO36" s="4">
        <f>WNN36*WNM36</f>
        <v>1000000</v>
      </c>
      <c r="WNP36" s="9" t="s">
        <v>2066</v>
      </c>
      <c r="WNQ36" s="1">
        <v>65</v>
      </c>
      <c r="WNR36" s="619" t="s">
        <v>2063</v>
      </c>
      <c r="WNS36" s="148" t="s">
        <v>2064</v>
      </c>
      <c r="WNT36" s="9" t="s">
        <v>2065</v>
      </c>
      <c r="WNU36" s="619">
        <v>1</v>
      </c>
      <c r="WNV36" s="4">
        <v>1000000</v>
      </c>
      <c r="WNW36" s="4">
        <f>WNV36*WNU36</f>
        <v>1000000</v>
      </c>
      <c r="WNX36" s="9" t="s">
        <v>2066</v>
      </c>
      <c r="WNY36" s="1">
        <v>65</v>
      </c>
      <c r="WNZ36" s="619" t="s">
        <v>2063</v>
      </c>
      <c r="WOA36" s="148" t="s">
        <v>2064</v>
      </c>
      <c r="WOB36" s="9" t="s">
        <v>2065</v>
      </c>
      <c r="WOC36" s="619">
        <v>1</v>
      </c>
      <c r="WOD36" s="4">
        <v>1000000</v>
      </c>
      <c r="WOE36" s="4">
        <f>WOD36*WOC36</f>
        <v>1000000</v>
      </c>
      <c r="WOF36" s="9" t="s">
        <v>2066</v>
      </c>
      <c r="WOG36" s="1">
        <v>65</v>
      </c>
      <c r="WOH36" s="619" t="s">
        <v>2063</v>
      </c>
      <c r="WOI36" s="148" t="s">
        <v>2064</v>
      </c>
      <c r="WOJ36" s="9" t="s">
        <v>2065</v>
      </c>
      <c r="WOK36" s="619">
        <v>1</v>
      </c>
      <c r="WOL36" s="4">
        <v>1000000</v>
      </c>
      <c r="WOM36" s="4">
        <f>WOL36*WOK36</f>
        <v>1000000</v>
      </c>
      <c r="WON36" s="9" t="s">
        <v>2066</v>
      </c>
      <c r="WOO36" s="1">
        <v>65</v>
      </c>
      <c r="WOP36" s="619" t="s">
        <v>2063</v>
      </c>
      <c r="WOQ36" s="148" t="s">
        <v>2064</v>
      </c>
      <c r="WOR36" s="9" t="s">
        <v>2065</v>
      </c>
      <c r="WOS36" s="619">
        <v>1</v>
      </c>
      <c r="WOT36" s="4">
        <v>1000000</v>
      </c>
      <c r="WOU36" s="4">
        <f>WOT36*WOS36</f>
        <v>1000000</v>
      </c>
      <c r="WOV36" s="9" t="s">
        <v>2066</v>
      </c>
      <c r="WOW36" s="1">
        <v>65</v>
      </c>
      <c r="WOX36" s="619" t="s">
        <v>2063</v>
      </c>
      <c r="WOY36" s="148" t="s">
        <v>2064</v>
      </c>
      <c r="WOZ36" s="9" t="s">
        <v>2065</v>
      </c>
      <c r="WPA36" s="619">
        <v>1</v>
      </c>
      <c r="WPB36" s="4">
        <v>1000000</v>
      </c>
      <c r="WPC36" s="4">
        <f>WPB36*WPA36</f>
        <v>1000000</v>
      </c>
      <c r="WPD36" s="9" t="s">
        <v>2066</v>
      </c>
      <c r="WPE36" s="1">
        <v>65</v>
      </c>
      <c r="WPF36" s="619" t="s">
        <v>2063</v>
      </c>
      <c r="WPG36" s="148" t="s">
        <v>2064</v>
      </c>
      <c r="WPH36" s="9" t="s">
        <v>2065</v>
      </c>
      <c r="WPI36" s="619">
        <v>1</v>
      </c>
      <c r="WPJ36" s="4">
        <v>1000000</v>
      </c>
      <c r="WPK36" s="4">
        <f>WPJ36*WPI36</f>
        <v>1000000</v>
      </c>
      <c r="WPL36" s="9" t="s">
        <v>2066</v>
      </c>
      <c r="WPM36" s="1">
        <v>65</v>
      </c>
      <c r="WPN36" s="619" t="s">
        <v>2063</v>
      </c>
      <c r="WPO36" s="148" t="s">
        <v>2064</v>
      </c>
      <c r="WPP36" s="9" t="s">
        <v>2065</v>
      </c>
      <c r="WPQ36" s="619">
        <v>1</v>
      </c>
      <c r="WPR36" s="4">
        <v>1000000</v>
      </c>
      <c r="WPS36" s="4">
        <f>WPR36*WPQ36</f>
        <v>1000000</v>
      </c>
      <c r="WPT36" s="9" t="s">
        <v>2066</v>
      </c>
      <c r="WPU36" s="1">
        <v>65</v>
      </c>
      <c r="WPV36" s="619" t="s">
        <v>2063</v>
      </c>
      <c r="WPW36" s="148" t="s">
        <v>2064</v>
      </c>
      <c r="WPX36" s="9" t="s">
        <v>2065</v>
      </c>
      <c r="WPY36" s="619">
        <v>1</v>
      </c>
      <c r="WPZ36" s="4">
        <v>1000000</v>
      </c>
      <c r="WQA36" s="4">
        <f>WPZ36*WPY36</f>
        <v>1000000</v>
      </c>
      <c r="WQB36" s="9" t="s">
        <v>2066</v>
      </c>
      <c r="WQC36" s="1">
        <v>65</v>
      </c>
      <c r="WQD36" s="619" t="s">
        <v>2063</v>
      </c>
      <c r="WQE36" s="148" t="s">
        <v>2064</v>
      </c>
      <c r="WQF36" s="9" t="s">
        <v>2065</v>
      </c>
      <c r="WQG36" s="619">
        <v>1</v>
      </c>
      <c r="WQH36" s="4">
        <v>1000000</v>
      </c>
      <c r="WQI36" s="4">
        <f>WQH36*WQG36</f>
        <v>1000000</v>
      </c>
      <c r="WQJ36" s="9" t="s">
        <v>2066</v>
      </c>
      <c r="WQK36" s="1">
        <v>65</v>
      </c>
      <c r="WQL36" s="619" t="s">
        <v>2063</v>
      </c>
      <c r="WQM36" s="148" t="s">
        <v>2064</v>
      </c>
      <c r="WQN36" s="9" t="s">
        <v>2065</v>
      </c>
      <c r="WQO36" s="619">
        <v>1</v>
      </c>
      <c r="WQP36" s="4">
        <v>1000000</v>
      </c>
      <c r="WQQ36" s="4">
        <f>WQP36*WQO36</f>
        <v>1000000</v>
      </c>
      <c r="WQR36" s="9" t="s">
        <v>2066</v>
      </c>
      <c r="WQS36" s="1">
        <v>65</v>
      </c>
      <c r="WQT36" s="619" t="s">
        <v>2063</v>
      </c>
      <c r="WQU36" s="148" t="s">
        <v>2064</v>
      </c>
      <c r="WQV36" s="9" t="s">
        <v>2065</v>
      </c>
      <c r="WQW36" s="619">
        <v>1</v>
      </c>
      <c r="WQX36" s="4">
        <v>1000000</v>
      </c>
      <c r="WQY36" s="4">
        <f>WQX36*WQW36</f>
        <v>1000000</v>
      </c>
      <c r="WQZ36" s="9" t="s">
        <v>2066</v>
      </c>
      <c r="WRA36" s="1">
        <v>65</v>
      </c>
      <c r="WRB36" s="619" t="s">
        <v>2063</v>
      </c>
      <c r="WRC36" s="148" t="s">
        <v>2064</v>
      </c>
      <c r="WRD36" s="9" t="s">
        <v>2065</v>
      </c>
      <c r="WRE36" s="619">
        <v>1</v>
      </c>
      <c r="WRF36" s="4">
        <v>1000000</v>
      </c>
      <c r="WRG36" s="4">
        <f>WRF36*WRE36</f>
        <v>1000000</v>
      </c>
      <c r="WRH36" s="9" t="s">
        <v>2066</v>
      </c>
      <c r="WRI36" s="1">
        <v>65</v>
      </c>
      <c r="WRJ36" s="619" t="s">
        <v>2063</v>
      </c>
      <c r="WRK36" s="148" t="s">
        <v>2064</v>
      </c>
      <c r="WRL36" s="9" t="s">
        <v>2065</v>
      </c>
      <c r="WRM36" s="619">
        <v>1</v>
      </c>
      <c r="WRN36" s="4">
        <v>1000000</v>
      </c>
      <c r="WRO36" s="4">
        <f>WRN36*WRM36</f>
        <v>1000000</v>
      </c>
      <c r="WRP36" s="9" t="s">
        <v>2066</v>
      </c>
      <c r="WRQ36" s="1">
        <v>65</v>
      </c>
      <c r="WRR36" s="619" t="s">
        <v>2063</v>
      </c>
      <c r="WRS36" s="148" t="s">
        <v>2064</v>
      </c>
      <c r="WRT36" s="9" t="s">
        <v>2065</v>
      </c>
      <c r="WRU36" s="619">
        <v>1</v>
      </c>
      <c r="WRV36" s="4">
        <v>1000000</v>
      </c>
      <c r="WRW36" s="4">
        <f>WRV36*WRU36</f>
        <v>1000000</v>
      </c>
      <c r="WRX36" s="9" t="s">
        <v>2066</v>
      </c>
      <c r="WRY36" s="1">
        <v>65</v>
      </c>
      <c r="WRZ36" s="619" t="s">
        <v>2063</v>
      </c>
      <c r="WSA36" s="148" t="s">
        <v>2064</v>
      </c>
      <c r="WSB36" s="9" t="s">
        <v>2065</v>
      </c>
      <c r="WSC36" s="619">
        <v>1</v>
      </c>
      <c r="WSD36" s="4">
        <v>1000000</v>
      </c>
      <c r="WSE36" s="4">
        <f>WSD36*WSC36</f>
        <v>1000000</v>
      </c>
      <c r="WSF36" s="9" t="s">
        <v>2066</v>
      </c>
      <c r="WSG36" s="1">
        <v>65</v>
      </c>
      <c r="WSH36" s="619" t="s">
        <v>2063</v>
      </c>
      <c r="WSI36" s="148" t="s">
        <v>2064</v>
      </c>
      <c r="WSJ36" s="9" t="s">
        <v>2065</v>
      </c>
      <c r="WSK36" s="619">
        <v>1</v>
      </c>
      <c r="WSL36" s="4">
        <v>1000000</v>
      </c>
      <c r="WSM36" s="4">
        <f>WSL36*WSK36</f>
        <v>1000000</v>
      </c>
      <c r="WSN36" s="9" t="s">
        <v>2066</v>
      </c>
      <c r="WSO36" s="1">
        <v>65</v>
      </c>
      <c r="WSP36" s="619" t="s">
        <v>2063</v>
      </c>
      <c r="WSQ36" s="148" t="s">
        <v>2064</v>
      </c>
      <c r="WSR36" s="9" t="s">
        <v>2065</v>
      </c>
      <c r="WSS36" s="619">
        <v>1</v>
      </c>
      <c r="WST36" s="4">
        <v>1000000</v>
      </c>
      <c r="WSU36" s="4">
        <f>WST36*WSS36</f>
        <v>1000000</v>
      </c>
      <c r="WSV36" s="9" t="s">
        <v>2066</v>
      </c>
      <c r="WSW36" s="1">
        <v>65</v>
      </c>
      <c r="WSX36" s="619" t="s">
        <v>2063</v>
      </c>
      <c r="WSY36" s="148" t="s">
        <v>2064</v>
      </c>
      <c r="WSZ36" s="9" t="s">
        <v>2065</v>
      </c>
      <c r="WTA36" s="619">
        <v>1</v>
      </c>
      <c r="WTB36" s="4">
        <v>1000000</v>
      </c>
      <c r="WTC36" s="4">
        <f>WTB36*WTA36</f>
        <v>1000000</v>
      </c>
      <c r="WTD36" s="9" t="s">
        <v>2066</v>
      </c>
      <c r="WTE36" s="1">
        <v>65</v>
      </c>
      <c r="WTF36" s="619" t="s">
        <v>2063</v>
      </c>
      <c r="WTG36" s="148" t="s">
        <v>2064</v>
      </c>
      <c r="WTH36" s="9" t="s">
        <v>2065</v>
      </c>
      <c r="WTI36" s="619">
        <v>1</v>
      </c>
      <c r="WTJ36" s="4">
        <v>1000000</v>
      </c>
      <c r="WTK36" s="4">
        <f>WTJ36*WTI36</f>
        <v>1000000</v>
      </c>
      <c r="WTL36" s="9" t="s">
        <v>2066</v>
      </c>
      <c r="WTM36" s="1">
        <v>65</v>
      </c>
      <c r="WTN36" s="619" t="s">
        <v>2063</v>
      </c>
      <c r="WTO36" s="148" t="s">
        <v>2064</v>
      </c>
      <c r="WTP36" s="9" t="s">
        <v>2065</v>
      </c>
      <c r="WTQ36" s="619">
        <v>1</v>
      </c>
      <c r="WTR36" s="4">
        <v>1000000</v>
      </c>
      <c r="WTS36" s="4">
        <f>WTR36*WTQ36</f>
        <v>1000000</v>
      </c>
      <c r="WTT36" s="9" t="s">
        <v>2066</v>
      </c>
      <c r="WTU36" s="1">
        <v>65</v>
      </c>
      <c r="WTV36" s="619" t="s">
        <v>2063</v>
      </c>
      <c r="WTW36" s="148" t="s">
        <v>2064</v>
      </c>
      <c r="WTX36" s="9" t="s">
        <v>2065</v>
      </c>
      <c r="WTY36" s="619">
        <v>1</v>
      </c>
      <c r="WTZ36" s="4">
        <v>1000000</v>
      </c>
      <c r="WUA36" s="4">
        <f>WTZ36*WTY36</f>
        <v>1000000</v>
      </c>
      <c r="WUB36" s="9" t="s">
        <v>2066</v>
      </c>
      <c r="WUC36" s="1">
        <v>65</v>
      </c>
      <c r="WUD36" s="619" t="s">
        <v>2063</v>
      </c>
      <c r="WUE36" s="148" t="s">
        <v>2064</v>
      </c>
      <c r="WUF36" s="9" t="s">
        <v>2065</v>
      </c>
      <c r="WUG36" s="619">
        <v>1</v>
      </c>
      <c r="WUH36" s="4">
        <v>1000000</v>
      </c>
      <c r="WUI36" s="4">
        <f>WUH36*WUG36</f>
        <v>1000000</v>
      </c>
      <c r="WUJ36" s="9" t="s">
        <v>2066</v>
      </c>
      <c r="WUK36" s="1">
        <v>65</v>
      </c>
      <c r="WUL36" s="619" t="s">
        <v>2063</v>
      </c>
      <c r="WUM36" s="148" t="s">
        <v>2064</v>
      </c>
      <c r="WUN36" s="9" t="s">
        <v>2065</v>
      </c>
      <c r="WUO36" s="619">
        <v>1</v>
      </c>
      <c r="WUP36" s="4">
        <v>1000000</v>
      </c>
      <c r="WUQ36" s="4">
        <f>WUP36*WUO36</f>
        <v>1000000</v>
      </c>
      <c r="WUR36" s="9" t="s">
        <v>2066</v>
      </c>
      <c r="WUS36" s="1">
        <v>65</v>
      </c>
      <c r="WUT36" s="619" t="s">
        <v>2063</v>
      </c>
      <c r="WUU36" s="148" t="s">
        <v>2064</v>
      </c>
      <c r="WUV36" s="9" t="s">
        <v>2065</v>
      </c>
      <c r="WUW36" s="619">
        <v>1</v>
      </c>
      <c r="WUX36" s="4">
        <v>1000000</v>
      </c>
      <c r="WUY36" s="4">
        <f>WUX36*WUW36</f>
        <v>1000000</v>
      </c>
      <c r="WUZ36" s="9" t="s">
        <v>2066</v>
      </c>
      <c r="WVA36" s="1">
        <v>65</v>
      </c>
      <c r="WVB36" s="619" t="s">
        <v>2063</v>
      </c>
      <c r="WVC36" s="148" t="s">
        <v>2064</v>
      </c>
      <c r="WVD36" s="9" t="s">
        <v>2065</v>
      </c>
      <c r="WVE36" s="619">
        <v>1</v>
      </c>
      <c r="WVF36" s="4">
        <v>1000000</v>
      </c>
      <c r="WVG36" s="4">
        <f>WVF36*WVE36</f>
        <v>1000000</v>
      </c>
      <c r="WVH36" s="9" t="s">
        <v>2066</v>
      </c>
      <c r="WVI36" s="1">
        <v>65</v>
      </c>
      <c r="WVJ36" s="619" t="s">
        <v>2063</v>
      </c>
      <c r="WVK36" s="148" t="s">
        <v>2064</v>
      </c>
      <c r="WVL36" s="9" t="s">
        <v>2065</v>
      </c>
      <c r="WVM36" s="619">
        <v>1</v>
      </c>
      <c r="WVN36" s="4">
        <v>1000000</v>
      </c>
      <c r="WVO36" s="4">
        <f>WVN36*WVM36</f>
        <v>1000000</v>
      </c>
      <c r="WVP36" s="9" t="s">
        <v>2066</v>
      </c>
      <c r="WVQ36" s="1">
        <v>65</v>
      </c>
      <c r="WVR36" s="619" t="s">
        <v>2063</v>
      </c>
      <c r="WVS36" s="148" t="s">
        <v>2064</v>
      </c>
      <c r="WVT36" s="9" t="s">
        <v>2065</v>
      </c>
      <c r="WVU36" s="619">
        <v>1</v>
      </c>
      <c r="WVV36" s="4">
        <v>1000000</v>
      </c>
      <c r="WVW36" s="4">
        <f>WVV36*WVU36</f>
        <v>1000000</v>
      </c>
      <c r="WVX36" s="9" t="s">
        <v>2066</v>
      </c>
      <c r="WVY36" s="1">
        <v>65</v>
      </c>
      <c r="WVZ36" s="619" t="s">
        <v>2063</v>
      </c>
      <c r="WWA36" s="148" t="s">
        <v>2064</v>
      </c>
      <c r="WWB36" s="9" t="s">
        <v>2065</v>
      </c>
      <c r="WWC36" s="619">
        <v>1</v>
      </c>
      <c r="WWD36" s="4">
        <v>1000000</v>
      </c>
      <c r="WWE36" s="4">
        <f>WWD36*WWC36</f>
        <v>1000000</v>
      </c>
      <c r="WWF36" s="9" t="s">
        <v>2066</v>
      </c>
      <c r="WWG36" s="1">
        <v>65</v>
      </c>
      <c r="WWH36" s="619" t="s">
        <v>2063</v>
      </c>
      <c r="WWI36" s="148" t="s">
        <v>2064</v>
      </c>
      <c r="WWJ36" s="9" t="s">
        <v>2065</v>
      </c>
      <c r="WWK36" s="619">
        <v>1</v>
      </c>
      <c r="WWL36" s="4">
        <v>1000000</v>
      </c>
      <c r="WWM36" s="4">
        <f>WWL36*WWK36</f>
        <v>1000000</v>
      </c>
      <c r="WWN36" s="9" t="s">
        <v>2066</v>
      </c>
      <c r="WWO36" s="1">
        <v>65</v>
      </c>
      <c r="WWP36" s="619" t="s">
        <v>2063</v>
      </c>
      <c r="WWQ36" s="148" t="s">
        <v>2064</v>
      </c>
      <c r="WWR36" s="9" t="s">
        <v>2065</v>
      </c>
      <c r="WWS36" s="619">
        <v>1</v>
      </c>
      <c r="WWT36" s="4">
        <v>1000000</v>
      </c>
      <c r="WWU36" s="4">
        <f>WWT36*WWS36</f>
        <v>1000000</v>
      </c>
      <c r="WWV36" s="9" t="s">
        <v>2066</v>
      </c>
      <c r="WWW36" s="1">
        <v>65</v>
      </c>
      <c r="WWX36" s="619" t="s">
        <v>2063</v>
      </c>
      <c r="WWY36" s="148" t="s">
        <v>2064</v>
      </c>
      <c r="WWZ36" s="9" t="s">
        <v>2065</v>
      </c>
      <c r="WXA36" s="619">
        <v>1</v>
      </c>
      <c r="WXB36" s="4">
        <v>1000000</v>
      </c>
      <c r="WXC36" s="4">
        <f>WXB36*WXA36</f>
        <v>1000000</v>
      </c>
      <c r="WXD36" s="9" t="s">
        <v>2066</v>
      </c>
      <c r="WXE36" s="1">
        <v>65</v>
      </c>
      <c r="WXF36" s="619" t="s">
        <v>2063</v>
      </c>
      <c r="WXG36" s="148" t="s">
        <v>2064</v>
      </c>
      <c r="WXH36" s="9" t="s">
        <v>2065</v>
      </c>
      <c r="WXI36" s="619">
        <v>1</v>
      </c>
      <c r="WXJ36" s="4">
        <v>1000000</v>
      </c>
      <c r="WXK36" s="4">
        <f>WXJ36*WXI36</f>
        <v>1000000</v>
      </c>
      <c r="WXL36" s="9" t="s">
        <v>2066</v>
      </c>
      <c r="WXM36" s="1">
        <v>65</v>
      </c>
      <c r="WXN36" s="619" t="s">
        <v>2063</v>
      </c>
      <c r="WXO36" s="148" t="s">
        <v>2064</v>
      </c>
      <c r="WXP36" s="9" t="s">
        <v>2065</v>
      </c>
      <c r="WXQ36" s="619">
        <v>1</v>
      </c>
      <c r="WXR36" s="4">
        <v>1000000</v>
      </c>
      <c r="WXS36" s="4">
        <f>WXR36*WXQ36</f>
        <v>1000000</v>
      </c>
      <c r="WXT36" s="9" t="s">
        <v>2066</v>
      </c>
      <c r="WXU36" s="1">
        <v>65</v>
      </c>
      <c r="WXV36" s="619" t="s">
        <v>2063</v>
      </c>
      <c r="WXW36" s="148" t="s">
        <v>2064</v>
      </c>
      <c r="WXX36" s="9" t="s">
        <v>2065</v>
      </c>
      <c r="WXY36" s="619">
        <v>1</v>
      </c>
      <c r="WXZ36" s="4">
        <v>1000000</v>
      </c>
      <c r="WYA36" s="4">
        <f>WXZ36*WXY36</f>
        <v>1000000</v>
      </c>
      <c r="WYB36" s="9" t="s">
        <v>2066</v>
      </c>
      <c r="WYC36" s="1">
        <v>65</v>
      </c>
      <c r="WYD36" s="619" t="s">
        <v>2063</v>
      </c>
      <c r="WYE36" s="148" t="s">
        <v>2064</v>
      </c>
      <c r="WYF36" s="9" t="s">
        <v>2065</v>
      </c>
      <c r="WYG36" s="619">
        <v>1</v>
      </c>
      <c r="WYH36" s="4">
        <v>1000000</v>
      </c>
      <c r="WYI36" s="4">
        <f>WYH36*WYG36</f>
        <v>1000000</v>
      </c>
      <c r="WYJ36" s="9" t="s">
        <v>2066</v>
      </c>
      <c r="WYK36" s="1">
        <v>65</v>
      </c>
      <c r="WYL36" s="619" t="s">
        <v>2063</v>
      </c>
      <c r="WYM36" s="148" t="s">
        <v>2064</v>
      </c>
      <c r="WYN36" s="9" t="s">
        <v>2065</v>
      </c>
      <c r="WYO36" s="619">
        <v>1</v>
      </c>
      <c r="WYP36" s="4">
        <v>1000000</v>
      </c>
      <c r="WYQ36" s="4">
        <f>WYP36*WYO36</f>
        <v>1000000</v>
      </c>
      <c r="WYR36" s="9" t="s">
        <v>2066</v>
      </c>
      <c r="WYS36" s="1">
        <v>65</v>
      </c>
      <c r="WYT36" s="619" t="s">
        <v>2063</v>
      </c>
      <c r="WYU36" s="148" t="s">
        <v>2064</v>
      </c>
      <c r="WYV36" s="9" t="s">
        <v>2065</v>
      </c>
      <c r="WYW36" s="619">
        <v>1</v>
      </c>
      <c r="WYX36" s="4">
        <v>1000000</v>
      </c>
      <c r="WYY36" s="4">
        <f>WYX36*WYW36</f>
        <v>1000000</v>
      </c>
      <c r="WYZ36" s="9" t="s">
        <v>2066</v>
      </c>
      <c r="WZA36" s="1">
        <v>65</v>
      </c>
      <c r="WZB36" s="619" t="s">
        <v>2063</v>
      </c>
      <c r="WZC36" s="148" t="s">
        <v>2064</v>
      </c>
      <c r="WZD36" s="9" t="s">
        <v>2065</v>
      </c>
      <c r="WZE36" s="619">
        <v>1</v>
      </c>
      <c r="WZF36" s="4">
        <v>1000000</v>
      </c>
      <c r="WZG36" s="4">
        <f>WZF36*WZE36</f>
        <v>1000000</v>
      </c>
      <c r="WZH36" s="9" t="s">
        <v>2066</v>
      </c>
      <c r="WZI36" s="1">
        <v>65</v>
      </c>
      <c r="WZJ36" s="619" t="s">
        <v>2063</v>
      </c>
      <c r="WZK36" s="148" t="s">
        <v>2064</v>
      </c>
      <c r="WZL36" s="9" t="s">
        <v>2065</v>
      </c>
      <c r="WZM36" s="619">
        <v>1</v>
      </c>
      <c r="WZN36" s="4">
        <v>1000000</v>
      </c>
      <c r="WZO36" s="4">
        <f>WZN36*WZM36</f>
        <v>1000000</v>
      </c>
      <c r="WZP36" s="9" t="s">
        <v>2066</v>
      </c>
      <c r="WZQ36" s="1">
        <v>65</v>
      </c>
      <c r="WZR36" s="619" t="s">
        <v>2063</v>
      </c>
      <c r="WZS36" s="148" t="s">
        <v>2064</v>
      </c>
      <c r="WZT36" s="9" t="s">
        <v>2065</v>
      </c>
      <c r="WZU36" s="619">
        <v>1</v>
      </c>
      <c r="WZV36" s="4">
        <v>1000000</v>
      </c>
      <c r="WZW36" s="4">
        <f>WZV36*WZU36</f>
        <v>1000000</v>
      </c>
      <c r="WZX36" s="9" t="s">
        <v>2066</v>
      </c>
      <c r="WZY36" s="1">
        <v>65</v>
      </c>
      <c r="WZZ36" s="619" t="s">
        <v>2063</v>
      </c>
      <c r="XAA36" s="148" t="s">
        <v>2064</v>
      </c>
      <c r="XAB36" s="9" t="s">
        <v>2065</v>
      </c>
      <c r="XAC36" s="619">
        <v>1</v>
      </c>
      <c r="XAD36" s="4">
        <v>1000000</v>
      </c>
      <c r="XAE36" s="4">
        <f>XAD36*XAC36</f>
        <v>1000000</v>
      </c>
      <c r="XAF36" s="9" t="s">
        <v>2066</v>
      </c>
      <c r="XAG36" s="1">
        <v>65</v>
      </c>
      <c r="XAH36" s="619" t="s">
        <v>2063</v>
      </c>
      <c r="XAI36" s="148" t="s">
        <v>2064</v>
      </c>
      <c r="XAJ36" s="9" t="s">
        <v>2065</v>
      </c>
      <c r="XAK36" s="619">
        <v>1</v>
      </c>
      <c r="XAL36" s="4">
        <v>1000000</v>
      </c>
      <c r="XAM36" s="4">
        <f>XAL36*XAK36</f>
        <v>1000000</v>
      </c>
      <c r="XAN36" s="9" t="s">
        <v>2066</v>
      </c>
      <c r="XAO36" s="1">
        <v>65</v>
      </c>
      <c r="XAP36" s="619" t="s">
        <v>2063</v>
      </c>
      <c r="XAQ36" s="148" t="s">
        <v>2064</v>
      </c>
      <c r="XAR36" s="9" t="s">
        <v>2065</v>
      </c>
      <c r="XAS36" s="619">
        <v>1</v>
      </c>
      <c r="XAT36" s="4">
        <v>1000000</v>
      </c>
      <c r="XAU36" s="4">
        <f>XAT36*XAS36</f>
        <v>1000000</v>
      </c>
      <c r="XAV36" s="9" t="s">
        <v>2066</v>
      </c>
      <c r="XAW36" s="1">
        <v>65</v>
      </c>
      <c r="XAX36" s="619" t="s">
        <v>2063</v>
      </c>
      <c r="XAY36" s="148" t="s">
        <v>2064</v>
      </c>
      <c r="XAZ36" s="9" t="s">
        <v>2065</v>
      </c>
      <c r="XBA36" s="619">
        <v>1</v>
      </c>
      <c r="XBB36" s="4">
        <v>1000000</v>
      </c>
      <c r="XBC36" s="4">
        <f>XBB36*XBA36</f>
        <v>1000000</v>
      </c>
      <c r="XBD36" s="9" t="s">
        <v>2066</v>
      </c>
      <c r="XBE36" s="1">
        <v>65</v>
      </c>
      <c r="XBF36" s="619" t="s">
        <v>2063</v>
      </c>
      <c r="XBG36" s="148" t="s">
        <v>2064</v>
      </c>
      <c r="XBH36" s="9" t="s">
        <v>2065</v>
      </c>
      <c r="XBI36" s="619">
        <v>1</v>
      </c>
      <c r="XBJ36" s="4">
        <v>1000000</v>
      </c>
      <c r="XBK36" s="4">
        <f>XBJ36*XBI36</f>
        <v>1000000</v>
      </c>
      <c r="XBL36" s="9" t="s">
        <v>2066</v>
      </c>
      <c r="XBM36" s="1">
        <v>65</v>
      </c>
      <c r="XBN36" s="619" t="s">
        <v>2063</v>
      </c>
      <c r="XBO36" s="148" t="s">
        <v>2064</v>
      </c>
      <c r="XBP36" s="9" t="s">
        <v>2065</v>
      </c>
      <c r="XBQ36" s="619">
        <v>1</v>
      </c>
      <c r="XBR36" s="4">
        <v>1000000</v>
      </c>
      <c r="XBS36" s="4">
        <f>XBR36*XBQ36</f>
        <v>1000000</v>
      </c>
      <c r="XBT36" s="9" t="s">
        <v>2066</v>
      </c>
      <c r="XBU36" s="1">
        <v>65</v>
      </c>
      <c r="XBV36" s="619" t="s">
        <v>2063</v>
      </c>
      <c r="XBW36" s="148" t="s">
        <v>2064</v>
      </c>
      <c r="XBX36" s="9" t="s">
        <v>2065</v>
      </c>
      <c r="XBY36" s="619">
        <v>1</v>
      </c>
      <c r="XBZ36" s="4">
        <v>1000000</v>
      </c>
      <c r="XCA36" s="4">
        <f>XBZ36*XBY36</f>
        <v>1000000</v>
      </c>
      <c r="XCB36" s="9" t="s">
        <v>2066</v>
      </c>
      <c r="XCC36" s="1">
        <v>65</v>
      </c>
      <c r="XCD36" s="619" t="s">
        <v>2063</v>
      </c>
      <c r="XCE36" s="148" t="s">
        <v>2064</v>
      </c>
      <c r="XCF36" s="9" t="s">
        <v>2065</v>
      </c>
      <c r="XCG36" s="619">
        <v>1</v>
      </c>
      <c r="XCH36" s="4">
        <v>1000000</v>
      </c>
      <c r="XCI36" s="4">
        <f>XCH36*XCG36</f>
        <v>1000000</v>
      </c>
      <c r="XCJ36" s="9" t="s">
        <v>2066</v>
      </c>
      <c r="XCK36" s="1">
        <v>65</v>
      </c>
      <c r="XCL36" s="619" t="s">
        <v>2063</v>
      </c>
      <c r="XCM36" s="148" t="s">
        <v>2064</v>
      </c>
      <c r="XCN36" s="9" t="s">
        <v>2065</v>
      </c>
      <c r="XCO36" s="619">
        <v>1</v>
      </c>
      <c r="XCP36" s="4">
        <v>1000000</v>
      </c>
      <c r="XCQ36" s="4">
        <f>XCP36*XCO36</f>
        <v>1000000</v>
      </c>
      <c r="XCR36" s="9" t="s">
        <v>2066</v>
      </c>
      <c r="XCS36" s="1">
        <v>65</v>
      </c>
      <c r="XCT36" s="619" t="s">
        <v>2063</v>
      </c>
      <c r="XCU36" s="148" t="s">
        <v>2064</v>
      </c>
      <c r="XCV36" s="9" t="s">
        <v>2065</v>
      </c>
      <c r="XCW36" s="619">
        <v>1</v>
      </c>
      <c r="XCX36" s="4">
        <v>1000000</v>
      </c>
      <c r="XCY36" s="4">
        <f>XCX36*XCW36</f>
        <v>1000000</v>
      </c>
      <c r="XCZ36" s="9" t="s">
        <v>2066</v>
      </c>
      <c r="XDA36" s="1">
        <v>65</v>
      </c>
      <c r="XDB36" s="619" t="s">
        <v>2063</v>
      </c>
      <c r="XDC36" s="148" t="s">
        <v>2064</v>
      </c>
      <c r="XDD36" s="9" t="s">
        <v>2065</v>
      </c>
      <c r="XDE36" s="619">
        <v>1</v>
      </c>
      <c r="XDF36" s="4">
        <v>1000000</v>
      </c>
      <c r="XDG36" s="4">
        <f>XDF36*XDE36</f>
        <v>1000000</v>
      </c>
      <c r="XDH36" s="9" t="s">
        <v>2066</v>
      </c>
      <c r="XDI36" s="1">
        <v>65</v>
      </c>
      <c r="XDJ36" s="619" t="s">
        <v>2063</v>
      </c>
      <c r="XDK36" s="148" t="s">
        <v>2064</v>
      </c>
      <c r="XDL36" s="9" t="s">
        <v>2065</v>
      </c>
      <c r="XDM36" s="619">
        <v>1</v>
      </c>
      <c r="XDN36" s="4">
        <v>1000000</v>
      </c>
      <c r="XDO36" s="4">
        <f>XDN36*XDM36</f>
        <v>1000000</v>
      </c>
      <c r="XDP36" s="9" t="s">
        <v>2066</v>
      </c>
      <c r="XDQ36" s="1">
        <v>65</v>
      </c>
      <c r="XDR36" s="619" t="s">
        <v>2063</v>
      </c>
      <c r="XDS36" s="148" t="s">
        <v>2064</v>
      </c>
      <c r="XDT36" s="9" t="s">
        <v>2065</v>
      </c>
      <c r="XDU36" s="619">
        <v>1</v>
      </c>
      <c r="XDV36" s="4">
        <v>1000000</v>
      </c>
      <c r="XDW36" s="4">
        <f>XDV36*XDU36</f>
        <v>1000000</v>
      </c>
      <c r="XDX36" s="9" t="s">
        <v>2066</v>
      </c>
      <c r="XDY36" s="1">
        <v>65</v>
      </c>
      <c r="XDZ36" s="619" t="s">
        <v>2063</v>
      </c>
      <c r="XEA36" s="148" t="s">
        <v>2064</v>
      </c>
      <c r="XEB36" s="9" t="s">
        <v>2065</v>
      </c>
      <c r="XEC36" s="619">
        <v>1</v>
      </c>
      <c r="XED36" s="4">
        <v>1000000</v>
      </c>
      <c r="XEE36" s="4">
        <f>XED36*XEC36</f>
        <v>1000000</v>
      </c>
      <c r="XEF36" s="9" t="s">
        <v>2066</v>
      </c>
      <c r="XEG36" s="1">
        <v>65</v>
      </c>
      <c r="XEH36" s="619" t="s">
        <v>2063</v>
      </c>
      <c r="XEI36" s="148" t="s">
        <v>2064</v>
      </c>
      <c r="XEJ36" s="9" t="s">
        <v>2065</v>
      </c>
      <c r="XEK36" s="619">
        <v>1</v>
      </c>
      <c r="XEL36" s="4">
        <v>1000000</v>
      </c>
      <c r="XEM36" s="4">
        <f>XEL36*XEK36</f>
        <v>1000000</v>
      </c>
      <c r="XEN36" s="9" t="s">
        <v>2066</v>
      </c>
      <c r="XEO36" s="1">
        <v>65</v>
      </c>
      <c r="XEP36" s="619" t="s">
        <v>2063</v>
      </c>
      <c r="XEQ36" s="148" t="s">
        <v>2064</v>
      </c>
      <c r="XER36" s="9" t="s">
        <v>2065</v>
      </c>
      <c r="XES36" s="619">
        <v>1</v>
      </c>
      <c r="XET36" s="4">
        <v>1000000</v>
      </c>
      <c r="XEU36" s="4">
        <f>XET36*XES36</f>
        <v>1000000</v>
      </c>
      <c r="XEV36" s="9" t="s">
        <v>2066</v>
      </c>
      <c r="XEW36" s="1">
        <v>65</v>
      </c>
      <c r="XEX36" s="619" t="s">
        <v>2063</v>
      </c>
      <c r="XEY36" s="148" t="s">
        <v>2064</v>
      </c>
      <c r="XEZ36" s="9" t="s">
        <v>2065</v>
      </c>
      <c r="XFA36" s="619">
        <v>1</v>
      </c>
      <c r="XFB36" s="4">
        <v>1000000</v>
      </c>
      <c r="XFC36" s="4">
        <f>XFB36*XFA36</f>
        <v>1000000</v>
      </c>
      <c r="XFD36" s="9" t="s">
        <v>2066</v>
      </c>
    </row>
    <row r="37" spans="1:16384" ht="15.75" customHeight="1"/>
    <row r="38" spans="1:16384" ht="15.75" customHeight="1">
      <c r="D38" s="458" t="s">
        <v>7</v>
      </c>
      <c r="G38" s="1091">
        <f>SUM(G5:G36)</f>
        <v>85650000</v>
      </c>
    </row>
    <row r="39" spans="1:16384" ht="15.75" customHeight="1"/>
    <row r="40" spans="1:16384" ht="15.75" customHeight="1"/>
    <row r="41" spans="1:16384" ht="15.75" customHeight="1"/>
    <row r="42" spans="1:16384" ht="15.75" customHeight="1"/>
    <row r="43" spans="1:16384" ht="15.75" customHeight="1"/>
    <row r="44" spans="1:16384" ht="15.75" customHeight="1"/>
    <row r="45" spans="1:16384" ht="15.75" customHeight="1"/>
    <row r="46" spans="1:16384" ht="15.75" customHeight="1"/>
    <row r="47" spans="1:16384" ht="15.75" customHeight="1"/>
    <row r="48" spans="1:16384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</sheetData>
  <mergeCells count="19">
    <mergeCell ref="H3:H4"/>
    <mergeCell ref="I3:I4"/>
    <mergeCell ref="A28:A32"/>
    <mergeCell ref="A33:A35"/>
    <mergeCell ref="B33:B35"/>
    <mergeCell ref="C33:C35"/>
    <mergeCell ref="C12:C13"/>
    <mergeCell ref="C15:C16"/>
    <mergeCell ref="C18:C20"/>
    <mergeCell ref="C21:C24"/>
    <mergeCell ref="B28:B32"/>
    <mergeCell ref="C28:C32"/>
    <mergeCell ref="H28:H32"/>
    <mergeCell ref="H33:H35"/>
    <mergeCell ref="B3:B4"/>
    <mergeCell ref="C3:C4"/>
    <mergeCell ref="D3:D4"/>
    <mergeCell ref="F3:F4"/>
    <mergeCell ref="G3:G4"/>
  </mergeCells>
  <pageMargins left="0.7" right="0.7" top="0.75" bottom="0.75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991"/>
  <sheetViews>
    <sheetView topLeftCell="C142" workbookViewId="0">
      <selection activeCell="H164" sqref="H164"/>
    </sheetView>
  </sheetViews>
  <sheetFormatPr defaultColWidth="14.42578125" defaultRowHeight="15" customHeight="1"/>
  <cols>
    <col min="1" max="1" width="6.140625" customWidth="1"/>
    <col min="2" max="2" width="23.140625" customWidth="1"/>
    <col min="3" max="3" width="41.7109375" customWidth="1"/>
    <col min="4" max="4" width="18.7109375" customWidth="1"/>
    <col min="5" max="5" width="15.7109375" customWidth="1"/>
    <col min="6" max="6" width="18.85546875" customWidth="1"/>
    <col min="7" max="7" width="20.5703125" customWidth="1"/>
    <col min="8" max="8" width="24.28515625" customWidth="1"/>
    <col min="9" max="9" width="15" customWidth="1"/>
    <col min="10" max="26" width="10" customWidth="1"/>
  </cols>
  <sheetData>
    <row r="1" spans="1:26" ht="20.25">
      <c r="A1" s="966" t="s">
        <v>2067</v>
      </c>
      <c r="B1" s="890"/>
      <c r="C1" s="890"/>
      <c r="D1" s="890"/>
      <c r="E1" s="890"/>
      <c r="F1" s="890"/>
      <c r="G1" s="620"/>
      <c r="H1" s="32"/>
      <c r="I1" s="32"/>
    </row>
    <row r="2" spans="1:26">
      <c r="F2" s="509"/>
      <c r="G2" s="531"/>
      <c r="H2" s="32"/>
      <c r="I2" s="32"/>
    </row>
    <row r="3" spans="1:26" ht="56.25">
      <c r="A3" s="621" t="s">
        <v>820</v>
      </c>
      <c r="B3" s="621" t="s">
        <v>821</v>
      </c>
      <c r="C3" s="621" t="s">
        <v>822</v>
      </c>
      <c r="D3" s="621" t="s">
        <v>823</v>
      </c>
      <c r="E3" s="622" t="s">
        <v>2068</v>
      </c>
      <c r="F3" s="623" t="s">
        <v>825</v>
      </c>
      <c r="G3" s="624" t="s">
        <v>826</v>
      </c>
      <c r="H3" s="621" t="s">
        <v>827</v>
      </c>
      <c r="I3" s="625" t="s">
        <v>664</v>
      </c>
      <c r="J3" s="626"/>
      <c r="K3" s="626"/>
      <c r="L3" s="626"/>
      <c r="M3" s="626"/>
      <c r="N3" s="626"/>
      <c r="O3" s="626"/>
      <c r="P3" s="626"/>
      <c r="Q3" s="626"/>
      <c r="R3" s="626"/>
      <c r="S3" s="626"/>
      <c r="T3" s="626"/>
      <c r="U3" s="626"/>
      <c r="V3" s="626"/>
      <c r="W3" s="626"/>
      <c r="X3" s="626"/>
      <c r="Y3" s="626"/>
      <c r="Z3" s="626"/>
    </row>
    <row r="4" spans="1:26" ht="14.25" customHeight="1">
      <c r="A4" s="9">
        <v>1</v>
      </c>
      <c r="B4" s="9" t="s">
        <v>2002</v>
      </c>
      <c r="C4" s="627" t="s">
        <v>2069</v>
      </c>
      <c r="D4" s="627" t="s">
        <v>830</v>
      </c>
      <c r="E4" s="9">
        <v>1000</v>
      </c>
      <c r="F4" s="628">
        <v>5000</v>
      </c>
      <c r="G4" s="10">
        <f t="shared" ref="G4:G8" si="0">F4*E4</f>
        <v>5000000</v>
      </c>
      <c r="H4" s="9" t="s">
        <v>2070</v>
      </c>
      <c r="I4" s="612" t="s">
        <v>671</v>
      </c>
    </row>
    <row r="5" spans="1:26" ht="15.75">
      <c r="A5" s="9">
        <v>2</v>
      </c>
      <c r="B5" s="9" t="s">
        <v>2071</v>
      </c>
      <c r="C5" s="9" t="s">
        <v>2072</v>
      </c>
      <c r="D5" s="9" t="s">
        <v>830</v>
      </c>
      <c r="E5" s="629">
        <v>12</v>
      </c>
      <c r="F5" s="628">
        <v>550000</v>
      </c>
      <c r="G5" s="10">
        <f t="shared" si="0"/>
        <v>6600000</v>
      </c>
      <c r="H5" s="9" t="s">
        <v>924</v>
      </c>
      <c r="I5" s="612" t="s">
        <v>671</v>
      </c>
    </row>
    <row r="6" spans="1:26">
      <c r="A6" s="9">
        <v>3</v>
      </c>
      <c r="B6" s="9" t="s">
        <v>2071</v>
      </c>
      <c r="C6" s="9" t="s">
        <v>2073</v>
      </c>
      <c r="D6" s="9" t="s">
        <v>2074</v>
      </c>
      <c r="E6" s="9">
        <v>2</v>
      </c>
      <c r="F6" s="628">
        <v>750000</v>
      </c>
      <c r="G6" s="10">
        <f t="shared" si="0"/>
        <v>1500000</v>
      </c>
      <c r="H6" s="9" t="s">
        <v>924</v>
      </c>
      <c r="I6" s="9" t="s">
        <v>704</v>
      </c>
    </row>
    <row r="7" spans="1:26" ht="15.75">
      <c r="A7" s="715">
        <v>4</v>
      </c>
      <c r="B7" s="9" t="s">
        <v>2071</v>
      </c>
      <c r="C7" s="9" t="s">
        <v>2075</v>
      </c>
      <c r="D7" s="9" t="s">
        <v>830</v>
      </c>
      <c r="E7" s="629">
        <v>10000</v>
      </c>
      <c r="F7" s="628">
        <v>100</v>
      </c>
      <c r="G7" s="10">
        <f t="shared" si="0"/>
        <v>1000000</v>
      </c>
      <c r="H7" s="9" t="s">
        <v>924</v>
      </c>
      <c r="I7" s="612" t="s">
        <v>671</v>
      </c>
    </row>
    <row r="8" spans="1:26">
      <c r="A8" s="715">
        <v>5</v>
      </c>
      <c r="B8" s="9" t="s">
        <v>2071</v>
      </c>
      <c r="C8" s="9" t="s">
        <v>2076</v>
      </c>
      <c r="D8" s="9" t="s">
        <v>2074</v>
      </c>
      <c r="E8" s="9">
        <v>1</v>
      </c>
      <c r="F8" s="628">
        <v>750000</v>
      </c>
      <c r="G8" s="10">
        <f t="shared" si="0"/>
        <v>750000</v>
      </c>
      <c r="H8" s="9" t="s">
        <v>924</v>
      </c>
      <c r="I8" s="9" t="s">
        <v>704</v>
      </c>
    </row>
    <row r="9" spans="1:26">
      <c r="A9" s="715">
        <v>6</v>
      </c>
      <c r="B9" s="631" t="s">
        <v>2071</v>
      </c>
      <c r="C9" s="631" t="s">
        <v>2077</v>
      </c>
      <c r="D9" s="630"/>
      <c r="E9" s="631">
        <v>960</v>
      </c>
      <c r="F9" s="632"/>
      <c r="G9" s="633">
        <v>33600000</v>
      </c>
      <c r="H9" s="32"/>
      <c r="I9" s="32"/>
    </row>
    <row r="10" spans="1:26">
      <c r="A10" s="715">
        <v>7</v>
      </c>
      <c r="B10" s="631" t="s">
        <v>2071</v>
      </c>
      <c r="C10" s="631" t="s">
        <v>2078</v>
      </c>
      <c r="D10" s="630"/>
      <c r="E10" s="631">
        <v>240</v>
      </c>
      <c r="F10" s="632"/>
      <c r="G10" s="633">
        <v>16440000</v>
      </c>
      <c r="H10" s="32"/>
      <c r="I10" s="32"/>
    </row>
    <row r="11" spans="1:26" ht="45">
      <c r="A11" s="715">
        <v>8</v>
      </c>
      <c r="B11" s="32" t="s">
        <v>1824</v>
      </c>
      <c r="C11" s="111" t="s">
        <v>2079</v>
      </c>
      <c r="D11" s="32" t="s">
        <v>2074</v>
      </c>
      <c r="E11" s="32">
        <v>1</v>
      </c>
      <c r="F11" s="634">
        <v>200000</v>
      </c>
      <c r="G11" s="611">
        <f>F11*E11</f>
        <v>200000</v>
      </c>
      <c r="H11" s="111" t="s">
        <v>2080</v>
      </c>
      <c r="I11" s="612" t="s">
        <v>671</v>
      </c>
    </row>
    <row r="12" spans="1:26" ht="30">
      <c r="A12" s="715">
        <v>9</v>
      </c>
      <c r="B12" s="32" t="s">
        <v>1824</v>
      </c>
      <c r="C12" s="32" t="s">
        <v>2081</v>
      </c>
      <c r="D12" s="32" t="s">
        <v>2074</v>
      </c>
      <c r="E12" s="32">
        <v>1</v>
      </c>
      <c r="F12" s="634">
        <v>200000</v>
      </c>
      <c r="G12" s="611">
        <v>200000</v>
      </c>
      <c r="H12" s="111" t="s">
        <v>2082</v>
      </c>
      <c r="I12" s="612" t="s">
        <v>671</v>
      </c>
    </row>
    <row r="13" spans="1:26" ht="15.75">
      <c r="A13" s="715">
        <v>10</v>
      </c>
      <c r="B13" s="9" t="s">
        <v>1957</v>
      </c>
      <c r="C13" s="9" t="s">
        <v>2083</v>
      </c>
      <c r="D13" s="9">
        <v>1</v>
      </c>
      <c r="E13" s="9">
        <v>24</v>
      </c>
      <c r="F13" s="628">
        <v>150000</v>
      </c>
      <c r="G13" s="10">
        <f>E13*F13</f>
        <v>3600000</v>
      </c>
      <c r="H13" s="9"/>
      <c r="I13" s="612" t="s">
        <v>671</v>
      </c>
    </row>
    <row r="14" spans="1:26">
      <c r="A14" s="715">
        <v>11</v>
      </c>
      <c r="B14" s="9" t="s">
        <v>562</v>
      </c>
      <c r="C14" s="635" t="s">
        <v>2084</v>
      </c>
      <c r="D14" s="32"/>
      <c r="E14" s="636">
        <v>25</v>
      </c>
      <c r="F14" s="632">
        <v>15000</v>
      </c>
      <c r="G14" s="531">
        <f t="shared" ref="G14:G15" si="1">(E14*F14)</f>
        <v>375000</v>
      </c>
      <c r="H14" s="32"/>
      <c r="I14" s="32"/>
    </row>
    <row r="15" spans="1:26">
      <c r="A15" s="715">
        <v>12</v>
      </c>
      <c r="B15" s="9" t="s">
        <v>562</v>
      </c>
      <c r="C15" s="635" t="s">
        <v>2085</v>
      </c>
      <c r="D15" s="32"/>
      <c r="E15" s="636">
        <v>12</v>
      </c>
      <c r="F15" s="632">
        <v>20000</v>
      </c>
      <c r="G15" s="531">
        <f t="shared" si="1"/>
        <v>240000</v>
      </c>
      <c r="H15" s="32"/>
      <c r="I15" s="32"/>
    </row>
    <row r="16" spans="1:26" ht="31.5">
      <c r="A16" s="715">
        <v>13</v>
      </c>
      <c r="B16" s="111" t="s">
        <v>2086</v>
      </c>
      <c r="C16" s="111" t="s">
        <v>2087</v>
      </c>
      <c r="D16" s="111" t="s">
        <v>2074</v>
      </c>
      <c r="E16" s="111">
        <v>5</v>
      </c>
      <c r="F16" s="637">
        <v>200000</v>
      </c>
      <c r="G16" s="193">
        <f>F16*E16</f>
        <v>1000000</v>
      </c>
      <c r="H16" s="111" t="s">
        <v>2088</v>
      </c>
      <c r="I16" s="150" t="s">
        <v>671</v>
      </c>
    </row>
    <row r="17" spans="1:9" ht="15.75">
      <c r="A17" s="715">
        <v>14</v>
      </c>
      <c r="B17" s="9" t="s">
        <v>91</v>
      </c>
      <c r="C17" s="638" t="s">
        <v>2089</v>
      </c>
      <c r="D17" s="9" t="s">
        <v>2090</v>
      </c>
      <c r="E17" s="639">
        <v>12</v>
      </c>
      <c r="F17" s="640">
        <v>150000</v>
      </c>
      <c r="G17" s="641">
        <f>F17*12</f>
        <v>1800000</v>
      </c>
      <c r="H17" s="9" t="s">
        <v>924</v>
      </c>
      <c r="I17" s="612" t="s">
        <v>671</v>
      </c>
    </row>
    <row r="18" spans="1:9" ht="15.75">
      <c r="A18" s="715">
        <v>15</v>
      </c>
      <c r="B18" s="9" t="s">
        <v>91</v>
      </c>
      <c r="C18" s="638" t="s">
        <v>2091</v>
      </c>
      <c r="D18" s="9" t="s">
        <v>2090</v>
      </c>
      <c r="E18" s="639">
        <v>6</v>
      </c>
      <c r="F18" s="640">
        <v>150000</v>
      </c>
      <c r="G18" s="641">
        <f>F18*6</f>
        <v>900000</v>
      </c>
      <c r="H18" s="9" t="s">
        <v>924</v>
      </c>
      <c r="I18" s="612" t="s">
        <v>671</v>
      </c>
    </row>
    <row r="19" spans="1:9" ht="15.75">
      <c r="A19" s="715">
        <v>16</v>
      </c>
      <c r="B19" s="9" t="s">
        <v>91</v>
      </c>
      <c r="C19" s="9" t="s">
        <v>2092</v>
      </c>
      <c r="D19" s="9" t="s">
        <v>830</v>
      </c>
      <c r="E19" s="9">
        <v>60</v>
      </c>
      <c r="F19" s="628">
        <v>10000</v>
      </c>
      <c r="G19" s="641">
        <f t="shared" ref="G19:G20" si="2">F19*E19</f>
        <v>600000</v>
      </c>
      <c r="H19" s="9" t="s">
        <v>924</v>
      </c>
      <c r="I19" s="612" t="s">
        <v>671</v>
      </c>
    </row>
    <row r="20" spans="1:9" ht="15.75" customHeight="1">
      <c r="A20" s="715">
        <v>17</v>
      </c>
      <c r="B20" s="9" t="s">
        <v>91</v>
      </c>
      <c r="C20" s="9" t="s">
        <v>2093</v>
      </c>
      <c r="D20" s="642" t="s">
        <v>2074</v>
      </c>
      <c r="E20" s="642">
        <v>6</v>
      </c>
      <c r="F20" s="643">
        <v>200000</v>
      </c>
      <c r="G20" s="641">
        <f t="shared" si="2"/>
        <v>1200000</v>
      </c>
      <c r="H20" s="9" t="s">
        <v>924</v>
      </c>
      <c r="I20" s="612" t="s">
        <v>671</v>
      </c>
    </row>
    <row r="21" spans="1:9" ht="15.75" customHeight="1">
      <c r="A21" s="715">
        <v>18</v>
      </c>
      <c r="B21" s="9" t="s">
        <v>2094</v>
      </c>
      <c r="C21" s="644" t="s">
        <v>2095</v>
      </c>
      <c r="D21" s="645" t="s">
        <v>870</v>
      </c>
      <c r="E21" s="9">
        <v>6000</v>
      </c>
      <c r="F21" s="628">
        <v>3450</v>
      </c>
      <c r="G21" s="10">
        <f t="shared" ref="G21:G136" si="3">(E21*F21)</f>
        <v>20700000</v>
      </c>
      <c r="H21" s="9"/>
      <c r="I21" s="9"/>
    </row>
    <row r="22" spans="1:9" ht="15.75" customHeight="1">
      <c r="A22" s="715">
        <v>19</v>
      </c>
      <c r="B22" s="9" t="s">
        <v>2094</v>
      </c>
      <c r="C22" s="644" t="s">
        <v>2096</v>
      </c>
      <c r="D22" s="301" t="s">
        <v>2097</v>
      </c>
      <c r="E22" s="646">
        <v>5000</v>
      </c>
      <c r="F22" s="628">
        <v>4025</v>
      </c>
      <c r="G22" s="10">
        <f t="shared" si="3"/>
        <v>20125000</v>
      </c>
      <c r="H22" s="9"/>
      <c r="I22" s="9"/>
    </row>
    <row r="23" spans="1:9" ht="15.75" customHeight="1">
      <c r="A23" s="715">
        <v>20</v>
      </c>
      <c r="B23" s="9" t="s">
        <v>2094</v>
      </c>
      <c r="C23" s="647" t="s">
        <v>2098</v>
      </c>
      <c r="D23" s="301" t="s">
        <v>2099</v>
      </c>
      <c r="E23" s="9">
        <v>420</v>
      </c>
      <c r="F23" s="628">
        <v>40250</v>
      </c>
      <c r="G23" s="10">
        <f t="shared" si="3"/>
        <v>16905000</v>
      </c>
      <c r="H23" s="9"/>
      <c r="I23" s="612"/>
    </row>
    <row r="24" spans="1:9" ht="15.75" customHeight="1">
      <c r="A24" s="715">
        <v>21</v>
      </c>
      <c r="B24" s="9" t="s">
        <v>2094</v>
      </c>
      <c r="C24" s="644" t="s">
        <v>2100</v>
      </c>
      <c r="D24" s="645" t="s">
        <v>2097</v>
      </c>
      <c r="E24" s="9">
        <v>6000</v>
      </c>
      <c r="F24" s="628">
        <v>2645</v>
      </c>
      <c r="G24" s="10">
        <f t="shared" si="3"/>
        <v>15870000</v>
      </c>
      <c r="H24" s="9"/>
      <c r="I24" s="9"/>
    </row>
    <row r="25" spans="1:9" ht="15.75" customHeight="1">
      <c r="A25" s="715">
        <v>22</v>
      </c>
      <c r="B25" s="9" t="s">
        <v>2094</v>
      </c>
      <c r="C25" s="644" t="s">
        <v>2101</v>
      </c>
      <c r="D25" s="301" t="s">
        <v>2102</v>
      </c>
      <c r="E25" s="9">
        <v>3600</v>
      </c>
      <c r="F25" s="628">
        <v>4082.5</v>
      </c>
      <c r="G25" s="10">
        <f t="shared" si="3"/>
        <v>14697000</v>
      </c>
      <c r="H25" s="9"/>
      <c r="I25" s="9"/>
    </row>
    <row r="26" spans="1:9" ht="15.75" customHeight="1">
      <c r="A26" s="715">
        <v>23</v>
      </c>
      <c r="B26" s="9" t="s">
        <v>2094</v>
      </c>
      <c r="C26" s="648" t="s">
        <v>2103</v>
      </c>
      <c r="D26" s="301" t="s">
        <v>2102</v>
      </c>
      <c r="E26" s="9">
        <v>12000</v>
      </c>
      <c r="F26" s="628">
        <v>1035</v>
      </c>
      <c r="G26" s="10">
        <f t="shared" si="3"/>
        <v>12420000</v>
      </c>
      <c r="H26" s="9"/>
      <c r="I26" s="9"/>
    </row>
    <row r="27" spans="1:9" ht="15.75" customHeight="1">
      <c r="A27" s="715">
        <v>24</v>
      </c>
      <c r="B27" s="9" t="s">
        <v>2094</v>
      </c>
      <c r="C27" s="644" t="s">
        <v>2104</v>
      </c>
      <c r="D27" s="301" t="s">
        <v>2102</v>
      </c>
      <c r="E27" s="9">
        <v>6000</v>
      </c>
      <c r="F27" s="628">
        <v>1955</v>
      </c>
      <c r="G27" s="10">
        <f t="shared" si="3"/>
        <v>11730000</v>
      </c>
      <c r="H27" s="9"/>
      <c r="I27" s="9"/>
    </row>
    <row r="28" spans="1:9" ht="15.75" customHeight="1">
      <c r="A28" s="715">
        <v>25</v>
      </c>
      <c r="B28" s="9" t="s">
        <v>2094</v>
      </c>
      <c r="C28" s="649" t="s">
        <v>2105</v>
      </c>
      <c r="D28" s="650" t="s">
        <v>2097</v>
      </c>
      <c r="E28" s="9">
        <v>2000</v>
      </c>
      <c r="F28" s="628">
        <v>4600</v>
      </c>
      <c r="G28" s="10">
        <f t="shared" si="3"/>
        <v>9200000</v>
      </c>
      <c r="H28" s="9"/>
      <c r="I28" s="9"/>
    </row>
    <row r="29" spans="1:9" ht="15.75" customHeight="1">
      <c r="A29" s="715">
        <v>26</v>
      </c>
      <c r="B29" s="9" t="s">
        <v>2094</v>
      </c>
      <c r="C29" s="644" t="s">
        <v>2106</v>
      </c>
      <c r="D29" s="301" t="s">
        <v>2099</v>
      </c>
      <c r="E29" s="9">
        <v>60</v>
      </c>
      <c r="F29" s="628">
        <v>92000</v>
      </c>
      <c r="G29" s="10">
        <f t="shared" si="3"/>
        <v>5520000</v>
      </c>
      <c r="H29" s="9"/>
      <c r="I29" s="9"/>
    </row>
    <row r="30" spans="1:9" ht="15.75" customHeight="1">
      <c r="A30" s="715">
        <v>27</v>
      </c>
      <c r="B30" s="9" t="s">
        <v>2094</v>
      </c>
      <c r="C30" s="644" t="s">
        <v>2107</v>
      </c>
      <c r="D30" s="301" t="s">
        <v>2099</v>
      </c>
      <c r="E30" s="9">
        <v>48</v>
      </c>
      <c r="F30" s="628">
        <v>103500</v>
      </c>
      <c r="G30" s="10">
        <f t="shared" si="3"/>
        <v>4968000</v>
      </c>
      <c r="H30" s="9"/>
      <c r="I30" s="9"/>
    </row>
    <row r="31" spans="1:9" ht="15.75" customHeight="1">
      <c r="A31" s="715">
        <v>28</v>
      </c>
      <c r="B31" s="9" t="s">
        <v>2094</v>
      </c>
      <c r="C31" s="648" t="s">
        <v>2108</v>
      </c>
      <c r="D31" s="301" t="s">
        <v>2099</v>
      </c>
      <c r="E31" s="9">
        <v>48</v>
      </c>
      <c r="F31" s="628">
        <v>86250</v>
      </c>
      <c r="G31" s="10">
        <f t="shared" si="3"/>
        <v>4140000</v>
      </c>
      <c r="H31" s="9"/>
      <c r="I31" s="9"/>
    </row>
    <row r="32" spans="1:9" ht="15.75" customHeight="1">
      <c r="A32" s="715">
        <v>29</v>
      </c>
      <c r="B32" s="9" t="s">
        <v>2094</v>
      </c>
      <c r="C32" s="644" t="s">
        <v>2109</v>
      </c>
      <c r="D32" s="645" t="s">
        <v>2099</v>
      </c>
      <c r="E32" s="636">
        <v>18</v>
      </c>
      <c r="F32" s="651">
        <v>230000</v>
      </c>
      <c r="G32" s="652">
        <f t="shared" si="3"/>
        <v>4140000</v>
      </c>
      <c r="H32" s="636"/>
      <c r="I32" s="9"/>
    </row>
    <row r="33" spans="1:9" ht="15.75" customHeight="1">
      <c r="A33" s="715">
        <v>30</v>
      </c>
      <c r="B33" s="9" t="s">
        <v>2094</v>
      </c>
      <c r="C33" s="644" t="s">
        <v>2110</v>
      </c>
      <c r="D33" s="301" t="s">
        <v>2099</v>
      </c>
      <c r="E33" s="9">
        <v>36</v>
      </c>
      <c r="F33" s="628">
        <v>103500</v>
      </c>
      <c r="G33" s="10">
        <f t="shared" si="3"/>
        <v>3726000</v>
      </c>
      <c r="H33" s="9"/>
      <c r="I33" s="9"/>
    </row>
    <row r="34" spans="1:9" ht="15.75" customHeight="1">
      <c r="A34" s="715">
        <v>31</v>
      </c>
      <c r="B34" s="9" t="s">
        <v>2094</v>
      </c>
      <c r="C34" s="644" t="s">
        <v>2111</v>
      </c>
      <c r="D34" s="301" t="s">
        <v>2102</v>
      </c>
      <c r="E34" s="9">
        <v>3600</v>
      </c>
      <c r="F34" s="628">
        <v>1035</v>
      </c>
      <c r="G34" s="10">
        <f t="shared" si="3"/>
        <v>3726000</v>
      </c>
      <c r="H34" s="9"/>
      <c r="I34" s="9"/>
    </row>
    <row r="35" spans="1:9" ht="15.75" customHeight="1">
      <c r="A35" s="715">
        <v>32</v>
      </c>
      <c r="B35" s="9" t="s">
        <v>2094</v>
      </c>
      <c r="C35" s="647" t="s">
        <v>2112</v>
      </c>
      <c r="D35" s="301" t="s">
        <v>2099</v>
      </c>
      <c r="E35" s="9">
        <v>120</v>
      </c>
      <c r="F35" s="628">
        <v>28750</v>
      </c>
      <c r="G35" s="10">
        <f t="shared" si="3"/>
        <v>3450000</v>
      </c>
      <c r="H35" s="9"/>
      <c r="I35" s="612"/>
    </row>
    <row r="36" spans="1:9" ht="15.75" customHeight="1">
      <c r="A36" s="715">
        <v>33</v>
      </c>
      <c r="B36" s="9" t="s">
        <v>2094</v>
      </c>
      <c r="C36" s="648" t="s">
        <v>2113</v>
      </c>
      <c r="D36" s="645" t="s">
        <v>2102</v>
      </c>
      <c r="E36" s="9">
        <v>500</v>
      </c>
      <c r="F36" s="628">
        <v>6555</v>
      </c>
      <c r="G36" s="10">
        <f t="shared" si="3"/>
        <v>3277500</v>
      </c>
      <c r="H36" s="9"/>
      <c r="I36" s="9"/>
    </row>
    <row r="37" spans="1:9" ht="15.75" customHeight="1">
      <c r="A37" s="715">
        <v>34</v>
      </c>
      <c r="B37" s="9" t="s">
        <v>2094</v>
      </c>
      <c r="C37" s="648" t="s">
        <v>2114</v>
      </c>
      <c r="D37" s="301" t="s">
        <v>2099</v>
      </c>
      <c r="E37" s="9">
        <v>2</v>
      </c>
      <c r="F37" s="628">
        <v>1495000</v>
      </c>
      <c r="G37" s="10">
        <f t="shared" si="3"/>
        <v>2990000</v>
      </c>
      <c r="H37" s="9"/>
      <c r="I37" s="9"/>
    </row>
    <row r="38" spans="1:9" ht="15.75" customHeight="1">
      <c r="A38" s="715">
        <v>35</v>
      </c>
      <c r="B38" s="9" t="s">
        <v>2094</v>
      </c>
      <c r="C38" s="653" t="s">
        <v>2115</v>
      </c>
      <c r="D38" s="301" t="s">
        <v>2099</v>
      </c>
      <c r="E38" s="9">
        <v>12</v>
      </c>
      <c r="F38" s="628">
        <v>247250</v>
      </c>
      <c r="G38" s="10">
        <f t="shared" si="3"/>
        <v>2967000</v>
      </c>
      <c r="H38" s="9"/>
      <c r="I38" s="9"/>
    </row>
    <row r="39" spans="1:9" ht="15.75" customHeight="1">
      <c r="A39" s="715">
        <v>36</v>
      </c>
      <c r="B39" s="9" t="s">
        <v>2094</v>
      </c>
      <c r="C39" s="644" t="s">
        <v>2116</v>
      </c>
      <c r="D39" s="645" t="s">
        <v>2099</v>
      </c>
      <c r="E39" s="9">
        <v>12</v>
      </c>
      <c r="F39" s="628">
        <v>247250</v>
      </c>
      <c r="G39" s="10">
        <f t="shared" si="3"/>
        <v>2967000</v>
      </c>
      <c r="H39" s="9"/>
      <c r="I39" s="9"/>
    </row>
    <row r="40" spans="1:9" ht="15.75" customHeight="1">
      <c r="A40" s="715">
        <v>37</v>
      </c>
      <c r="B40" s="9" t="s">
        <v>2094</v>
      </c>
      <c r="C40" s="648" t="s">
        <v>2117</v>
      </c>
      <c r="D40" s="301" t="s">
        <v>2099</v>
      </c>
      <c r="E40" s="9">
        <v>24</v>
      </c>
      <c r="F40" s="628">
        <v>115000</v>
      </c>
      <c r="G40" s="10">
        <f t="shared" si="3"/>
        <v>2760000</v>
      </c>
      <c r="H40" s="9"/>
      <c r="I40" s="9"/>
    </row>
    <row r="41" spans="1:9" ht="15.75" customHeight="1">
      <c r="A41" s="715">
        <v>38</v>
      </c>
      <c r="B41" s="9" t="s">
        <v>2094</v>
      </c>
      <c r="C41" s="644" t="s">
        <v>2118</v>
      </c>
      <c r="D41" s="301" t="s">
        <v>2099</v>
      </c>
      <c r="E41" s="9">
        <v>10</v>
      </c>
      <c r="F41" s="628">
        <v>253000</v>
      </c>
      <c r="G41" s="10">
        <f t="shared" si="3"/>
        <v>2530000</v>
      </c>
      <c r="H41" s="9"/>
      <c r="I41" s="9"/>
    </row>
    <row r="42" spans="1:9" ht="15.75" customHeight="1">
      <c r="A42" s="715">
        <v>39</v>
      </c>
      <c r="B42" s="9" t="s">
        <v>2094</v>
      </c>
      <c r="C42" s="648" t="s">
        <v>2119</v>
      </c>
      <c r="D42" s="645" t="s">
        <v>2099</v>
      </c>
      <c r="E42" s="9">
        <v>10</v>
      </c>
      <c r="F42" s="628">
        <v>247250</v>
      </c>
      <c r="G42" s="10">
        <f t="shared" si="3"/>
        <v>2472500</v>
      </c>
      <c r="H42" s="9"/>
      <c r="I42" s="9"/>
    </row>
    <row r="43" spans="1:9" ht="15.75" customHeight="1">
      <c r="A43" s="715">
        <v>40</v>
      </c>
      <c r="B43" s="9" t="s">
        <v>2094</v>
      </c>
      <c r="C43" s="648" t="s">
        <v>2120</v>
      </c>
      <c r="D43" s="645" t="s">
        <v>2099</v>
      </c>
      <c r="E43" s="9">
        <v>10</v>
      </c>
      <c r="F43" s="628">
        <v>247250</v>
      </c>
      <c r="G43" s="10">
        <f t="shared" si="3"/>
        <v>2472500</v>
      </c>
      <c r="H43" s="9"/>
      <c r="I43" s="9"/>
    </row>
    <row r="44" spans="1:9" ht="15.75" customHeight="1">
      <c r="A44" s="715">
        <v>41</v>
      </c>
      <c r="B44" s="9" t="s">
        <v>2094</v>
      </c>
      <c r="C44" s="648" t="s">
        <v>2121</v>
      </c>
      <c r="D44" s="645" t="s">
        <v>2099</v>
      </c>
      <c r="E44" s="9">
        <v>10</v>
      </c>
      <c r="F44" s="628">
        <v>247250</v>
      </c>
      <c r="G44" s="10">
        <f t="shared" si="3"/>
        <v>2472500</v>
      </c>
      <c r="H44" s="9"/>
      <c r="I44" s="9"/>
    </row>
    <row r="45" spans="1:9" ht="15.75" customHeight="1">
      <c r="A45" s="715">
        <v>42</v>
      </c>
      <c r="B45" s="9" t="s">
        <v>2094</v>
      </c>
      <c r="C45" s="648" t="s">
        <v>2122</v>
      </c>
      <c r="D45" s="301" t="s">
        <v>2099</v>
      </c>
      <c r="E45" s="9">
        <v>10</v>
      </c>
      <c r="F45" s="628">
        <v>247250</v>
      </c>
      <c r="G45" s="10">
        <f t="shared" si="3"/>
        <v>2472500</v>
      </c>
      <c r="H45" s="9"/>
      <c r="I45" s="9"/>
    </row>
    <row r="46" spans="1:9" ht="15.75" customHeight="1">
      <c r="A46" s="715">
        <v>43</v>
      </c>
      <c r="B46" s="9" t="s">
        <v>2094</v>
      </c>
      <c r="C46" s="644" t="s">
        <v>2123</v>
      </c>
      <c r="D46" s="645" t="s">
        <v>2099</v>
      </c>
      <c r="E46" s="636">
        <v>10</v>
      </c>
      <c r="F46" s="651">
        <v>247250</v>
      </c>
      <c r="G46" s="652">
        <f t="shared" si="3"/>
        <v>2472500</v>
      </c>
      <c r="H46" s="636"/>
      <c r="I46" s="9"/>
    </row>
    <row r="47" spans="1:9" ht="15.75" customHeight="1">
      <c r="A47" s="715">
        <v>44</v>
      </c>
      <c r="B47" s="9" t="s">
        <v>2094</v>
      </c>
      <c r="C47" s="644" t="s">
        <v>2124</v>
      </c>
      <c r="D47" s="301" t="s">
        <v>2099</v>
      </c>
      <c r="E47" s="9">
        <v>8</v>
      </c>
      <c r="F47" s="628">
        <v>247250</v>
      </c>
      <c r="G47" s="10">
        <f t="shared" si="3"/>
        <v>1978000</v>
      </c>
      <c r="H47" s="9"/>
      <c r="I47" s="9"/>
    </row>
    <row r="48" spans="1:9" ht="15.75" customHeight="1">
      <c r="A48" s="715">
        <v>45</v>
      </c>
      <c r="B48" s="9" t="s">
        <v>2094</v>
      </c>
      <c r="C48" s="644" t="s">
        <v>2125</v>
      </c>
      <c r="D48" s="645" t="s">
        <v>2102</v>
      </c>
      <c r="E48" s="9">
        <v>6</v>
      </c>
      <c r="F48" s="628">
        <v>310500</v>
      </c>
      <c r="G48" s="10">
        <f t="shared" si="3"/>
        <v>1863000</v>
      </c>
      <c r="H48" s="9"/>
      <c r="I48" s="9"/>
    </row>
    <row r="49" spans="1:9" ht="15.75" customHeight="1">
      <c r="A49" s="715">
        <v>46</v>
      </c>
      <c r="B49" s="9" t="s">
        <v>2094</v>
      </c>
      <c r="C49" s="635" t="s">
        <v>2126</v>
      </c>
      <c r="D49" s="645" t="s">
        <v>2099</v>
      </c>
      <c r="E49" s="9">
        <v>6</v>
      </c>
      <c r="F49" s="654">
        <v>299000</v>
      </c>
      <c r="G49" s="10">
        <f t="shared" si="3"/>
        <v>1794000</v>
      </c>
      <c r="H49" s="9"/>
      <c r="I49" s="9"/>
    </row>
    <row r="50" spans="1:9" ht="15.75" customHeight="1">
      <c r="A50" s="715">
        <v>47</v>
      </c>
      <c r="B50" s="9" t="s">
        <v>2094</v>
      </c>
      <c r="C50" s="644" t="s">
        <v>2127</v>
      </c>
      <c r="D50" s="301" t="s">
        <v>2099</v>
      </c>
      <c r="E50" s="9">
        <v>20</v>
      </c>
      <c r="F50" s="628">
        <v>86250</v>
      </c>
      <c r="G50" s="10">
        <f t="shared" si="3"/>
        <v>1725000</v>
      </c>
      <c r="H50" s="9"/>
      <c r="I50" s="9"/>
    </row>
    <row r="51" spans="1:9" ht="15.75" customHeight="1">
      <c r="A51" s="715">
        <v>48</v>
      </c>
      <c r="B51" s="9" t="s">
        <v>2094</v>
      </c>
      <c r="C51" s="655" t="s">
        <v>2128</v>
      </c>
      <c r="D51" s="301" t="s">
        <v>2099</v>
      </c>
      <c r="E51" s="9">
        <v>12</v>
      </c>
      <c r="F51" s="628">
        <v>126500</v>
      </c>
      <c r="G51" s="10">
        <f t="shared" si="3"/>
        <v>1518000</v>
      </c>
      <c r="H51" s="9"/>
      <c r="I51" s="9"/>
    </row>
    <row r="52" spans="1:9" ht="15.75" customHeight="1">
      <c r="A52" s="715">
        <v>49</v>
      </c>
      <c r="B52" s="9" t="s">
        <v>2094</v>
      </c>
      <c r="C52" s="655" t="s">
        <v>2129</v>
      </c>
      <c r="D52" s="301" t="s">
        <v>2130</v>
      </c>
      <c r="E52" s="9">
        <v>1</v>
      </c>
      <c r="F52" s="656">
        <v>1500000</v>
      </c>
      <c r="G52" s="10">
        <f t="shared" si="3"/>
        <v>1500000</v>
      </c>
      <c r="H52" s="9"/>
      <c r="I52" s="9"/>
    </row>
    <row r="53" spans="1:9" ht="15.75" customHeight="1">
      <c r="A53" s="715">
        <v>50</v>
      </c>
      <c r="B53" s="9" t="s">
        <v>2094</v>
      </c>
      <c r="C53" s="649" t="s">
        <v>2131</v>
      </c>
      <c r="D53" s="301" t="s">
        <v>2102</v>
      </c>
      <c r="E53" s="636">
        <v>500</v>
      </c>
      <c r="F53" s="651">
        <v>3000</v>
      </c>
      <c r="G53" s="652">
        <f t="shared" si="3"/>
        <v>1500000</v>
      </c>
      <c r="H53" s="636"/>
      <c r="I53" s="9"/>
    </row>
    <row r="54" spans="1:9" ht="15.75" customHeight="1">
      <c r="A54" s="715">
        <v>51</v>
      </c>
      <c r="B54" s="9" t="s">
        <v>2094</v>
      </c>
      <c r="C54" s="657" t="s">
        <v>2132</v>
      </c>
      <c r="D54" s="301" t="s">
        <v>2099</v>
      </c>
      <c r="E54" s="9">
        <v>5</v>
      </c>
      <c r="F54" s="628">
        <v>276000</v>
      </c>
      <c r="G54" s="10">
        <f t="shared" si="3"/>
        <v>1380000</v>
      </c>
      <c r="H54" s="9"/>
      <c r="I54" s="9"/>
    </row>
    <row r="55" spans="1:9" ht="15.75" customHeight="1">
      <c r="A55" s="715">
        <v>52</v>
      </c>
      <c r="B55" s="9" t="s">
        <v>2094</v>
      </c>
      <c r="C55" s="644" t="s">
        <v>2133</v>
      </c>
      <c r="D55" s="301" t="s">
        <v>2102</v>
      </c>
      <c r="E55" s="9">
        <v>200</v>
      </c>
      <c r="F55" s="628">
        <v>6900</v>
      </c>
      <c r="G55" s="10">
        <f t="shared" si="3"/>
        <v>1380000</v>
      </c>
      <c r="H55" s="9"/>
      <c r="I55" s="9"/>
    </row>
    <row r="56" spans="1:9" ht="15.75" customHeight="1">
      <c r="A56" s="715">
        <v>53</v>
      </c>
      <c r="B56" s="9" t="s">
        <v>2094</v>
      </c>
      <c r="C56" s="648" t="s">
        <v>2134</v>
      </c>
      <c r="D56" s="301" t="s">
        <v>2099</v>
      </c>
      <c r="E56" s="9">
        <v>12</v>
      </c>
      <c r="F56" s="628">
        <v>115000</v>
      </c>
      <c r="G56" s="10">
        <f t="shared" si="3"/>
        <v>1380000</v>
      </c>
      <c r="H56" s="9"/>
      <c r="I56" s="9"/>
    </row>
    <row r="57" spans="1:9" ht="15.75" customHeight="1">
      <c r="A57" s="715">
        <v>54</v>
      </c>
      <c r="B57" s="9" t="s">
        <v>2094</v>
      </c>
      <c r="C57" s="648" t="s">
        <v>2135</v>
      </c>
      <c r="D57" s="301" t="s">
        <v>2099</v>
      </c>
      <c r="E57" s="9">
        <v>12</v>
      </c>
      <c r="F57" s="628">
        <v>115000</v>
      </c>
      <c r="G57" s="10">
        <f t="shared" si="3"/>
        <v>1380000</v>
      </c>
      <c r="H57" s="9"/>
      <c r="I57" s="9"/>
    </row>
    <row r="58" spans="1:9" ht="15.75" customHeight="1">
      <c r="A58" s="715">
        <v>55</v>
      </c>
      <c r="B58" s="9" t="s">
        <v>2094</v>
      </c>
      <c r="C58" s="648" t="s">
        <v>2136</v>
      </c>
      <c r="D58" s="645" t="s">
        <v>2099</v>
      </c>
      <c r="E58" s="9">
        <v>12</v>
      </c>
      <c r="F58" s="628">
        <v>115000</v>
      </c>
      <c r="G58" s="10">
        <f t="shared" si="3"/>
        <v>1380000</v>
      </c>
      <c r="H58" s="9"/>
      <c r="I58" s="9"/>
    </row>
    <row r="59" spans="1:9" ht="15.75" customHeight="1">
      <c r="A59" s="715">
        <v>56</v>
      </c>
      <c r="B59" s="9" t="s">
        <v>2094</v>
      </c>
      <c r="C59" s="658" t="s">
        <v>2137</v>
      </c>
      <c r="D59" s="301" t="s">
        <v>2102</v>
      </c>
      <c r="E59" s="9">
        <v>800</v>
      </c>
      <c r="F59" s="628">
        <v>1552.5</v>
      </c>
      <c r="G59" s="10">
        <f t="shared" si="3"/>
        <v>1242000</v>
      </c>
      <c r="H59" s="9"/>
      <c r="I59" s="9"/>
    </row>
    <row r="60" spans="1:9" ht="15.75" customHeight="1">
      <c r="A60" s="715">
        <v>57</v>
      </c>
      <c r="B60" s="9" t="s">
        <v>2094</v>
      </c>
      <c r="C60" s="659" t="s">
        <v>2138</v>
      </c>
      <c r="D60" s="301" t="s">
        <v>2099</v>
      </c>
      <c r="E60" s="9">
        <v>5</v>
      </c>
      <c r="F60" s="660">
        <v>247250</v>
      </c>
      <c r="G60" s="10">
        <f t="shared" si="3"/>
        <v>1236250</v>
      </c>
      <c r="H60" s="9"/>
      <c r="I60" s="612"/>
    </row>
    <row r="61" spans="1:9" ht="15.75" customHeight="1">
      <c r="A61" s="715">
        <v>58</v>
      </c>
      <c r="B61" s="9" t="s">
        <v>2094</v>
      </c>
      <c r="C61" s="648" t="s">
        <v>2139</v>
      </c>
      <c r="D61" s="645" t="s">
        <v>2099</v>
      </c>
      <c r="E61" s="9">
        <v>5</v>
      </c>
      <c r="F61" s="628">
        <v>247250</v>
      </c>
      <c r="G61" s="10">
        <f t="shared" si="3"/>
        <v>1236250</v>
      </c>
      <c r="H61" s="9"/>
      <c r="I61" s="9"/>
    </row>
    <row r="62" spans="1:9" ht="15.75" customHeight="1">
      <c r="A62" s="715">
        <v>59</v>
      </c>
      <c r="B62" s="9" t="s">
        <v>2094</v>
      </c>
      <c r="C62" s="644" t="s">
        <v>2140</v>
      </c>
      <c r="D62" s="301" t="s">
        <v>2099</v>
      </c>
      <c r="E62" s="9">
        <v>5</v>
      </c>
      <c r="F62" s="628">
        <v>247250</v>
      </c>
      <c r="G62" s="10">
        <f t="shared" si="3"/>
        <v>1236250</v>
      </c>
      <c r="H62" s="9"/>
      <c r="I62" s="9"/>
    </row>
    <row r="63" spans="1:9" ht="15.75" customHeight="1">
      <c r="A63" s="715">
        <v>60</v>
      </c>
      <c r="B63" s="9" t="s">
        <v>2094</v>
      </c>
      <c r="C63" s="300" t="s">
        <v>2141</v>
      </c>
      <c r="D63" s="645" t="s">
        <v>2102</v>
      </c>
      <c r="E63" s="9">
        <v>600</v>
      </c>
      <c r="F63" s="628">
        <v>2012.5</v>
      </c>
      <c r="G63" s="10">
        <f t="shared" si="3"/>
        <v>1207500</v>
      </c>
      <c r="H63" s="9"/>
      <c r="I63" s="9"/>
    </row>
    <row r="64" spans="1:9" ht="15.75" customHeight="1">
      <c r="A64" s="715">
        <v>61</v>
      </c>
      <c r="B64" s="9" t="s">
        <v>2094</v>
      </c>
      <c r="C64" s="644" t="s">
        <v>2142</v>
      </c>
      <c r="D64" s="301" t="s">
        <v>2102</v>
      </c>
      <c r="E64" s="9">
        <v>10</v>
      </c>
      <c r="F64" s="628">
        <v>115000</v>
      </c>
      <c r="G64" s="10">
        <f t="shared" si="3"/>
        <v>1150000</v>
      </c>
      <c r="H64" s="9"/>
      <c r="I64" s="9"/>
    </row>
    <row r="65" spans="1:9" ht="15.75" customHeight="1">
      <c r="A65" s="715">
        <v>62</v>
      </c>
      <c r="B65" s="9" t="s">
        <v>2094</v>
      </c>
      <c r="C65" s="644" t="s">
        <v>2143</v>
      </c>
      <c r="D65" s="301" t="s">
        <v>2099</v>
      </c>
      <c r="E65" s="9">
        <v>10</v>
      </c>
      <c r="F65" s="628">
        <v>115000</v>
      </c>
      <c r="G65" s="10">
        <f t="shared" si="3"/>
        <v>1150000</v>
      </c>
      <c r="H65" s="9"/>
      <c r="I65" s="9"/>
    </row>
    <row r="66" spans="1:9" ht="15.75" customHeight="1">
      <c r="A66" s="715">
        <v>63</v>
      </c>
      <c r="B66" s="9" t="s">
        <v>2094</v>
      </c>
      <c r="C66" s="648" t="s">
        <v>2144</v>
      </c>
      <c r="D66" s="301" t="s">
        <v>2099</v>
      </c>
      <c r="E66" s="9">
        <v>10</v>
      </c>
      <c r="F66" s="628">
        <v>115000</v>
      </c>
      <c r="G66" s="10">
        <f t="shared" si="3"/>
        <v>1150000</v>
      </c>
      <c r="H66" s="9"/>
      <c r="I66" s="9"/>
    </row>
    <row r="67" spans="1:9" ht="15.75" customHeight="1">
      <c r="A67" s="715">
        <v>64</v>
      </c>
      <c r="B67" s="9" t="s">
        <v>2094</v>
      </c>
      <c r="C67" s="644" t="s">
        <v>2145</v>
      </c>
      <c r="D67" s="301" t="s">
        <v>2102</v>
      </c>
      <c r="E67" s="636">
        <v>500</v>
      </c>
      <c r="F67" s="651">
        <v>2050</v>
      </c>
      <c r="G67" s="652">
        <f t="shared" si="3"/>
        <v>1025000</v>
      </c>
      <c r="H67" s="636"/>
      <c r="I67" s="9"/>
    </row>
    <row r="68" spans="1:9" ht="15.75" customHeight="1">
      <c r="A68" s="715">
        <v>65</v>
      </c>
      <c r="B68" s="9" t="s">
        <v>2094</v>
      </c>
      <c r="C68" s="635" t="s">
        <v>2146</v>
      </c>
      <c r="D68" s="645" t="s">
        <v>2099</v>
      </c>
      <c r="E68" s="9">
        <v>4</v>
      </c>
      <c r="F68" s="628">
        <v>247250</v>
      </c>
      <c r="G68" s="10">
        <f t="shared" si="3"/>
        <v>989000</v>
      </c>
      <c r="H68" s="9"/>
      <c r="I68" s="9"/>
    </row>
    <row r="69" spans="1:9" ht="15.75" customHeight="1">
      <c r="A69" s="715">
        <v>66</v>
      </c>
      <c r="B69" s="9" t="s">
        <v>2094</v>
      </c>
      <c r="C69" s="648" t="s">
        <v>2147</v>
      </c>
      <c r="D69" s="301" t="s">
        <v>2099</v>
      </c>
      <c r="E69" s="9">
        <v>8</v>
      </c>
      <c r="F69" s="628">
        <v>115000</v>
      </c>
      <c r="G69" s="10">
        <f t="shared" si="3"/>
        <v>920000</v>
      </c>
      <c r="H69" s="9"/>
      <c r="I69" s="9"/>
    </row>
    <row r="70" spans="1:9" ht="15.75" customHeight="1">
      <c r="A70" s="715">
        <v>67</v>
      </c>
      <c r="B70" s="9" t="s">
        <v>2094</v>
      </c>
      <c r="C70" s="648" t="s">
        <v>2148</v>
      </c>
      <c r="D70" s="645" t="s">
        <v>2099</v>
      </c>
      <c r="E70" s="9">
        <v>8</v>
      </c>
      <c r="F70" s="628">
        <v>115000</v>
      </c>
      <c r="G70" s="10">
        <f t="shared" si="3"/>
        <v>920000</v>
      </c>
      <c r="H70" s="9"/>
      <c r="I70" s="9"/>
    </row>
    <row r="71" spans="1:9" ht="15.75" customHeight="1">
      <c r="A71" s="715">
        <v>68</v>
      </c>
      <c r="B71" s="9" t="s">
        <v>2094</v>
      </c>
      <c r="C71" s="635" t="s">
        <v>2149</v>
      </c>
      <c r="D71" s="301" t="s">
        <v>2102</v>
      </c>
      <c r="E71" s="636">
        <v>300</v>
      </c>
      <c r="F71" s="651">
        <v>3000</v>
      </c>
      <c r="G71" s="652">
        <f t="shared" si="3"/>
        <v>900000</v>
      </c>
      <c r="H71" s="636"/>
      <c r="I71" s="9"/>
    </row>
    <row r="72" spans="1:9" ht="15.75" customHeight="1">
      <c r="A72" s="715">
        <v>69</v>
      </c>
      <c r="B72" s="9" t="s">
        <v>2094</v>
      </c>
      <c r="C72" s="648" t="s">
        <v>2150</v>
      </c>
      <c r="D72" s="645" t="s">
        <v>2099</v>
      </c>
      <c r="E72" s="9">
        <v>3</v>
      </c>
      <c r="F72" s="628">
        <v>299000</v>
      </c>
      <c r="G72" s="10">
        <f t="shared" si="3"/>
        <v>897000</v>
      </c>
      <c r="H72" s="9"/>
      <c r="I72" s="9"/>
    </row>
    <row r="73" spans="1:9" ht="15.75" customHeight="1">
      <c r="A73" s="715">
        <v>70</v>
      </c>
      <c r="B73" s="9" t="s">
        <v>2094</v>
      </c>
      <c r="C73" s="644" t="s">
        <v>2151</v>
      </c>
      <c r="D73" s="301" t="s">
        <v>2099</v>
      </c>
      <c r="E73" s="9">
        <v>10</v>
      </c>
      <c r="F73" s="628">
        <v>86250</v>
      </c>
      <c r="G73" s="10">
        <f t="shared" si="3"/>
        <v>862500</v>
      </c>
      <c r="H73" s="9"/>
      <c r="I73" s="9"/>
    </row>
    <row r="74" spans="1:9" ht="15.75" customHeight="1">
      <c r="A74" s="715">
        <v>71</v>
      </c>
      <c r="B74" s="9" t="s">
        <v>2094</v>
      </c>
      <c r="C74" s="648" t="s">
        <v>2152</v>
      </c>
      <c r="D74" s="301" t="s">
        <v>2099</v>
      </c>
      <c r="E74" s="9">
        <v>8</v>
      </c>
      <c r="F74" s="628">
        <v>86250</v>
      </c>
      <c r="G74" s="10">
        <f t="shared" si="3"/>
        <v>690000</v>
      </c>
      <c r="H74" s="9"/>
      <c r="I74" s="9"/>
    </row>
    <row r="75" spans="1:9" ht="15.75" customHeight="1">
      <c r="A75" s="715">
        <v>72</v>
      </c>
      <c r="B75" s="9" t="s">
        <v>2094</v>
      </c>
      <c r="C75" s="644" t="s">
        <v>2153</v>
      </c>
      <c r="D75" s="645" t="s">
        <v>870</v>
      </c>
      <c r="E75" s="9">
        <v>10000</v>
      </c>
      <c r="F75" s="628">
        <v>63.25</v>
      </c>
      <c r="G75" s="10">
        <f t="shared" si="3"/>
        <v>632500</v>
      </c>
      <c r="H75" s="9"/>
      <c r="I75" s="9"/>
    </row>
    <row r="76" spans="1:9" ht="15.75" customHeight="1">
      <c r="A76" s="715">
        <v>73</v>
      </c>
      <c r="B76" s="9" t="s">
        <v>2094</v>
      </c>
      <c r="C76" s="644" t="s">
        <v>2154</v>
      </c>
      <c r="D76" s="301" t="s">
        <v>2099</v>
      </c>
      <c r="E76" s="9">
        <v>6</v>
      </c>
      <c r="F76" s="628">
        <v>103500</v>
      </c>
      <c r="G76" s="10">
        <f t="shared" si="3"/>
        <v>621000</v>
      </c>
      <c r="H76" s="9"/>
      <c r="I76" s="9"/>
    </row>
    <row r="77" spans="1:9" ht="15.75" customHeight="1">
      <c r="A77" s="715">
        <v>74</v>
      </c>
      <c r="B77" s="9" t="s">
        <v>2094</v>
      </c>
      <c r="C77" s="648" t="s">
        <v>2155</v>
      </c>
      <c r="D77" s="645" t="s">
        <v>2099</v>
      </c>
      <c r="E77" s="9">
        <v>5</v>
      </c>
      <c r="F77" s="628">
        <v>115000</v>
      </c>
      <c r="G77" s="10">
        <f t="shared" si="3"/>
        <v>575000</v>
      </c>
      <c r="H77" s="9"/>
      <c r="I77" s="9"/>
    </row>
    <row r="78" spans="1:9" ht="15.75" customHeight="1">
      <c r="A78" s="715">
        <v>75</v>
      </c>
      <c r="B78" s="9" t="s">
        <v>2094</v>
      </c>
      <c r="C78" s="658" t="s">
        <v>2156</v>
      </c>
      <c r="D78" s="645" t="s">
        <v>2099</v>
      </c>
      <c r="E78" s="9">
        <v>5</v>
      </c>
      <c r="F78" s="628">
        <v>115000</v>
      </c>
      <c r="G78" s="10">
        <f t="shared" si="3"/>
        <v>575000</v>
      </c>
      <c r="H78" s="9"/>
      <c r="I78" s="9"/>
    </row>
    <row r="79" spans="1:9" ht="15.75" customHeight="1">
      <c r="A79" s="715">
        <v>76</v>
      </c>
      <c r="B79" s="9" t="s">
        <v>2094</v>
      </c>
      <c r="C79" s="648" t="s">
        <v>2157</v>
      </c>
      <c r="D79" s="301" t="s">
        <v>2099</v>
      </c>
      <c r="E79" s="9">
        <v>5</v>
      </c>
      <c r="F79" s="628">
        <v>115000</v>
      </c>
      <c r="G79" s="10">
        <f t="shared" si="3"/>
        <v>575000</v>
      </c>
      <c r="H79" s="9"/>
      <c r="I79" s="9"/>
    </row>
    <row r="80" spans="1:9" ht="15.75" customHeight="1">
      <c r="A80" s="715">
        <v>77</v>
      </c>
      <c r="B80" s="9" t="s">
        <v>2094</v>
      </c>
      <c r="C80" s="648" t="s">
        <v>2158</v>
      </c>
      <c r="D80" s="301" t="s">
        <v>2099</v>
      </c>
      <c r="E80" s="9">
        <v>5</v>
      </c>
      <c r="F80" s="628">
        <v>115000</v>
      </c>
      <c r="G80" s="10">
        <f t="shared" si="3"/>
        <v>575000</v>
      </c>
      <c r="H80" s="9"/>
      <c r="I80" s="9"/>
    </row>
    <row r="81" spans="1:9" ht="15.75" customHeight="1">
      <c r="A81" s="715">
        <v>78</v>
      </c>
      <c r="B81" s="9" t="s">
        <v>2094</v>
      </c>
      <c r="C81" s="644" t="s">
        <v>2159</v>
      </c>
      <c r="D81" s="301" t="s">
        <v>2099</v>
      </c>
      <c r="E81" s="9">
        <v>5</v>
      </c>
      <c r="F81" s="628">
        <v>115000</v>
      </c>
      <c r="G81" s="10">
        <f t="shared" si="3"/>
        <v>575000</v>
      </c>
      <c r="H81" s="9"/>
      <c r="I81" s="9"/>
    </row>
    <row r="82" spans="1:9" ht="15.75" customHeight="1">
      <c r="A82" s="715">
        <v>79</v>
      </c>
      <c r="B82" s="9" t="s">
        <v>2094</v>
      </c>
      <c r="C82" s="644" t="s">
        <v>2160</v>
      </c>
      <c r="D82" s="645" t="s">
        <v>2099</v>
      </c>
      <c r="E82" s="9">
        <v>5</v>
      </c>
      <c r="F82" s="628">
        <v>115000</v>
      </c>
      <c r="G82" s="10">
        <f t="shared" si="3"/>
        <v>575000</v>
      </c>
      <c r="H82" s="9"/>
      <c r="I82" s="9"/>
    </row>
    <row r="83" spans="1:9" ht="15.75" customHeight="1">
      <c r="A83" s="715">
        <v>80</v>
      </c>
      <c r="B83" s="9" t="s">
        <v>2094</v>
      </c>
      <c r="C83" s="648" t="s">
        <v>2161</v>
      </c>
      <c r="D83" s="301" t="s">
        <v>2099</v>
      </c>
      <c r="E83" s="9">
        <v>5</v>
      </c>
      <c r="F83" s="628">
        <v>115000</v>
      </c>
      <c r="G83" s="10">
        <f t="shared" si="3"/>
        <v>575000</v>
      </c>
      <c r="H83" s="9"/>
      <c r="I83" s="9"/>
    </row>
    <row r="84" spans="1:9" ht="15.75" customHeight="1">
      <c r="A84" s="715">
        <v>81</v>
      </c>
      <c r="B84" s="9" t="s">
        <v>2094</v>
      </c>
      <c r="C84" s="648" t="s">
        <v>2162</v>
      </c>
      <c r="D84" s="301" t="s">
        <v>2099</v>
      </c>
      <c r="E84" s="9">
        <v>5</v>
      </c>
      <c r="F84" s="628">
        <v>115000</v>
      </c>
      <c r="G84" s="10">
        <f t="shared" si="3"/>
        <v>575000</v>
      </c>
      <c r="H84" s="9"/>
      <c r="I84" s="9"/>
    </row>
    <row r="85" spans="1:9" ht="15.75" customHeight="1">
      <c r="A85" s="715">
        <v>82</v>
      </c>
      <c r="B85" s="9" t="s">
        <v>2094</v>
      </c>
      <c r="C85" s="644" t="s">
        <v>2163</v>
      </c>
      <c r="D85" s="301" t="s">
        <v>2099</v>
      </c>
      <c r="E85" s="9">
        <v>5</v>
      </c>
      <c r="F85" s="628">
        <v>115000</v>
      </c>
      <c r="G85" s="10">
        <f t="shared" si="3"/>
        <v>575000</v>
      </c>
      <c r="H85" s="9"/>
      <c r="I85" s="9"/>
    </row>
    <row r="86" spans="1:9" ht="15.75" customHeight="1">
      <c r="A86" s="715">
        <v>83</v>
      </c>
      <c r="B86" s="9" t="s">
        <v>2094</v>
      </c>
      <c r="C86" s="644" t="s">
        <v>2164</v>
      </c>
      <c r="D86" s="645" t="s">
        <v>2099</v>
      </c>
      <c r="E86" s="636">
        <v>5</v>
      </c>
      <c r="F86" s="651">
        <v>115000</v>
      </c>
      <c r="G86" s="652">
        <f t="shared" si="3"/>
        <v>575000</v>
      </c>
      <c r="H86" s="636"/>
      <c r="I86" s="9"/>
    </row>
    <row r="87" spans="1:9" ht="15.75" customHeight="1">
      <c r="A87" s="715">
        <v>84</v>
      </c>
      <c r="B87" s="9" t="s">
        <v>2094</v>
      </c>
      <c r="C87" s="636" t="s">
        <v>2165</v>
      </c>
      <c r="D87" s="645" t="s">
        <v>2099</v>
      </c>
      <c r="E87" s="636">
        <v>5</v>
      </c>
      <c r="F87" s="651">
        <v>115000</v>
      </c>
      <c r="G87" s="652">
        <f t="shared" si="3"/>
        <v>575000</v>
      </c>
      <c r="H87" s="636"/>
      <c r="I87" s="9"/>
    </row>
    <row r="88" spans="1:9" ht="15.75" customHeight="1">
      <c r="A88" s="715">
        <v>85</v>
      </c>
      <c r="B88" s="9" t="s">
        <v>2094</v>
      </c>
      <c r="C88" s="644" t="s">
        <v>2166</v>
      </c>
      <c r="D88" s="645" t="s">
        <v>2099</v>
      </c>
      <c r="E88" s="636">
        <v>5</v>
      </c>
      <c r="F88" s="651">
        <v>115000</v>
      </c>
      <c r="G88" s="652">
        <f t="shared" si="3"/>
        <v>575000</v>
      </c>
      <c r="H88" s="636"/>
      <c r="I88" s="9"/>
    </row>
    <row r="89" spans="1:9" ht="15.75" customHeight="1">
      <c r="A89" s="715">
        <v>86</v>
      </c>
      <c r="B89" s="9" t="s">
        <v>2094</v>
      </c>
      <c r="C89" s="644" t="s">
        <v>2167</v>
      </c>
      <c r="D89" s="301" t="s">
        <v>2099</v>
      </c>
      <c r="E89" s="9">
        <v>6</v>
      </c>
      <c r="F89" s="628">
        <v>86250</v>
      </c>
      <c r="G89" s="10">
        <f t="shared" si="3"/>
        <v>517500</v>
      </c>
      <c r="H89" s="9"/>
      <c r="I89" s="9"/>
    </row>
    <row r="90" spans="1:9" ht="15.75" customHeight="1">
      <c r="A90" s="715">
        <v>87</v>
      </c>
      <c r="B90" s="9" t="s">
        <v>2094</v>
      </c>
      <c r="C90" s="648" t="s">
        <v>2168</v>
      </c>
      <c r="D90" s="645" t="s">
        <v>2099</v>
      </c>
      <c r="E90" s="636">
        <v>2</v>
      </c>
      <c r="F90" s="651">
        <v>247250</v>
      </c>
      <c r="G90" s="652">
        <f t="shared" si="3"/>
        <v>494500</v>
      </c>
      <c r="H90" s="636"/>
      <c r="I90" s="9"/>
    </row>
    <row r="91" spans="1:9" ht="15.75" customHeight="1">
      <c r="A91" s="715">
        <v>88</v>
      </c>
      <c r="B91" s="9" t="s">
        <v>2094</v>
      </c>
      <c r="C91" s="648" t="s">
        <v>2169</v>
      </c>
      <c r="D91" s="645" t="s">
        <v>2099</v>
      </c>
      <c r="E91" s="9">
        <v>4</v>
      </c>
      <c r="F91" s="628">
        <v>115000</v>
      </c>
      <c r="G91" s="10">
        <f t="shared" si="3"/>
        <v>460000</v>
      </c>
      <c r="H91" s="9"/>
      <c r="I91" s="9"/>
    </row>
    <row r="92" spans="1:9" ht="15.75" customHeight="1">
      <c r="A92" s="715">
        <v>89</v>
      </c>
      <c r="B92" s="9" t="s">
        <v>2094</v>
      </c>
      <c r="C92" s="644" t="s">
        <v>2170</v>
      </c>
      <c r="D92" s="301" t="s">
        <v>2099</v>
      </c>
      <c r="E92" s="9">
        <v>4</v>
      </c>
      <c r="F92" s="628">
        <v>115000</v>
      </c>
      <c r="G92" s="10">
        <f t="shared" si="3"/>
        <v>460000</v>
      </c>
      <c r="H92" s="9"/>
      <c r="I92" s="9"/>
    </row>
    <row r="93" spans="1:9" ht="15.75" customHeight="1">
      <c r="A93" s="715">
        <v>90</v>
      </c>
      <c r="B93" s="9" t="s">
        <v>2094</v>
      </c>
      <c r="C93" s="644" t="s">
        <v>2171</v>
      </c>
      <c r="D93" s="301" t="s">
        <v>2099</v>
      </c>
      <c r="E93" s="646">
        <v>5</v>
      </c>
      <c r="F93" s="628">
        <v>92000</v>
      </c>
      <c r="G93" s="10">
        <f t="shared" si="3"/>
        <v>460000</v>
      </c>
      <c r="H93" s="9"/>
      <c r="I93" s="9"/>
    </row>
    <row r="94" spans="1:9" ht="15.75" customHeight="1">
      <c r="A94" s="715">
        <v>91</v>
      </c>
      <c r="B94" s="9" t="s">
        <v>2094</v>
      </c>
      <c r="C94" s="648" t="s">
        <v>2172</v>
      </c>
      <c r="D94" s="301" t="s">
        <v>2099</v>
      </c>
      <c r="E94" s="9">
        <v>5</v>
      </c>
      <c r="F94" s="628">
        <v>86250</v>
      </c>
      <c r="G94" s="10">
        <f t="shared" si="3"/>
        <v>431250</v>
      </c>
      <c r="H94" s="9"/>
      <c r="I94" s="9"/>
    </row>
    <row r="95" spans="1:9" ht="15.75" customHeight="1">
      <c r="A95" s="715">
        <v>92</v>
      </c>
      <c r="B95" s="9" t="s">
        <v>2094</v>
      </c>
      <c r="C95" s="648" t="s">
        <v>2173</v>
      </c>
      <c r="D95" s="301" t="s">
        <v>2099</v>
      </c>
      <c r="E95" s="9">
        <v>5</v>
      </c>
      <c r="F95" s="628">
        <v>86250</v>
      </c>
      <c r="G95" s="10">
        <f t="shared" si="3"/>
        <v>431250</v>
      </c>
      <c r="H95" s="9"/>
      <c r="I95" s="9"/>
    </row>
    <row r="96" spans="1:9" ht="15.75" customHeight="1">
      <c r="A96" s="715">
        <v>93</v>
      </c>
      <c r="B96" s="9" t="s">
        <v>2094</v>
      </c>
      <c r="C96" s="658" t="s">
        <v>2174</v>
      </c>
      <c r="D96" s="301" t="s">
        <v>2099</v>
      </c>
      <c r="E96" s="636">
        <v>5</v>
      </c>
      <c r="F96" s="651">
        <v>86250</v>
      </c>
      <c r="G96" s="652">
        <f t="shared" si="3"/>
        <v>431250</v>
      </c>
      <c r="H96" s="636"/>
      <c r="I96" s="9"/>
    </row>
    <row r="97" spans="1:9" ht="15.75" customHeight="1">
      <c r="A97" s="715">
        <v>94</v>
      </c>
      <c r="B97" s="9" t="s">
        <v>2094</v>
      </c>
      <c r="C97" s="648" t="s">
        <v>2175</v>
      </c>
      <c r="D97" s="301" t="s">
        <v>2099</v>
      </c>
      <c r="E97" s="636">
        <v>5</v>
      </c>
      <c r="F97" s="651">
        <v>86250</v>
      </c>
      <c r="G97" s="652">
        <f t="shared" si="3"/>
        <v>431250</v>
      </c>
      <c r="H97" s="636"/>
      <c r="I97" s="9"/>
    </row>
    <row r="98" spans="1:9" ht="15.75" customHeight="1">
      <c r="A98" s="715">
        <v>95</v>
      </c>
      <c r="B98" s="9" t="s">
        <v>2094</v>
      </c>
      <c r="C98" s="644" t="s">
        <v>2176</v>
      </c>
      <c r="D98" s="645" t="s">
        <v>2099</v>
      </c>
      <c r="E98" s="9">
        <v>3</v>
      </c>
      <c r="F98" s="628">
        <v>115000</v>
      </c>
      <c r="G98" s="10">
        <f t="shared" si="3"/>
        <v>345000</v>
      </c>
      <c r="H98" s="9"/>
      <c r="I98" s="9"/>
    </row>
    <row r="99" spans="1:9" ht="15.75" customHeight="1">
      <c r="A99" s="715">
        <v>96</v>
      </c>
      <c r="B99" s="9" t="s">
        <v>2094</v>
      </c>
      <c r="C99" s="644" t="s">
        <v>2177</v>
      </c>
      <c r="D99" s="645" t="s">
        <v>2099</v>
      </c>
      <c r="E99" s="9">
        <v>3</v>
      </c>
      <c r="F99" s="628">
        <v>115000</v>
      </c>
      <c r="G99" s="10">
        <f t="shared" si="3"/>
        <v>345000</v>
      </c>
      <c r="H99" s="9"/>
      <c r="I99" s="9"/>
    </row>
    <row r="100" spans="1:9" ht="15.75" customHeight="1">
      <c r="A100" s="715">
        <v>97</v>
      </c>
      <c r="B100" s="9" t="s">
        <v>2094</v>
      </c>
      <c r="C100" s="648" t="s">
        <v>2178</v>
      </c>
      <c r="D100" s="645" t="s">
        <v>2099</v>
      </c>
      <c r="E100" s="9">
        <v>3</v>
      </c>
      <c r="F100" s="628">
        <v>115000</v>
      </c>
      <c r="G100" s="10">
        <f t="shared" si="3"/>
        <v>345000</v>
      </c>
      <c r="H100" s="9"/>
      <c r="I100" s="9"/>
    </row>
    <row r="101" spans="1:9" ht="15.75" customHeight="1">
      <c r="A101" s="715">
        <v>98</v>
      </c>
      <c r="B101" s="9" t="s">
        <v>2094</v>
      </c>
      <c r="C101" s="661" t="s">
        <v>2179</v>
      </c>
      <c r="D101" s="662" t="s">
        <v>2099</v>
      </c>
      <c r="E101" s="9">
        <v>3</v>
      </c>
      <c r="F101" s="628">
        <v>103500</v>
      </c>
      <c r="G101" s="10">
        <f t="shared" si="3"/>
        <v>310500</v>
      </c>
      <c r="H101" s="9"/>
      <c r="I101" s="9"/>
    </row>
    <row r="102" spans="1:9" ht="15.75" customHeight="1">
      <c r="A102" s="715">
        <v>99</v>
      </c>
      <c r="B102" s="9" t="s">
        <v>2094</v>
      </c>
      <c r="C102" s="644" t="s">
        <v>2180</v>
      </c>
      <c r="D102" s="301" t="s">
        <v>2099</v>
      </c>
      <c r="E102" s="9">
        <v>3</v>
      </c>
      <c r="F102" s="628">
        <v>86250</v>
      </c>
      <c r="G102" s="10">
        <f t="shared" si="3"/>
        <v>258750</v>
      </c>
      <c r="H102" s="9"/>
      <c r="I102" s="9"/>
    </row>
    <row r="103" spans="1:9" ht="15.75" customHeight="1">
      <c r="A103" s="715">
        <v>100</v>
      </c>
      <c r="B103" s="9" t="s">
        <v>2094</v>
      </c>
      <c r="C103" s="648" t="s">
        <v>2181</v>
      </c>
      <c r="D103" s="301" t="s">
        <v>2099</v>
      </c>
      <c r="E103" s="9">
        <v>1</v>
      </c>
      <c r="F103" s="628">
        <v>247250</v>
      </c>
      <c r="G103" s="10">
        <f t="shared" si="3"/>
        <v>247250</v>
      </c>
      <c r="H103" s="9"/>
      <c r="I103" s="9"/>
    </row>
    <row r="104" spans="1:9" ht="15.75" customHeight="1">
      <c r="A104" s="715">
        <v>101</v>
      </c>
      <c r="B104" s="9" t="s">
        <v>2094</v>
      </c>
      <c r="C104" s="635" t="s">
        <v>2182</v>
      </c>
      <c r="D104" s="645" t="s">
        <v>2099</v>
      </c>
      <c r="E104" s="636">
        <v>1</v>
      </c>
      <c r="F104" s="651">
        <v>247250</v>
      </c>
      <c r="G104" s="652">
        <f t="shared" si="3"/>
        <v>247250</v>
      </c>
      <c r="H104" s="636"/>
      <c r="I104" s="9"/>
    </row>
    <row r="105" spans="1:9" ht="15.75" customHeight="1">
      <c r="A105" s="715">
        <v>102</v>
      </c>
      <c r="B105" s="9" t="s">
        <v>2094</v>
      </c>
      <c r="C105" s="648" t="s">
        <v>2183</v>
      </c>
      <c r="D105" s="301" t="s">
        <v>2097</v>
      </c>
      <c r="E105" s="9">
        <v>400</v>
      </c>
      <c r="F105" s="628">
        <v>575</v>
      </c>
      <c r="G105" s="10">
        <f t="shared" si="3"/>
        <v>230000</v>
      </c>
      <c r="H105" s="9"/>
      <c r="I105" s="9"/>
    </row>
    <row r="106" spans="1:9" ht="15.75" customHeight="1">
      <c r="A106" s="715">
        <v>103</v>
      </c>
      <c r="B106" s="9" t="s">
        <v>2094</v>
      </c>
      <c r="C106" s="644" t="s">
        <v>2184</v>
      </c>
      <c r="D106" s="645" t="s">
        <v>2099</v>
      </c>
      <c r="E106" s="9">
        <v>2</v>
      </c>
      <c r="F106" s="628">
        <v>115000</v>
      </c>
      <c r="G106" s="10">
        <f t="shared" si="3"/>
        <v>230000</v>
      </c>
      <c r="H106" s="9"/>
      <c r="I106" s="9"/>
    </row>
    <row r="107" spans="1:9" ht="15.75" customHeight="1">
      <c r="A107" s="715">
        <v>104</v>
      </c>
      <c r="B107" s="9" t="s">
        <v>2094</v>
      </c>
      <c r="C107" s="644" t="s">
        <v>2185</v>
      </c>
      <c r="D107" s="301" t="s">
        <v>2099</v>
      </c>
      <c r="E107" s="9">
        <v>2</v>
      </c>
      <c r="F107" s="628">
        <v>115000</v>
      </c>
      <c r="G107" s="10">
        <f t="shared" si="3"/>
        <v>230000</v>
      </c>
      <c r="H107" s="9"/>
      <c r="I107" s="9"/>
    </row>
    <row r="108" spans="1:9" ht="15.75" customHeight="1">
      <c r="A108" s="715">
        <v>105</v>
      </c>
      <c r="B108" s="9" t="s">
        <v>2094</v>
      </c>
      <c r="C108" s="644" t="s">
        <v>2186</v>
      </c>
      <c r="D108" s="301" t="s">
        <v>2099</v>
      </c>
      <c r="E108" s="9">
        <v>2</v>
      </c>
      <c r="F108" s="628">
        <v>103500</v>
      </c>
      <c r="G108" s="10">
        <f t="shared" si="3"/>
        <v>207000</v>
      </c>
      <c r="H108" s="9"/>
      <c r="I108" s="9"/>
    </row>
    <row r="109" spans="1:9" ht="15.75" customHeight="1">
      <c r="A109" s="715">
        <v>106</v>
      </c>
      <c r="B109" s="9" t="s">
        <v>2094</v>
      </c>
      <c r="C109" s="648" t="s">
        <v>2187</v>
      </c>
      <c r="D109" s="663" t="s">
        <v>2099</v>
      </c>
      <c r="E109" s="9">
        <v>2</v>
      </c>
      <c r="F109" s="628">
        <v>103500</v>
      </c>
      <c r="G109" s="10">
        <f t="shared" si="3"/>
        <v>207000</v>
      </c>
      <c r="H109" s="9"/>
      <c r="I109" s="9"/>
    </row>
    <row r="110" spans="1:9" ht="15.75" customHeight="1">
      <c r="A110" s="715">
        <v>107</v>
      </c>
      <c r="B110" s="9" t="s">
        <v>2094</v>
      </c>
      <c r="C110" s="635" t="s">
        <v>2188</v>
      </c>
      <c r="D110" s="645" t="s">
        <v>2099</v>
      </c>
      <c r="E110" s="636">
        <v>2</v>
      </c>
      <c r="F110" s="651">
        <v>103500</v>
      </c>
      <c r="G110" s="652">
        <f t="shared" si="3"/>
        <v>207000</v>
      </c>
      <c r="H110" s="636"/>
      <c r="I110" s="9"/>
    </row>
    <row r="111" spans="1:9" ht="15.75" customHeight="1">
      <c r="A111" s="715">
        <v>108</v>
      </c>
      <c r="B111" s="9" t="s">
        <v>2094</v>
      </c>
      <c r="C111" s="635" t="s">
        <v>2189</v>
      </c>
      <c r="D111" s="645" t="s">
        <v>2099</v>
      </c>
      <c r="E111" s="636">
        <v>2</v>
      </c>
      <c r="F111" s="651">
        <v>103500</v>
      </c>
      <c r="G111" s="652">
        <f t="shared" si="3"/>
        <v>207000</v>
      </c>
      <c r="H111" s="636"/>
      <c r="I111" s="9"/>
    </row>
    <row r="112" spans="1:9" ht="15.75" customHeight="1">
      <c r="A112" s="715">
        <v>109</v>
      </c>
      <c r="B112" s="9" t="s">
        <v>2094</v>
      </c>
      <c r="C112" s="648" t="s">
        <v>2190</v>
      </c>
      <c r="D112" s="301" t="s">
        <v>2099</v>
      </c>
      <c r="E112" s="9">
        <v>2</v>
      </c>
      <c r="F112" s="628">
        <v>86250</v>
      </c>
      <c r="G112" s="10">
        <f t="shared" si="3"/>
        <v>172500</v>
      </c>
      <c r="H112" s="9"/>
      <c r="I112" s="9"/>
    </row>
    <row r="113" spans="1:9" ht="15.75" customHeight="1">
      <c r="A113" s="715">
        <v>110</v>
      </c>
      <c r="B113" s="9" t="s">
        <v>2094</v>
      </c>
      <c r="C113" s="648" t="s">
        <v>2191</v>
      </c>
      <c r="D113" s="645" t="s">
        <v>2099</v>
      </c>
      <c r="E113" s="9">
        <v>2</v>
      </c>
      <c r="F113" s="628">
        <v>86250</v>
      </c>
      <c r="G113" s="10">
        <f t="shared" si="3"/>
        <v>172500</v>
      </c>
      <c r="H113" s="9"/>
      <c r="I113" s="9"/>
    </row>
    <row r="114" spans="1:9" ht="15.75" customHeight="1">
      <c r="A114" s="715">
        <v>111</v>
      </c>
      <c r="B114" s="9" t="s">
        <v>2094</v>
      </c>
      <c r="C114" s="648" t="s">
        <v>2192</v>
      </c>
      <c r="D114" s="301" t="s">
        <v>2099</v>
      </c>
      <c r="E114" s="9">
        <v>2</v>
      </c>
      <c r="F114" s="628">
        <v>86250</v>
      </c>
      <c r="G114" s="10">
        <f t="shared" si="3"/>
        <v>172500</v>
      </c>
      <c r="H114" s="9"/>
      <c r="I114" s="9"/>
    </row>
    <row r="115" spans="1:9" ht="15.75" customHeight="1">
      <c r="A115" s="715">
        <v>112</v>
      </c>
      <c r="B115" s="9" t="s">
        <v>2094</v>
      </c>
      <c r="C115" s="648" t="s">
        <v>2193</v>
      </c>
      <c r="D115" s="301" t="s">
        <v>2099</v>
      </c>
      <c r="E115" s="9">
        <v>2</v>
      </c>
      <c r="F115" s="628">
        <v>86250</v>
      </c>
      <c r="G115" s="10">
        <f t="shared" si="3"/>
        <v>172500</v>
      </c>
      <c r="H115" s="9"/>
      <c r="I115" s="9"/>
    </row>
    <row r="116" spans="1:9" ht="15.75" customHeight="1">
      <c r="A116" s="715">
        <v>113</v>
      </c>
      <c r="B116" s="9" t="s">
        <v>2094</v>
      </c>
      <c r="C116" s="644" t="s">
        <v>2194</v>
      </c>
      <c r="D116" s="645" t="s">
        <v>2099</v>
      </c>
      <c r="E116" s="636">
        <v>2</v>
      </c>
      <c r="F116" s="651">
        <v>86250</v>
      </c>
      <c r="G116" s="652">
        <f t="shared" si="3"/>
        <v>172500</v>
      </c>
      <c r="H116" s="636"/>
      <c r="I116" s="9"/>
    </row>
    <row r="117" spans="1:9" ht="15.75" customHeight="1">
      <c r="A117" s="715">
        <v>114</v>
      </c>
      <c r="B117" s="9" t="s">
        <v>2094</v>
      </c>
      <c r="C117" s="648" t="s">
        <v>2195</v>
      </c>
      <c r="D117" s="301" t="s">
        <v>2099</v>
      </c>
      <c r="E117" s="9">
        <v>1</v>
      </c>
      <c r="F117" s="628">
        <v>115000</v>
      </c>
      <c r="G117" s="10">
        <f t="shared" si="3"/>
        <v>115000</v>
      </c>
      <c r="H117" s="9"/>
      <c r="I117" s="9"/>
    </row>
    <row r="118" spans="1:9" ht="15.75" customHeight="1">
      <c r="A118" s="715">
        <v>115</v>
      </c>
      <c r="B118" s="9" t="s">
        <v>2094</v>
      </c>
      <c r="C118" s="648" t="s">
        <v>2196</v>
      </c>
      <c r="D118" s="301" t="s">
        <v>2099</v>
      </c>
      <c r="E118" s="9">
        <v>1</v>
      </c>
      <c r="F118" s="628">
        <v>115000</v>
      </c>
      <c r="G118" s="10">
        <f t="shared" si="3"/>
        <v>115000</v>
      </c>
      <c r="H118" s="9"/>
      <c r="I118" s="9"/>
    </row>
    <row r="119" spans="1:9" ht="15.75" customHeight="1">
      <c r="A119" s="715">
        <v>116</v>
      </c>
      <c r="B119" s="9" t="s">
        <v>2094</v>
      </c>
      <c r="C119" s="648" t="s">
        <v>2197</v>
      </c>
      <c r="D119" s="301" t="s">
        <v>2099</v>
      </c>
      <c r="E119" s="9">
        <v>1</v>
      </c>
      <c r="F119" s="628">
        <v>115000</v>
      </c>
      <c r="G119" s="10">
        <f t="shared" si="3"/>
        <v>115000</v>
      </c>
      <c r="H119" s="9"/>
      <c r="I119" s="9"/>
    </row>
    <row r="120" spans="1:9" ht="15.75" customHeight="1">
      <c r="A120" s="715">
        <v>117</v>
      </c>
      <c r="B120" s="9" t="s">
        <v>2094</v>
      </c>
      <c r="C120" s="648" t="s">
        <v>2198</v>
      </c>
      <c r="D120" s="301" t="s">
        <v>2099</v>
      </c>
      <c r="E120" s="9">
        <v>1</v>
      </c>
      <c r="F120" s="628">
        <v>115000</v>
      </c>
      <c r="G120" s="10">
        <f t="shared" si="3"/>
        <v>115000</v>
      </c>
      <c r="H120" s="9"/>
      <c r="I120" s="9"/>
    </row>
    <row r="121" spans="1:9" ht="15.75" customHeight="1">
      <c r="A121" s="715">
        <v>118</v>
      </c>
      <c r="B121" s="9" t="s">
        <v>2094</v>
      </c>
      <c r="C121" s="648" t="s">
        <v>2199</v>
      </c>
      <c r="D121" s="301" t="s">
        <v>2099</v>
      </c>
      <c r="E121" s="9">
        <v>1</v>
      </c>
      <c r="F121" s="628">
        <v>115000</v>
      </c>
      <c r="G121" s="10">
        <f t="shared" si="3"/>
        <v>115000</v>
      </c>
      <c r="H121" s="9"/>
      <c r="I121" s="9"/>
    </row>
    <row r="122" spans="1:9" ht="15.75" customHeight="1">
      <c r="A122" s="715">
        <v>119</v>
      </c>
      <c r="B122" s="9" t="s">
        <v>2094</v>
      </c>
      <c r="C122" s="664" t="s">
        <v>2200</v>
      </c>
      <c r="D122" s="301" t="s">
        <v>2099</v>
      </c>
      <c r="E122" s="9">
        <v>1</v>
      </c>
      <c r="F122" s="628">
        <v>115000</v>
      </c>
      <c r="G122" s="10">
        <f t="shared" si="3"/>
        <v>115000</v>
      </c>
      <c r="H122" s="9"/>
      <c r="I122" s="9"/>
    </row>
    <row r="123" spans="1:9" ht="15.75" customHeight="1">
      <c r="A123" s="715">
        <v>120</v>
      </c>
      <c r="B123" s="9" t="s">
        <v>2094</v>
      </c>
      <c r="C123" s="648" t="s">
        <v>2201</v>
      </c>
      <c r="D123" s="663" t="s">
        <v>2099</v>
      </c>
      <c r="E123" s="9">
        <v>1</v>
      </c>
      <c r="F123" s="628">
        <v>115000</v>
      </c>
      <c r="G123" s="10">
        <f t="shared" si="3"/>
        <v>115000</v>
      </c>
      <c r="H123" s="9"/>
      <c r="I123" s="9"/>
    </row>
    <row r="124" spans="1:9" ht="15.75" customHeight="1">
      <c r="A124" s="715">
        <v>121</v>
      </c>
      <c r="B124" s="9" t="s">
        <v>2094</v>
      </c>
      <c r="C124" s="635" t="s">
        <v>2202</v>
      </c>
      <c r="D124" s="645" t="s">
        <v>2099</v>
      </c>
      <c r="E124" s="636">
        <v>1</v>
      </c>
      <c r="F124" s="651">
        <v>115000</v>
      </c>
      <c r="G124" s="652">
        <f t="shared" si="3"/>
        <v>115000</v>
      </c>
      <c r="H124" s="636"/>
      <c r="I124" s="9"/>
    </row>
    <row r="125" spans="1:9" ht="15.75" customHeight="1">
      <c r="A125" s="715">
        <v>122</v>
      </c>
      <c r="B125" s="9" t="s">
        <v>2094</v>
      </c>
      <c r="C125" s="635" t="s">
        <v>2203</v>
      </c>
      <c r="D125" s="645" t="s">
        <v>2099</v>
      </c>
      <c r="E125" s="636">
        <v>1</v>
      </c>
      <c r="F125" s="651">
        <v>115000</v>
      </c>
      <c r="G125" s="652">
        <f t="shared" si="3"/>
        <v>115000</v>
      </c>
      <c r="H125" s="636"/>
      <c r="I125" s="9"/>
    </row>
    <row r="126" spans="1:9" ht="15.75" customHeight="1">
      <c r="A126" s="715">
        <v>123</v>
      </c>
      <c r="B126" s="9" t="s">
        <v>2094</v>
      </c>
      <c r="C126" s="648" t="s">
        <v>2204</v>
      </c>
      <c r="D126" s="301" t="s">
        <v>2099</v>
      </c>
      <c r="E126" s="9">
        <v>1</v>
      </c>
      <c r="F126" s="628">
        <v>103500</v>
      </c>
      <c r="G126" s="10">
        <f t="shared" si="3"/>
        <v>103500</v>
      </c>
      <c r="H126" s="9"/>
      <c r="I126" s="9"/>
    </row>
    <row r="127" spans="1:9" ht="15.75" customHeight="1">
      <c r="A127" s="715">
        <v>124</v>
      </c>
      <c r="B127" s="9" t="s">
        <v>2094</v>
      </c>
      <c r="C127" s="648" t="s">
        <v>2205</v>
      </c>
      <c r="D127" s="301" t="s">
        <v>2099</v>
      </c>
      <c r="E127" s="9">
        <v>1</v>
      </c>
      <c r="F127" s="628">
        <v>103500</v>
      </c>
      <c r="G127" s="10">
        <f t="shared" si="3"/>
        <v>103500</v>
      </c>
      <c r="H127" s="9"/>
      <c r="I127" s="9"/>
    </row>
    <row r="128" spans="1:9" ht="15.75" customHeight="1">
      <c r="A128" s="715">
        <v>125</v>
      </c>
      <c r="B128" s="9" t="s">
        <v>2094</v>
      </c>
      <c r="C128" s="648" t="s">
        <v>2206</v>
      </c>
      <c r="D128" s="301" t="s">
        <v>2099</v>
      </c>
      <c r="E128" s="9">
        <v>1</v>
      </c>
      <c r="F128" s="628">
        <v>86250</v>
      </c>
      <c r="G128" s="10">
        <f t="shared" si="3"/>
        <v>86250</v>
      </c>
      <c r="H128" s="9"/>
      <c r="I128" s="9"/>
    </row>
    <row r="129" spans="1:9" ht="15.75" customHeight="1">
      <c r="A129" s="715">
        <v>126</v>
      </c>
      <c r="B129" s="9" t="s">
        <v>2094</v>
      </c>
      <c r="C129" s="648" t="s">
        <v>2194</v>
      </c>
      <c r="D129" s="301" t="s">
        <v>2099</v>
      </c>
      <c r="E129" s="9">
        <v>1</v>
      </c>
      <c r="F129" s="628">
        <v>86250</v>
      </c>
      <c r="G129" s="10">
        <f t="shared" si="3"/>
        <v>86250</v>
      </c>
      <c r="H129" s="9"/>
      <c r="I129" s="9"/>
    </row>
    <row r="130" spans="1:9" ht="15.75" customHeight="1">
      <c r="A130" s="715">
        <v>127</v>
      </c>
      <c r="B130" s="9" t="s">
        <v>2094</v>
      </c>
      <c r="C130" s="648" t="s">
        <v>2207</v>
      </c>
      <c r="D130" s="301" t="s">
        <v>2099</v>
      </c>
      <c r="E130" s="9">
        <v>1</v>
      </c>
      <c r="F130" s="628">
        <v>86250</v>
      </c>
      <c r="G130" s="10">
        <f t="shared" si="3"/>
        <v>86250</v>
      </c>
      <c r="H130" s="9"/>
      <c r="I130" s="9"/>
    </row>
    <row r="131" spans="1:9" ht="15.75" customHeight="1">
      <c r="A131" s="715">
        <v>128</v>
      </c>
      <c r="B131" s="9" t="s">
        <v>2094</v>
      </c>
      <c r="C131" s="665" t="s">
        <v>2208</v>
      </c>
      <c r="D131" s="666" t="s">
        <v>2099</v>
      </c>
      <c r="E131" s="3">
        <v>1</v>
      </c>
      <c r="F131" s="5">
        <v>86250</v>
      </c>
      <c r="G131" s="10">
        <f t="shared" si="3"/>
        <v>86250</v>
      </c>
      <c r="H131" s="9"/>
      <c r="I131" s="9"/>
    </row>
    <row r="132" spans="1:9" ht="15.75" customHeight="1">
      <c r="A132" s="715">
        <v>129</v>
      </c>
      <c r="B132" s="9" t="s">
        <v>2094</v>
      </c>
      <c r="C132" s="635" t="s">
        <v>2209</v>
      </c>
      <c r="D132" s="645" t="s">
        <v>2099</v>
      </c>
      <c r="E132" s="636">
        <v>1</v>
      </c>
      <c r="F132" s="651">
        <v>86250</v>
      </c>
      <c r="G132" s="652">
        <f t="shared" si="3"/>
        <v>86250</v>
      </c>
      <c r="H132" s="636"/>
      <c r="I132" s="9"/>
    </row>
    <row r="133" spans="1:9" ht="15.75" customHeight="1">
      <c r="A133" s="715">
        <v>130</v>
      </c>
      <c r="B133" s="9" t="s">
        <v>2094</v>
      </c>
      <c r="C133" s="635" t="s">
        <v>2210</v>
      </c>
      <c r="D133" s="645" t="s">
        <v>2099</v>
      </c>
      <c r="E133" s="636">
        <v>1</v>
      </c>
      <c r="F133" s="651">
        <v>86250</v>
      </c>
      <c r="G133" s="652">
        <f t="shared" si="3"/>
        <v>86250</v>
      </c>
      <c r="H133" s="636"/>
      <c r="I133" s="9"/>
    </row>
    <row r="134" spans="1:9" ht="15.75" customHeight="1">
      <c r="A134" s="715">
        <v>131</v>
      </c>
      <c r="B134" s="9" t="s">
        <v>2094</v>
      </c>
      <c r="C134" s="635" t="s">
        <v>2211</v>
      </c>
      <c r="D134" s="645" t="s">
        <v>2099</v>
      </c>
      <c r="E134" s="636">
        <v>1</v>
      </c>
      <c r="F134" s="651">
        <v>86250</v>
      </c>
      <c r="G134" s="652">
        <f t="shared" si="3"/>
        <v>86250</v>
      </c>
      <c r="H134" s="636"/>
      <c r="I134" s="9"/>
    </row>
    <row r="135" spans="1:9" ht="15.75" customHeight="1">
      <c r="A135" s="715">
        <v>132</v>
      </c>
      <c r="B135" s="9" t="s">
        <v>2094</v>
      </c>
      <c r="C135" s="635" t="s">
        <v>2212</v>
      </c>
      <c r="D135" s="645" t="s">
        <v>2099</v>
      </c>
      <c r="E135" s="636">
        <v>1</v>
      </c>
      <c r="F135" s="651">
        <v>86250</v>
      </c>
      <c r="G135" s="652">
        <f t="shared" si="3"/>
        <v>86250</v>
      </c>
      <c r="H135" s="636"/>
      <c r="I135" s="9"/>
    </row>
    <row r="136" spans="1:9" ht="15.75" customHeight="1">
      <c r="A136" s="715">
        <v>133</v>
      </c>
      <c r="B136" s="9" t="s">
        <v>2094</v>
      </c>
      <c r="C136" s="655" t="s">
        <v>2213</v>
      </c>
      <c r="D136" s="645" t="s">
        <v>2099</v>
      </c>
      <c r="E136" s="9">
        <v>4</v>
      </c>
      <c r="F136" s="628">
        <v>287.5</v>
      </c>
      <c r="G136" s="10">
        <f t="shared" si="3"/>
        <v>1150</v>
      </c>
      <c r="H136" s="9"/>
      <c r="I136" s="9"/>
    </row>
    <row r="137" spans="1:9" ht="15.75" customHeight="1">
      <c r="A137" s="715">
        <v>134</v>
      </c>
      <c r="B137" s="9" t="s">
        <v>775</v>
      </c>
      <c r="C137" s="9" t="s">
        <v>2214</v>
      </c>
      <c r="D137" s="9" t="s">
        <v>2215</v>
      </c>
      <c r="E137" s="1">
        <v>200</v>
      </c>
      <c r="F137" s="628">
        <v>20000</v>
      </c>
      <c r="G137" s="641">
        <f t="shared" ref="G137:G147" si="4">F137*E137</f>
        <v>4000000</v>
      </c>
      <c r="H137" s="9" t="s">
        <v>924</v>
      </c>
      <c r="I137" s="612" t="s">
        <v>671</v>
      </c>
    </row>
    <row r="138" spans="1:9" ht="15.75" customHeight="1">
      <c r="A138" s="715">
        <v>135</v>
      </c>
      <c r="B138" s="9" t="s">
        <v>775</v>
      </c>
      <c r="C138" s="667" t="s">
        <v>2216</v>
      </c>
      <c r="D138" s="9"/>
      <c r="E138" s="639">
        <v>10</v>
      </c>
      <c r="F138" s="628">
        <v>250000</v>
      </c>
      <c r="G138" s="10">
        <f t="shared" si="4"/>
        <v>2500000</v>
      </c>
      <c r="H138" s="9"/>
      <c r="I138" s="9"/>
    </row>
    <row r="139" spans="1:9" ht="15.75" customHeight="1">
      <c r="A139" s="715">
        <v>136</v>
      </c>
      <c r="B139" s="9" t="s">
        <v>775</v>
      </c>
      <c r="C139" s="638" t="s">
        <v>2217</v>
      </c>
      <c r="D139" s="9" t="s">
        <v>2090</v>
      </c>
      <c r="E139" s="639">
        <v>15</v>
      </c>
      <c r="F139" s="640">
        <v>150000</v>
      </c>
      <c r="G139" s="641">
        <f t="shared" si="4"/>
        <v>2250000</v>
      </c>
      <c r="H139" s="9" t="s">
        <v>2218</v>
      </c>
      <c r="I139" s="612" t="s">
        <v>671</v>
      </c>
    </row>
    <row r="140" spans="1:9" ht="15.75" customHeight="1">
      <c r="A140" s="715">
        <v>137</v>
      </c>
      <c r="B140" s="9" t="s">
        <v>775</v>
      </c>
      <c r="C140" s="638" t="s">
        <v>2219</v>
      </c>
      <c r="D140" s="9" t="s">
        <v>2090</v>
      </c>
      <c r="E140" s="639">
        <v>15</v>
      </c>
      <c r="F140" s="640">
        <v>150000</v>
      </c>
      <c r="G140" s="641">
        <f t="shared" si="4"/>
        <v>2250000</v>
      </c>
      <c r="H140" s="9" t="s">
        <v>2218</v>
      </c>
      <c r="I140" s="612" t="s">
        <v>671</v>
      </c>
    </row>
    <row r="141" spans="1:9" ht="15.75" customHeight="1">
      <c r="A141" s="715">
        <v>138</v>
      </c>
      <c r="B141" s="9" t="s">
        <v>775</v>
      </c>
      <c r="C141" s="638" t="s">
        <v>2220</v>
      </c>
      <c r="D141" s="3" t="s">
        <v>2090</v>
      </c>
      <c r="E141" s="639">
        <v>15</v>
      </c>
      <c r="F141" s="640">
        <v>150000</v>
      </c>
      <c r="G141" s="641">
        <f t="shared" si="4"/>
        <v>2250000</v>
      </c>
      <c r="H141" s="9" t="s">
        <v>2218</v>
      </c>
      <c r="I141" s="612" t="s">
        <v>671</v>
      </c>
    </row>
    <row r="142" spans="1:9" ht="15.75" customHeight="1">
      <c r="A142" s="715">
        <v>139</v>
      </c>
      <c r="B142" s="9" t="s">
        <v>775</v>
      </c>
      <c r="C142" s="638" t="s">
        <v>2221</v>
      </c>
      <c r="D142" s="3" t="s">
        <v>2090</v>
      </c>
      <c r="E142" s="639">
        <v>5</v>
      </c>
      <c r="F142" s="640">
        <v>400000</v>
      </c>
      <c r="G142" s="641">
        <f t="shared" si="4"/>
        <v>2000000</v>
      </c>
      <c r="H142" s="9" t="s">
        <v>924</v>
      </c>
      <c r="I142" s="612" t="s">
        <v>671</v>
      </c>
    </row>
    <row r="143" spans="1:9" ht="15.75" customHeight="1">
      <c r="A143" s="715">
        <v>140</v>
      </c>
      <c r="B143" s="9" t="s">
        <v>775</v>
      </c>
      <c r="C143" s="638" t="s">
        <v>2222</v>
      </c>
      <c r="D143" s="3" t="s">
        <v>2090</v>
      </c>
      <c r="E143" s="639">
        <v>4</v>
      </c>
      <c r="F143" s="640">
        <v>400000</v>
      </c>
      <c r="G143" s="641">
        <f t="shared" si="4"/>
        <v>1600000</v>
      </c>
      <c r="H143" s="9" t="s">
        <v>2223</v>
      </c>
      <c r="I143" s="612" t="s">
        <v>671</v>
      </c>
    </row>
    <row r="144" spans="1:9" ht="15.75" customHeight="1">
      <c r="A144" s="715">
        <v>141</v>
      </c>
      <c r="B144" s="9" t="s">
        <v>775</v>
      </c>
      <c r="C144" s="667" t="s">
        <v>2224</v>
      </c>
      <c r="D144" s="668"/>
      <c r="E144" s="639">
        <v>75</v>
      </c>
      <c r="F144" s="640">
        <v>21000</v>
      </c>
      <c r="G144" s="641">
        <f t="shared" si="4"/>
        <v>1575000</v>
      </c>
      <c r="H144" s="9" t="s">
        <v>2225</v>
      </c>
      <c r="I144" s="612" t="s">
        <v>671</v>
      </c>
    </row>
    <row r="145" spans="1:10" ht="15.75" customHeight="1">
      <c r="A145" s="715">
        <v>142</v>
      </c>
      <c r="B145" s="9" t="s">
        <v>775</v>
      </c>
      <c r="C145" s="667" t="s">
        <v>2226</v>
      </c>
      <c r="D145" s="668"/>
      <c r="E145" s="639">
        <v>5</v>
      </c>
      <c r="F145" s="640">
        <v>200000</v>
      </c>
      <c r="G145" s="641">
        <f t="shared" si="4"/>
        <v>1000000</v>
      </c>
      <c r="H145" s="9" t="s">
        <v>924</v>
      </c>
      <c r="I145" s="612" t="s">
        <v>671</v>
      </c>
    </row>
    <row r="146" spans="1:10" ht="15.75" customHeight="1">
      <c r="A146" s="715">
        <v>143</v>
      </c>
      <c r="B146" s="9" t="s">
        <v>775</v>
      </c>
      <c r="C146" s="667" t="s">
        <v>2227</v>
      </c>
      <c r="D146" s="638"/>
      <c r="E146" s="639">
        <v>5</v>
      </c>
      <c r="F146" s="640">
        <v>200000</v>
      </c>
      <c r="G146" s="641">
        <f t="shared" si="4"/>
        <v>1000000</v>
      </c>
      <c r="H146" s="9" t="s">
        <v>924</v>
      </c>
      <c r="I146" s="612" t="s">
        <v>671</v>
      </c>
    </row>
    <row r="147" spans="1:10" ht="15.75" customHeight="1">
      <c r="A147" s="715">
        <v>144</v>
      </c>
      <c r="B147" s="9" t="s">
        <v>775</v>
      </c>
      <c r="C147" s="9" t="s">
        <v>2228</v>
      </c>
      <c r="D147" s="9" t="s">
        <v>2229</v>
      </c>
      <c r="E147" s="1">
        <v>5</v>
      </c>
      <c r="F147" s="628">
        <v>60000</v>
      </c>
      <c r="G147" s="641">
        <f t="shared" si="4"/>
        <v>300000</v>
      </c>
      <c r="H147" s="9" t="s">
        <v>924</v>
      </c>
      <c r="I147" s="612" t="s">
        <v>671</v>
      </c>
    </row>
    <row r="148" spans="1:10" ht="15.75" customHeight="1">
      <c r="A148" s="715">
        <v>145</v>
      </c>
      <c r="B148" s="9" t="s">
        <v>2230</v>
      </c>
      <c r="C148" s="669" t="s">
        <v>2231</v>
      </c>
      <c r="D148" s="9" t="s">
        <v>2090</v>
      </c>
      <c r="E148" s="4">
        <v>15</v>
      </c>
      <c r="F148" s="628">
        <v>40000</v>
      </c>
      <c r="G148" s="10">
        <v>600000</v>
      </c>
      <c r="H148" s="9" t="s">
        <v>2070</v>
      </c>
      <c r="I148" s="612" t="s">
        <v>671</v>
      </c>
    </row>
    <row r="149" spans="1:10" ht="15.75" customHeight="1">
      <c r="A149" s="715">
        <v>146</v>
      </c>
      <c r="B149" s="9" t="s">
        <v>2230</v>
      </c>
      <c r="C149" s="669" t="s">
        <v>2232</v>
      </c>
      <c r="D149" s="9" t="s">
        <v>2090</v>
      </c>
      <c r="E149" s="9">
        <v>10</v>
      </c>
      <c r="F149" s="628">
        <v>40000</v>
      </c>
      <c r="G149" s="10">
        <f t="shared" ref="G149:G150" si="5">F149*E149</f>
        <v>400000</v>
      </c>
      <c r="H149" s="9" t="s">
        <v>924</v>
      </c>
      <c r="I149" s="612" t="s">
        <v>671</v>
      </c>
    </row>
    <row r="150" spans="1:10" ht="15.75" customHeight="1">
      <c r="A150" s="715">
        <v>147</v>
      </c>
      <c r="B150" s="9" t="s">
        <v>2230</v>
      </c>
      <c r="C150" s="670" t="s">
        <v>2233</v>
      </c>
      <c r="D150" s="9" t="s">
        <v>2090</v>
      </c>
      <c r="E150" s="9">
        <v>5</v>
      </c>
      <c r="F150" s="628">
        <v>40000</v>
      </c>
      <c r="G150" s="10">
        <f t="shared" si="5"/>
        <v>200000</v>
      </c>
      <c r="H150" s="9" t="s">
        <v>924</v>
      </c>
      <c r="I150" s="612" t="s">
        <v>671</v>
      </c>
    </row>
    <row r="151" spans="1:10" ht="15.75" customHeight="1">
      <c r="A151" s="715">
        <v>148</v>
      </c>
      <c r="B151" s="631" t="s">
        <v>2234</v>
      </c>
      <c r="C151" s="631" t="s">
        <v>2235</v>
      </c>
      <c r="D151" s="630"/>
      <c r="E151" s="631">
        <v>1332</v>
      </c>
      <c r="F151" s="531"/>
      <c r="G151" s="633">
        <v>36000000</v>
      </c>
      <c r="H151" s="32"/>
      <c r="I151" s="32"/>
    </row>
    <row r="152" spans="1:10" ht="15.75" customHeight="1">
      <c r="A152" s="715">
        <v>149</v>
      </c>
      <c r="B152" s="9" t="s">
        <v>1278</v>
      </c>
      <c r="C152" s="9" t="s">
        <v>2236</v>
      </c>
      <c r="D152" s="9" t="s">
        <v>830</v>
      </c>
      <c r="E152" s="9">
        <v>1000</v>
      </c>
      <c r="F152" s="10">
        <v>3000</v>
      </c>
      <c r="G152" s="10">
        <f t="shared" ref="G152:G153" si="6">F152*E152</f>
        <v>3000000</v>
      </c>
      <c r="H152" s="9" t="s">
        <v>924</v>
      </c>
      <c r="I152" s="612" t="s">
        <v>671</v>
      </c>
    </row>
    <row r="153" spans="1:10" ht="15.75" customHeight="1">
      <c r="A153" s="715">
        <v>150</v>
      </c>
      <c r="B153" s="1249" t="s">
        <v>4182</v>
      </c>
      <c r="C153" s="616" t="s">
        <v>2237</v>
      </c>
      <c r="D153" s="32"/>
      <c r="E153" s="614">
        <v>420</v>
      </c>
      <c r="F153" s="615">
        <v>25000</v>
      </c>
      <c r="G153" s="671">
        <f t="shared" si="6"/>
        <v>10500000</v>
      </c>
      <c r="H153" s="32"/>
      <c r="I153" s="32"/>
    </row>
    <row r="154" spans="1:10" ht="15.75" customHeight="1">
      <c r="F154" s="1250"/>
      <c r="G154" s="1251">
        <f>SUM(G4:G153)</f>
        <v>381873650</v>
      </c>
      <c r="H154" s="1252"/>
      <c r="I154" s="1252"/>
      <c r="J154" s="1253"/>
    </row>
    <row r="155" spans="1:10" ht="15.75" customHeight="1">
      <c r="F155" s="1250"/>
      <c r="G155" s="1250"/>
      <c r="H155" s="1256"/>
      <c r="I155" s="1256"/>
      <c r="J155" s="1253"/>
    </row>
    <row r="156" spans="1:10" ht="15.75" customHeight="1">
      <c r="E156" s="672"/>
      <c r="F156" s="1250"/>
      <c r="G156" s="1250"/>
      <c r="H156" s="1256"/>
      <c r="I156" s="1256"/>
      <c r="J156" s="1253"/>
    </row>
    <row r="157" spans="1:10" ht="15.75" customHeight="1">
      <c r="E157" s="672"/>
      <c r="F157" s="1250"/>
      <c r="G157" s="1250"/>
      <c r="H157" s="1256"/>
      <c r="I157" s="1256"/>
      <c r="J157" s="1253"/>
    </row>
    <row r="158" spans="1:10" ht="15.75" customHeight="1">
      <c r="F158" s="1250"/>
      <c r="G158" s="1250"/>
      <c r="H158" s="1256"/>
      <c r="I158" s="1256"/>
      <c r="J158" s="1253"/>
    </row>
    <row r="159" spans="1:10" ht="15.75" customHeight="1">
      <c r="F159" s="1250"/>
      <c r="G159" s="1250"/>
      <c r="H159" s="1256"/>
      <c r="I159" s="1256"/>
      <c r="J159" s="1253"/>
    </row>
    <row r="160" spans="1:10" ht="15.75" customHeight="1">
      <c r="F160" s="1250"/>
      <c r="G160" s="1250"/>
      <c r="H160" s="1256"/>
      <c r="I160" s="1256"/>
      <c r="J160" s="1253"/>
    </row>
    <row r="161" spans="6:10" ht="15.75" customHeight="1">
      <c r="F161" s="1250"/>
      <c r="G161" s="1250"/>
      <c r="H161" s="1256"/>
      <c r="I161" s="1256"/>
      <c r="J161" s="1253"/>
    </row>
    <row r="162" spans="6:10" ht="15.75" customHeight="1">
      <c r="F162" s="1250"/>
      <c r="G162" s="1250"/>
      <c r="H162" s="1256"/>
      <c r="I162" s="1256"/>
      <c r="J162" s="1253"/>
    </row>
    <row r="163" spans="6:10" ht="15.75" customHeight="1">
      <c r="F163" s="1250"/>
      <c r="G163" s="1250"/>
      <c r="H163" s="1256"/>
      <c r="I163" s="1256"/>
      <c r="J163" s="1253"/>
    </row>
    <row r="164" spans="6:10" ht="15.75" customHeight="1">
      <c r="F164" s="1250"/>
      <c r="G164" s="1250"/>
      <c r="H164" s="1256"/>
      <c r="I164" s="1256"/>
      <c r="J164" s="1253"/>
    </row>
    <row r="165" spans="6:10" ht="15.75" customHeight="1">
      <c r="F165" s="1250"/>
      <c r="G165" s="1250"/>
      <c r="H165" s="1256"/>
      <c r="I165" s="1256"/>
      <c r="J165" s="1253"/>
    </row>
    <row r="166" spans="6:10" ht="15.75" customHeight="1">
      <c r="F166" s="1250"/>
      <c r="G166" s="1250"/>
      <c r="H166" s="1256"/>
      <c r="I166" s="1256"/>
      <c r="J166" s="1253"/>
    </row>
    <row r="167" spans="6:10" ht="15.75" customHeight="1">
      <c r="F167" s="1250"/>
      <c r="G167" s="1250"/>
      <c r="H167" s="1256"/>
      <c r="I167" s="1256"/>
      <c r="J167" s="1253"/>
    </row>
    <row r="168" spans="6:10" ht="15.75" customHeight="1">
      <c r="F168" s="1250"/>
      <c r="G168" s="1250"/>
      <c r="H168" s="1256"/>
      <c r="I168" s="1256"/>
      <c r="J168" s="1253"/>
    </row>
    <row r="169" spans="6:10" ht="15.75" customHeight="1">
      <c r="F169" s="1250"/>
      <c r="G169" s="1250"/>
      <c r="H169" s="1256"/>
      <c r="I169" s="1256"/>
      <c r="J169" s="1253"/>
    </row>
    <row r="170" spans="6:10" ht="15.75" customHeight="1">
      <c r="F170" s="1250"/>
      <c r="G170" s="1250"/>
      <c r="H170" s="1256"/>
      <c r="I170" s="1256"/>
      <c r="J170" s="1253"/>
    </row>
    <row r="171" spans="6:10" ht="15.75" customHeight="1">
      <c r="F171" s="1250"/>
      <c r="G171" s="1250"/>
      <c r="H171" s="1256"/>
      <c r="I171" s="1256"/>
      <c r="J171" s="1253"/>
    </row>
    <row r="172" spans="6:10" ht="15.75" customHeight="1">
      <c r="F172" s="1250"/>
      <c r="G172" s="1250"/>
      <c r="H172" s="1256"/>
      <c r="I172" s="1256"/>
      <c r="J172" s="1253"/>
    </row>
    <row r="173" spans="6:10" ht="15.75" customHeight="1">
      <c r="F173" s="1250"/>
      <c r="G173" s="1250"/>
      <c r="H173" s="1256"/>
      <c r="I173" s="1256"/>
      <c r="J173" s="1253"/>
    </row>
    <row r="174" spans="6:10" ht="15.75" customHeight="1">
      <c r="F174" s="1250"/>
      <c r="G174" s="1250"/>
      <c r="H174" s="1256"/>
      <c r="I174" s="1256"/>
      <c r="J174" s="1253"/>
    </row>
    <row r="175" spans="6:10" ht="15.75" customHeight="1">
      <c r="F175" s="1250"/>
      <c r="G175" s="1250"/>
      <c r="H175" s="1256"/>
      <c r="I175" s="1256"/>
      <c r="J175" s="1253"/>
    </row>
    <row r="176" spans="6:10" ht="15.75" customHeight="1">
      <c r="F176" s="1250"/>
      <c r="G176" s="1250"/>
      <c r="H176" s="1256"/>
      <c r="I176" s="1256"/>
      <c r="J176" s="1253"/>
    </row>
    <row r="177" spans="6:10" ht="15.75" customHeight="1">
      <c r="F177" s="1250"/>
      <c r="G177" s="1250"/>
      <c r="H177" s="1256"/>
      <c r="I177" s="1256"/>
      <c r="J177" s="1253"/>
    </row>
    <row r="178" spans="6:10" ht="15.75" customHeight="1">
      <c r="F178" s="1250"/>
      <c r="G178" s="1250"/>
      <c r="H178" s="1256"/>
      <c r="I178" s="1256"/>
      <c r="J178" s="1253"/>
    </row>
    <row r="179" spans="6:10" ht="15.75" customHeight="1">
      <c r="F179" s="1250"/>
      <c r="G179" s="1250"/>
      <c r="H179" s="1256"/>
      <c r="I179" s="1256"/>
      <c r="J179" s="1253"/>
    </row>
    <row r="180" spans="6:10" ht="15.75" customHeight="1">
      <c r="F180" s="1250"/>
      <c r="G180" s="1250"/>
      <c r="H180" s="1256"/>
      <c r="I180" s="1256"/>
      <c r="J180" s="1253"/>
    </row>
    <row r="181" spans="6:10" ht="15.75" customHeight="1">
      <c r="F181" s="1250"/>
      <c r="G181" s="1250"/>
      <c r="H181" s="1256"/>
      <c r="I181" s="1256"/>
      <c r="J181" s="1253"/>
    </row>
    <row r="182" spans="6:10" ht="15.75" customHeight="1">
      <c r="F182" s="1250"/>
      <c r="G182" s="1250"/>
      <c r="H182" s="1256"/>
      <c r="I182" s="1256"/>
      <c r="J182" s="1253"/>
    </row>
    <row r="183" spans="6:10" ht="15.75" customHeight="1">
      <c r="F183" s="1250"/>
      <c r="G183" s="1250"/>
      <c r="H183" s="1256"/>
      <c r="I183" s="1256"/>
      <c r="J183" s="1253"/>
    </row>
    <row r="184" spans="6:10" ht="15.75" customHeight="1">
      <c r="F184" s="1250"/>
      <c r="G184" s="1250"/>
      <c r="H184" s="1256"/>
      <c r="I184" s="1256"/>
      <c r="J184" s="1253"/>
    </row>
    <row r="185" spans="6:10" ht="15.75" customHeight="1">
      <c r="F185" s="1250"/>
      <c r="G185" s="1250"/>
      <c r="H185" s="1256"/>
      <c r="I185" s="1256"/>
      <c r="J185" s="1253"/>
    </row>
    <row r="186" spans="6:10" ht="15.75" customHeight="1">
      <c r="F186" s="1250"/>
      <c r="G186" s="1250"/>
      <c r="H186" s="1256"/>
      <c r="I186" s="1256"/>
      <c r="J186" s="1253"/>
    </row>
    <row r="187" spans="6:10" ht="15.75" customHeight="1">
      <c r="F187" s="1250"/>
      <c r="G187" s="1250"/>
      <c r="H187" s="1256"/>
      <c r="I187" s="1256"/>
      <c r="J187" s="1253"/>
    </row>
    <row r="188" spans="6:10" ht="15.75" customHeight="1">
      <c r="F188" s="1250"/>
      <c r="G188" s="1250"/>
      <c r="H188" s="1256"/>
      <c r="I188" s="1256"/>
      <c r="J188" s="1253"/>
    </row>
    <row r="189" spans="6:10" ht="15.75" customHeight="1">
      <c r="F189" s="1250"/>
      <c r="G189" s="1250"/>
      <c r="H189" s="1256"/>
      <c r="I189" s="1256"/>
      <c r="J189" s="1253"/>
    </row>
    <row r="190" spans="6:10" ht="15.75" customHeight="1">
      <c r="F190" s="1250"/>
      <c r="G190" s="1250"/>
      <c r="H190" s="1256"/>
      <c r="I190" s="1256"/>
      <c r="J190" s="1253"/>
    </row>
    <row r="191" spans="6:10" ht="15.75" customHeight="1">
      <c r="F191" s="1250"/>
      <c r="G191" s="1250"/>
      <c r="H191" s="1256"/>
      <c r="I191" s="1256"/>
      <c r="J191" s="1253"/>
    </row>
    <row r="192" spans="6:10" ht="15.75" customHeight="1">
      <c r="F192" s="1250"/>
      <c r="G192" s="1250"/>
      <c r="H192" s="1256"/>
      <c r="I192" s="1256"/>
      <c r="J192" s="1253"/>
    </row>
    <row r="193" spans="6:10" ht="15.75" customHeight="1">
      <c r="F193" s="1250"/>
      <c r="G193" s="1250"/>
      <c r="H193" s="1256"/>
      <c r="I193" s="1256"/>
      <c r="J193" s="1253"/>
    </row>
    <row r="194" spans="6:10" ht="15.75" customHeight="1">
      <c r="F194" s="1250"/>
      <c r="G194" s="1250"/>
      <c r="H194" s="1256"/>
      <c r="I194" s="1256"/>
      <c r="J194" s="1253"/>
    </row>
    <row r="195" spans="6:10" ht="15.75" customHeight="1">
      <c r="F195" s="1250"/>
      <c r="G195" s="1250"/>
      <c r="H195" s="1256"/>
      <c r="I195" s="1256"/>
      <c r="J195" s="1253"/>
    </row>
    <row r="196" spans="6:10" ht="15.75" customHeight="1">
      <c r="F196" s="1250"/>
      <c r="G196" s="1250"/>
      <c r="H196" s="1256"/>
      <c r="I196" s="1256"/>
      <c r="J196" s="1253"/>
    </row>
    <row r="197" spans="6:10" ht="15.75" customHeight="1">
      <c r="F197" s="1250"/>
      <c r="G197" s="1250"/>
      <c r="H197" s="1256"/>
      <c r="I197" s="1256"/>
      <c r="J197" s="1253"/>
    </row>
    <row r="198" spans="6:10" ht="15.75" customHeight="1">
      <c r="F198" s="1250"/>
      <c r="G198" s="1250"/>
      <c r="H198" s="1256"/>
      <c r="I198" s="1256"/>
      <c r="J198" s="1253"/>
    </row>
    <row r="199" spans="6:10" ht="15.75" customHeight="1">
      <c r="F199" s="1250"/>
      <c r="G199" s="1250"/>
      <c r="H199" s="1256"/>
      <c r="I199" s="1256"/>
      <c r="J199" s="1253"/>
    </row>
    <row r="200" spans="6:10" ht="15.75" customHeight="1">
      <c r="F200" s="1250"/>
      <c r="G200" s="1250"/>
      <c r="H200" s="1256"/>
      <c r="I200" s="1256"/>
      <c r="J200" s="1253"/>
    </row>
    <row r="201" spans="6:10" ht="15.75" customHeight="1">
      <c r="F201" s="1250"/>
      <c r="G201" s="1250"/>
      <c r="H201" s="1256"/>
      <c r="I201" s="1256"/>
      <c r="J201" s="1253"/>
    </row>
    <row r="202" spans="6:10" ht="15.75" customHeight="1">
      <c r="F202" s="1250"/>
      <c r="G202" s="1250"/>
      <c r="H202" s="1256"/>
      <c r="I202" s="1256"/>
      <c r="J202" s="1253"/>
    </row>
    <row r="203" spans="6:10" ht="15.75" customHeight="1">
      <c r="F203" s="1250"/>
      <c r="G203" s="1250"/>
      <c r="H203" s="1256"/>
      <c r="I203" s="1256"/>
      <c r="J203" s="1253"/>
    </row>
    <row r="204" spans="6:10" ht="15.75" customHeight="1">
      <c r="F204" s="1250"/>
      <c r="G204" s="1250"/>
      <c r="H204" s="1256"/>
      <c r="I204" s="1256"/>
      <c r="J204" s="1253"/>
    </row>
    <row r="205" spans="6:10" ht="15.75" customHeight="1">
      <c r="F205" s="1250"/>
      <c r="G205" s="1250"/>
      <c r="H205" s="1256"/>
      <c r="I205" s="1256"/>
      <c r="J205" s="1253"/>
    </row>
    <row r="206" spans="6:10" ht="15.75" customHeight="1">
      <c r="F206" s="1250"/>
      <c r="G206" s="1250"/>
      <c r="H206" s="1256"/>
      <c r="I206" s="1256"/>
      <c r="J206" s="1253"/>
    </row>
    <row r="207" spans="6:10" ht="15.75" customHeight="1">
      <c r="F207" s="1250"/>
      <c r="G207" s="1250"/>
      <c r="H207" s="1256"/>
      <c r="I207" s="1256"/>
      <c r="J207" s="1253"/>
    </row>
    <row r="208" spans="6:10" ht="15.75" customHeight="1">
      <c r="F208" s="1250"/>
      <c r="G208" s="1250"/>
      <c r="H208" s="1256"/>
      <c r="I208" s="1256"/>
      <c r="J208" s="1253"/>
    </row>
    <row r="209" spans="6:10" ht="15.75" customHeight="1">
      <c r="F209" s="1250"/>
      <c r="G209" s="1250"/>
      <c r="H209" s="1256"/>
      <c r="I209" s="1256"/>
      <c r="J209" s="1253"/>
    </row>
    <row r="210" spans="6:10" ht="15.75" customHeight="1">
      <c r="F210" s="1250"/>
      <c r="G210" s="1250"/>
      <c r="H210" s="1256"/>
      <c r="I210" s="1256"/>
      <c r="J210" s="1253"/>
    </row>
    <row r="211" spans="6:10" ht="15.75" customHeight="1">
      <c r="F211" s="1250"/>
      <c r="G211" s="1250"/>
      <c r="H211" s="1256"/>
      <c r="I211" s="1256"/>
      <c r="J211" s="1253"/>
    </row>
    <row r="212" spans="6:10" ht="15.75" customHeight="1">
      <c r="F212" s="1250"/>
      <c r="G212" s="1250"/>
      <c r="H212" s="1256"/>
      <c r="I212" s="1256"/>
      <c r="J212" s="1253"/>
    </row>
    <row r="213" spans="6:10" ht="15.75" customHeight="1">
      <c r="F213" s="1250"/>
      <c r="G213" s="1250"/>
      <c r="H213" s="1256"/>
      <c r="I213" s="1256"/>
      <c r="J213" s="1253"/>
    </row>
    <row r="214" spans="6:10" ht="15.75" customHeight="1">
      <c r="F214" s="1250"/>
      <c r="G214" s="1250"/>
      <c r="H214" s="1256"/>
      <c r="I214" s="1256"/>
      <c r="J214" s="1253"/>
    </row>
    <row r="215" spans="6:10" ht="15.75" customHeight="1">
      <c r="F215" s="1250"/>
      <c r="G215" s="1250"/>
      <c r="H215" s="1256"/>
      <c r="I215" s="1256"/>
      <c r="J215" s="1253"/>
    </row>
    <row r="216" spans="6:10" ht="15.75" customHeight="1">
      <c r="F216" s="1250"/>
      <c r="G216" s="1250"/>
      <c r="H216" s="1256"/>
      <c r="I216" s="1256"/>
      <c r="J216" s="1253"/>
    </row>
    <row r="217" spans="6:10" ht="15.75" customHeight="1">
      <c r="F217" s="1250"/>
      <c r="G217" s="1250"/>
      <c r="H217" s="1256"/>
      <c r="I217" s="1256"/>
      <c r="J217" s="1253"/>
    </row>
    <row r="218" spans="6:10" ht="15.75" customHeight="1">
      <c r="F218" s="1250"/>
      <c r="G218" s="1250"/>
      <c r="H218" s="1256"/>
      <c r="I218" s="1256"/>
      <c r="J218" s="1253"/>
    </row>
    <row r="219" spans="6:10" ht="15.75" customHeight="1">
      <c r="F219" s="1250"/>
      <c r="G219" s="1250"/>
      <c r="H219" s="1256"/>
      <c r="I219" s="1256"/>
      <c r="J219" s="1253"/>
    </row>
    <row r="220" spans="6:10" ht="15.75" customHeight="1">
      <c r="F220" s="1250"/>
      <c r="G220" s="1250"/>
      <c r="H220" s="1256"/>
      <c r="I220" s="1256"/>
      <c r="J220" s="1253"/>
    </row>
    <row r="221" spans="6:10" ht="15.75" customHeight="1">
      <c r="F221" s="1250"/>
      <c r="G221" s="1250"/>
      <c r="H221" s="1256"/>
      <c r="I221" s="1256"/>
      <c r="J221" s="1253"/>
    </row>
    <row r="222" spans="6:10" ht="15.75" customHeight="1">
      <c r="F222" s="1250"/>
      <c r="G222" s="1250"/>
      <c r="H222" s="1256"/>
      <c r="I222" s="1256"/>
      <c r="J222" s="1253"/>
    </row>
    <row r="223" spans="6:10" ht="15.75" customHeight="1">
      <c r="F223" s="1250"/>
      <c r="G223" s="1250"/>
      <c r="H223" s="1256"/>
      <c r="I223" s="1256"/>
      <c r="J223" s="1253"/>
    </row>
    <row r="224" spans="6:10" ht="15.75" customHeight="1">
      <c r="F224" s="1250"/>
      <c r="G224" s="1250"/>
      <c r="H224" s="1256"/>
      <c r="I224" s="1256"/>
      <c r="J224" s="1253"/>
    </row>
    <row r="225" spans="6:10" ht="15.75" customHeight="1">
      <c r="F225" s="1250"/>
      <c r="G225" s="1250"/>
      <c r="H225" s="1256"/>
      <c r="I225" s="1256"/>
      <c r="J225" s="1253"/>
    </row>
    <row r="226" spans="6:10" ht="15.75" customHeight="1">
      <c r="F226" s="1250"/>
      <c r="G226" s="1250"/>
      <c r="H226" s="1256"/>
      <c r="I226" s="1256"/>
      <c r="J226" s="1253"/>
    </row>
    <row r="227" spans="6:10" ht="15.75" customHeight="1">
      <c r="F227" s="1250"/>
      <c r="G227" s="1250"/>
      <c r="H227" s="1256"/>
      <c r="I227" s="1256"/>
      <c r="J227" s="1253"/>
    </row>
    <row r="228" spans="6:10" ht="15.75" customHeight="1">
      <c r="F228" s="1250"/>
      <c r="G228" s="1250"/>
      <c r="H228" s="1256"/>
      <c r="I228" s="1256"/>
      <c r="J228" s="1253"/>
    </row>
    <row r="229" spans="6:10" ht="15.75" customHeight="1">
      <c r="F229" s="1250"/>
      <c r="G229" s="1250"/>
      <c r="H229" s="1256"/>
      <c r="I229" s="1256"/>
      <c r="J229" s="1253"/>
    </row>
    <row r="230" spans="6:10" ht="15.75" customHeight="1">
      <c r="F230" s="1250"/>
      <c r="G230" s="1250"/>
      <c r="H230" s="1256"/>
      <c r="I230" s="1256"/>
      <c r="J230" s="1253"/>
    </row>
    <row r="231" spans="6:10" ht="15.75" customHeight="1">
      <c r="F231" s="1250"/>
      <c r="G231" s="1250"/>
      <c r="H231" s="1256"/>
      <c r="I231" s="1256"/>
      <c r="J231" s="1253"/>
    </row>
    <row r="232" spans="6:10" ht="15.75" customHeight="1">
      <c r="F232" s="1250"/>
      <c r="G232" s="1250"/>
      <c r="H232" s="1256"/>
      <c r="I232" s="1256"/>
      <c r="J232" s="1253"/>
    </row>
    <row r="233" spans="6:10" ht="15.75" customHeight="1">
      <c r="F233" s="1250"/>
      <c r="G233" s="1250"/>
      <c r="H233" s="1256"/>
      <c r="I233" s="1256"/>
      <c r="J233" s="1253"/>
    </row>
    <row r="234" spans="6:10" ht="15.75" customHeight="1">
      <c r="F234" s="1250"/>
      <c r="G234" s="1250"/>
      <c r="H234" s="1256"/>
      <c r="I234" s="1256"/>
      <c r="J234" s="1253"/>
    </row>
    <row r="235" spans="6:10" ht="15.75" customHeight="1">
      <c r="F235" s="1250"/>
      <c r="G235" s="1250"/>
      <c r="H235" s="1256"/>
      <c r="I235" s="1256"/>
      <c r="J235" s="1253"/>
    </row>
    <row r="236" spans="6:10" ht="15.75" customHeight="1">
      <c r="F236" s="1250"/>
      <c r="G236" s="1250"/>
      <c r="H236" s="1256"/>
      <c r="I236" s="1256"/>
      <c r="J236" s="1253"/>
    </row>
    <row r="237" spans="6:10" ht="15.75" customHeight="1">
      <c r="F237" s="1250"/>
      <c r="G237" s="1250"/>
      <c r="H237" s="1256"/>
      <c r="I237" s="1256"/>
      <c r="J237" s="1253"/>
    </row>
    <row r="238" spans="6:10" ht="15.75" customHeight="1">
      <c r="F238" s="1250"/>
      <c r="G238" s="1250"/>
      <c r="H238" s="1256"/>
      <c r="I238" s="1256"/>
      <c r="J238" s="1253"/>
    </row>
    <row r="239" spans="6:10" ht="15.75" customHeight="1">
      <c r="F239" s="1250"/>
      <c r="G239" s="1250"/>
      <c r="H239" s="1256"/>
      <c r="I239" s="1256"/>
      <c r="J239" s="1253"/>
    </row>
    <row r="240" spans="6:10" ht="15.75" customHeight="1">
      <c r="F240" s="1250"/>
      <c r="G240" s="1250"/>
      <c r="H240" s="1256"/>
      <c r="I240" s="1256"/>
      <c r="J240" s="1253"/>
    </row>
    <row r="241" spans="6:10" ht="15.75" customHeight="1">
      <c r="F241" s="1250"/>
      <c r="G241" s="1250"/>
      <c r="H241" s="1256"/>
      <c r="I241" s="1256"/>
      <c r="J241" s="1253"/>
    </row>
    <row r="242" spans="6:10" ht="15.75" customHeight="1">
      <c r="F242" s="1250"/>
      <c r="G242" s="1250"/>
      <c r="H242" s="1256"/>
      <c r="I242" s="1256"/>
      <c r="J242" s="1253"/>
    </row>
    <row r="243" spans="6:10" ht="15.75" customHeight="1">
      <c r="F243" s="1250"/>
      <c r="G243" s="1250"/>
      <c r="H243" s="1256"/>
      <c r="I243" s="1256"/>
      <c r="J243" s="1253"/>
    </row>
    <row r="244" spans="6:10" ht="15.75" customHeight="1">
      <c r="F244" s="1250"/>
      <c r="G244" s="1250"/>
      <c r="H244" s="1256"/>
      <c r="I244" s="1256"/>
      <c r="J244" s="1253"/>
    </row>
    <row r="245" spans="6:10" ht="15.75" customHeight="1">
      <c r="F245" s="1250"/>
      <c r="G245" s="1250"/>
      <c r="H245" s="1256"/>
      <c r="I245" s="1256"/>
      <c r="J245" s="1253"/>
    </row>
    <row r="246" spans="6:10" ht="15.75" customHeight="1">
      <c r="F246" s="1250"/>
      <c r="G246" s="1250"/>
      <c r="H246" s="1256"/>
      <c r="I246" s="1256"/>
      <c r="J246" s="1253"/>
    </row>
    <row r="247" spans="6:10" ht="15.75" customHeight="1">
      <c r="F247" s="1250"/>
      <c r="G247" s="1250"/>
      <c r="H247" s="1256"/>
      <c r="I247" s="1256"/>
      <c r="J247" s="1253"/>
    </row>
    <row r="248" spans="6:10" ht="15.75" customHeight="1">
      <c r="F248" s="1250"/>
      <c r="G248" s="1250"/>
      <c r="H248" s="1256"/>
      <c r="I248" s="1256"/>
      <c r="J248" s="1253"/>
    </row>
    <row r="249" spans="6:10" ht="15.75" customHeight="1">
      <c r="F249" s="1250"/>
      <c r="G249" s="1250"/>
      <c r="H249" s="1256"/>
      <c r="I249" s="1256"/>
      <c r="J249" s="1253"/>
    </row>
    <row r="250" spans="6:10" ht="15.75" customHeight="1">
      <c r="F250" s="1250"/>
      <c r="G250" s="1250"/>
      <c r="H250" s="1256"/>
      <c r="I250" s="1256"/>
      <c r="J250" s="1253"/>
    </row>
    <row r="251" spans="6:10" ht="15.75" customHeight="1">
      <c r="F251" s="1250"/>
      <c r="G251" s="1250"/>
      <c r="H251" s="1256"/>
      <c r="I251" s="1256"/>
      <c r="J251" s="1253"/>
    </row>
    <row r="252" spans="6:10" ht="15.75" customHeight="1">
      <c r="F252" s="1250"/>
      <c r="G252" s="1250"/>
      <c r="H252" s="1256"/>
      <c r="I252" s="1256"/>
      <c r="J252" s="1253"/>
    </row>
    <row r="253" spans="6:10" ht="15.75" customHeight="1">
      <c r="F253" s="1250"/>
      <c r="G253" s="1250"/>
      <c r="H253" s="1256"/>
      <c r="I253" s="1256"/>
      <c r="J253" s="1253"/>
    </row>
    <row r="254" spans="6:10" ht="15.75" customHeight="1">
      <c r="F254" s="1250"/>
      <c r="G254" s="1250"/>
      <c r="H254" s="1256"/>
      <c r="I254" s="1256"/>
      <c r="J254" s="1253"/>
    </row>
    <row r="255" spans="6:10" ht="15.75" customHeight="1">
      <c r="F255" s="1250"/>
      <c r="G255" s="1250"/>
      <c r="H255" s="1256"/>
      <c r="I255" s="1256"/>
      <c r="J255" s="1253"/>
    </row>
    <row r="256" spans="6:10" ht="15.75" customHeight="1">
      <c r="F256" s="1250"/>
      <c r="G256" s="1250"/>
      <c r="H256" s="1256"/>
      <c r="I256" s="1256"/>
      <c r="J256" s="1253"/>
    </row>
    <row r="257" spans="6:10" ht="15.75" customHeight="1">
      <c r="F257" s="1250"/>
      <c r="G257" s="1250"/>
      <c r="H257" s="1256"/>
      <c r="I257" s="1256"/>
      <c r="J257" s="1253"/>
    </row>
    <row r="258" spans="6:10" ht="15.75" customHeight="1">
      <c r="F258" s="1250"/>
      <c r="G258" s="1250"/>
      <c r="H258" s="1256"/>
      <c r="I258" s="1256"/>
      <c r="J258" s="1253"/>
    </row>
    <row r="259" spans="6:10" ht="15.75" customHeight="1">
      <c r="F259" s="1250"/>
      <c r="G259" s="1250"/>
      <c r="H259" s="1256"/>
      <c r="I259" s="1256"/>
      <c r="J259" s="1253"/>
    </row>
    <row r="260" spans="6:10" ht="15.75" customHeight="1">
      <c r="F260" s="1250"/>
      <c r="G260" s="1250"/>
      <c r="H260" s="1256"/>
      <c r="I260" s="1256"/>
      <c r="J260" s="1253"/>
    </row>
    <row r="261" spans="6:10" ht="15.75" customHeight="1">
      <c r="F261" s="1250"/>
      <c r="G261" s="1250"/>
      <c r="H261" s="1256"/>
      <c r="I261" s="1256"/>
      <c r="J261" s="1253"/>
    </row>
    <row r="262" spans="6:10" ht="15.75" customHeight="1">
      <c r="F262" s="1250"/>
      <c r="G262" s="1250"/>
      <c r="H262" s="1256"/>
      <c r="I262" s="1256"/>
      <c r="J262" s="1253"/>
    </row>
    <row r="263" spans="6:10" ht="15.75" customHeight="1">
      <c r="F263" s="1250"/>
      <c r="G263" s="1250"/>
      <c r="H263" s="1256"/>
      <c r="I263" s="1256"/>
      <c r="J263" s="1253"/>
    </row>
    <row r="264" spans="6:10" ht="15.75" customHeight="1">
      <c r="F264" s="1250"/>
      <c r="G264" s="1250"/>
      <c r="H264" s="1256"/>
      <c r="I264" s="1256"/>
      <c r="J264" s="1253"/>
    </row>
    <row r="265" spans="6:10" ht="15.75" customHeight="1">
      <c r="F265" s="1250"/>
      <c r="G265" s="1250"/>
      <c r="H265" s="1256"/>
      <c r="I265" s="1256"/>
      <c r="J265" s="1253"/>
    </row>
    <row r="266" spans="6:10" ht="15.75" customHeight="1">
      <c r="F266" s="1250"/>
      <c r="G266" s="1250"/>
      <c r="H266" s="1256"/>
      <c r="I266" s="1256"/>
      <c r="J266" s="1253"/>
    </row>
    <row r="267" spans="6:10" ht="15.75" customHeight="1">
      <c r="F267" s="1250"/>
      <c r="G267" s="1250"/>
      <c r="H267" s="1256"/>
      <c r="I267" s="1256"/>
      <c r="J267" s="1253"/>
    </row>
    <row r="268" spans="6:10" ht="15.75" customHeight="1">
      <c r="F268" s="1250"/>
      <c r="G268" s="1250"/>
      <c r="H268" s="1256"/>
      <c r="I268" s="1256"/>
      <c r="J268" s="1253"/>
    </row>
    <row r="269" spans="6:10" ht="15.75" customHeight="1">
      <c r="F269" s="1250"/>
      <c r="G269" s="1250"/>
      <c r="H269" s="1256"/>
      <c r="I269" s="1256"/>
      <c r="J269" s="1253"/>
    </row>
    <row r="270" spans="6:10" ht="15.75" customHeight="1">
      <c r="F270" s="1250"/>
      <c r="G270" s="1250"/>
      <c r="H270" s="1256"/>
      <c r="I270" s="1256"/>
      <c r="J270" s="1253"/>
    </row>
    <row r="271" spans="6:10" ht="15.75" customHeight="1">
      <c r="F271" s="1250"/>
      <c r="G271" s="1250"/>
      <c r="H271" s="1256"/>
      <c r="I271" s="1256"/>
      <c r="J271" s="1253"/>
    </row>
    <row r="272" spans="6:10" ht="15.75" customHeight="1">
      <c r="F272" s="1250"/>
      <c r="G272" s="1250"/>
      <c r="H272" s="1256"/>
      <c r="I272" s="1256"/>
      <c r="J272" s="1253"/>
    </row>
    <row r="273" spans="6:10" ht="15.75" customHeight="1">
      <c r="F273" s="1250"/>
      <c r="G273" s="1250"/>
      <c r="H273" s="1256"/>
      <c r="I273" s="1256"/>
      <c r="J273" s="1253"/>
    </row>
    <row r="274" spans="6:10" ht="15.75" customHeight="1">
      <c r="F274" s="1250"/>
      <c r="G274" s="1250"/>
      <c r="H274" s="1256"/>
      <c r="I274" s="1256"/>
      <c r="J274" s="1253"/>
    </row>
    <row r="275" spans="6:10" ht="15.75" customHeight="1">
      <c r="F275" s="1250"/>
      <c r="G275" s="1250"/>
      <c r="H275" s="1256"/>
      <c r="I275" s="1256"/>
      <c r="J275" s="1253"/>
    </row>
    <row r="276" spans="6:10" ht="15.75" customHeight="1">
      <c r="F276" s="1250"/>
      <c r="G276" s="1250"/>
      <c r="H276" s="1256"/>
      <c r="I276" s="1256"/>
      <c r="J276" s="1253"/>
    </row>
    <row r="277" spans="6:10" ht="15.75" customHeight="1">
      <c r="F277" s="1250"/>
      <c r="G277" s="1250"/>
      <c r="H277" s="1256"/>
      <c r="I277" s="1256"/>
      <c r="J277" s="1253"/>
    </row>
    <row r="278" spans="6:10" ht="15.75" customHeight="1">
      <c r="F278" s="1250"/>
      <c r="G278" s="1250"/>
      <c r="H278" s="1256"/>
      <c r="I278" s="1256"/>
      <c r="J278" s="1253"/>
    </row>
    <row r="279" spans="6:10" ht="15.75" customHeight="1">
      <c r="F279" s="1250"/>
      <c r="G279" s="1250"/>
      <c r="H279" s="1256"/>
      <c r="I279" s="1256"/>
      <c r="J279" s="1253"/>
    </row>
    <row r="280" spans="6:10" ht="15.75" customHeight="1">
      <c r="F280" s="1250"/>
      <c r="G280" s="1250"/>
      <c r="H280" s="1256"/>
      <c r="I280" s="1256"/>
      <c r="J280" s="1253"/>
    </row>
    <row r="281" spans="6:10" ht="15.75" customHeight="1">
      <c r="F281" s="1250"/>
      <c r="G281" s="1250"/>
      <c r="H281" s="1256"/>
      <c r="I281" s="1256"/>
      <c r="J281" s="1253"/>
    </row>
    <row r="282" spans="6:10" ht="15.75" customHeight="1">
      <c r="F282" s="1250"/>
      <c r="G282" s="1250"/>
      <c r="H282" s="1256"/>
      <c r="I282" s="1256"/>
      <c r="J282" s="1253"/>
    </row>
    <row r="283" spans="6:10" ht="15.75" customHeight="1">
      <c r="F283" s="1250"/>
      <c r="G283" s="1250"/>
      <c r="H283" s="1256"/>
      <c r="I283" s="1256"/>
      <c r="J283" s="1253"/>
    </row>
    <row r="284" spans="6:10" ht="15.75" customHeight="1">
      <c r="F284" s="1250"/>
      <c r="G284" s="1250"/>
      <c r="H284" s="1256"/>
      <c r="I284" s="1256"/>
      <c r="J284" s="1253"/>
    </row>
    <row r="285" spans="6:10" ht="15.75" customHeight="1">
      <c r="F285" s="1250"/>
      <c r="G285" s="1250"/>
      <c r="H285" s="1256"/>
      <c r="I285" s="1256"/>
      <c r="J285" s="1253"/>
    </row>
    <row r="286" spans="6:10" ht="15.75" customHeight="1">
      <c r="F286" s="1250"/>
      <c r="G286" s="1250"/>
      <c r="H286" s="1256"/>
      <c r="I286" s="1256"/>
      <c r="J286" s="1253"/>
    </row>
    <row r="287" spans="6:10" ht="15.75" customHeight="1">
      <c r="F287" s="1250"/>
      <c r="G287" s="1250"/>
      <c r="H287" s="1256"/>
      <c r="I287" s="1256"/>
      <c r="J287" s="1253"/>
    </row>
    <row r="288" spans="6:10" ht="15.75" customHeight="1">
      <c r="F288" s="1250"/>
      <c r="G288" s="1250"/>
      <c r="H288" s="1256"/>
      <c r="I288" s="1256"/>
      <c r="J288" s="1253"/>
    </row>
    <row r="289" spans="6:10" ht="15.75" customHeight="1">
      <c r="F289" s="1250"/>
      <c r="G289" s="1250"/>
      <c r="H289" s="1256"/>
      <c r="I289" s="1256"/>
      <c r="J289" s="1253"/>
    </row>
    <row r="290" spans="6:10" ht="15.75" customHeight="1">
      <c r="F290" s="1250"/>
      <c r="G290" s="1250"/>
      <c r="H290" s="1256"/>
      <c r="I290" s="1256"/>
      <c r="J290" s="1253"/>
    </row>
    <row r="291" spans="6:10" ht="15.75" customHeight="1">
      <c r="F291" s="1250"/>
      <c r="G291" s="1250"/>
      <c r="H291" s="1256"/>
      <c r="I291" s="1256"/>
      <c r="J291" s="1253"/>
    </row>
    <row r="292" spans="6:10" ht="15.75" customHeight="1">
      <c r="F292" s="1250"/>
      <c r="G292" s="1250"/>
      <c r="H292" s="1256"/>
      <c r="I292" s="1256"/>
      <c r="J292" s="1253"/>
    </row>
    <row r="293" spans="6:10" ht="15.75" customHeight="1">
      <c r="F293" s="1250"/>
      <c r="G293" s="1250"/>
      <c r="H293" s="1256"/>
      <c r="I293" s="1256"/>
      <c r="J293" s="1253"/>
    </row>
    <row r="294" spans="6:10" ht="15.75" customHeight="1">
      <c r="F294" s="1250"/>
      <c r="G294" s="1250"/>
      <c r="H294" s="1256"/>
      <c r="I294" s="1256"/>
      <c r="J294" s="1253"/>
    </row>
    <row r="295" spans="6:10" ht="15.75" customHeight="1">
      <c r="F295" s="1250"/>
      <c r="G295" s="1250"/>
      <c r="H295" s="1256"/>
      <c r="I295" s="1256"/>
      <c r="J295" s="1253"/>
    </row>
    <row r="296" spans="6:10" ht="15.75" customHeight="1">
      <c r="F296" s="1250"/>
      <c r="G296" s="1250"/>
      <c r="H296" s="1256"/>
      <c r="I296" s="1256"/>
      <c r="J296" s="1253"/>
    </row>
    <row r="297" spans="6:10" ht="15.75" customHeight="1">
      <c r="F297" s="1250"/>
      <c r="G297" s="1250"/>
      <c r="H297" s="1256"/>
      <c r="I297" s="1256"/>
      <c r="J297" s="1253"/>
    </row>
    <row r="298" spans="6:10" ht="15.75" customHeight="1">
      <c r="F298" s="1250"/>
      <c r="G298" s="1250"/>
      <c r="H298" s="1256"/>
      <c r="I298" s="1256"/>
      <c r="J298" s="1253"/>
    </row>
    <row r="299" spans="6:10" ht="15.75" customHeight="1">
      <c r="F299" s="1250"/>
      <c r="G299" s="1250"/>
      <c r="H299" s="1256"/>
      <c r="I299" s="1256"/>
      <c r="J299" s="1253"/>
    </row>
    <row r="300" spans="6:10" ht="15.75" customHeight="1">
      <c r="F300" s="1250"/>
      <c r="G300" s="1250"/>
      <c r="H300" s="1256"/>
      <c r="I300" s="1256"/>
      <c r="J300" s="1253"/>
    </row>
    <row r="301" spans="6:10" ht="15.75" customHeight="1">
      <c r="F301" s="1250"/>
      <c r="G301" s="1250"/>
      <c r="H301" s="1256"/>
      <c r="I301" s="1256"/>
      <c r="J301" s="1253"/>
    </row>
    <row r="302" spans="6:10" ht="15.75" customHeight="1">
      <c r="F302" s="1250"/>
      <c r="G302" s="1250"/>
      <c r="H302" s="1256"/>
      <c r="I302" s="1256"/>
      <c r="J302" s="1253"/>
    </row>
    <row r="303" spans="6:10" ht="15.75" customHeight="1">
      <c r="F303" s="1250"/>
      <c r="G303" s="1250"/>
      <c r="H303" s="1256"/>
      <c r="I303" s="1256"/>
      <c r="J303" s="1253"/>
    </row>
    <row r="304" spans="6:10" ht="15.75" customHeight="1">
      <c r="F304" s="1250"/>
      <c r="G304" s="1250"/>
      <c r="H304" s="1256"/>
      <c r="I304" s="1256"/>
      <c r="J304" s="1253"/>
    </row>
    <row r="305" spans="6:10" ht="15.75" customHeight="1">
      <c r="F305" s="1250"/>
      <c r="G305" s="1250"/>
      <c r="H305" s="1256"/>
      <c r="I305" s="1256"/>
      <c r="J305" s="1253"/>
    </row>
    <row r="306" spans="6:10" ht="15.75" customHeight="1">
      <c r="F306" s="1250"/>
      <c r="G306" s="1250"/>
      <c r="H306" s="1256"/>
      <c r="I306" s="1256"/>
      <c r="J306" s="1253"/>
    </row>
    <row r="307" spans="6:10" ht="15.75" customHeight="1">
      <c r="F307" s="1250"/>
      <c r="G307" s="1250"/>
      <c r="H307" s="1256"/>
      <c r="I307" s="1256"/>
      <c r="J307" s="1253"/>
    </row>
    <row r="308" spans="6:10" ht="15.75" customHeight="1">
      <c r="F308" s="1250"/>
      <c r="G308" s="1250"/>
      <c r="H308" s="1256"/>
      <c r="I308" s="1256"/>
      <c r="J308" s="1253"/>
    </row>
    <row r="309" spans="6:10" ht="15.75" customHeight="1">
      <c r="F309" s="1250"/>
      <c r="G309" s="1250"/>
      <c r="H309" s="1256"/>
      <c r="I309" s="1256"/>
      <c r="J309" s="1253"/>
    </row>
    <row r="310" spans="6:10" ht="15.75" customHeight="1">
      <c r="F310" s="1250"/>
      <c r="G310" s="1250"/>
      <c r="H310" s="1256"/>
      <c r="I310" s="1256"/>
      <c r="J310" s="1253"/>
    </row>
    <row r="311" spans="6:10" ht="15.75" customHeight="1">
      <c r="F311" s="1250"/>
      <c r="G311" s="1250"/>
      <c r="H311" s="1256"/>
      <c r="I311" s="1256"/>
      <c r="J311" s="1253"/>
    </row>
    <row r="312" spans="6:10" ht="15.75" customHeight="1">
      <c r="F312" s="1250"/>
      <c r="G312" s="1250"/>
      <c r="H312" s="1256"/>
      <c r="I312" s="1256"/>
      <c r="J312" s="1253"/>
    </row>
    <row r="313" spans="6:10" ht="15.75" customHeight="1">
      <c r="F313" s="1250"/>
      <c r="G313" s="1250"/>
      <c r="H313" s="1256"/>
      <c r="I313" s="1256"/>
      <c r="J313" s="1253"/>
    </row>
    <row r="314" spans="6:10" ht="15.75" customHeight="1">
      <c r="F314" s="1250"/>
      <c r="G314" s="1250"/>
      <c r="H314" s="1256"/>
      <c r="I314" s="1256"/>
      <c r="J314" s="1253"/>
    </row>
    <row r="315" spans="6:10" ht="15.75" customHeight="1">
      <c r="F315" s="1250"/>
      <c r="G315" s="1250"/>
      <c r="H315" s="1256"/>
      <c r="I315" s="1256"/>
      <c r="J315" s="1253"/>
    </row>
    <row r="316" spans="6:10" ht="15.75" customHeight="1">
      <c r="F316" s="1250"/>
      <c r="G316" s="1250"/>
      <c r="H316" s="1256"/>
      <c r="I316" s="1256"/>
      <c r="J316" s="1253"/>
    </row>
    <row r="317" spans="6:10" ht="15.75" customHeight="1">
      <c r="F317" s="1250"/>
      <c r="G317" s="1250"/>
      <c r="H317" s="1256"/>
      <c r="I317" s="1256"/>
      <c r="J317" s="1253"/>
    </row>
    <row r="318" spans="6:10" ht="15.75" customHeight="1">
      <c r="F318" s="1250"/>
      <c r="G318" s="1250"/>
      <c r="H318" s="1256"/>
      <c r="I318" s="1256"/>
      <c r="J318" s="1253"/>
    </row>
    <row r="319" spans="6:10" ht="15.75" customHeight="1">
      <c r="F319" s="1250"/>
      <c r="G319" s="1250"/>
      <c r="H319" s="1256"/>
      <c r="I319" s="1256"/>
      <c r="J319" s="1253"/>
    </row>
    <row r="320" spans="6:10" ht="15.75" customHeight="1">
      <c r="F320" s="1250"/>
      <c r="G320" s="1250"/>
      <c r="H320" s="1256"/>
      <c r="I320" s="1256"/>
      <c r="J320" s="1253"/>
    </row>
    <row r="321" spans="6:10" ht="15.75" customHeight="1">
      <c r="F321" s="1250"/>
      <c r="G321" s="1250"/>
      <c r="H321" s="1256"/>
      <c r="I321" s="1256"/>
      <c r="J321" s="1253"/>
    </row>
    <row r="322" spans="6:10" ht="15.75" customHeight="1">
      <c r="F322" s="1250"/>
      <c r="G322" s="1250"/>
      <c r="H322" s="1256"/>
      <c r="I322" s="1256"/>
      <c r="J322" s="1253"/>
    </row>
    <row r="323" spans="6:10" ht="15.75" customHeight="1">
      <c r="F323" s="1250"/>
      <c r="G323" s="1250"/>
      <c r="H323" s="1256"/>
      <c r="I323" s="1256"/>
      <c r="J323" s="1253"/>
    </row>
    <row r="324" spans="6:10" ht="15.75" customHeight="1">
      <c r="F324" s="1250"/>
      <c r="G324" s="1250"/>
      <c r="H324" s="1256"/>
      <c r="I324" s="1256"/>
      <c r="J324" s="1253"/>
    </row>
    <row r="325" spans="6:10" ht="15.75" customHeight="1">
      <c r="F325" s="1250"/>
      <c r="G325" s="1250"/>
      <c r="H325" s="1256"/>
      <c r="I325" s="1256"/>
      <c r="J325" s="1253"/>
    </row>
    <row r="326" spans="6:10" ht="15.75" customHeight="1">
      <c r="F326" s="1250"/>
      <c r="G326" s="1250"/>
      <c r="H326" s="1256"/>
      <c r="I326" s="1256"/>
      <c r="J326" s="1253"/>
    </row>
    <row r="327" spans="6:10" ht="15.75" customHeight="1">
      <c r="F327" s="1250"/>
      <c r="G327" s="1250"/>
      <c r="H327" s="1256"/>
      <c r="I327" s="1256"/>
      <c r="J327" s="1253"/>
    </row>
    <row r="328" spans="6:10" ht="15.75" customHeight="1">
      <c r="F328" s="1250"/>
      <c r="G328" s="1250"/>
      <c r="H328" s="1256"/>
      <c r="I328" s="1256"/>
      <c r="J328" s="1253"/>
    </row>
    <row r="329" spans="6:10" ht="15.75" customHeight="1">
      <c r="F329" s="1250"/>
      <c r="G329" s="1250"/>
      <c r="H329" s="1256"/>
      <c r="I329" s="1256"/>
      <c r="J329" s="1253"/>
    </row>
    <row r="330" spans="6:10" ht="15.75" customHeight="1">
      <c r="F330" s="1250"/>
      <c r="G330" s="1250"/>
      <c r="H330" s="1256"/>
      <c r="I330" s="1256"/>
      <c r="J330" s="1253"/>
    </row>
    <row r="331" spans="6:10" ht="15.75" customHeight="1">
      <c r="F331" s="1250"/>
      <c r="G331" s="1250"/>
      <c r="H331" s="1256"/>
      <c r="I331" s="1256"/>
      <c r="J331" s="1253"/>
    </row>
    <row r="332" spans="6:10" ht="15.75" customHeight="1">
      <c r="F332" s="1250"/>
      <c r="G332" s="1250"/>
      <c r="H332" s="1256"/>
      <c r="I332" s="1256"/>
      <c r="J332" s="1253"/>
    </row>
    <row r="333" spans="6:10" ht="15.75" customHeight="1">
      <c r="F333" s="1250"/>
      <c r="G333" s="1250"/>
      <c r="H333" s="1256"/>
      <c r="I333" s="1256"/>
      <c r="J333" s="1253"/>
    </row>
    <row r="334" spans="6:10" ht="15.75" customHeight="1">
      <c r="F334" s="1250"/>
      <c r="G334" s="1250"/>
      <c r="H334" s="1256"/>
      <c r="I334" s="1256"/>
      <c r="J334" s="1253"/>
    </row>
    <row r="335" spans="6:10" ht="15.75" customHeight="1">
      <c r="F335" s="1250"/>
      <c r="G335" s="1250"/>
      <c r="H335" s="1256"/>
      <c r="I335" s="1256"/>
      <c r="J335" s="1253"/>
    </row>
    <row r="336" spans="6:10" ht="15.75" customHeight="1">
      <c r="F336" s="1250"/>
      <c r="G336" s="1250"/>
      <c r="H336" s="1256"/>
      <c r="I336" s="1256"/>
      <c r="J336" s="1253"/>
    </row>
    <row r="337" spans="6:10" ht="15.75" customHeight="1">
      <c r="F337" s="1250"/>
      <c r="G337" s="1250"/>
      <c r="H337" s="1256"/>
      <c r="I337" s="1256"/>
      <c r="J337" s="1253"/>
    </row>
    <row r="338" spans="6:10" ht="15.75" customHeight="1">
      <c r="F338" s="1250"/>
      <c r="G338" s="1250"/>
      <c r="H338" s="1256"/>
      <c r="I338" s="1256"/>
      <c r="J338" s="1253"/>
    </row>
    <row r="339" spans="6:10" ht="15.75" customHeight="1">
      <c r="F339" s="1250"/>
      <c r="G339" s="1250"/>
      <c r="H339" s="1256"/>
      <c r="I339" s="1256"/>
      <c r="J339" s="1253"/>
    </row>
    <row r="340" spans="6:10" ht="15.75" customHeight="1">
      <c r="F340" s="1250"/>
      <c r="G340" s="1250"/>
      <c r="H340" s="1256"/>
      <c r="I340" s="1256"/>
      <c r="J340" s="1253"/>
    </row>
    <row r="341" spans="6:10" ht="15.75" customHeight="1">
      <c r="F341" s="1250"/>
      <c r="G341" s="1250"/>
      <c r="H341" s="1256"/>
      <c r="I341" s="1256"/>
      <c r="J341" s="1253"/>
    </row>
    <row r="342" spans="6:10" ht="15.75" customHeight="1">
      <c r="F342" s="1250"/>
      <c r="G342" s="1250"/>
      <c r="H342" s="1256"/>
      <c r="I342" s="1256"/>
      <c r="J342" s="1253"/>
    </row>
    <row r="343" spans="6:10" ht="15.75" customHeight="1">
      <c r="F343" s="1250"/>
      <c r="G343" s="1250"/>
      <c r="H343" s="1256"/>
      <c r="I343" s="1256"/>
      <c r="J343" s="1253"/>
    </row>
    <row r="344" spans="6:10" ht="15.75" customHeight="1">
      <c r="F344" s="1250"/>
      <c r="G344" s="1250"/>
      <c r="H344" s="1256"/>
      <c r="I344" s="1256"/>
      <c r="J344" s="1253"/>
    </row>
    <row r="345" spans="6:10" ht="15.75" customHeight="1">
      <c r="F345" s="1250"/>
      <c r="G345" s="1250"/>
      <c r="H345" s="1256"/>
      <c r="I345" s="1256"/>
      <c r="J345" s="1253"/>
    </row>
    <row r="346" spans="6:10" ht="15.75" customHeight="1">
      <c r="F346" s="1250"/>
      <c r="G346" s="1250"/>
      <c r="H346" s="1256"/>
      <c r="I346" s="1256"/>
      <c r="J346" s="1253"/>
    </row>
    <row r="347" spans="6:10" ht="15.75" customHeight="1">
      <c r="F347" s="1250"/>
      <c r="G347" s="1250"/>
      <c r="H347" s="1256"/>
      <c r="I347" s="1256"/>
      <c r="J347" s="1253"/>
    </row>
    <row r="348" spans="6:10" ht="15.75" customHeight="1">
      <c r="F348" s="1250"/>
      <c r="G348" s="1250"/>
      <c r="H348" s="1256"/>
      <c r="I348" s="1256"/>
      <c r="J348" s="1253"/>
    </row>
    <row r="349" spans="6:10" ht="15.75" customHeight="1">
      <c r="F349" s="1250"/>
      <c r="G349" s="1250"/>
      <c r="H349" s="1256"/>
      <c r="I349" s="1256"/>
      <c r="J349" s="1253"/>
    </row>
    <row r="350" spans="6:10" ht="15.75" customHeight="1">
      <c r="F350" s="1250"/>
      <c r="G350" s="1250"/>
      <c r="H350" s="1256"/>
      <c r="I350" s="1256"/>
      <c r="J350" s="1253"/>
    </row>
    <row r="351" spans="6:10" ht="15.75" customHeight="1">
      <c r="F351" s="1250"/>
      <c r="G351" s="1250"/>
      <c r="H351" s="1256"/>
      <c r="I351" s="1256"/>
      <c r="J351" s="1253"/>
    </row>
    <row r="352" spans="6:10" ht="15.75" customHeight="1">
      <c r="F352" s="1250"/>
      <c r="G352" s="1250"/>
      <c r="H352" s="1256"/>
      <c r="I352" s="1256"/>
      <c r="J352" s="1253"/>
    </row>
    <row r="353" spans="6:10" ht="15.75" customHeight="1">
      <c r="F353" s="1250"/>
      <c r="G353" s="1250"/>
      <c r="H353" s="1256"/>
      <c r="I353" s="1256"/>
      <c r="J353" s="1253"/>
    </row>
    <row r="354" spans="6:10" ht="15.75" customHeight="1">
      <c r="F354" s="1250"/>
      <c r="G354" s="1250"/>
      <c r="H354" s="1256"/>
      <c r="I354" s="1256"/>
      <c r="J354" s="1253"/>
    </row>
    <row r="355" spans="6:10" ht="15.75" customHeight="1">
      <c r="F355" s="1250"/>
      <c r="G355" s="1250"/>
      <c r="H355" s="1256"/>
      <c r="I355" s="1256"/>
      <c r="J355" s="1253"/>
    </row>
    <row r="356" spans="6:10" ht="15.75" customHeight="1">
      <c r="F356" s="1250"/>
      <c r="G356" s="1250"/>
      <c r="H356" s="1256"/>
      <c r="I356" s="1256"/>
      <c r="J356" s="1253"/>
    </row>
    <row r="357" spans="6:10" ht="15.75" customHeight="1">
      <c r="F357" s="1250"/>
      <c r="G357" s="1250"/>
      <c r="H357" s="1256"/>
      <c r="I357" s="1256"/>
      <c r="J357" s="1253"/>
    </row>
    <row r="358" spans="6:10" ht="15.75" customHeight="1">
      <c r="F358" s="1250"/>
      <c r="G358" s="1250"/>
      <c r="H358" s="1256"/>
      <c r="I358" s="1256"/>
      <c r="J358" s="1253"/>
    </row>
    <row r="359" spans="6:10" ht="15.75" customHeight="1">
      <c r="F359" s="1250"/>
      <c r="G359" s="1250"/>
      <c r="H359" s="1256"/>
      <c r="I359" s="1256"/>
      <c r="J359" s="1253"/>
    </row>
    <row r="360" spans="6:10" ht="15.75" customHeight="1">
      <c r="F360" s="1250"/>
      <c r="G360" s="1250"/>
      <c r="H360" s="1256"/>
      <c r="I360" s="1256"/>
      <c r="J360" s="1253"/>
    </row>
    <row r="361" spans="6:10" ht="15.75" customHeight="1">
      <c r="F361" s="1250"/>
      <c r="G361" s="1250"/>
      <c r="H361" s="1256"/>
      <c r="I361" s="1256"/>
      <c r="J361" s="1253"/>
    </row>
    <row r="362" spans="6:10" ht="15.75" customHeight="1">
      <c r="F362" s="1250"/>
      <c r="G362" s="1250"/>
      <c r="H362" s="1256"/>
      <c r="I362" s="1256"/>
      <c r="J362" s="1253"/>
    </row>
    <row r="363" spans="6:10" ht="15.75" customHeight="1">
      <c r="F363" s="1250"/>
      <c r="G363" s="1250"/>
      <c r="H363" s="1256"/>
      <c r="I363" s="1256"/>
      <c r="J363" s="1253"/>
    </row>
    <row r="364" spans="6:10" ht="15.75" customHeight="1">
      <c r="F364" s="1250"/>
      <c r="G364" s="1250"/>
      <c r="H364" s="1256"/>
      <c r="I364" s="1256"/>
      <c r="J364" s="1253"/>
    </row>
    <row r="365" spans="6:10" ht="15.75" customHeight="1">
      <c r="F365" s="1250"/>
      <c r="G365" s="1250"/>
      <c r="H365" s="1256"/>
      <c r="I365" s="1256"/>
      <c r="J365" s="1253"/>
    </row>
    <row r="366" spans="6:10" ht="15.75" customHeight="1">
      <c r="F366" s="1250"/>
      <c r="G366" s="1250"/>
      <c r="H366" s="1256"/>
      <c r="I366" s="1256"/>
      <c r="J366" s="1253"/>
    </row>
    <row r="367" spans="6:10" ht="15.75" customHeight="1">
      <c r="F367" s="1250"/>
      <c r="G367" s="1250"/>
      <c r="H367" s="1256"/>
      <c r="I367" s="1256"/>
      <c r="J367" s="1253"/>
    </row>
    <row r="368" spans="6:10" ht="15.75" customHeight="1">
      <c r="F368" s="1250"/>
      <c r="G368" s="1250"/>
      <c r="H368" s="1256"/>
      <c r="I368" s="1256"/>
      <c r="J368" s="1253"/>
    </row>
    <row r="369" spans="6:10" ht="15.75" customHeight="1">
      <c r="F369" s="1250"/>
      <c r="G369" s="1250"/>
      <c r="H369" s="1256"/>
      <c r="I369" s="1256"/>
      <c r="J369" s="1253"/>
    </row>
    <row r="370" spans="6:10" ht="15.75" customHeight="1">
      <c r="F370" s="1250"/>
      <c r="G370" s="1250"/>
      <c r="H370" s="1256"/>
      <c r="I370" s="1256"/>
      <c r="J370" s="1253"/>
    </row>
    <row r="371" spans="6:10" ht="15.75" customHeight="1">
      <c r="F371" s="1250"/>
      <c r="G371" s="1250"/>
      <c r="H371" s="1256"/>
      <c r="I371" s="1256"/>
      <c r="J371" s="1253"/>
    </row>
    <row r="372" spans="6:10" ht="15.75" customHeight="1">
      <c r="F372" s="1250"/>
      <c r="G372" s="1250"/>
      <c r="H372" s="1256"/>
      <c r="I372" s="1256"/>
      <c r="J372" s="1253"/>
    </row>
    <row r="373" spans="6:10" ht="15.75" customHeight="1">
      <c r="F373" s="1250"/>
      <c r="G373" s="1250"/>
      <c r="H373" s="1256"/>
      <c r="I373" s="1256"/>
      <c r="J373" s="1253"/>
    </row>
    <row r="374" spans="6:10" ht="15.75" customHeight="1">
      <c r="F374" s="1250"/>
      <c r="G374" s="1250"/>
      <c r="H374" s="1256"/>
      <c r="I374" s="1256"/>
      <c r="J374" s="1253"/>
    </row>
    <row r="375" spans="6:10" ht="15.75" customHeight="1">
      <c r="F375" s="1250"/>
      <c r="G375" s="1250"/>
      <c r="H375" s="1256"/>
      <c r="I375" s="1256"/>
      <c r="J375" s="1253"/>
    </row>
    <row r="376" spans="6:10" ht="15.75" customHeight="1">
      <c r="F376" s="1250"/>
      <c r="G376" s="1250"/>
      <c r="H376" s="1256"/>
      <c r="I376" s="1256"/>
      <c r="J376" s="1253"/>
    </row>
    <row r="377" spans="6:10" ht="15.75" customHeight="1">
      <c r="F377" s="1250"/>
      <c r="G377" s="1250"/>
      <c r="H377" s="1256"/>
      <c r="I377" s="1256"/>
      <c r="J377" s="1253"/>
    </row>
    <row r="378" spans="6:10" ht="15.75" customHeight="1">
      <c r="F378" s="1250"/>
      <c r="G378" s="1250"/>
      <c r="H378" s="1256"/>
      <c r="I378" s="1256"/>
      <c r="J378" s="1253"/>
    </row>
    <row r="379" spans="6:10" ht="15.75" customHeight="1">
      <c r="F379" s="1250"/>
      <c r="G379" s="1250"/>
      <c r="H379" s="1256"/>
      <c r="I379" s="1256"/>
      <c r="J379" s="1253"/>
    </row>
    <row r="380" spans="6:10" ht="15.75" customHeight="1">
      <c r="F380" s="1250"/>
      <c r="G380" s="1250"/>
      <c r="H380" s="1256"/>
      <c r="I380" s="1256"/>
      <c r="J380" s="1253"/>
    </row>
    <row r="381" spans="6:10" ht="15.75" customHeight="1">
      <c r="F381" s="1250"/>
      <c r="G381" s="1250"/>
      <c r="H381" s="1256"/>
      <c r="I381" s="1256"/>
      <c r="J381" s="1253"/>
    </row>
    <row r="382" spans="6:10" ht="15.75" customHeight="1">
      <c r="F382" s="1250"/>
      <c r="G382" s="1250"/>
      <c r="H382" s="1256"/>
      <c r="I382" s="1256"/>
      <c r="J382" s="1253"/>
    </row>
    <row r="383" spans="6:10" ht="15.75" customHeight="1">
      <c r="F383" s="1250"/>
      <c r="G383" s="1250"/>
      <c r="H383" s="1256"/>
      <c r="I383" s="1256"/>
      <c r="J383" s="1253"/>
    </row>
    <row r="384" spans="6:10" ht="15.75" customHeight="1">
      <c r="F384" s="1250"/>
      <c r="G384" s="1250"/>
      <c r="H384" s="1256"/>
      <c r="I384" s="1256"/>
      <c r="J384" s="1253"/>
    </row>
    <row r="385" spans="6:10" ht="15.75" customHeight="1">
      <c r="F385" s="1250"/>
      <c r="G385" s="1250"/>
      <c r="H385" s="1256"/>
      <c r="I385" s="1256"/>
      <c r="J385" s="1253"/>
    </row>
    <row r="386" spans="6:10" ht="15.75" customHeight="1">
      <c r="F386" s="1250"/>
      <c r="G386" s="1250"/>
      <c r="H386" s="1256"/>
      <c r="I386" s="1256"/>
      <c r="J386" s="1253"/>
    </row>
    <row r="387" spans="6:10" ht="15.75" customHeight="1">
      <c r="F387" s="1250"/>
      <c r="G387" s="1250"/>
      <c r="H387" s="1256"/>
      <c r="I387" s="1256"/>
      <c r="J387" s="1253"/>
    </row>
    <row r="388" spans="6:10" ht="15.75" customHeight="1">
      <c r="F388" s="1250"/>
      <c r="G388" s="1250"/>
      <c r="H388" s="1256"/>
      <c r="I388" s="1256"/>
      <c r="J388" s="1253"/>
    </row>
    <row r="389" spans="6:10" ht="15.75" customHeight="1">
      <c r="F389" s="1250"/>
      <c r="G389" s="1250"/>
      <c r="H389" s="1256"/>
      <c r="I389" s="1256"/>
      <c r="J389" s="1253"/>
    </row>
    <row r="390" spans="6:10" ht="15.75" customHeight="1">
      <c r="F390" s="1250"/>
      <c r="G390" s="1250"/>
      <c r="H390" s="1256"/>
      <c r="I390" s="1256"/>
      <c r="J390" s="1253"/>
    </row>
    <row r="391" spans="6:10" ht="15.75" customHeight="1">
      <c r="F391" s="1250"/>
      <c r="G391" s="1250"/>
      <c r="H391" s="1256"/>
      <c r="I391" s="1256"/>
      <c r="J391" s="1253"/>
    </row>
    <row r="392" spans="6:10" ht="15.75" customHeight="1">
      <c r="F392" s="1250"/>
      <c r="G392" s="1250"/>
      <c r="H392" s="1256"/>
      <c r="I392" s="1256"/>
      <c r="J392" s="1253"/>
    </row>
    <row r="393" spans="6:10" ht="15.75" customHeight="1">
      <c r="F393" s="1250"/>
      <c r="G393" s="1250"/>
      <c r="H393" s="1256"/>
      <c r="I393" s="1256"/>
      <c r="J393" s="1253"/>
    </row>
    <row r="394" spans="6:10" ht="15.75" customHeight="1">
      <c r="F394" s="1250"/>
      <c r="G394" s="1250"/>
      <c r="H394" s="1256"/>
      <c r="I394" s="1256"/>
      <c r="J394" s="1253"/>
    </row>
    <row r="395" spans="6:10" ht="15.75" customHeight="1">
      <c r="F395" s="1250"/>
      <c r="G395" s="1250"/>
      <c r="H395" s="1256"/>
      <c r="I395" s="1256"/>
      <c r="J395" s="1253"/>
    </row>
    <row r="396" spans="6:10" ht="15.75" customHeight="1">
      <c r="F396" s="1250"/>
      <c r="G396" s="1250"/>
      <c r="H396" s="1256"/>
      <c r="I396" s="1256"/>
      <c r="J396" s="1253"/>
    </row>
    <row r="397" spans="6:10" ht="15.75" customHeight="1">
      <c r="F397" s="1250"/>
      <c r="G397" s="1250"/>
      <c r="H397" s="1256"/>
      <c r="I397" s="1256"/>
      <c r="J397" s="1253"/>
    </row>
    <row r="398" spans="6:10" ht="15.75" customHeight="1">
      <c r="F398" s="1250"/>
      <c r="G398" s="1250"/>
      <c r="H398" s="1256"/>
      <c r="I398" s="1256"/>
      <c r="J398" s="1253"/>
    </row>
    <row r="399" spans="6:10" ht="15.75" customHeight="1">
      <c r="F399" s="1250"/>
      <c r="G399" s="1250"/>
      <c r="H399" s="1256"/>
      <c r="I399" s="1256"/>
      <c r="J399" s="1253"/>
    </row>
    <row r="400" spans="6:10" ht="15.75" customHeight="1">
      <c r="F400" s="1250"/>
      <c r="G400" s="1250"/>
      <c r="H400" s="1256"/>
      <c r="I400" s="1256"/>
      <c r="J400" s="1253"/>
    </row>
    <row r="401" spans="6:10" ht="15.75" customHeight="1">
      <c r="F401" s="1250"/>
      <c r="G401" s="1250"/>
      <c r="H401" s="1256"/>
      <c r="I401" s="1256"/>
      <c r="J401" s="1253"/>
    </row>
    <row r="402" spans="6:10" ht="15.75" customHeight="1">
      <c r="F402" s="1250"/>
      <c r="G402" s="1250"/>
      <c r="H402" s="1256"/>
      <c r="I402" s="1256"/>
      <c r="J402" s="1253"/>
    </row>
    <row r="403" spans="6:10" ht="15.75" customHeight="1">
      <c r="F403" s="1250"/>
      <c r="G403" s="1250"/>
      <c r="H403" s="1256"/>
      <c r="I403" s="1256"/>
      <c r="J403" s="1253"/>
    </row>
    <row r="404" spans="6:10" ht="15.75" customHeight="1">
      <c r="F404" s="1250"/>
      <c r="G404" s="1250"/>
      <c r="H404" s="1256"/>
      <c r="I404" s="1256"/>
      <c r="J404" s="1253"/>
    </row>
    <row r="405" spans="6:10" ht="15.75" customHeight="1">
      <c r="F405" s="1250"/>
      <c r="G405" s="1250"/>
      <c r="H405" s="1256"/>
      <c r="I405" s="1256"/>
      <c r="J405" s="1253"/>
    </row>
    <row r="406" spans="6:10" ht="15.75" customHeight="1">
      <c r="F406" s="1250"/>
      <c r="G406" s="1250"/>
      <c r="H406" s="1256"/>
      <c r="I406" s="1256"/>
      <c r="J406" s="1253"/>
    </row>
    <row r="407" spans="6:10" ht="15.75" customHeight="1">
      <c r="F407" s="1250"/>
      <c r="G407" s="1250"/>
      <c r="H407" s="1256"/>
      <c r="I407" s="1256"/>
      <c r="J407" s="1253"/>
    </row>
    <row r="408" spans="6:10" ht="15.75" customHeight="1">
      <c r="F408" s="1250"/>
      <c r="G408" s="1250"/>
      <c r="H408" s="1256"/>
      <c r="I408" s="1256"/>
      <c r="J408" s="1253"/>
    </row>
    <row r="409" spans="6:10" ht="15.75" customHeight="1">
      <c r="F409" s="1250"/>
      <c r="G409" s="1250"/>
      <c r="H409" s="1256"/>
      <c r="I409" s="1256"/>
      <c r="J409" s="1253"/>
    </row>
    <row r="410" spans="6:10" ht="15.75" customHeight="1">
      <c r="F410" s="1250"/>
      <c r="G410" s="1250"/>
      <c r="H410" s="1256"/>
      <c r="I410" s="1256"/>
      <c r="J410" s="1253"/>
    </row>
    <row r="411" spans="6:10" ht="15.75" customHeight="1">
      <c r="F411" s="1250"/>
      <c r="G411" s="1250"/>
      <c r="H411" s="1256"/>
      <c r="I411" s="1256"/>
      <c r="J411" s="1253"/>
    </row>
    <row r="412" spans="6:10" ht="15.75" customHeight="1">
      <c r="F412" s="1250"/>
      <c r="G412" s="1250"/>
      <c r="H412" s="1256"/>
      <c r="I412" s="1256"/>
      <c r="J412" s="1253"/>
    </row>
    <row r="413" spans="6:10" ht="15.75" customHeight="1">
      <c r="F413" s="1250"/>
      <c r="G413" s="1250"/>
      <c r="H413" s="1256"/>
      <c r="I413" s="1256"/>
      <c r="J413" s="1253"/>
    </row>
    <row r="414" spans="6:10" ht="15.75" customHeight="1">
      <c r="F414" s="1250"/>
      <c r="G414" s="1250"/>
      <c r="H414" s="1256"/>
      <c r="I414" s="1256"/>
      <c r="J414" s="1253"/>
    </row>
    <row r="415" spans="6:10" ht="15.75" customHeight="1">
      <c r="F415" s="1250"/>
      <c r="G415" s="1250"/>
      <c r="H415" s="1256"/>
      <c r="I415" s="1256"/>
      <c r="J415" s="1253"/>
    </row>
    <row r="416" spans="6:10" ht="15.75" customHeight="1">
      <c r="F416" s="1250"/>
      <c r="G416" s="1250"/>
      <c r="H416" s="1256"/>
      <c r="I416" s="1256"/>
      <c r="J416" s="1253"/>
    </row>
    <row r="417" spans="6:10" ht="15.75" customHeight="1">
      <c r="F417" s="1250"/>
      <c r="G417" s="1250"/>
      <c r="H417" s="1256"/>
      <c r="I417" s="1256"/>
      <c r="J417" s="1253"/>
    </row>
    <row r="418" spans="6:10" ht="15.75" customHeight="1">
      <c r="F418" s="1250"/>
      <c r="G418" s="1250"/>
      <c r="H418" s="1256"/>
      <c r="I418" s="1256"/>
      <c r="J418" s="1253"/>
    </row>
    <row r="419" spans="6:10" ht="15.75" customHeight="1">
      <c r="F419" s="1250"/>
      <c r="G419" s="1250"/>
      <c r="H419" s="1256"/>
      <c r="I419" s="1256"/>
      <c r="J419" s="1253"/>
    </row>
    <row r="420" spans="6:10" ht="15.75" customHeight="1">
      <c r="F420" s="1250"/>
      <c r="G420" s="1250"/>
      <c r="H420" s="1256"/>
      <c r="I420" s="1256"/>
      <c r="J420" s="1253"/>
    </row>
    <row r="421" spans="6:10" ht="15.75" customHeight="1">
      <c r="F421" s="1250"/>
      <c r="G421" s="1250"/>
      <c r="H421" s="1256"/>
      <c r="I421" s="1256"/>
      <c r="J421" s="1253"/>
    </row>
    <row r="422" spans="6:10" ht="15.75" customHeight="1">
      <c r="F422" s="1250"/>
      <c r="G422" s="1250"/>
      <c r="H422" s="1256"/>
      <c r="I422" s="1256"/>
      <c r="J422" s="1253"/>
    </row>
    <row r="423" spans="6:10" ht="15.75" customHeight="1">
      <c r="F423" s="1250"/>
      <c r="G423" s="1250"/>
      <c r="H423" s="1256"/>
      <c r="I423" s="1256"/>
      <c r="J423" s="1253"/>
    </row>
    <row r="424" spans="6:10" ht="15.75" customHeight="1">
      <c r="F424" s="1250"/>
      <c r="G424" s="1250"/>
      <c r="H424" s="1256"/>
      <c r="I424" s="1256"/>
      <c r="J424" s="1253"/>
    </row>
    <row r="425" spans="6:10" ht="15.75" customHeight="1">
      <c r="F425" s="1250"/>
      <c r="G425" s="1250"/>
      <c r="H425" s="1256"/>
      <c r="I425" s="1256"/>
      <c r="J425" s="1253"/>
    </row>
    <row r="426" spans="6:10" ht="15.75" customHeight="1">
      <c r="F426" s="1250"/>
      <c r="G426" s="1250"/>
      <c r="H426" s="1256"/>
      <c r="I426" s="1256"/>
      <c r="J426" s="1253"/>
    </row>
    <row r="427" spans="6:10" ht="15.75" customHeight="1">
      <c r="F427" s="1250"/>
      <c r="G427" s="1250"/>
      <c r="H427" s="1256"/>
      <c r="I427" s="1256"/>
      <c r="J427" s="1253"/>
    </row>
    <row r="428" spans="6:10" ht="15.75" customHeight="1">
      <c r="F428" s="1250"/>
      <c r="G428" s="1250"/>
      <c r="H428" s="1256"/>
      <c r="I428" s="1256"/>
      <c r="J428" s="1253"/>
    </row>
    <row r="429" spans="6:10" ht="15.75" customHeight="1">
      <c r="F429" s="1250"/>
      <c r="G429" s="1250"/>
      <c r="H429" s="1256"/>
      <c r="I429" s="1256"/>
      <c r="J429" s="1253"/>
    </row>
    <row r="430" spans="6:10" ht="15.75" customHeight="1">
      <c r="F430" s="1250"/>
      <c r="G430" s="1250"/>
      <c r="H430" s="1256"/>
      <c r="I430" s="1256"/>
      <c r="J430" s="1253"/>
    </row>
    <row r="431" spans="6:10" ht="15.75" customHeight="1">
      <c r="F431" s="1250"/>
      <c r="G431" s="1250"/>
      <c r="H431" s="1256"/>
      <c r="I431" s="1256"/>
      <c r="J431" s="1253"/>
    </row>
    <row r="432" spans="6:10" ht="15.75" customHeight="1">
      <c r="F432" s="1250"/>
      <c r="G432" s="1250"/>
      <c r="H432" s="1256"/>
      <c r="I432" s="1256"/>
      <c r="J432" s="1253"/>
    </row>
    <row r="433" spans="6:10" ht="15.75" customHeight="1">
      <c r="F433" s="1250"/>
      <c r="G433" s="1250"/>
      <c r="H433" s="1256"/>
      <c r="I433" s="1256"/>
      <c r="J433" s="1253"/>
    </row>
    <row r="434" spans="6:10" ht="15.75" customHeight="1">
      <c r="F434" s="1250"/>
      <c r="G434" s="1250"/>
      <c r="H434" s="1256"/>
      <c r="I434" s="1256"/>
      <c r="J434" s="1253"/>
    </row>
    <row r="435" spans="6:10" ht="15.75" customHeight="1">
      <c r="F435" s="1250"/>
      <c r="G435" s="1250"/>
      <c r="H435" s="1256"/>
      <c r="I435" s="1256"/>
      <c r="J435" s="1253"/>
    </row>
    <row r="436" spans="6:10" ht="15.75" customHeight="1">
      <c r="F436" s="1250"/>
      <c r="G436" s="1250"/>
      <c r="H436" s="1256"/>
      <c r="I436" s="1256"/>
      <c r="J436" s="1253"/>
    </row>
    <row r="437" spans="6:10" ht="15.75" customHeight="1">
      <c r="F437" s="1250"/>
      <c r="G437" s="1250"/>
      <c r="H437" s="1256"/>
      <c r="I437" s="1256"/>
      <c r="J437" s="1253"/>
    </row>
    <row r="438" spans="6:10" ht="15.75" customHeight="1">
      <c r="F438" s="1250"/>
      <c r="G438" s="1250"/>
      <c r="H438" s="1256"/>
      <c r="I438" s="1256"/>
      <c r="J438" s="1253"/>
    </row>
    <row r="439" spans="6:10" ht="15.75" customHeight="1">
      <c r="F439" s="1250"/>
      <c r="G439" s="1250"/>
      <c r="H439" s="1256"/>
      <c r="I439" s="1256"/>
      <c r="J439" s="1253"/>
    </row>
    <row r="440" spans="6:10" ht="15.75" customHeight="1">
      <c r="F440" s="1250"/>
      <c r="G440" s="1250"/>
      <c r="H440" s="1256"/>
      <c r="I440" s="1256"/>
      <c r="J440" s="1253"/>
    </row>
    <row r="441" spans="6:10" ht="15.75" customHeight="1">
      <c r="F441" s="1250"/>
      <c r="G441" s="1250"/>
      <c r="H441" s="1256"/>
      <c r="I441" s="1256"/>
      <c r="J441" s="1253"/>
    </row>
    <row r="442" spans="6:10" ht="15.75" customHeight="1">
      <c r="F442" s="1250"/>
      <c r="G442" s="1250"/>
      <c r="H442" s="1256"/>
      <c r="I442" s="1256"/>
      <c r="J442" s="1253"/>
    </row>
    <row r="443" spans="6:10" ht="15.75" customHeight="1">
      <c r="F443" s="1250"/>
      <c r="G443" s="1250"/>
      <c r="H443" s="1256"/>
      <c r="I443" s="1256"/>
      <c r="J443" s="1253"/>
    </row>
    <row r="444" spans="6:10" ht="15.75" customHeight="1">
      <c r="F444" s="1250"/>
      <c r="G444" s="1250"/>
      <c r="H444" s="1256"/>
      <c r="I444" s="1256"/>
      <c r="J444" s="1253"/>
    </row>
    <row r="445" spans="6:10" ht="15.75" customHeight="1">
      <c r="F445" s="1250"/>
      <c r="G445" s="1250"/>
      <c r="H445" s="1256"/>
      <c r="I445" s="1256"/>
      <c r="J445" s="1253"/>
    </row>
    <row r="446" spans="6:10" ht="15.75" customHeight="1">
      <c r="F446" s="1250"/>
      <c r="G446" s="1250"/>
      <c r="H446" s="1256"/>
      <c r="I446" s="1256"/>
      <c r="J446" s="1253"/>
    </row>
    <row r="447" spans="6:10" ht="15.75" customHeight="1">
      <c r="F447" s="1250"/>
      <c r="G447" s="1250"/>
      <c r="H447" s="1256"/>
      <c r="I447" s="1256"/>
      <c r="J447" s="1253"/>
    </row>
    <row r="448" spans="6:10" ht="15.75" customHeight="1">
      <c r="F448" s="1250"/>
      <c r="G448" s="1250"/>
      <c r="H448" s="1256"/>
      <c r="I448" s="1256"/>
      <c r="J448" s="1253"/>
    </row>
    <row r="449" spans="6:10" ht="15.75" customHeight="1">
      <c r="F449" s="1250"/>
      <c r="G449" s="1250"/>
      <c r="H449" s="1256"/>
      <c r="I449" s="1256"/>
      <c r="J449" s="1253"/>
    </row>
    <row r="450" spans="6:10" ht="15.75" customHeight="1">
      <c r="F450" s="1250"/>
      <c r="G450" s="1250"/>
      <c r="H450" s="1256"/>
      <c r="I450" s="1256"/>
      <c r="J450" s="1253"/>
    </row>
    <row r="451" spans="6:10" ht="15.75" customHeight="1">
      <c r="F451" s="1250"/>
      <c r="G451" s="1250"/>
      <c r="H451" s="1256"/>
      <c r="I451" s="1256"/>
      <c r="J451" s="1253"/>
    </row>
    <row r="452" spans="6:10" ht="15.75" customHeight="1">
      <c r="F452" s="1250"/>
      <c r="G452" s="1250"/>
      <c r="H452" s="1256"/>
      <c r="I452" s="1256"/>
      <c r="J452" s="1253"/>
    </row>
    <row r="453" spans="6:10" ht="15.75" customHeight="1">
      <c r="F453" s="1250"/>
      <c r="G453" s="1250"/>
      <c r="H453" s="1256"/>
      <c r="I453" s="1256"/>
      <c r="J453" s="1253"/>
    </row>
    <row r="454" spans="6:10" ht="15.75" customHeight="1">
      <c r="F454" s="1250"/>
      <c r="G454" s="1250"/>
      <c r="H454" s="1256"/>
      <c r="I454" s="1256"/>
      <c r="J454" s="1253"/>
    </row>
    <row r="455" spans="6:10" ht="15.75" customHeight="1">
      <c r="F455" s="1250"/>
      <c r="G455" s="1250"/>
      <c r="H455" s="1256"/>
      <c r="I455" s="1256"/>
      <c r="J455" s="1253"/>
    </row>
    <row r="456" spans="6:10" ht="15.75" customHeight="1">
      <c r="F456" s="1250"/>
      <c r="G456" s="1250"/>
      <c r="H456" s="1256"/>
      <c r="I456" s="1256"/>
      <c r="J456" s="1253"/>
    </row>
    <row r="457" spans="6:10" ht="15.75" customHeight="1">
      <c r="F457" s="1250"/>
      <c r="G457" s="1250"/>
      <c r="H457" s="1256"/>
      <c r="I457" s="1256"/>
      <c r="J457" s="1253"/>
    </row>
    <row r="458" spans="6:10" ht="15.75" customHeight="1">
      <c r="F458" s="1250"/>
      <c r="G458" s="1250"/>
      <c r="H458" s="1256"/>
      <c r="I458" s="1256"/>
      <c r="J458" s="1253"/>
    </row>
    <row r="459" spans="6:10" ht="15.75" customHeight="1">
      <c r="F459" s="1250"/>
      <c r="G459" s="1250"/>
      <c r="H459" s="1256"/>
      <c r="I459" s="1256"/>
      <c r="J459" s="1253"/>
    </row>
    <row r="460" spans="6:10" ht="15.75" customHeight="1">
      <c r="F460" s="1250"/>
      <c r="G460" s="1250"/>
      <c r="H460" s="1256"/>
      <c r="I460" s="1256"/>
      <c r="J460" s="1253"/>
    </row>
    <row r="461" spans="6:10" ht="15.75" customHeight="1">
      <c r="F461" s="1250"/>
      <c r="G461" s="1250"/>
      <c r="H461" s="1256"/>
      <c r="I461" s="1256"/>
      <c r="J461" s="1253"/>
    </row>
    <row r="462" spans="6:10" ht="15.75" customHeight="1">
      <c r="F462" s="1250"/>
      <c r="G462" s="1250"/>
      <c r="H462" s="1256"/>
      <c r="I462" s="1256"/>
      <c r="J462" s="1253"/>
    </row>
    <row r="463" spans="6:10" ht="15.75" customHeight="1">
      <c r="F463" s="1250"/>
      <c r="G463" s="1250"/>
      <c r="H463" s="1256"/>
      <c r="I463" s="1256"/>
      <c r="J463" s="1253"/>
    </row>
    <row r="464" spans="6:10" ht="15.75" customHeight="1">
      <c r="F464" s="1250"/>
      <c r="G464" s="1250"/>
      <c r="H464" s="1256"/>
      <c r="I464" s="1256"/>
      <c r="J464" s="1253"/>
    </row>
    <row r="465" spans="6:10" ht="15.75" customHeight="1">
      <c r="F465" s="1250"/>
      <c r="G465" s="1250"/>
      <c r="H465" s="1256"/>
      <c r="I465" s="1256"/>
      <c r="J465" s="1253"/>
    </row>
    <row r="466" spans="6:10" ht="15.75" customHeight="1">
      <c r="F466" s="1250"/>
      <c r="G466" s="1250"/>
      <c r="H466" s="1256"/>
      <c r="I466" s="1256"/>
      <c r="J466" s="1253"/>
    </row>
    <row r="467" spans="6:10" ht="15.75" customHeight="1">
      <c r="F467" s="1250"/>
      <c r="G467" s="1250"/>
      <c r="H467" s="1256"/>
      <c r="I467" s="1256"/>
      <c r="J467" s="1253"/>
    </row>
    <row r="468" spans="6:10" ht="15.75" customHeight="1">
      <c r="F468" s="1250"/>
      <c r="G468" s="1250"/>
      <c r="H468" s="1256"/>
      <c r="I468" s="1256"/>
      <c r="J468" s="1253"/>
    </row>
    <row r="469" spans="6:10" ht="15.75" customHeight="1">
      <c r="F469" s="1250"/>
      <c r="G469" s="1250"/>
      <c r="H469" s="1256"/>
      <c r="I469" s="1256"/>
      <c r="J469" s="1253"/>
    </row>
    <row r="470" spans="6:10" ht="15.75" customHeight="1">
      <c r="F470" s="1250"/>
      <c r="G470" s="1250"/>
      <c r="H470" s="1256"/>
      <c r="I470" s="1256"/>
      <c r="J470" s="1253"/>
    </row>
    <row r="471" spans="6:10" ht="15.75" customHeight="1">
      <c r="F471" s="1250"/>
      <c r="G471" s="1250"/>
      <c r="H471" s="1256"/>
      <c r="I471" s="1256"/>
      <c r="J471" s="1253"/>
    </row>
    <row r="472" spans="6:10" ht="15.75" customHeight="1">
      <c r="F472" s="1250"/>
      <c r="G472" s="1250"/>
      <c r="H472" s="1256"/>
      <c r="I472" s="1256"/>
      <c r="J472" s="1253"/>
    </row>
    <row r="473" spans="6:10" ht="15.75" customHeight="1">
      <c r="F473" s="1250"/>
      <c r="G473" s="1250"/>
      <c r="H473" s="1256"/>
      <c r="I473" s="1256"/>
      <c r="J473" s="1253"/>
    </row>
    <row r="474" spans="6:10" ht="15.75" customHeight="1">
      <c r="F474" s="1250"/>
      <c r="G474" s="1250"/>
      <c r="H474" s="1256"/>
      <c r="I474" s="1256"/>
      <c r="J474" s="1253"/>
    </row>
    <row r="475" spans="6:10" ht="15.75" customHeight="1">
      <c r="F475" s="1250"/>
      <c r="G475" s="1250"/>
      <c r="H475" s="1256"/>
      <c r="I475" s="1256"/>
      <c r="J475" s="1253"/>
    </row>
    <row r="476" spans="6:10" ht="15.75" customHeight="1">
      <c r="F476" s="1250"/>
      <c r="G476" s="1250"/>
      <c r="H476" s="1256"/>
      <c r="I476" s="1256"/>
      <c r="J476" s="1253"/>
    </row>
    <row r="477" spans="6:10" ht="15.75" customHeight="1">
      <c r="F477" s="1250"/>
      <c r="G477" s="1250"/>
      <c r="H477" s="1256"/>
      <c r="I477" s="1256"/>
      <c r="J477" s="1253"/>
    </row>
    <row r="478" spans="6:10" ht="15.75" customHeight="1">
      <c r="F478" s="1250"/>
      <c r="G478" s="1250"/>
      <c r="H478" s="1256"/>
      <c r="I478" s="1256"/>
      <c r="J478" s="1253"/>
    </row>
    <row r="479" spans="6:10" ht="15.75" customHeight="1">
      <c r="F479" s="1250"/>
      <c r="G479" s="1250"/>
      <c r="H479" s="1256"/>
      <c r="I479" s="1256"/>
      <c r="J479" s="1253"/>
    </row>
    <row r="480" spans="6:10" ht="15.75" customHeight="1">
      <c r="F480" s="1250"/>
      <c r="G480" s="1250"/>
      <c r="H480" s="1256"/>
      <c r="I480" s="1256"/>
      <c r="J480" s="1253"/>
    </row>
    <row r="481" spans="6:10" ht="15.75" customHeight="1">
      <c r="F481" s="1250"/>
      <c r="G481" s="1250"/>
      <c r="H481" s="1256"/>
      <c r="I481" s="1256"/>
      <c r="J481" s="1253"/>
    </row>
    <row r="482" spans="6:10" ht="15.75" customHeight="1">
      <c r="F482" s="1250"/>
      <c r="G482" s="1250"/>
      <c r="H482" s="1256"/>
      <c r="I482" s="1256"/>
      <c r="J482" s="1253"/>
    </row>
    <row r="483" spans="6:10" ht="15.75" customHeight="1">
      <c r="F483" s="1250"/>
      <c r="G483" s="1250"/>
      <c r="H483" s="1256"/>
      <c r="I483" s="1256"/>
      <c r="J483" s="1253"/>
    </row>
    <row r="484" spans="6:10" ht="15.75" customHeight="1">
      <c r="F484" s="1250"/>
      <c r="G484" s="1250"/>
      <c r="H484" s="1256"/>
      <c r="I484" s="1256"/>
      <c r="J484" s="1253"/>
    </row>
    <row r="485" spans="6:10" ht="15.75" customHeight="1">
      <c r="F485" s="1250"/>
      <c r="G485" s="1250"/>
      <c r="H485" s="1256"/>
      <c r="I485" s="1256"/>
      <c r="J485" s="1253"/>
    </row>
    <row r="486" spans="6:10" ht="15.75" customHeight="1">
      <c r="F486" s="1250"/>
      <c r="G486" s="1250"/>
      <c r="H486" s="1256"/>
      <c r="I486" s="1256"/>
      <c r="J486" s="1253"/>
    </row>
    <row r="487" spans="6:10" ht="15.75" customHeight="1">
      <c r="F487" s="1250"/>
      <c r="G487" s="1250"/>
      <c r="H487" s="1256"/>
      <c r="I487" s="1256"/>
      <c r="J487" s="1253"/>
    </row>
    <row r="488" spans="6:10" ht="15.75" customHeight="1">
      <c r="F488" s="1250"/>
      <c r="G488" s="1250"/>
      <c r="H488" s="1256"/>
      <c r="I488" s="1256"/>
      <c r="J488" s="1253"/>
    </row>
    <row r="489" spans="6:10" ht="15.75" customHeight="1">
      <c r="F489" s="1250"/>
      <c r="G489" s="1250"/>
      <c r="H489" s="1256"/>
      <c r="I489" s="1256"/>
      <c r="J489" s="1253"/>
    </row>
    <row r="490" spans="6:10" ht="15.75" customHeight="1">
      <c r="F490" s="1250"/>
      <c r="G490" s="1250"/>
      <c r="H490" s="1256"/>
      <c r="I490" s="1256"/>
      <c r="J490" s="1253"/>
    </row>
    <row r="491" spans="6:10" ht="15.75" customHeight="1">
      <c r="F491" s="1250"/>
      <c r="G491" s="1250"/>
      <c r="H491" s="1256"/>
      <c r="I491" s="1256"/>
      <c r="J491" s="1253"/>
    </row>
    <row r="492" spans="6:10" ht="15.75" customHeight="1">
      <c r="F492" s="1250"/>
      <c r="G492" s="1250"/>
      <c r="H492" s="1256"/>
      <c r="I492" s="1256"/>
      <c r="J492" s="1253"/>
    </row>
    <row r="493" spans="6:10" ht="15.75" customHeight="1">
      <c r="F493" s="1250"/>
      <c r="G493" s="1250"/>
      <c r="H493" s="1256"/>
      <c r="I493" s="1256"/>
      <c r="J493" s="1253"/>
    </row>
    <row r="494" spans="6:10" ht="15.75" customHeight="1">
      <c r="F494" s="1250"/>
      <c r="G494" s="1250"/>
      <c r="H494" s="1256"/>
      <c r="I494" s="1256"/>
      <c r="J494" s="1253"/>
    </row>
    <row r="495" spans="6:10" ht="15.75" customHeight="1">
      <c r="F495" s="1250"/>
      <c r="G495" s="1250"/>
      <c r="H495" s="1256"/>
      <c r="I495" s="1256"/>
      <c r="J495" s="1253"/>
    </row>
    <row r="496" spans="6:10" ht="15.75" customHeight="1">
      <c r="F496" s="1250"/>
      <c r="G496" s="1250"/>
      <c r="H496" s="1256"/>
      <c r="I496" s="1256"/>
      <c r="J496" s="1253"/>
    </row>
    <row r="497" spans="6:10" ht="15.75" customHeight="1">
      <c r="F497" s="1250"/>
      <c r="G497" s="1250"/>
      <c r="H497" s="1256"/>
      <c r="I497" s="1256"/>
      <c r="J497" s="1253"/>
    </row>
    <row r="498" spans="6:10" ht="15.75" customHeight="1">
      <c r="F498" s="1250"/>
      <c r="G498" s="1250"/>
      <c r="H498" s="1256"/>
      <c r="I498" s="1256"/>
      <c r="J498" s="1253"/>
    </row>
    <row r="499" spans="6:10" ht="15.75" customHeight="1">
      <c r="F499" s="1250"/>
      <c r="G499" s="1250"/>
      <c r="H499" s="1256"/>
      <c r="I499" s="1256"/>
      <c r="J499" s="1253"/>
    </row>
    <row r="500" spans="6:10" ht="15.75" customHeight="1">
      <c r="F500" s="1250"/>
      <c r="G500" s="1250"/>
      <c r="H500" s="1256"/>
      <c r="I500" s="1256"/>
      <c r="J500" s="1253"/>
    </row>
    <row r="501" spans="6:10" ht="15.75" customHeight="1">
      <c r="F501" s="1250"/>
      <c r="G501" s="1250"/>
      <c r="H501" s="1256"/>
      <c r="I501" s="1256"/>
      <c r="J501" s="1253"/>
    </row>
    <row r="502" spans="6:10" ht="15.75" customHeight="1">
      <c r="F502" s="1250"/>
      <c r="G502" s="1250"/>
      <c r="H502" s="1256"/>
      <c r="I502" s="1256"/>
      <c r="J502" s="1253"/>
    </row>
    <row r="503" spans="6:10" ht="15.75" customHeight="1">
      <c r="F503" s="1250"/>
      <c r="G503" s="1250"/>
      <c r="H503" s="1256"/>
      <c r="I503" s="1256"/>
      <c r="J503" s="1253"/>
    </row>
    <row r="504" spans="6:10" ht="15.75" customHeight="1">
      <c r="F504" s="1250"/>
      <c r="G504" s="1250"/>
      <c r="H504" s="1256"/>
      <c r="I504" s="1256"/>
      <c r="J504" s="1253"/>
    </row>
    <row r="505" spans="6:10" ht="15.75" customHeight="1">
      <c r="F505" s="1250"/>
      <c r="G505" s="1250"/>
      <c r="H505" s="1256"/>
      <c r="I505" s="1256"/>
      <c r="J505" s="1253"/>
    </row>
    <row r="506" spans="6:10" ht="15.75" customHeight="1">
      <c r="F506" s="1250"/>
      <c r="G506" s="1250"/>
      <c r="H506" s="1256"/>
      <c r="I506" s="1256"/>
      <c r="J506" s="1253"/>
    </row>
    <row r="507" spans="6:10" ht="15.75" customHeight="1">
      <c r="F507" s="1250"/>
      <c r="G507" s="1250"/>
      <c r="H507" s="1256"/>
      <c r="I507" s="1256"/>
      <c r="J507" s="1253"/>
    </row>
    <row r="508" spans="6:10" ht="15.75" customHeight="1">
      <c r="F508" s="1250"/>
      <c r="G508" s="1250"/>
      <c r="H508" s="1256"/>
      <c r="I508" s="1256"/>
      <c r="J508" s="1253"/>
    </row>
    <row r="509" spans="6:10" ht="15.75" customHeight="1">
      <c r="F509" s="1250"/>
      <c r="G509" s="1250"/>
      <c r="H509" s="1256"/>
      <c r="I509" s="1256"/>
      <c r="J509" s="1253"/>
    </row>
    <row r="510" spans="6:10" ht="15.75" customHeight="1">
      <c r="F510" s="1250"/>
      <c r="G510" s="1250"/>
      <c r="H510" s="1256"/>
      <c r="I510" s="1256"/>
      <c r="J510" s="1253"/>
    </row>
    <row r="511" spans="6:10" ht="15.75" customHeight="1">
      <c r="F511" s="1250"/>
      <c r="G511" s="1250"/>
      <c r="H511" s="1256"/>
      <c r="I511" s="1256"/>
      <c r="J511" s="1253"/>
    </row>
    <row r="512" spans="6:10" ht="15.75" customHeight="1">
      <c r="F512" s="1250"/>
      <c r="G512" s="1250"/>
      <c r="H512" s="1256"/>
      <c r="I512" s="1256"/>
      <c r="J512" s="1253"/>
    </row>
    <row r="513" spans="6:10" ht="15.75" customHeight="1">
      <c r="F513" s="1250"/>
      <c r="G513" s="1250"/>
      <c r="H513" s="1256"/>
      <c r="I513" s="1256"/>
      <c r="J513" s="1253"/>
    </row>
    <row r="514" spans="6:10" ht="15.75" customHeight="1">
      <c r="F514" s="1250"/>
      <c r="G514" s="1250"/>
      <c r="H514" s="1256"/>
      <c r="I514" s="1256"/>
      <c r="J514" s="1253"/>
    </row>
    <row r="515" spans="6:10" ht="15.75" customHeight="1">
      <c r="F515" s="1250"/>
      <c r="G515" s="1250"/>
      <c r="H515" s="1256"/>
      <c r="I515" s="1256"/>
      <c r="J515" s="1253"/>
    </row>
    <row r="516" spans="6:10" ht="15.75" customHeight="1">
      <c r="F516" s="1250"/>
      <c r="G516" s="1250"/>
      <c r="H516" s="1256"/>
      <c r="I516" s="1256"/>
      <c r="J516" s="1253"/>
    </row>
    <row r="517" spans="6:10" ht="15.75" customHeight="1">
      <c r="F517" s="1250"/>
      <c r="G517" s="1250"/>
      <c r="H517" s="1256"/>
      <c r="I517" s="1256"/>
      <c r="J517" s="1253"/>
    </row>
    <row r="518" spans="6:10" ht="15.75" customHeight="1">
      <c r="F518" s="1250"/>
      <c r="G518" s="1250"/>
      <c r="H518" s="1256"/>
      <c r="I518" s="1256"/>
      <c r="J518" s="1253"/>
    </row>
    <row r="519" spans="6:10" ht="15.75" customHeight="1">
      <c r="F519" s="1250"/>
      <c r="G519" s="1250"/>
      <c r="H519" s="1256"/>
      <c r="I519" s="1256"/>
      <c r="J519" s="1253"/>
    </row>
    <row r="520" spans="6:10" ht="15.75" customHeight="1">
      <c r="F520" s="1250"/>
      <c r="G520" s="1250"/>
      <c r="H520" s="1256"/>
      <c r="I520" s="1256"/>
      <c r="J520" s="1253"/>
    </row>
    <row r="521" spans="6:10" ht="15.75" customHeight="1">
      <c r="F521" s="1250"/>
      <c r="G521" s="1250"/>
      <c r="H521" s="1256"/>
      <c r="I521" s="1256"/>
      <c r="J521" s="1253"/>
    </row>
    <row r="522" spans="6:10" ht="15.75" customHeight="1">
      <c r="F522" s="1250"/>
      <c r="G522" s="1250"/>
      <c r="H522" s="1256"/>
      <c r="I522" s="1256"/>
      <c r="J522" s="1253"/>
    </row>
    <row r="523" spans="6:10" ht="15.75" customHeight="1">
      <c r="F523" s="1250"/>
      <c r="G523" s="1250"/>
      <c r="H523" s="1256"/>
      <c r="I523" s="1256"/>
      <c r="J523" s="1253"/>
    </row>
    <row r="524" spans="6:10" ht="15.75" customHeight="1">
      <c r="F524" s="1250"/>
      <c r="G524" s="1250"/>
      <c r="H524" s="1256"/>
      <c r="I524" s="1256"/>
      <c r="J524" s="1253"/>
    </row>
    <row r="525" spans="6:10" ht="15.75" customHeight="1">
      <c r="F525" s="1250"/>
      <c r="G525" s="1250"/>
      <c r="H525" s="1256"/>
      <c r="I525" s="1256"/>
      <c r="J525" s="1253"/>
    </row>
    <row r="526" spans="6:10" ht="15.75" customHeight="1">
      <c r="F526" s="1250"/>
      <c r="G526" s="1250"/>
      <c r="H526" s="1256"/>
      <c r="I526" s="1256"/>
      <c r="J526" s="1253"/>
    </row>
    <row r="527" spans="6:10" ht="15.75" customHeight="1">
      <c r="F527" s="1250"/>
      <c r="G527" s="1250"/>
      <c r="H527" s="1256"/>
      <c r="I527" s="1256"/>
      <c r="J527" s="1253"/>
    </row>
    <row r="528" spans="6:10" ht="15.75" customHeight="1">
      <c r="F528" s="1250"/>
      <c r="G528" s="1250"/>
      <c r="H528" s="1256"/>
      <c r="I528" s="1256"/>
      <c r="J528" s="1253"/>
    </row>
    <row r="529" spans="6:10" ht="15.75" customHeight="1">
      <c r="F529" s="1250"/>
      <c r="G529" s="1250"/>
      <c r="H529" s="1256"/>
      <c r="I529" s="1256"/>
      <c r="J529" s="1253"/>
    </row>
    <row r="530" spans="6:10" ht="15.75" customHeight="1">
      <c r="F530" s="1250"/>
      <c r="G530" s="1250"/>
      <c r="H530" s="1256"/>
      <c r="I530" s="1256"/>
      <c r="J530" s="1253"/>
    </row>
    <row r="531" spans="6:10" ht="15.75" customHeight="1">
      <c r="F531" s="1250"/>
      <c r="G531" s="1250"/>
      <c r="H531" s="1256"/>
      <c r="I531" s="1256"/>
      <c r="J531" s="1253"/>
    </row>
    <row r="532" spans="6:10" ht="15.75" customHeight="1">
      <c r="F532" s="1250"/>
      <c r="G532" s="1250"/>
      <c r="H532" s="1256"/>
      <c r="I532" s="1256"/>
      <c r="J532" s="1253"/>
    </row>
    <row r="533" spans="6:10" ht="15.75" customHeight="1">
      <c r="F533" s="1250"/>
      <c r="G533" s="1250"/>
      <c r="H533" s="1256"/>
      <c r="I533" s="1256"/>
      <c r="J533" s="1253"/>
    </row>
    <row r="534" spans="6:10" ht="15.75" customHeight="1">
      <c r="F534" s="1250"/>
      <c r="G534" s="1250"/>
      <c r="H534" s="1256"/>
      <c r="I534" s="1256"/>
      <c r="J534" s="1253"/>
    </row>
    <row r="535" spans="6:10" ht="15.75" customHeight="1">
      <c r="F535" s="1250"/>
      <c r="G535" s="1250"/>
      <c r="H535" s="1256"/>
      <c r="I535" s="1256"/>
      <c r="J535" s="1253"/>
    </row>
    <row r="536" spans="6:10" ht="15.75" customHeight="1">
      <c r="F536" s="1250"/>
      <c r="G536" s="1250"/>
      <c r="H536" s="1256"/>
      <c r="I536" s="1256"/>
      <c r="J536" s="1253"/>
    </row>
    <row r="537" spans="6:10" ht="15.75" customHeight="1">
      <c r="F537" s="1250"/>
      <c r="G537" s="1250"/>
      <c r="H537" s="1256"/>
      <c r="I537" s="1256"/>
      <c r="J537" s="1253"/>
    </row>
    <row r="538" spans="6:10" ht="15.75" customHeight="1">
      <c r="F538" s="1250"/>
      <c r="G538" s="1254"/>
      <c r="H538" s="1255"/>
      <c r="I538" s="1255"/>
      <c r="J538" s="1253"/>
    </row>
    <row r="539" spans="6:10" ht="15.75" customHeight="1">
      <c r="F539" s="509"/>
      <c r="G539" s="531"/>
      <c r="H539" s="32"/>
      <c r="I539" s="32"/>
    </row>
    <row r="540" spans="6:10" ht="15.75" customHeight="1">
      <c r="F540" s="509"/>
      <c r="G540" s="531"/>
      <c r="H540" s="32"/>
      <c r="I540" s="32"/>
    </row>
    <row r="541" spans="6:10" ht="15.75" customHeight="1">
      <c r="F541" s="509"/>
      <c r="G541" s="531"/>
      <c r="H541" s="32"/>
      <c r="I541" s="32"/>
    </row>
    <row r="542" spans="6:10" ht="15.75" customHeight="1">
      <c r="F542" s="509"/>
      <c r="G542" s="531"/>
      <c r="H542" s="32"/>
      <c r="I542" s="32"/>
    </row>
    <row r="543" spans="6:10" ht="15.75" customHeight="1">
      <c r="F543" s="509"/>
      <c r="G543" s="531"/>
      <c r="H543" s="32"/>
      <c r="I543" s="32"/>
    </row>
    <row r="544" spans="6:10" ht="15.75" customHeight="1">
      <c r="F544" s="509"/>
      <c r="G544" s="531"/>
      <c r="H544" s="32"/>
      <c r="I544" s="32"/>
    </row>
    <row r="545" spans="6:9" ht="15.75" customHeight="1">
      <c r="F545" s="509"/>
      <c r="G545" s="531"/>
      <c r="H545" s="32"/>
      <c r="I545" s="32"/>
    </row>
    <row r="546" spans="6:9" ht="15.75" customHeight="1">
      <c r="F546" s="509"/>
      <c r="G546" s="531"/>
      <c r="H546" s="32"/>
      <c r="I546" s="32"/>
    </row>
    <row r="547" spans="6:9" ht="15.75" customHeight="1">
      <c r="F547" s="509"/>
      <c r="G547" s="531"/>
      <c r="H547" s="32"/>
      <c r="I547" s="32"/>
    </row>
    <row r="548" spans="6:9" ht="15.75" customHeight="1">
      <c r="F548" s="509"/>
      <c r="G548" s="531"/>
      <c r="H548" s="32"/>
      <c r="I548" s="32"/>
    </row>
    <row r="549" spans="6:9" ht="15.75" customHeight="1">
      <c r="F549" s="509"/>
      <c r="G549" s="531"/>
      <c r="H549" s="32"/>
      <c r="I549" s="32"/>
    </row>
    <row r="550" spans="6:9" ht="15.75" customHeight="1">
      <c r="F550" s="509"/>
      <c r="G550" s="531"/>
      <c r="H550" s="32"/>
      <c r="I550" s="32"/>
    </row>
    <row r="551" spans="6:9" ht="15.75" customHeight="1">
      <c r="F551" s="509"/>
      <c r="G551" s="531"/>
      <c r="H551" s="32"/>
      <c r="I551" s="32"/>
    </row>
    <row r="552" spans="6:9" ht="15.75" customHeight="1">
      <c r="F552" s="509"/>
      <c r="G552" s="531"/>
      <c r="H552" s="32"/>
      <c r="I552" s="32"/>
    </row>
    <row r="553" spans="6:9" ht="15.75" customHeight="1">
      <c r="F553" s="509"/>
      <c r="G553" s="531"/>
      <c r="H553" s="32"/>
      <c r="I553" s="32"/>
    </row>
    <row r="554" spans="6:9" ht="15.75" customHeight="1">
      <c r="F554" s="509"/>
      <c r="G554" s="531"/>
      <c r="H554" s="32"/>
      <c r="I554" s="32"/>
    </row>
    <row r="555" spans="6:9" ht="15.75" customHeight="1">
      <c r="F555" s="509"/>
      <c r="G555" s="531"/>
      <c r="H555" s="32"/>
      <c r="I555" s="32"/>
    </row>
    <row r="556" spans="6:9" ht="15.75" customHeight="1">
      <c r="F556" s="509"/>
      <c r="G556" s="531"/>
      <c r="H556" s="32"/>
      <c r="I556" s="32"/>
    </row>
    <row r="557" spans="6:9" ht="15.75" customHeight="1">
      <c r="F557" s="509"/>
      <c r="G557" s="531"/>
      <c r="H557" s="32"/>
      <c r="I557" s="32"/>
    </row>
    <row r="558" spans="6:9" ht="15.75" customHeight="1">
      <c r="F558" s="509"/>
      <c r="G558" s="531"/>
      <c r="H558" s="32"/>
      <c r="I558" s="32"/>
    </row>
    <row r="559" spans="6:9" ht="15.75" customHeight="1">
      <c r="F559" s="509"/>
      <c r="G559" s="531"/>
      <c r="H559" s="32"/>
      <c r="I559" s="32"/>
    </row>
    <row r="560" spans="6:9" ht="15.75" customHeight="1">
      <c r="F560" s="509"/>
      <c r="G560" s="531"/>
      <c r="H560" s="32"/>
      <c r="I560" s="32"/>
    </row>
    <row r="561" spans="6:9" ht="15.75" customHeight="1">
      <c r="F561" s="509"/>
      <c r="G561" s="531"/>
      <c r="H561" s="32"/>
      <c r="I561" s="32"/>
    </row>
    <row r="562" spans="6:9" ht="15.75" customHeight="1">
      <c r="F562" s="509"/>
      <c r="G562" s="531"/>
      <c r="H562" s="32"/>
      <c r="I562" s="32"/>
    </row>
    <row r="563" spans="6:9" ht="15.75" customHeight="1">
      <c r="F563" s="509"/>
      <c r="G563" s="531"/>
      <c r="H563" s="32"/>
      <c r="I563" s="32"/>
    </row>
    <row r="564" spans="6:9" ht="15.75" customHeight="1">
      <c r="F564" s="509"/>
      <c r="G564" s="531"/>
      <c r="H564" s="32"/>
      <c r="I564" s="32"/>
    </row>
    <row r="565" spans="6:9" ht="15.75" customHeight="1">
      <c r="F565" s="509"/>
      <c r="G565" s="531"/>
      <c r="H565" s="32"/>
      <c r="I565" s="32"/>
    </row>
    <row r="566" spans="6:9" ht="15.75" customHeight="1">
      <c r="F566" s="509"/>
      <c r="G566" s="531"/>
      <c r="H566" s="32"/>
      <c r="I566" s="32"/>
    </row>
    <row r="567" spans="6:9" ht="15.75" customHeight="1">
      <c r="F567" s="509"/>
      <c r="G567" s="531"/>
      <c r="H567" s="32"/>
      <c r="I567" s="32"/>
    </row>
    <row r="568" spans="6:9" ht="15.75" customHeight="1">
      <c r="F568" s="509"/>
      <c r="G568" s="531"/>
      <c r="H568" s="32"/>
      <c r="I568" s="32"/>
    </row>
    <row r="569" spans="6:9" ht="15.75" customHeight="1">
      <c r="F569" s="509"/>
      <c r="G569" s="531"/>
      <c r="H569" s="32"/>
      <c r="I569" s="32"/>
    </row>
    <row r="570" spans="6:9" ht="15.75" customHeight="1">
      <c r="F570" s="509"/>
      <c r="G570" s="531"/>
      <c r="H570" s="32"/>
      <c r="I570" s="32"/>
    </row>
    <row r="571" spans="6:9" ht="15.75" customHeight="1">
      <c r="F571" s="509"/>
      <c r="G571" s="531"/>
      <c r="H571" s="32"/>
      <c r="I571" s="32"/>
    </row>
    <row r="572" spans="6:9" ht="15.75" customHeight="1">
      <c r="F572" s="509"/>
      <c r="G572" s="531"/>
      <c r="H572" s="32"/>
      <c r="I572" s="32"/>
    </row>
    <row r="573" spans="6:9" ht="15.75" customHeight="1">
      <c r="F573" s="509"/>
      <c r="G573" s="531"/>
      <c r="H573" s="32"/>
      <c r="I573" s="32"/>
    </row>
    <row r="574" spans="6:9" ht="15.75" customHeight="1">
      <c r="F574" s="509"/>
      <c r="G574" s="531"/>
      <c r="H574" s="32"/>
      <c r="I574" s="32"/>
    </row>
    <row r="575" spans="6:9" ht="15.75" customHeight="1">
      <c r="F575" s="509"/>
      <c r="G575" s="531"/>
      <c r="H575" s="32"/>
      <c r="I575" s="32"/>
    </row>
    <row r="576" spans="6:9" ht="15.75" customHeight="1">
      <c r="F576" s="509"/>
      <c r="G576" s="531"/>
      <c r="H576" s="32"/>
      <c r="I576" s="32"/>
    </row>
    <row r="577" spans="6:9" ht="15.75" customHeight="1">
      <c r="F577" s="509"/>
      <c r="G577" s="531"/>
      <c r="H577" s="32"/>
      <c r="I577" s="32"/>
    </row>
    <row r="578" spans="6:9" ht="15.75" customHeight="1">
      <c r="F578" s="509"/>
      <c r="G578" s="531"/>
      <c r="H578" s="32"/>
      <c r="I578" s="32"/>
    </row>
    <row r="579" spans="6:9" ht="15.75" customHeight="1">
      <c r="F579" s="509"/>
      <c r="G579" s="531"/>
      <c r="H579" s="32"/>
      <c r="I579" s="32"/>
    </row>
    <row r="580" spans="6:9" ht="15.75" customHeight="1">
      <c r="F580" s="509"/>
      <c r="G580" s="531"/>
      <c r="H580" s="32"/>
      <c r="I580" s="32"/>
    </row>
    <row r="581" spans="6:9" ht="15.75" customHeight="1">
      <c r="F581" s="509"/>
      <c r="G581" s="531"/>
      <c r="H581" s="32"/>
      <c r="I581" s="32"/>
    </row>
    <row r="582" spans="6:9" ht="15.75" customHeight="1">
      <c r="F582" s="509"/>
      <c r="G582" s="531"/>
      <c r="H582" s="32"/>
      <c r="I582" s="32"/>
    </row>
    <row r="583" spans="6:9" ht="15.75" customHeight="1">
      <c r="F583" s="509"/>
      <c r="G583" s="531"/>
      <c r="H583" s="32"/>
      <c r="I583" s="32"/>
    </row>
    <row r="584" spans="6:9" ht="15.75" customHeight="1">
      <c r="F584" s="509"/>
      <c r="G584" s="531"/>
      <c r="H584" s="32"/>
      <c r="I584" s="32"/>
    </row>
    <row r="585" spans="6:9" ht="15.75" customHeight="1">
      <c r="F585" s="509"/>
      <c r="G585" s="531"/>
      <c r="H585" s="32"/>
      <c r="I585" s="32"/>
    </row>
    <row r="586" spans="6:9" ht="15.75" customHeight="1">
      <c r="F586" s="509"/>
      <c r="G586" s="531"/>
      <c r="H586" s="32"/>
      <c r="I586" s="32"/>
    </row>
    <row r="587" spans="6:9" ht="15.75" customHeight="1">
      <c r="F587" s="509"/>
      <c r="G587" s="531"/>
      <c r="H587" s="32"/>
      <c r="I587" s="32"/>
    </row>
    <row r="588" spans="6:9" ht="15.75" customHeight="1">
      <c r="F588" s="509"/>
      <c r="G588" s="531"/>
      <c r="H588" s="32"/>
      <c r="I588" s="32"/>
    </row>
    <row r="589" spans="6:9" ht="15.75" customHeight="1">
      <c r="F589" s="509"/>
      <c r="G589" s="531"/>
      <c r="H589" s="32"/>
      <c r="I589" s="32"/>
    </row>
    <row r="590" spans="6:9" ht="15.75" customHeight="1">
      <c r="F590" s="509"/>
      <c r="G590" s="531"/>
      <c r="H590" s="32"/>
      <c r="I590" s="32"/>
    </row>
    <row r="591" spans="6:9" ht="15.75" customHeight="1">
      <c r="F591" s="509"/>
      <c r="G591" s="531"/>
      <c r="H591" s="32"/>
      <c r="I591" s="32"/>
    </row>
    <row r="592" spans="6:9" ht="15.75" customHeight="1">
      <c r="F592" s="509"/>
      <c r="G592" s="531"/>
      <c r="H592" s="32"/>
      <c r="I592" s="32"/>
    </row>
    <row r="593" spans="6:9" ht="15.75" customHeight="1">
      <c r="F593" s="509"/>
      <c r="G593" s="531"/>
      <c r="H593" s="32"/>
      <c r="I593" s="32"/>
    </row>
    <row r="594" spans="6:9" ht="15.75" customHeight="1">
      <c r="F594" s="509"/>
      <c r="G594" s="531"/>
      <c r="H594" s="32"/>
      <c r="I594" s="32"/>
    </row>
    <row r="595" spans="6:9" ht="15.75" customHeight="1">
      <c r="F595" s="509"/>
      <c r="G595" s="531"/>
      <c r="H595" s="32"/>
      <c r="I595" s="32"/>
    </row>
    <row r="596" spans="6:9" ht="15.75" customHeight="1">
      <c r="F596" s="509"/>
      <c r="G596" s="531"/>
      <c r="H596" s="32"/>
      <c r="I596" s="32"/>
    </row>
    <row r="597" spans="6:9" ht="15.75" customHeight="1">
      <c r="F597" s="509"/>
      <c r="G597" s="531"/>
      <c r="H597" s="32"/>
      <c r="I597" s="32"/>
    </row>
    <row r="598" spans="6:9" ht="15.75" customHeight="1">
      <c r="F598" s="509"/>
      <c r="G598" s="531"/>
      <c r="H598" s="32"/>
      <c r="I598" s="32"/>
    </row>
    <row r="599" spans="6:9" ht="15.75" customHeight="1">
      <c r="F599" s="509"/>
      <c r="G599" s="531"/>
      <c r="H599" s="32"/>
      <c r="I599" s="32"/>
    </row>
    <row r="600" spans="6:9" ht="15.75" customHeight="1">
      <c r="F600" s="509"/>
      <c r="G600" s="531"/>
      <c r="H600" s="32"/>
      <c r="I600" s="32"/>
    </row>
    <row r="601" spans="6:9" ht="15.75" customHeight="1">
      <c r="F601" s="509"/>
      <c r="G601" s="531"/>
      <c r="H601" s="32"/>
      <c r="I601" s="32"/>
    </row>
    <row r="602" spans="6:9" ht="15.75" customHeight="1">
      <c r="F602" s="509"/>
      <c r="G602" s="531"/>
      <c r="H602" s="32"/>
      <c r="I602" s="32"/>
    </row>
    <row r="603" spans="6:9" ht="15.75" customHeight="1">
      <c r="F603" s="509"/>
      <c r="G603" s="531"/>
      <c r="H603" s="32"/>
      <c r="I603" s="32"/>
    </row>
    <row r="604" spans="6:9" ht="15.75" customHeight="1">
      <c r="F604" s="509"/>
      <c r="G604" s="531"/>
      <c r="H604" s="32"/>
      <c r="I604" s="32"/>
    </row>
    <row r="605" spans="6:9" ht="15.75" customHeight="1">
      <c r="F605" s="509"/>
      <c r="G605" s="531"/>
      <c r="H605" s="32"/>
      <c r="I605" s="32"/>
    </row>
    <row r="606" spans="6:9" ht="15.75" customHeight="1">
      <c r="F606" s="509"/>
      <c r="G606" s="531"/>
      <c r="H606" s="32"/>
      <c r="I606" s="32"/>
    </row>
    <row r="607" spans="6:9" ht="15.75" customHeight="1">
      <c r="F607" s="509"/>
      <c r="G607" s="531"/>
      <c r="H607" s="32"/>
      <c r="I607" s="32"/>
    </row>
    <row r="608" spans="6:9" ht="15.75" customHeight="1">
      <c r="F608" s="509"/>
      <c r="G608" s="531"/>
      <c r="H608" s="32"/>
      <c r="I608" s="32"/>
    </row>
    <row r="609" spans="6:9" ht="15.75" customHeight="1">
      <c r="F609" s="509"/>
      <c r="G609" s="531"/>
      <c r="H609" s="32"/>
      <c r="I609" s="32"/>
    </row>
    <row r="610" spans="6:9" ht="15.75" customHeight="1">
      <c r="F610" s="509"/>
      <c r="G610" s="531"/>
      <c r="H610" s="32"/>
      <c r="I610" s="32"/>
    </row>
    <row r="611" spans="6:9" ht="15.75" customHeight="1">
      <c r="F611" s="509"/>
      <c r="G611" s="531"/>
      <c r="H611" s="32"/>
      <c r="I611" s="32"/>
    </row>
    <row r="612" spans="6:9" ht="15.75" customHeight="1">
      <c r="F612" s="509"/>
      <c r="G612" s="531"/>
      <c r="H612" s="32"/>
      <c r="I612" s="32"/>
    </row>
    <row r="613" spans="6:9" ht="15.75" customHeight="1">
      <c r="F613" s="509"/>
      <c r="G613" s="531"/>
      <c r="H613" s="32"/>
      <c r="I613" s="32"/>
    </row>
    <row r="614" spans="6:9" ht="15.75" customHeight="1">
      <c r="F614" s="509"/>
      <c r="G614" s="531"/>
      <c r="H614" s="32"/>
      <c r="I614" s="32"/>
    </row>
    <row r="615" spans="6:9" ht="15.75" customHeight="1">
      <c r="F615" s="509"/>
      <c r="G615" s="531"/>
      <c r="H615" s="32"/>
      <c r="I615" s="32"/>
    </row>
    <row r="616" spans="6:9" ht="15.75" customHeight="1">
      <c r="F616" s="509"/>
      <c r="G616" s="531"/>
      <c r="H616" s="32"/>
      <c r="I616" s="32"/>
    </row>
    <row r="617" spans="6:9" ht="15.75" customHeight="1">
      <c r="F617" s="509"/>
      <c r="G617" s="531"/>
      <c r="H617" s="32"/>
      <c r="I617" s="32"/>
    </row>
    <row r="618" spans="6:9" ht="15.75" customHeight="1">
      <c r="F618" s="509"/>
      <c r="G618" s="531"/>
      <c r="H618" s="32"/>
      <c r="I618" s="32"/>
    </row>
    <row r="619" spans="6:9" ht="15.75" customHeight="1">
      <c r="F619" s="509"/>
      <c r="G619" s="531"/>
      <c r="H619" s="32"/>
      <c r="I619" s="32"/>
    </row>
    <row r="620" spans="6:9" ht="15.75" customHeight="1">
      <c r="F620" s="509"/>
      <c r="G620" s="531"/>
      <c r="H620" s="32"/>
      <c r="I620" s="32"/>
    </row>
    <row r="621" spans="6:9" ht="15.75" customHeight="1">
      <c r="F621" s="509"/>
      <c r="G621" s="531"/>
      <c r="H621" s="32"/>
      <c r="I621" s="32"/>
    </row>
    <row r="622" spans="6:9" ht="15.75" customHeight="1">
      <c r="F622" s="509"/>
      <c r="G622" s="531"/>
      <c r="H622" s="32"/>
      <c r="I622" s="32"/>
    </row>
    <row r="623" spans="6:9" ht="15.75" customHeight="1">
      <c r="F623" s="509"/>
      <c r="G623" s="531"/>
      <c r="H623" s="32"/>
      <c r="I623" s="32"/>
    </row>
    <row r="624" spans="6:9" ht="15.75" customHeight="1">
      <c r="F624" s="509"/>
      <c r="G624" s="531"/>
      <c r="H624" s="32"/>
      <c r="I624" s="32"/>
    </row>
    <row r="625" spans="6:9" ht="15.75" customHeight="1">
      <c r="F625" s="509"/>
      <c r="G625" s="531"/>
      <c r="H625" s="32"/>
      <c r="I625" s="32"/>
    </row>
    <row r="626" spans="6:9" ht="15.75" customHeight="1">
      <c r="F626" s="509"/>
      <c r="G626" s="531"/>
      <c r="H626" s="32"/>
      <c r="I626" s="32"/>
    </row>
    <row r="627" spans="6:9" ht="15.75" customHeight="1">
      <c r="F627" s="509"/>
      <c r="G627" s="531"/>
      <c r="H627" s="32"/>
      <c r="I627" s="32"/>
    </row>
    <row r="628" spans="6:9" ht="15.75" customHeight="1">
      <c r="F628" s="509"/>
      <c r="G628" s="531"/>
      <c r="H628" s="32"/>
      <c r="I628" s="32"/>
    </row>
    <row r="629" spans="6:9" ht="15.75" customHeight="1">
      <c r="F629" s="509"/>
      <c r="G629" s="531"/>
      <c r="H629" s="32"/>
      <c r="I629" s="32"/>
    </row>
    <row r="630" spans="6:9" ht="15.75" customHeight="1">
      <c r="F630" s="509"/>
      <c r="G630" s="531"/>
      <c r="H630" s="32"/>
      <c r="I630" s="32"/>
    </row>
    <row r="631" spans="6:9" ht="15.75" customHeight="1">
      <c r="F631" s="509"/>
      <c r="G631" s="531"/>
      <c r="H631" s="32"/>
      <c r="I631" s="32"/>
    </row>
    <row r="632" spans="6:9" ht="15.75" customHeight="1">
      <c r="F632" s="509"/>
      <c r="G632" s="531"/>
      <c r="H632" s="32"/>
      <c r="I632" s="32"/>
    </row>
    <row r="633" spans="6:9" ht="15.75" customHeight="1">
      <c r="F633" s="509"/>
      <c r="G633" s="531"/>
      <c r="H633" s="32"/>
      <c r="I633" s="32"/>
    </row>
    <row r="634" spans="6:9" ht="15.75" customHeight="1">
      <c r="F634" s="509"/>
      <c r="G634" s="531"/>
      <c r="H634" s="32"/>
      <c r="I634" s="32"/>
    </row>
    <row r="635" spans="6:9" ht="15.75" customHeight="1">
      <c r="F635" s="509"/>
      <c r="G635" s="531"/>
      <c r="H635" s="32"/>
      <c r="I635" s="32"/>
    </row>
    <row r="636" spans="6:9" ht="15.75" customHeight="1">
      <c r="F636" s="509"/>
      <c r="G636" s="531"/>
      <c r="H636" s="32"/>
      <c r="I636" s="32"/>
    </row>
    <row r="637" spans="6:9" ht="15.75" customHeight="1">
      <c r="F637" s="509"/>
      <c r="G637" s="531"/>
      <c r="H637" s="32"/>
      <c r="I637" s="32"/>
    </row>
    <row r="638" spans="6:9" ht="15.75" customHeight="1">
      <c r="F638" s="509"/>
      <c r="G638" s="531"/>
      <c r="H638" s="32"/>
      <c r="I638" s="32"/>
    </row>
    <row r="639" spans="6:9" ht="15.75" customHeight="1">
      <c r="F639" s="509"/>
      <c r="G639" s="531"/>
      <c r="H639" s="32"/>
      <c r="I639" s="32"/>
    </row>
    <row r="640" spans="6:9" ht="15.75" customHeight="1">
      <c r="F640" s="509"/>
      <c r="G640" s="531"/>
      <c r="H640" s="32"/>
      <c r="I640" s="32"/>
    </row>
    <row r="641" spans="6:9" ht="15.75" customHeight="1">
      <c r="F641" s="509"/>
      <c r="G641" s="531"/>
      <c r="H641" s="32"/>
      <c r="I641" s="32"/>
    </row>
    <row r="642" spans="6:9" ht="15.75" customHeight="1">
      <c r="F642" s="509"/>
      <c r="G642" s="531"/>
      <c r="H642" s="32"/>
      <c r="I642" s="32"/>
    </row>
    <row r="643" spans="6:9" ht="15.75" customHeight="1">
      <c r="F643" s="509"/>
      <c r="G643" s="531"/>
      <c r="H643" s="32"/>
      <c r="I643" s="32"/>
    </row>
    <row r="644" spans="6:9" ht="15.75" customHeight="1">
      <c r="F644" s="509"/>
      <c r="G644" s="531"/>
      <c r="H644" s="32"/>
      <c r="I644" s="32"/>
    </row>
    <row r="645" spans="6:9" ht="15.75" customHeight="1">
      <c r="F645" s="509"/>
      <c r="G645" s="531"/>
      <c r="H645" s="32"/>
      <c r="I645" s="32"/>
    </row>
    <row r="646" spans="6:9" ht="15.75" customHeight="1">
      <c r="F646" s="509"/>
      <c r="G646" s="531"/>
      <c r="H646" s="32"/>
      <c r="I646" s="32"/>
    </row>
    <row r="647" spans="6:9" ht="15.75" customHeight="1">
      <c r="F647" s="509"/>
      <c r="G647" s="531"/>
      <c r="H647" s="32"/>
      <c r="I647" s="32"/>
    </row>
    <row r="648" spans="6:9" ht="15.75" customHeight="1">
      <c r="F648" s="509"/>
      <c r="G648" s="531"/>
      <c r="H648" s="32"/>
      <c r="I648" s="32"/>
    </row>
    <row r="649" spans="6:9" ht="15.75" customHeight="1">
      <c r="F649" s="509"/>
      <c r="G649" s="531"/>
      <c r="H649" s="32"/>
      <c r="I649" s="32"/>
    </row>
    <row r="650" spans="6:9" ht="15.75" customHeight="1">
      <c r="F650" s="509"/>
      <c r="G650" s="531"/>
      <c r="H650" s="32"/>
      <c r="I650" s="32"/>
    </row>
    <row r="651" spans="6:9" ht="15.75" customHeight="1">
      <c r="F651" s="509"/>
      <c r="G651" s="531"/>
      <c r="H651" s="32"/>
      <c r="I651" s="32"/>
    </row>
    <row r="652" spans="6:9" ht="15.75" customHeight="1">
      <c r="F652" s="509"/>
      <c r="G652" s="531"/>
      <c r="H652" s="32"/>
      <c r="I652" s="32"/>
    </row>
    <row r="653" spans="6:9" ht="15.75" customHeight="1">
      <c r="F653" s="509"/>
      <c r="G653" s="531"/>
      <c r="H653" s="32"/>
      <c r="I653" s="32"/>
    </row>
    <row r="654" spans="6:9" ht="15.75" customHeight="1">
      <c r="F654" s="509"/>
      <c r="G654" s="531"/>
      <c r="H654" s="32"/>
      <c r="I654" s="32"/>
    </row>
    <row r="655" spans="6:9" ht="15.75" customHeight="1">
      <c r="F655" s="509"/>
      <c r="G655" s="531"/>
      <c r="H655" s="32"/>
      <c r="I655" s="32"/>
    </row>
    <row r="656" spans="6:9" ht="15.75" customHeight="1">
      <c r="F656" s="509"/>
      <c r="G656" s="531"/>
      <c r="H656" s="32"/>
      <c r="I656" s="32"/>
    </row>
    <row r="657" spans="6:9" ht="15.75" customHeight="1">
      <c r="F657" s="509"/>
      <c r="G657" s="531"/>
      <c r="H657" s="32"/>
      <c r="I657" s="32"/>
    </row>
    <row r="658" spans="6:9" ht="15.75" customHeight="1">
      <c r="F658" s="509"/>
      <c r="G658" s="531"/>
      <c r="H658" s="32"/>
      <c r="I658" s="32"/>
    </row>
    <row r="659" spans="6:9" ht="15.75" customHeight="1">
      <c r="F659" s="509"/>
      <c r="G659" s="531"/>
      <c r="H659" s="32"/>
      <c r="I659" s="32"/>
    </row>
    <row r="660" spans="6:9" ht="15.75" customHeight="1">
      <c r="F660" s="509"/>
      <c r="G660" s="531"/>
      <c r="H660" s="32"/>
      <c r="I660" s="32"/>
    </row>
    <row r="661" spans="6:9" ht="15.75" customHeight="1">
      <c r="F661" s="509"/>
      <c r="G661" s="531"/>
      <c r="H661" s="32"/>
      <c r="I661" s="32"/>
    </row>
    <row r="662" spans="6:9" ht="15.75" customHeight="1">
      <c r="F662" s="509"/>
      <c r="G662" s="531"/>
      <c r="H662" s="32"/>
      <c r="I662" s="32"/>
    </row>
    <row r="663" spans="6:9" ht="15.75" customHeight="1">
      <c r="F663" s="509"/>
      <c r="G663" s="531"/>
      <c r="H663" s="32"/>
      <c r="I663" s="32"/>
    </row>
    <row r="664" spans="6:9" ht="15.75" customHeight="1">
      <c r="F664" s="509"/>
      <c r="G664" s="531"/>
      <c r="H664" s="32"/>
      <c r="I664" s="32"/>
    </row>
    <row r="665" spans="6:9" ht="15.75" customHeight="1">
      <c r="F665" s="509"/>
      <c r="G665" s="531"/>
      <c r="H665" s="32"/>
      <c r="I665" s="32"/>
    </row>
    <row r="666" spans="6:9" ht="15.75" customHeight="1">
      <c r="F666" s="509"/>
      <c r="G666" s="531"/>
      <c r="H666" s="32"/>
      <c r="I666" s="32"/>
    </row>
    <row r="667" spans="6:9" ht="15.75" customHeight="1">
      <c r="F667" s="509"/>
      <c r="G667" s="531"/>
      <c r="H667" s="32"/>
      <c r="I667" s="32"/>
    </row>
    <row r="668" spans="6:9" ht="15.75" customHeight="1">
      <c r="F668" s="509"/>
      <c r="G668" s="531"/>
      <c r="H668" s="32"/>
      <c r="I668" s="32"/>
    </row>
    <row r="669" spans="6:9" ht="15.75" customHeight="1">
      <c r="F669" s="509"/>
      <c r="G669" s="531"/>
      <c r="H669" s="32"/>
      <c r="I669" s="32"/>
    </row>
    <row r="670" spans="6:9" ht="15.75" customHeight="1">
      <c r="F670" s="509"/>
      <c r="G670" s="531"/>
      <c r="H670" s="32"/>
      <c r="I670" s="32"/>
    </row>
    <row r="671" spans="6:9" ht="15.75" customHeight="1">
      <c r="F671" s="509"/>
      <c r="G671" s="531"/>
      <c r="H671" s="32"/>
      <c r="I671" s="32"/>
    </row>
    <row r="672" spans="6:9" ht="15.75" customHeight="1">
      <c r="F672" s="509"/>
      <c r="G672" s="531"/>
      <c r="H672" s="32"/>
      <c r="I672" s="32"/>
    </row>
    <row r="673" spans="6:9" ht="15.75" customHeight="1">
      <c r="F673" s="509"/>
      <c r="G673" s="531"/>
      <c r="H673" s="32"/>
      <c r="I673" s="32"/>
    </row>
    <row r="674" spans="6:9" ht="15.75" customHeight="1">
      <c r="F674" s="509"/>
      <c r="G674" s="531"/>
      <c r="H674" s="32"/>
      <c r="I674" s="32"/>
    </row>
    <row r="675" spans="6:9" ht="15.75" customHeight="1">
      <c r="F675" s="509"/>
      <c r="G675" s="531"/>
      <c r="H675" s="32"/>
      <c r="I675" s="32"/>
    </row>
    <row r="676" spans="6:9" ht="15.75" customHeight="1">
      <c r="F676" s="509"/>
      <c r="G676" s="531"/>
      <c r="H676" s="32"/>
      <c r="I676" s="32"/>
    </row>
    <row r="677" spans="6:9" ht="15.75" customHeight="1">
      <c r="F677" s="509"/>
      <c r="G677" s="531"/>
      <c r="H677" s="32"/>
      <c r="I677" s="32"/>
    </row>
    <row r="678" spans="6:9" ht="15.75" customHeight="1">
      <c r="F678" s="509"/>
      <c r="G678" s="531"/>
      <c r="H678" s="32"/>
      <c r="I678" s="32"/>
    </row>
    <row r="679" spans="6:9" ht="15.75" customHeight="1">
      <c r="F679" s="509"/>
      <c r="G679" s="531"/>
      <c r="H679" s="32"/>
      <c r="I679" s="32"/>
    </row>
    <row r="680" spans="6:9" ht="15.75" customHeight="1">
      <c r="F680" s="509"/>
      <c r="G680" s="531"/>
      <c r="H680" s="32"/>
      <c r="I680" s="32"/>
    </row>
    <row r="681" spans="6:9" ht="15.75" customHeight="1">
      <c r="F681" s="509"/>
      <c r="G681" s="531"/>
      <c r="H681" s="32"/>
      <c r="I681" s="32"/>
    </row>
    <row r="682" spans="6:9" ht="15.75" customHeight="1">
      <c r="F682" s="509"/>
      <c r="G682" s="531"/>
      <c r="H682" s="32"/>
      <c r="I682" s="32"/>
    </row>
    <row r="683" spans="6:9" ht="15.75" customHeight="1">
      <c r="F683" s="509"/>
      <c r="G683" s="531"/>
      <c r="H683" s="32"/>
      <c r="I683" s="32"/>
    </row>
    <row r="684" spans="6:9" ht="15.75" customHeight="1">
      <c r="F684" s="509"/>
      <c r="G684" s="531"/>
      <c r="H684" s="32"/>
      <c r="I684" s="32"/>
    </row>
    <row r="685" spans="6:9" ht="15.75" customHeight="1">
      <c r="F685" s="509"/>
      <c r="G685" s="531"/>
      <c r="H685" s="32"/>
      <c r="I685" s="32"/>
    </row>
    <row r="686" spans="6:9" ht="15.75" customHeight="1">
      <c r="F686" s="509"/>
      <c r="G686" s="531"/>
      <c r="H686" s="32"/>
      <c r="I686" s="32"/>
    </row>
    <row r="687" spans="6:9" ht="15.75" customHeight="1">
      <c r="F687" s="509"/>
      <c r="G687" s="531"/>
      <c r="H687" s="32"/>
      <c r="I687" s="32"/>
    </row>
    <row r="688" spans="6:9" ht="15.75" customHeight="1">
      <c r="F688" s="509"/>
      <c r="G688" s="531"/>
      <c r="H688" s="32"/>
      <c r="I688" s="32"/>
    </row>
    <row r="689" spans="6:9" ht="15.75" customHeight="1">
      <c r="F689" s="509"/>
      <c r="G689" s="531"/>
      <c r="H689" s="32"/>
      <c r="I689" s="32"/>
    </row>
    <row r="690" spans="6:9" ht="15.75" customHeight="1">
      <c r="F690" s="509"/>
      <c r="G690" s="531"/>
      <c r="H690" s="32"/>
      <c r="I690" s="32"/>
    </row>
    <row r="691" spans="6:9" ht="15.75" customHeight="1">
      <c r="F691" s="509"/>
      <c r="G691" s="531"/>
      <c r="H691" s="32"/>
      <c r="I691" s="32"/>
    </row>
    <row r="692" spans="6:9" ht="15.75" customHeight="1">
      <c r="F692" s="509"/>
      <c r="G692" s="531"/>
      <c r="H692" s="32"/>
      <c r="I692" s="32"/>
    </row>
    <row r="693" spans="6:9" ht="15.75" customHeight="1">
      <c r="F693" s="509"/>
      <c r="G693" s="531"/>
      <c r="H693" s="32"/>
      <c r="I693" s="32"/>
    </row>
    <row r="694" spans="6:9" ht="15.75" customHeight="1">
      <c r="F694" s="509"/>
      <c r="G694" s="531"/>
      <c r="H694" s="32"/>
      <c r="I694" s="32"/>
    </row>
    <row r="695" spans="6:9" ht="15.75" customHeight="1">
      <c r="F695" s="509"/>
      <c r="G695" s="531"/>
      <c r="H695" s="32"/>
      <c r="I695" s="32"/>
    </row>
    <row r="696" spans="6:9" ht="15.75" customHeight="1">
      <c r="F696" s="509"/>
      <c r="G696" s="531"/>
      <c r="H696" s="32"/>
      <c r="I696" s="32"/>
    </row>
    <row r="697" spans="6:9" ht="15.75" customHeight="1">
      <c r="F697" s="509"/>
      <c r="G697" s="531"/>
      <c r="H697" s="32"/>
      <c r="I697" s="32"/>
    </row>
    <row r="698" spans="6:9" ht="15.75" customHeight="1">
      <c r="F698" s="509"/>
      <c r="G698" s="531"/>
      <c r="H698" s="32"/>
      <c r="I698" s="32"/>
    </row>
    <row r="699" spans="6:9" ht="15.75" customHeight="1">
      <c r="F699" s="509"/>
      <c r="G699" s="531"/>
      <c r="H699" s="32"/>
      <c r="I699" s="32"/>
    </row>
    <row r="700" spans="6:9" ht="15.75" customHeight="1">
      <c r="F700" s="509"/>
      <c r="G700" s="531"/>
      <c r="H700" s="32"/>
      <c r="I700" s="32"/>
    </row>
    <row r="701" spans="6:9" ht="15.75" customHeight="1">
      <c r="F701" s="509"/>
      <c r="G701" s="531"/>
      <c r="H701" s="32"/>
      <c r="I701" s="32"/>
    </row>
    <row r="702" spans="6:9" ht="15.75" customHeight="1">
      <c r="F702" s="509"/>
      <c r="G702" s="531"/>
      <c r="H702" s="32"/>
      <c r="I702" s="32"/>
    </row>
    <row r="703" spans="6:9" ht="15.75" customHeight="1">
      <c r="F703" s="509"/>
      <c r="G703" s="531"/>
      <c r="H703" s="32"/>
      <c r="I703" s="32"/>
    </row>
    <row r="704" spans="6:9" ht="15.75" customHeight="1">
      <c r="F704" s="509"/>
      <c r="G704" s="531"/>
      <c r="H704" s="32"/>
      <c r="I704" s="32"/>
    </row>
    <row r="705" spans="6:9" ht="15.75" customHeight="1">
      <c r="F705" s="509"/>
      <c r="G705" s="531"/>
      <c r="H705" s="32"/>
      <c r="I705" s="32"/>
    </row>
    <row r="706" spans="6:9" ht="15.75" customHeight="1">
      <c r="F706" s="509"/>
      <c r="G706" s="531"/>
      <c r="H706" s="32"/>
      <c r="I706" s="32"/>
    </row>
    <row r="707" spans="6:9" ht="15.75" customHeight="1">
      <c r="F707" s="509"/>
      <c r="G707" s="531"/>
      <c r="H707" s="32"/>
      <c r="I707" s="32"/>
    </row>
    <row r="708" spans="6:9" ht="15.75" customHeight="1">
      <c r="F708" s="509"/>
      <c r="G708" s="531"/>
      <c r="H708" s="32"/>
      <c r="I708" s="32"/>
    </row>
    <row r="709" spans="6:9" ht="15.75" customHeight="1">
      <c r="F709" s="509"/>
      <c r="G709" s="531"/>
      <c r="H709" s="32"/>
      <c r="I709" s="32"/>
    </row>
    <row r="710" spans="6:9" ht="15.75" customHeight="1">
      <c r="F710" s="509"/>
      <c r="G710" s="531"/>
      <c r="H710" s="32"/>
      <c r="I710" s="32"/>
    </row>
    <row r="711" spans="6:9" ht="15.75" customHeight="1">
      <c r="F711" s="509"/>
      <c r="G711" s="531"/>
      <c r="H711" s="32"/>
      <c r="I711" s="32"/>
    </row>
    <row r="712" spans="6:9" ht="15.75" customHeight="1">
      <c r="F712" s="509"/>
      <c r="G712" s="531"/>
      <c r="H712" s="32"/>
      <c r="I712" s="32"/>
    </row>
    <row r="713" spans="6:9" ht="15.75" customHeight="1">
      <c r="F713" s="509"/>
      <c r="G713" s="531"/>
      <c r="H713" s="32"/>
      <c r="I713" s="32"/>
    </row>
    <row r="714" spans="6:9" ht="15.75" customHeight="1">
      <c r="F714" s="509"/>
      <c r="G714" s="531"/>
      <c r="H714" s="32"/>
      <c r="I714" s="32"/>
    </row>
    <row r="715" spans="6:9" ht="15.75" customHeight="1">
      <c r="F715" s="509"/>
      <c r="G715" s="531"/>
      <c r="H715" s="32"/>
      <c r="I715" s="32"/>
    </row>
    <row r="716" spans="6:9" ht="15.75" customHeight="1">
      <c r="F716" s="509"/>
      <c r="G716" s="531"/>
      <c r="H716" s="32"/>
      <c r="I716" s="32"/>
    </row>
    <row r="717" spans="6:9" ht="15.75" customHeight="1">
      <c r="F717" s="509"/>
      <c r="G717" s="531"/>
      <c r="H717" s="32"/>
      <c r="I717" s="32"/>
    </row>
    <row r="718" spans="6:9" ht="15.75" customHeight="1">
      <c r="F718" s="509"/>
      <c r="G718" s="531"/>
      <c r="H718" s="32"/>
      <c r="I718" s="32"/>
    </row>
    <row r="719" spans="6:9" ht="15.75" customHeight="1">
      <c r="F719" s="509"/>
      <c r="G719" s="531"/>
      <c r="H719" s="32"/>
      <c r="I719" s="32"/>
    </row>
    <row r="720" spans="6:9" ht="15.75" customHeight="1">
      <c r="F720" s="509"/>
      <c r="G720" s="531"/>
      <c r="H720" s="32"/>
      <c r="I720" s="32"/>
    </row>
    <row r="721" spans="6:9" ht="15.75" customHeight="1">
      <c r="F721" s="509"/>
      <c r="G721" s="531"/>
      <c r="H721" s="32"/>
      <c r="I721" s="32"/>
    </row>
    <row r="722" spans="6:9" ht="15.75" customHeight="1">
      <c r="F722" s="509"/>
      <c r="G722" s="531"/>
      <c r="H722" s="32"/>
      <c r="I722" s="32"/>
    </row>
    <row r="723" spans="6:9" ht="15.75" customHeight="1">
      <c r="F723" s="509"/>
      <c r="G723" s="531"/>
      <c r="H723" s="32"/>
      <c r="I723" s="32"/>
    </row>
    <row r="724" spans="6:9" ht="15.75" customHeight="1">
      <c r="F724" s="509"/>
      <c r="G724" s="531"/>
      <c r="H724" s="32"/>
      <c r="I724" s="32"/>
    </row>
    <row r="725" spans="6:9" ht="15.75" customHeight="1">
      <c r="F725" s="509"/>
      <c r="G725" s="531"/>
      <c r="H725" s="32"/>
      <c r="I725" s="32"/>
    </row>
    <row r="726" spans="6:9" ht="15.75" customHeight="1">
      <c r="F726" s="509"/>
      <c r="G726" s="531"/>
      <c r="H726" s="32"/>
      <c r="I726" s="32"/>
    </row>
    <row r="727" spans="6:9" ht="15.75" customHeight="1">
      <c r="F727" s="509"/>
      <c r="G727" s="531"/>
      <c r="H727" s="32"/>
      <c r="I727" s="32"/>
    </row>
    <row r="728" spans="6:9" ht="15.75" customHeight="1">
      <c r="F728" s="509"/>
      <c r="G728" s="531"/>
      <c r="H728" s="32"/>
      <c r="I728" s="32"/>
    </row>
    <row r="729" spans="6:9" ht="15.75" customHeight="1">
      <c r="F729" s="509"/>
      <c r="G729" s="531"/>
      <c r="H729" s="32"/>
      <c r="I729" s="32"/>
    </row>
    <row r="730" spans="6:9" ht="15.75" customHeight="1">
      <c r="F730" s="509"/>
      <c r="G730" s="531"/>
      <c r="H730" s="32"/>
      <c r="I730" s="32"/>
    </row>
    <row r="731" spans="6:9" ht="15.75" customHeight="1">
      <c r="F731" s="509"/>
      <c r="G731" s="531"/>
      <c r="H731" s="32"/>
      <c r="I731" s="32"/>
    </row>
    <row r="732" spans="6:9" ht="15.75" customHeight="1">
      <c r="F732" s="509"/>
      <c r="G732" s="531"/>
      <c r="H732" s="32"/>
      <c r="I732" s="32"/>
    </row>
    <row r="733" spans="6:9" ht="15.75" customHeight="1">
      <c r="F733" s="509"/>
      <c r="G733" s="531"/>
      <c r="H733" s="32"/>
      <c r="I733" s="32"/>
    </row>
    <row r="734" spans="6:9" ht="15.75" customHeight="1">
      <c r="F734" s="509"/>
      <c r="G734" s="531"/>
      <c r="H734" s="32"/>
      <c r="I734" s="32"/>
    </row>
    <row r="735" spans="6:9" ht="15.75" customHeight="1">
      <c r="F735" s="509"/>
      <c r="G735" s="531"/>
      <c r="H735" s="32"/>
      <c r="I735" s="32"/>
    </row>
    <row r="736" spans="6:9" ht="15.75" customHeight="1">
      <c r="F736" s="509"/>
      <c r="G736" s="531"/>
      <c r="H736" s="32"/>
      <c r="I736" s="32"/>
    </row>
    <row r="737" spans="6:9" ht="15.75" customHeight="1">
      <c r="F737" s="509"/>
      <c r="G737" s="531"/>
      <c r="H737" s="32"/>
      <c r="I737" s="32"/>
    </row>
    <row r="738" spans="6:9" ht="15.75" customHeight="1">
      <c r="F738" s="509"/>
      <c r="G738" s="531"/>
      <c r="H738" s="32"/>
      <c r="I738" s="32"/>
    </row>
    <row r="739" spans="6:9" ht="15.75" customHeight="1">
      <c r="F739" s="509"/>
      <c r="G739" s="531"/>
      <c r="H739" s="32"/>
      <c r="I739" s="32"/>
    </row>
    <row r="740" spans="6:9" ht="15.75" customHeight="1">
      <c r="F740" s="509"/>
      <c r="G740" s="531"/>
      <c r="H740" s="32"/>
      <c r="I740" s="32"/>
    </row>
    <row r="741" spans="6:9" ht="15.75" customHeight="1">
      <c r="F741" s="509"/>
      <c r="G741" s="531"/>
      <c r="H741" s="32"/>
      <c r="I741" s="32"/>
    </row>
    <row r="742" spans="6:9" ht="15.75" customHeight="1">
      <c r="F742" s="509"/>
      <c r="G742" s="531"/>
      <c r="H742" s="32"/>
      <c r="I742" s="32"/>
    </row>
    <row r="743" spans="6:9" ht="15.75" customHeight="1">
      <c r="F743" s="509"/>
      <c r="G743" s="531"/>
      <c r="H743" s="32"/>
      <c r="I743" s="32"/>
    </row>
    <row r="744" spans="6:9" ht="15.75" customHeight="1">
      <c r="F744" s="509"/>
      <c r="G744" s="531"/>
      <c r="H744" s="32"/>
      <c r="I744" s="32"/>
    </row>
    <row r="745" spans="6:9" ht="15.75" customHeight="1">
      <c r="F745" s="509"/>
      <c r="G745" s="531"/>
      <c r="H745" s="32"/>
      <c r="I745" s="32"/>
    </row>
    <row r="746" spans="6:9" ht="15.75" customHeight="1">
      <c r="F746" s="509"/>
      <c r="G746" s="531"/>
      <c r="H746" s="32"/>
      <c r="I746" s="32"/>
    </row>
    <row r="747" spans="6:9" ht="15.75" customHeight="1">
      <c r="F747" s="509"/>
      <c r="G747" s="531"/>
      <c r="H747" s="32"/>
      <c r="I747" s="32"/>
    </row>
    <row r="748" spans="6:9" ht="15.75" customHeight="1">
      <c r="F748" s="509"/>
      <c r="G748" s="531"/>
      <c r="H748" s="32"/>
      <c r="I748" s="32"/>
    </row>
    <row r="749" spans="6:9" ht="15.75" customHeight="1">
      <c r="F749" s="509"/>
      <c r="G749" s="531"/>
      <c r="H749" s="32"/>
      <c r="I749" s="32"/>
    </row>
    <row r="750" spans="6:9" ht="15.75" customHeight="1">
      <c r="F750" s="509"/>
      <c r="G750" s="531"/>
      <c r="H750" s="32"/>
      <c r="I750" s="32"/>
    </row>
    <row r="751" spans="6:9" ht="15.75" customHeight="1">
      <c r="F751" s="509"/>
      <c r="G751" s="531"/>
      <c r="H751" s="32"/>
      <c r="I751" s="32"/>
    </row>
    <row r="752" spans="6:9" ht="15.75" customHeight="1">
      <c r="F752" s="509"/>
      <c r="G752" s="531"/>
      <c r="H752" s="32"/>
      <c r="I752" s="32"/>
    </row>
    <row r="753" spans="6:9" ht="15.75" customHeight="1">
      <c r="F753" s="509"/>
      <c r="G753" s="531"/>
      <c r="H753" s="32"/>
      <c r="I753" s="32"/>
    </row>
    <row r="754" spans="6:9" ht="15.75" customHeight="1">
      <c r="F754" s="509"/>
      <c r="G754" s="531"/>
      <c r="H754" s="32"/>
      <c r="I754" s="32"/>
    </row>
    <row r="755" spans="6:9" ht="15.75" customHeight="1">
      <c r="F755" s="509"/>
      <c r="G755" s="531"/>
      <c r="H755" s="32"/>
      <c r="I755" s="32"/>
    </row>
    <row r="756" spans="6:9" ht="15.75" customHeight="1">
      <c r="F756" s="509"/>
      <c r="G756" s="531"/>
      <c r="H756" s="32"/>
      <c r="I756" s="32"/>
    </row>
    <row r="757" spans="6:9" ht="15.75" customHeight="1">
      <c r="F757" s="509"/>
      <c r="G757" s="531"/>
      <c r="H757" s="32"/>
      <c r="I757" s="32"/>
    </row>
    <row r="758" spans="6:9" ht="15.75" customHeight="1">
      <c r="F758" s="509"/>
      <c r="G758" s="531"/>
      <c r="H758" s="32"/>
      <c r="I758" s="32"/>
    </row>
    <row r="759" spans="6:9" ht="15.75" customHeight="1">
      <c r="F759" s="509"/>
      <c r="G759" s="531"/>
      <c r="H759" s="32"/>
      <c r="I759" s="32"/>
    </row>
    <row r="760" spans="6:9" ht="15.75" customHeight="1">
      <c r="F760" s="509"/>
      <c r="G760" s="531"/>
      <c r="H760" s="32"/>
      <c r="I760" s="32"/>
    </row>
    <row r="761" spans="6:9" ht="15.75" customHeight="1">
      <c r="F761" s="509"/>
      <c r="G761" s="531"/>
      <c r="H761" s="32"/>
      <c r="I761" s="32"/>
    </row>
    <row r="762" spans="6:9" ht="15.75" customHeight="1">
      <c r="F762" s="509"/>
      <c r="G762" s="531"/>
      <c r="H762" s="32"/>
      <c r="I762" s="32"/>
    </row>
    <row r="763" spans="6:9" ht="15.75" customHeight="1">
      <c r="F763" s="509"/>
      <c r="G763" s="531"/>
      <c r="H763" s="32"/>
      <c r="I763" s="32"/>
    </row>
    <row r="764" spans="6:9" ht="15.75" customHeight="1">
      <c r="F764" s="509"/>
      <c r="G764" s="531"/>
      <c r="H764" s="32"/>
      <c r="I764" s="32"/>
    </row>
    <row r="765" spans="6:9" ht="15.75" customHeight="1">
      <c r="F765" s="509"/>
      <c r="G765" s="531"/>
      <c r="H765" s="32"/>
      <c r="I765" s="32"/>
    </row>
    <row r="766" spans="6:9" ht="15.75" customHeight="1">
      <c r="F766" s="509"/>
      <c r="G766" s="531"/>
      <c r="H766" s="32"/>
      <c r="I766" s="32"/>
    </row>
    <row r="767" spans="6:9" ht="15.75" customHeight="1">
      <c r="F767" s="509"/>
      <c r="G767" s="531"/>
      <c r="H767" s="32"/>
      <c r="I767" s="32"/>
    </row>
    <row r="768" spans="6:9" ht="15.75" customHeight="1">
      <c r="F768" s="509"/>
      <c r="G768" s="531"/>
      <c r="H768" s="32"/>
      <c r="I768" s="32"/>
    </row>
    <row r="769" spans="6:9" ht="15.75" customHeight="1">
      <c r="F769" s="509"/>
      <c r="G769" s="531"/>
      <c r="H769" s="32"/>
      <c r="I769" s="32"/>
    </row>
    <row r="770" spans="6:9" ht="15.75" customHeight="1">
      <c r="F770" s="509"/>
      <c r="G770" s="531"/>
      <c r="H770" s="32"/>
      <c r="I770" s="32"/>
    </row>
    <row r="771" spans="6:9" ht="15.75" customHeight="1">
      <c r="F771" s="509"/>
      <c r="G771" s="531"/>
      <c r="H771" s="32"/>
      <c r="I771" s="32"/>
    </row>
    <row r="772" spans="6:9" ht="15.75" customHeight="1">
      <c r="F772" s="509"/>
      <c r="G772" s="531"/>
      <c r="H772" s="32"/>
      <c r="I772" s="32"/>
    </row>
    <row r="773" spans="6:9" ht="15.75" customHeight="1">
      <c r="F773" s="509"/>
      <c r="G773" s="531"/>
      <c r="H773" s="32"/>
      <c r="I773" s="32"/>
    </row>
    <row r="774" spans="6:9" ht="15.75" customHeight="1">
      <c r="F774" s="509"/>
      <c r="G774" s="531"/>
      <c r="H774" s="32"/>
      <c r="I774" s="32"/>
    </row>
    <row r="775" spans="6:9" ht="15.75" customHeight="1">
      <c r="F775" s="509"/>
      <c r="G775" s="531"/>
      <c r="H775" s="32"/>
      <c r="I775" s="32"/>
    </row>
    <row r="776" spans="6:9" ht="15.75" customHeight="1">
      <c r="F776" s="509"/>
      <c r="G776" s="531"/>
      <c r="H776" s="32"/>
      <c r="I776" s="32"/>
    </row>
    <row r="777" spans="6:9" ht="15.75" customHeight="1">
      <c r="F777" s="509"/>
      <c r="G777" s="531"/>
      <c r="H777" s="32"/>
      <c r="I777" s="32"/>
    </row>
    <row r="778" spans="6:9" ht="15.75" customHeight="1">
      <c r="F778" s="509"/>
      <c r="G778" s="531"/>
      <c r="H778" s="32"/>
      <c r="I778" s="32"/>
    </row>
    <row r="779" spans="6:9" ht="15.75" customHeight="1">
      <c r="F779" s="509"/>
      <c r="G779" s="531"/>
      <c r="H779" s="32"/>
      <c r="I779" s="32"/>
    </row>
    <row r="780" spans="6:9" ht="15.75" customHeight="1">
      <c r="F780" s="509"/>
      <c r="G780" s="531"/>
      <c r="H780" s="32"/>
      <c r="I780" s="32"/>
    </row>
    <row r="781" spans="6:9" ht="15.75" customHeight="1">
      <c r="F781" s="509"/>
      <c r="G781" s="531"/>
      <c r="H781" s="32"/>
      <c r="I781" s="32"/>
    </row>
    <row r="782" spans="6:9" ht="15.75" customHeight="1">
      <c r="F782" s="509"/>
      <c r="G782" s="531"/>
      <c r="H782" s="32"/>
      <c r="I782" s="32"/>
    </row>
    <row r="783" spans="6:9" ht="15.75" customHeight="1">
      <c r="F783" s="509"/>
      <c r="G783" s="531"/>
      <c r="H783" s="32"/>
      <c r="I783" s="32"/>
    </row>
    <row r="784" spans="6:9" ht="15.75" customHeight="1">
      <c r="F784" s="509"/>
      <c r="G784" s="531"/>
      <c r="H784" s="32"/>
      <c r="I784" s="32"/>
    </row>
    <row r="785" spans="6:9" ht="15.75" customHeight="1">
      <c r="F785" s="509"/>
      <c r="G785" s="531"/>
      <c r="H785" s="32"/>
      <c r="I785" s="32"/>
    </row>
    <row r="786" spans="6:9" ht="15.75" customHeight="1">
      <c r="F786" s="509"/>
      <c r="G786" s="531"/>
      <c r="H786" s="32"/>
      <c r="I786" s="32"/>
    </row>
    <row r="787" spans="6:9" ht="15.75" customHeight="1">
      <c r="F787" s="509"/>
      <c r="G787" s="531"/>
      <c r="H787" s="32"/>
      <c r="I787" s="32"/>
    </row>
    <row r="788" spans="6:9" ht="15.75" customHeight="1">
      <c r="F788" s="509"/>
      <c r="G788" s="531"/>
      <c r="H788" s="32"/>
      <c r="I788" s="32"/>
    </row>
    <row r="789" spans="6:9" ht="15.75" customHeight="1">
      <c r="F789" s="509"/>
      <c r="G789" s="531"/>
      <c r="H789" s="32"/>
      <c r="I789" s="32"/>
    </row>
    <row r="790" spans="6:9" ht="15.75" customHeight="1">
      <c r="F790" s="509"/>
      <c r="G790" s="531"/>
      <c r="H790" s="32"/>
      <c r="I790" s="32"/>
    </row>
    <row r="791" spans="6:9" ht="15.75" customHeight="1">
      <c r="F791" s="509"/>
      <c r="G791" s="531"/>
      <c r="H791" s="32"/>
      <c r="I791" s="32"/>
    </row>
    <row r="792" spans="6:9" ht="15.75" customHeight="1">
      <c r="F792" s="509"/>
      <c r="G792" s="531"/>
      <c r="H792" s="32"/>
      <c r="I792" s="32"/>
    </row>
    <row r="793" spans="6:9" ht="15.75" customHeight="1">
      <c r="F793" s="509"/>
      <c r="G793" s="531"/>
      <c r="H793" s="32"/>
      <c r="I793" s="32"/>
    </row>
    <row r="794" spans="6:9" ht="15.75" customHeight="1">
      <c r="F794" s="509"/>
      <c r="G794" s="531"/>
      <c r="H794" s="32"/>
      <c r="I794" s="32"/>
    </row>
    <row r="795" spans="6:9" ht="15.75" customHeight="1">
      <c r="F795" s="509"/>
      <c r="G795" s="531"/>
      <c r="H795" s="32"/>
      <c r="I795" s="32"/>
    </row>
    <row r="796" spans="6:9" ht="15.75" customHeight="1">
      <c r="F796" s="509"/>
      <c r="G796" s="531"/>
      <c r="H796" s="32"/>
      <c r="I796" s="32"/>
    </row>
    <row r="797" spans="6:9" ht="15.75" customHeight="1">
      <c r="F797" s="509"/>
      <c r="G797" s="531"/>
      <c r="H797" s="32"/>
      <c r="I797" s="32"/>
    </row>
    <row r="798" spans="6:9" ht="15.75" customHeight="1">
      <c r="F798" s="509"/>
      <c r="G798" s="531"/>
      <c r="H798" s="32"/>
      <c r="I798" s="32"/>
    </row>
    <row r="799" spans="6:9" ht="15.75" customHeight="1">
      <c r="F799" s="509"/>
      <c r="G799" s="531"/>
      <c r="H799" s="32"/>
      <c r="I799" s="32"/>
    </row>
    <row r="800" spans="6:9" ht="15.75" customHeight="1">
      <c r="F800" s="509"/>
      <c r="G800" s="531"/>
      <c r="H800" s="32"/>
      <c r="I800" s="32"/>
    </row>
    <row r="801" spans="6:9" ht="15.75" customHeight="1">
      <c r="F801" s="509"/>
      <c r="G801" s="531"/>
      <c r="H801" s="32"/>
      <c r="I801" s="32"/>
    </row>
    <row r="802" spans="6:9" ht="15.75" customHeight="1">
      <c r="F802" s="509"/>
      <c r="G802" s="531"/>
      <c r="H802" s="32"/>
      <c r="I802" s="32"/>
    </row>
    <row r="803" spans="6:9" ht="15.75" customHeight="1">
      <c r="F803" s="509"/>
      <c r="G803" s="531"/>
      <c r="H803" s="32"/>
      <c r="I803" s="32"/>
    </row>
    <row r="804" spans="6:9" ht="15.75" customHeight="1">
      <c r="F804" s="509"/>
      <c r="G804" s="531"/>
      <c r="H804" s="32"/>
      <c r="I804" s="32"/>
    </row>
    <row r="805" spans="6:9" ht="15.75" customHeight="1">
      <c r="F805" s="509"/>
      <c r="G805" s="531"/>
      <c r="H805" s="32"/>
      <c r="I805" s="32"/>
    </row>
    <row r="806" spans="6:9" ht="15.75" customHeight="1">
      <c r="F806" s="509"/>
      <c r="G806" s="531"/>
      <c r="H806" s="32"/>
      <c r="I806" s="32"/>
    </row>
    <row r="807" spans="6:9" ht="15.75" customHeight="1">
      <c r="F807" s="509"/>
      <c r="G807" s="531"/>
      <c r="H807" s="32"/>
      <c r="I807" s="32"/>
    </row>
    <row r="808" spans="6:9" ht="15.75" customHeight="1">
      <c r="F808" s="509"/>
      <c r="G808" s="531"/>
      <c r="H808" s="32"/>
      <c r="I808" s="32"/>
    </row>
    <row r="809" spans="6:9" ht="15.75" customHeight="1">
      <c r="F809" s="509"/>
      <c r="G809" s="531"/>
      <c r="H809" s="32"/>
      <c r="I809" s="32"/>
    </row>
    <row r="810" spans="6:9" ht="15.75" customHeight="1">
      <c r="F810" s="509"/>
      <c r="G810" s="531"/>
      <c r="H810" s="32"/>
      <c r="I810" s="32"/>
    </row>
    <row r="811" spans="6:9" ht="15.75" customHeight="1">
      <c r="F811" s="509"/>
      <c r="G811" s="531"/>
      <c r="H811" s="32"/>
      <c r="I811" s="32"/>
    </row>
    <row r="812" spans="6:9" ht="15.75" customHeight="1">
      <c r="F812" s="509"/>
      <c r="G812" s="531"/>
      <c r="H812" s="32"/>
      <c r="I812" s="32"/>
    </row>
    <row r="813" spans="6:9" ht="15.75" customHeight="1">
      <c r="F813" s="509"/>
      <c r="G813" s="531"/>
      <c r="H813" s="32"/>
      <c r="I813" s="32"/>
    </row>
    <row r="814" spans="6:9" ht="15.75" customHeight="1">
      <c r="F814" s="509"/>
      <c r="G814" s="531"/>
      <c r="H814" s="32"/>
      <c r="I814" s="32"/>
    </row>
    <row r="815" spans="6:9" ht="15.75" customHeight="1">
      <c r="F815" s="509"/>
      <c r="G815" s="531"/>
      <c r="H815" s="32"/>
      <c r="I815" s="32"/>
    </row>
    <row r="816" spans="6:9" ht="15.75" customHeight="1">
      <c r="F816" s="509"/>
      <c r="G816" s="531"/>
      <c r="H816" s="32"/>
      <c r="I816" s="32"/>
    </row>
    <row r="817" spans="6:9" ht="15.75" customHeight="1">
      <c r="F817" s="509"/>
      <c r="G817" s="531"/>
      <c r="H817" s="32"/>
      <c r="I817" s="32"/>
    </row>
    <row r="818" spans="6:9" ht="15.75" customHeight="1">
      <c r="F818" s="509"/>
      <c r="G818" s="531"/>
      <c r="H818" s="32"/>
      <c r="I818" s="32"/>
    </row>
    <row r="819" spans="6:9" ht="15.75" customHeight="1">
      <c r="F819" s="509"/>
      <c r="G819" s="531"/>
      <c r="H819" s="32"/>
      <c r="I819" s="32"/>
    </row>
    <row r="820" spans="6:9" ht="15.75" customHeight="1">
      <c r="F820" s="509"/>
      <c r="G820" s="531"/>
      <c r="H820" s="32"/>
      <c r="I820" s="32"/>
    </row>
    <row r="821" spans="6:9" ht="15.75" customHeight="1">
      <c r="F821" s="509"/>
      <c r="G821" s="531"/>
      <c r="H821" s="32"/>
      <c r="I821" s="32"/>
    </row>
    <row r="822" spans="6:9" ht="15.75" customHeight="1">
      <c r="F822" s="509"/>
      <c r="G822" s="531"/>
      <c r="H822" s="32"/>
      <c r="I822" s="32"/>
    </row>
    <row r="823" spans="6:9" ht="15.75" customHeight="1">
      <c r="F823" s="509"/>
      <c r="G823" s="531"/>
      <c r="H823" s="32"/>
      <c r="I823" s="32"/>
    </row>
    <row r="824" spans="6:9" ht="15.75" customHeight="1">
      <c r="F824" s="509"/>
      <c r="G824" s="531"/>
      <c r="H824" s="32"/>
      <c r="I824" s="32"/>
    </row>
    <row r="825" spans="6:9" ht="15.75" customHeight="1">
      <c r="F825" s="509"/>
      <c r="G825" s="531"/>
      <c r="H825" s="32"/>
      <c r="I825" s="32"/>
    </row>
    <row r="826" spans="6:9" ht="15.75" customHeight="1">
      <c r="F826" s="509"/>
      <c r="G826" s="531"/>
      <c r="H826" s="32"/>
      <c r="I826" s="32"/>
    </row>
    <row r="827" spans="6:9" ht="15.75" customHeight="1">
      <c r="F827" s="509"/>
      <c r="G827" s="531"/>
      <c r="H827" s="32"/>
      <c r="I827" s="32"/>
    </row>
    <row r="828" spans="6:9" ht="15.75" customHeight="1">
      <c r="F828" s="509"/>
      <c r="G828" s="531"/>
      <c r="H828" s="32"/>
      <c r="I828" s="32"/>
    </row>
    <row r="829" spans="6:9" ht="15.75" customHeight="1">
      <c r="F829" s="509"/>
      <c r="G829" s="531"/>
      <c r="H829" s="32"/>
      <c r="I829" s="32"/>
    </row>
    <row r="830" spans="6:9" ht="15.75" customHeight="1">
      <c r="F830" s="509"/>
      <c r="G830" s="531"/>
      <c r="H830" s="32"/>
      <c r="I830" s="32"/>
    </row>
    <row r="831" spans="6:9" ht="15.75" customHeight="1">
      <c r="F831" s="509"/>
      <c r="G831" s="531"/>
      <c r="H831" s="32"/>
      <c r="I831" s="32"/>
    </row>
    <row r="832" spans="6:9" ht="15.75" customHeight="1">
      <c r="F832" s="509"/>
      <c r="G832" s="531"/>
      <c r="H832" s="32"/>
      <c r="I832" s="32"/>
    </row>
    <row r="833" spans="6:9" ht="15.75" customHeight="1">
      <c r="F833" s="509"/>
      <c r="G833" s="531"/>
      <c r="H833" s="32"/>
      <c r="I833" s="32"/>
    </row>
    <row r="834" spans="6:9" ht="15.75" customHeight="1">
      <c r="F834" s="509"/>
      <c r="G834" s="531"/>
      <c r="H834" s="32"/>
      <c r="I834" s="32"/>
    </row>
    <row r="835" spans="6:9" ht="15.75" customHeight="1">
      <c r="F835" s="509"/>
      <c r="G835" s="531"/>
      <c r="H835" s="32"/>
      <c r="I835" s="32"/>
    </row>
    <row r="836" spans="6:9" ht="15.75" customHeight="1">
      <c r="F836" s="509"/>
      <c r="G836" s="531"/>
      <c r="H836" s="32"/>
      <c r="I836" s="32"/>
    </row>
    <row r="837" spans="6:9" ht="15.75" customHeight="1">
      <c r="F837" s="509"/>
      <c r="G837" s="531"/>
      <c r="H837" s="32"/>
      <c r="I837" s="32"/>
    </row>
    <row r="838" spans="6:9" ht="15.75" customHeight="1">
      <c r="F838" s="509"/>
      <c r="G838" s="531"/>
      <c r="H838" s="32"/>
      <c r="I838" s="32"/>
    </row>
    <row r="839" spans="6:9" ht="15.75" customHeight="1">
      <c r="F839" s="509"/>
      <c r="G839" s="531"/>
      <c r="H839" s="32"/>
      <c r="I839" s="32"/>
    </row>
    <row r="840" spans="6:9" ht="15.75" customHeight="1">
      <c r="F840" s="509"/>
      <c r="G840" s="531"/>
      <c r="H840" s="32"/>
      <c r="I840" s="32"/>
    </row>
    <row r="841" spans="6:9" ht="15.75" customHeight="1">
      <c r="F841" s="509"/>
      <c r="G841" s="531"/>
      <c r="H841" s="32"/>
      <c r="I841" s="32"/>
    </row>
    <row r="842" spans="6:9" ht="15.75" customHeight="1">
      <c r="F842" s="509"/>
      <c r="G842" s="531"/>
      <c r="H842" s="32"/>
      <c r="I842" s="32"/>
    </row>
    <row r="843" spans="6:9" ht="15.75" customHeight="1">
      <c r="F843" s="509"/>
      <c r="G843" s="531"/>
      <c r="H843" s="32"/>
      <c r="I843" s="32"/>
    </row>
    <row r="844" spans="6:9" ht="15.75" customHeight="1">
      <c r="F844" s="509"/>
      <c r="G844" s="531"/>
      <c r="H844" s="32"/>
      <c r="I844" s="32"/>
    </row>
    <row r="845" spans="6:9" ht="15.75" customHeight="1">
      <c r="F845" s="509"/>
      <c r="G845" s="531"/>
      <c r="H845" s="32"/>
      <c r="I845" s="32"/>
    </row>
    <row r="846" spans="6:9" ht="15.75" customHeight="1">
      <c r="F846" s="509"/>
      <c r="G846" s="531"/>
      <c r="H846" s="32"/>
      <c r="I846" s="32"/>
    </row>
    <row r="847" spans="6:9" ht="15.75" customHeight="1">
      <c r="F847" s="509"/>
      <c r="G847" s="531"/>
      <c r="H847" s="32"/>
      <c r="I847" s="32"/>
    </row>
    <row r="848" spans="6:9" ht="15.75" customHeight="1">
      <c r="F848" s="509"/>
      <c r="G848" s="531"/>
      <c r="H848" s="32"/>
      <c r="I848" s="32"/>
    </row>
    <row r="849" spans="6:9" ht="15.75" customHeight="1">
      <c r="F849" s="509"/>
      <c r="G849" s="531"/>
      <c r="H849" s="32"/>
      <c r="I849" s="32"/>
    </row>
    <row r="850" spans="6:9" ht="15.75" customHeight="1">
      <c r="F850" s="509"/>
      <c r="G850" s="531"/>
      <c r="H850" s="32"/>
      <c r="I850" s="32"/>
    </row>
    <row r="851" spans="6:9" ht="15.75" customHeight="1">
      <c r="F851" s="509"/>
      <c r="G851" s="531"/>
      <c r="H851" s="32"/>
      <c r="I851" s="32"/>
    </row>
    <row r="852" spans="6:9" ht="15.75" customHeight="1">
      <c r="F852" s="509"/>
      <c r="G852" s="531"/>
      <c r="H852" s="32"/>
      <c r="I852" s="32"/>
    </row>
    <row r="853" spans="6:9" ht="15.75" customHeight="1">
      <c r="F853" s="509"/>
      <c r="G853" s="531"/>
      <c r="H853" s="32"/>
      <c r="I853" s="32"/>
    </row>
    <row r="854" spans="6:9" ht="15.75" customHeight="1">
      <c r="F854" s="509"/>
      <c r="G854" s="531"/>
      <c r="H854" s="32"/>
      <c r="I854" s="32"/>
    </row>
    <row r="855" spans="6:9" ht="15.75" customHeight="1">
      <c r="F855" s="509"/>
      <c r="G855" s="531"/>
      <c r="H855" s="32"/>
      <c r="I855" s="32"/>
    </row>
    <row r="856" spans="6:9" ht="15.75" customHeight="1">
      <c r="F856" s="509"/>
      <c r="G856" s="531"/>
      <c r="H856" s="32"/>
      <c r="I856" s="32"/>
    </row>
    <row r="857" spans="6:9" ht="15.75" customHeight="1">
      <c r="F857" s="509"/>
      <c r="G857" s="531"/>
      <c r="H857" s="32"/>
      <c r="I857" s="32"/>
    </row>
    <row r="858" spans="6:9" ht="15.75" customHeight="1">
      <c r="F858" s="509"/>
      <c r="G858" s="531"/>
      <c r="H858" s="32"/>
      <c r="I858" s="32"/>
    </row>
    <row r="859" spans="6:9" ht="15.75" customHeight="1">
      <c r="F859" s="509"/>
      <c r="G859" s="531"/>
      <c r="H859" s="32"/>
      <c r="I859" s="32"/>
    </row>
    <row r="860" spans="6:9" ht="15.75" customHeight="1">
      <c r="F860" s="509"/>
      <c r="G860" s="531"/>
      <c r="H860" s="32"/>
      <c r="I860" s="32"/>
    </row>
    <row r="861" spans="6:9" ht="15.75" customHeight="1">
      <c r="F861" s="509"/>
      <c r="G861" s="531"/>
      <c r="H861" s="32"/>
      <c r="I861" s="32"/>
    </row>
    <row r="862" spans="6:9" ht="15.75" customHeight="1">
      <c r="F862" s="509"/>
      <c r="G862" s="531"/>
      <c r="H862" s="32"/>
      <c r="I862" s="32"/>
    </row>
    <row r="863" spans="6:9" ht="15.75" customHeight="1">
      <c r="F863" s="509"/>
      <c r="G863" s="531"/>
      <c r="H863" s="32"/>
      <c r="I863" s="32"/>
    </row>
    <row r="864" spans="6:9" ht="15.75" customHeight="1">
      <c r="F864" s="509"/>
      <c r="G864" s="531"/>
      <c r="H864" s="32"/>
      <c r="I864" s="32"/>
    </row>
    <row r="865" spans="6:9" ht="15.75" customHeight="1">
      <c r="F865" s="509"/>
      <c r="G865" s="531"/>
      <c r="H865" s="32"/>
      <c r="I865" s="32"/>
    </row>
    <row r="866" spans="6:9" ht="15.75" customHeight="1">
      <c r="F866" s="509"/>
      <c r="G866" s="531"/>
      <c r="H866" s="32"/>
      <c r="I866" s="32"/>
    </row>
    <row r="867" spans="6:9" ht="15.75" customHeight="1">
      <c r="F867" s="509"/>
      <c r="G867" s="531"/>
      <c r="H867" s="32"/>
      <c r="I867" s="32"/>
    </row>
    <row r="868" spans="6:9" ht="15.75" customHeight="1">
      <c r="F868" s="509"/>
      <c r="G868" s="531"/>
      <c r="H868" s="32"/>
      <c r="I868" s="32"/>
    </row>
    <row r="869" spans="6:9" ht="15.75" customHeight="1">
      <c r="F869" s="509"/>
      <c r="G869" s="531"/>
      <c r="H869" s="32"/>
      <c r="I869" s="32"/>
    </row>
    <row r="870" spans="6:9" ht="15.75" customHeight="1">
      <c r="F870" s="509"/>
      <c r="G870" s="531"/>
      <c r="H870" s="32"/>
      <c r="I870" s="32"/>
    </row>
    <row r="871" spans="6:9" ht="15.75" customHeight="1">
      <c r="F871" s="509"/>
      <c r="G871" s="531"/>
      <c r="H871" s="32"/>
      <c r="I871" s="32"/>
    </row>
    <row r="872" spans="6:9" ht="15.75" customHeight="1">
      <c r="F872" s="509"/>
      <c r="G872" s="531"/>
      <c r="H872" s="32"/>
      <c r="I872" s="32"/>
    </row>
    <row r="873" spans="6:9" ht="15.75" customHeight="1">
      <c r="F873" s="509"/>
      <c r="G873" s="531"/>
      <c r="H873" s="32"/>
      <c r="I873" s="32"/>
    </row>
    <row r="874" spans="6:9" ht="15.75" customHeight="1">
      <c r="F874" s="509"/>
      <c r="G874" s="531"/>
      <c r="H874" s="32"/>
      <c r="I874" s="32"/>
    </row>
    <row r="875" spans="6:9" ht="15.75" customHeight="1">
      <c r="F875" s="509"/>
      <c r="G875" s="531"/>
      <c r="H875" s="32"/>
      <c r="I875" s="32"/>
    </row>
    <row r="876" spans="6:9" ht="15.75" customHeight="1">
      <c r="F876" s="509"/>
      <c r="G876" s="531"/>
      <c r="H876" s="32"/>
      <c r="I876" s="32"/>
    </row>
    <row r="877" spans="6:9" ht="15.75" customHeight="1">
      <c r="F877" s="509"/>
      <c r="G877" s="531"/>
      <c r="H877" s="32"/>
      <c r="I877" s="32"/>
    </row>
    <row r="878" spans="6:9" ht="15.75" customHeight="1">
      <c r="F878" s="509"/>
      <c r="G878" s="531"/>
      <c r="H878" s="32"/>
      <c r="I878" s="32"/>
    </row>
    <row r="879" spans="6:9" ht="15.75" customHeight="1">
      <c r="F879" s="509"/>
      <c r="G879" s="531"/>
      <c r="H879" s="32"/>
      <c r="I879" s="32"/>
    </row>
    <row r="880" spans="6:9" ht="15.75" customHeight="1">
      <c r="F880" s="509"/>
      <c r="G880" s="531"/>
      <c r="H880" s="32"/>
      <c r="I880" s="32"/>
    </row>
    <row r="881" spans="6:9" ht="15.75" customHeight="1">
      <c r="F881" s="509"/>
      <c r="G881" s="531"/>
      <c r="H881" s="32"/>
      <c r="I881" s="32"/>
    </row>
    <row r="882" spans="6:9" ht="15.75" customHeight="1">
      <c r="F882" s="509"/>
      <c r="G882" s="531"/>
      <c r="H882" s="32"/>
      <c r="I882" s="32"/>
    </row>
    <row r="883" spans="6:9" ht="15.75" customHeight="1">
      <c r="F883" s="509"/>
      <c r="G883" s="531"/>
      <c r="H883" s="32"/>
      <c r="I883" s="32"/>
    </row>
    <row r="884" spans="6:9" ht="15.75" customHeight="1">
      <c r="F884" s="509"/>
      <c r="G884" s="531"/>
      <c r="H884" s="32"/>
      <c r="I884" s="32"/>
    </row>
    <row r="885" spans="6:9" ht="15.75" customHeight="1">
      <c r="F885" s="509"/>
      <c r="G885" s="531"/>
      <c r="H885" s="32"/>
      <c r="I885" s="32"/>
    </row>
    <row r="886" spans="6:9" ht="15.75" customHeight="1">
      <c r="F886" s="509"/>
      <c r="G886" s="531"/>
      <c r="H886" s="32"/>
      <c r="I886" s="32"/>
    </row>
    <row r="887" spans="6:9" ht="15.75" customHeight="1">
      <c r="F887" s="509"/>
      <c r="G887" s="531"/>
      <c r="H887" s="32"/>
      <c r="I887" s="32"/>
    </row>
    <row r="888" spans="6:9" ht="15.75" customHeight="1">
      <c r="F888" s="509"/>
      <c r="G888" s="531"/>
      <c r="H888" s="32"/>
      <c r="I888" s="32"/>
    </row>
    <row r="889" spans="6:9" ht="15.75" customHeight="1">
      <c r="F889" s="509"/>
      <c r="G889" s="531"/>
      <c r="H889" s="32"/>
      <c r="I889" s="32"/>
    </row>
    <row r="890" spans="6:9" ht="15.75" customHeight="1">
      <c r="F890" s="509"/>
      <c r="G890" s="531"/>
      <c r="H890" s="32"/>
      <c r="I890" s="32"/>
    </row>
    <row r="891" spans="6:9" ht="15.75" customHeight="1">
      <c r="F891" s="509"/>
      <c r="G891" s="531"/>
      <c r="H891" s="32"/>
      <c r="I891" s="32"/>
    </row>
    <row r="892" spans="6:9" ht="15.75" customHeight="1">
      <c r="F892" s="509"/>
      <c r="G892" s="531"/>
      <c r="H892" s="32"/>
      <c r="I892" s="32"/>
    </row>
    <row r="893" spans="6:9" ht="15.75" customHeight="1">
      <c r="F893" s="509"/>
      <c r="G893" s="531"/>
      <c r="H893" s="32"/>
      <c r="I893" s="32"/>
    </row>
    <row r="894" spans="6:9" ht="15.75" customHeight="1">
      <c r="F894" s="509"/>
      <c r="G894" s="531"/>
      <c r="H894" s="32"/>
      <c r="I894" s="32"/>
    </row>
    <row r="895" spans="6:9" ht="15.75" customHeight="1">
      <c r="F895" s="509"/>
      <c r="G895" s="531"/>
      <c r="H895" s="32"/>
      <c r="I895" s="32"/>
    </row>
    <row r="896" spans="6:9" ht="15.75" customHeight="1">
      <c r="F896" s="509"/>
      <c r="G896" s="531"/>
      <c r="H896" s="32"/>
      <c r="I896" s="32"/>
    </row>
    <row r="897" spans="6:9" ht="15.75" customHeight="1">
      <c r="F897" s="509"/>
      <c r="G897" s="531"/>
      <c r="H897" s="32"/>
      <c r="I897" s="32"/>
    </row>
    <row r="898" spans="6:9" ht="15.75" customHeight="1">
      <c r="F898" s="509"/>
      <c r="G898" s="531"/>
      <c r="H898" s="32"/>
      <c r="I898" s="32"/>
    </row>
    <row r="899" spans="6:9" ht="15.75" customHeight="1">
      <c r="F899" s="509"/>
      <c r="G899" s="531"/>
      <c r="H899" s="32"/>
      <c r="I899" s="32"/>
    </row>
    <row r="900" spans="6:9" ht="15.75" customHeight="1">
      <c r="F900" s="509"/>
      <c r="G900" s="531"/>
      <c r="H900" s="32"/>
      <c r="I900" s="32"/>
    </row>
    <row r="901" spans="6:9" ht="15.75" customHeight="1">
      <c r="F901" s="509"/>
      <c r="G901" s="531"/>
      <c r="H901" s="32"/>
      <c r="I901" s="32"/>
    </row>
    <row r="902" spans="6:9" ht="15.75" customHeight="1">
      <c r="F902" s="509"/>
      <c r="G902" s="531"/>
      <c r="H902" s="32"/>
      <c r="I902" s="32"/>
    </row>
    <row r="903" spans="6:9" ht="15.75" customHeight="1">
      <c r="F903" s="509"/>
      <c r="G903" s="531"/>
      <c r="H903" s="32"/>
      <c r="I903" s="32"/>
    </row>
    <row r="904" spans="6:9" ht="15.75" customHeight="1">
      <c r="F904" s="509"/>
      <c r="G904" s="531"/>
      <c r="H904" s="32"/>
      <c r="I904" s="32"/>
    </row>
    <row r="905" spans="6:9" ht="15.75" customHeight="1">
      <c r="F905" s="509"/>
      <c r="G905" s="531"/>
      <c r="H905" s="32"/>
      <c r="I905" s="32"/>
    </row>
    <row r="906" spans="6:9" ht="15.75" customHeight="1">
      <c r="F906" s="509"/>
      <c r="G906" s="531"/>
      <c r="H906" s="32"/>
      <c r="I906" s="32"/>
    </row>
    <row r="907" spans="6:9" ht="15.75" customHeight="1">
      <c r="F907" s="509"/>
      <c r="G907" s="531"/>
      <c r="H907" s="32"/>
      <c r="I907" s="32"/>
    </row>
    <row r="908" spans="6:9" ht="15.75" customHeight="1">
      <c r="F908" s="509"/>
      <c r="G908" s="531"/>
      <c r="H908" s="32"/>
      <c r="I908" s="32"/>
    </row>
    <row r="909" spans="6:9" ht="15.75" customHeight="1">
      <c r="F909" s="509"/>
      <c r="G909" s="531"/>
      <c r="H909" s="32"/>
      <c r="I909" s="32"/>
    </row>
    <row r="910" spans="6:9" ht="15.75" customHeight="1">
      <c r="F910" s="509"/>
      <c r="G910" s="531"/>
      <c r="H910" s="32"/>
      <c r="I910" s="32"/>
    </row>
    <row r="911" spans="6:9" ht="15.75" customHeight="1">
      <c r="F911" s="509"/>
      <c r="G911" s="531"/>
      <c r="H911" s="32"/>
      <c r="I911" s="32"/>
    </row>
    <row r="912" spans="6:9" ht="15.75" customHeight="1">
      <c r="F912" s="509"/>
      <c r="G912" s="531"/>
      <c r="H912" s="32"/>
      <c r="I912" s="32"/>
    </row>
    <row r="913" spans="6:9" ht="15.75" customHeight="1">
      <c r="F913" s="509"/>
      <c r="G913" s="531"/>
      <c r="H913" s="32"/>
      <c r="I913" s="32"/>
    </row>
    <row r="914" spans="6:9" ht="15.75" customHeight="1">
      <c r="F914" s="509"/>
      <c r="G914" s="531"/>
      <c r="H914" s="32"/>
      <c r="I914" s="32"/>
    </row>
    <row r="915" spans="6:9" ht="15.75" customHeight="1">
      <c r="F915" s="509"/>
      <c r="G915" s="531"/>
      <c r="H915" s="32"/>
      <c r="I915" s="32"/>
    </row>
    <row r="916" spans="6:9" ht="15.75" customHeight="1">
      <c r="F916" s="509"/>
      <c r="G916" s="531"/>
      <c r="H916" s="32"/>
      <c r="I916" s="32"/>
    </row>
    <row r="917" spans="6:9" ht="15.75" customHeight="1">
      <c r="F917" s="509"/>
      <c r="G917" s="531"/>
      <c r="H917" s="32"/>
      <c r="I917" s="32"/>
    </row>
    <row r="918" spans="6:9" ht="15.75" customHeight="1">
      <c r="F918" s="509"/>
      <c r="G918" s="531"/>
      <c r="H918" s="32"/>
      <c r="I918" s="32"/>
    </row>
    <row r="919" spans="6:9" ht="15.75" customHeight="1">
      <c r="F919" s="509"/>
      <c r="G919" s="531"/>
      <c r="H919" s="32"/>
      <c r="I919" s="32"/>
    </row>
    <row r="920" spans="6:9" ht="15.75" customHeight="1">
      <c r="F920" s="509"/>
      <c r="G920" s="531"/>
      <c r="H920" s="32"/>
      <c r="I920" s="32"/>
    </row>
    <row r="921" spans="6:9" ht="15.75" customHeight="1">
      <c r="F921" s="509"/>
      <c r="G921" s="531"/>
      <c r="H921" s="32"/>
      <c r="I921" s="32"/>
    </row>
    <row r="922" spans="6:9" ht="15.75" customHeight="1">
      <c r="F922" s="509"/>
      <c r="G922" s="531"/>
      <c r="H922" s="32"/>
      <c r="I922" s="32"/>
    </row>
    <row r="923" spans="6:9" ht="15.75" customHeight="1">
      <c r="F923" s="509"/>
      <c r="G923" s="531"/>
      <c r="H923" s="32"/>
      <c r="I923" s="32"/>
    </row>
    <row r="924" spans="6:9" ht="15.75" customHeight="1">
      <c r="F924" s="509"/>
      <c r="G924" s="531"/>
      <c r="H924" s="32"/>
      <c r="I924" s="32"/>
    </row>
    <row r="925" spans="6:9" ht="15.75" customHeight="1">
      <c r="F925" s="509"/>
      <c r="G925" s="531"/>
      <c r="H925" s="32"/>
      <c r="I925" s="32"/>
    </row>
    <row r="926" spans="6:9" ht="15.75" customHeight="1">
      <c r="F926" s="509"/>
      <c r="G926" s="531"/>
      <c r="H926" s="32"/>
      <c r="I926" s="32"/>
    </row>
    <row r="927" spans="6:9" ht="15.75" customHeight="1">
      <c r="F927" s="509"/>
      <c r="G927" s="531"/>
      <c r="H927" s="32"/>
      <c r="I927" s="32"/>
    </row>
    <row r="928" spans="6:9" ht="15.75" customHeight="1">
      <c r="F928" s="509"/>
      <c r="G928" s="531"/>
      <c r="H928" s="32"/>
      <c r="I928" s="32"/>
    </row>
    <row r="929" spans="6:9" ht="15.75" customHeight="1">
      <c r="F929" s="509"/>
      <c r="G929" s="531"/>
      <c r="H929" s="32"/>
      <c r="I929" s="32"/>
    </row>
    <row r="930" spans="6:9" ht="15.75" customHeight="1">
      <c r="F930" s="509"/>
      <c r="G930" s="531"/>
      <c r="H930" s="32"/>
      <c r="I930" s="32"/>
    </row>
    <row r="931" spans="6:9" ht="15.75" customHeight="1">
      <c r="F931" s="509"/>
      <c r="G931" s="531"/>
      <c r="H931" s="32"/>
      <c r="I931" s="32"/>
    </row>
    <row r="932" spans="6:9" ht="15.75" customHeight="1">
      <c r="F932" s="509"/>
      <c r="G932" s="531"/>
      <c r="H932" s="32"/>
      <c r="I932" s="32"/>
    </row>
    <row r="933" spans="6:9" ht="15.75" customHeight="1">
      <c r="F933" s="509"/>
      <c r="G933" s="531"/>
      <c r="H933" s="32"/>
      <c r="I933" s="32"/>
    </row>
    <row r="934" spans="6:9" ht="15.75" customHeight="1">
      <c r="F934" s="509"/>
      <c r="G934" s="531"/>
      <c r="H934" s="32"/>
      <c r="I934" s="32"/>
    </row>
    <row r="935" spans="6:9" ht="15.75" customHeight="1">
      <c r="F935" s="509"/>
      <c r="G935" s="531"/>
      <c r="H935" s="32"/>
      <c r="I935" s="32"/>
    </row>
    <row r="936" spans="6:9" ht="15.75" customHeight="1">
      <c r="F936" s="509"/>
      <c r="G936" s="531"/>
      <c r="H936" s="32"/>
      <c r="I936" s="32"/>
    </row>
    <row r="937" spans="6:9" ht="15.75" customHeight="1">
      <c r="F937" s="509"/>
      <c r="G937" s="531"/>
      <c r="H937" s="32"/>
      <c r="I937" s="32"/>
    </row>
    <row r="938" spans="6:9" ht="15.75" customHeight="1">
      <c r="F938" s="509"/>
      <c r="G938" s="531"/>
      <c r="H938" s="32"/>
      <c r="I938" s="32"/>
    </row>
    <row r="939" spans="6:9" ht="15.75" customHeight="1">
      <c r="F939" s="509"/>
      <c r="G939" s="531"/>
      <c r="H939" s="32"/>
      <c r="I939" s="32"/>
    </row>
    <row r="940" spans="6:9" ht="15.75" customHeight="1">
      <c r="F940" s="509"/>
      <c r="G940" s="531"/>
      <c r="H940" s="32"/>
      <c r="I940" s="32"/>
    </row>
    <row r="941" spans="6:9" ht="15.75" customHeight="1">
      <c r="F941" s="509"/>
      <c r="G941" s="531"/>
      <c r="H941" s="32"/>
      <c r="I941" s="32"/>
    </row>
    <row r="942" spans="6:9" ht="15.75" customHeight="1">
      <c r="F942" s="509"/>
      <c r="G942" s="531"/>
      <c r="H942" s="32"/>
      <c r="I942" s="32"/>
    </row>
    <row r="943" spans="6:9" ht="15.75" customHeight="1">
      <c r="F943" s="509"/>
      <c r="G943" s="531"/>
      <c r="H943" s="32"/>
      <c r="I943" s="32"/>
    </row>
    <row r="944" spans="6:9" ht="15.75" customHeight="1">
      <c r="F944" s="509"/>
      <c r="G944" s="531"/>
      <c r="H944" s="32"/>
      <c r="I944" s="32"/>
    </row>
    <row r="945" spans="6:9" ht="15.75" customHeight="1">
      <c r="F945" s="509"/>
      <c r="G945" s="531"/>
      <c r="H945" s="32"/>
      <c r="I945" s="32"/>
    </row>
    <row r="946" spans="6:9" ht="15.75" customHeight="1">
      <c r="F946" s="509"/>
      <c r="G946" s="531"/>
      <c r="H946" s="32"/>
      <c r="I946" s="32"/>
    </row>
    <row r="947" spans="6:9" ht="15.75" customHeight="1">
      <c r="F947" s="509"/>
      <c r="G947" s="531"/>
      <c r="H947" s="32"/>
      <c r="I947" s="32"/>
    </row>
    <row r="948" spans="6:9" ht="15.75" customHeight="1">
      <c r="F948" s="509"/>
      <c r="G948" s="531"/>
      <c r="H948" s="32"/>
      <c r="I948" s="32"/>
    </row>
    <row r="949" spans="6:9" ht="15.75" customHeight="1">
      <c r="F949" s="509"/>
      <c r="G949" s="531"/>
      <c r="H949" s="32"/>
      <c r="I949" s="32"/>
    </row>
    <row r="950" spans="6:9" ht="15.75" customHeight="1">
      <c r="F950" s="509"/>
      <c r="G950" s="531"/>
      <c r="H950" s="32"/>
      <c r="I950" s="32"/>
    </row>
    <row r="951" spans="6:9" ht="15.75" customHeight="1">
      <c r="F951" s="509"/>
      <c r="G951" s="531"/>
      <c r="H951" s="32"/>
      <c r="I951" s="32"/>
    </row>
    <row r="952" spans="6:9" ht="15.75" customHeight="1">
      <c r="F952" s="509"/>
      <c r="G952" s="531"/>
      <c r="H952" s="32"/>
      <c r="I952" s="32"/>
    </row>
    <row r="953" spans="6:9" ht="15.75" customHeight="1">
      <c r="F953" s="509"/>
      <c r="G953" s="531"/>
      <c r="H953" s="32"/>
      <c r="I953" s="32"/>
    </row>
    <row r="954" spans="6:9" ht="15.75" customHeight="1">
      <c r="F954" s="509"/>
      <c r="G954" s="531"/>
      <c r="H954" s="32"/>
      <c r="I954" s="32"/>
    </row>
    <row r="955" spans="6:9" ht="15.75" customHeight="1">
      <c r="F955" s="509"/>
      <c r="G955" s="531"/>
      <c r="H955" s="32"/>
      <c r="I955" s="32"/>
    </row>
    <row r="956" spans="6:9" ht="15.75" customHeight="1">
      <c r="F956" s="509"/>
      <c r="G956" s="531"/>
      <c r="H956" s="32"/>
      <c r="I956" s="32"/>
    </row>
    <row r="957" spans="6:9" ht="15.75" customHeight="1">
      <c r="F957" s="509"/>
      <c r="G957" s="531"/>
      <c r="H957" s="32"/>
      <c r="I957" s="32"/>
    </row>
    <row r="958" spans="6:9" ht="15.75" customHeight="1">
      <c r="F958" s="509"/>
      <c r="G958" s="531"/>
      <c r="H958" s="32"/>
      <c r="I958" s="32"/>
    </row>
    <row r="959" spans="6:9" ht="15.75" customHeight="1">
      <c r="F959" s="509"/>
      <c r="G959" s="531"/>
      <c r="H959" s="32"/>
      <c r="I959" s="32"/>
    </row>
    <row r="960" spans="6:9" ht="15.75" customHeight="1">
      <c r="F960" s="509"/>
      <c r="G960" s="531"/>
      <c r="H960" s="32"/>
      <c r="I960" s="32"/>
    </row>
    <row r="961" spans="6:9" ht="15.75" customHeight="1">
      <c r="F961" s="509"/>
      <c r="G961" s="531"/>
      <c r="H961" s="32"/>
      <c r="I961" s="32"/>
    </row>
    <row r="962" spans="6:9" ht="15.75" customHeight="1">
      <c r="F962" s="509"/>
      <c r="G962" s="531"/>
      <c r="H962" s="32"/>
      <c r="I962" s="32"/>
    </row>
    <row r="963" spans="6:9" ht="15.75" customHeight="1">
      <c r="F963" s="509"/>
      <c r="G963" s="531"/>
      <c r="H963" s="32"/>
      <c r="I963" s="32"/>
    </row>
    <row r="964" spans="6:9" ht="15.75" customHeight="1">
      <c r="F964" s="509"/>
      <c r="G964" s="531"/>
      <c r="H964" s="32"/>
      <c r="I964" s="32"/>
    </row>
    <row r="965" spans="6:9" ht="15.75" customHeight="1">
      <c r="F965" s="509"/>
      <c r="G965" s="531"/>
      <c r="H965" s="32"/>
      <c r="I965" s="32"/>
    </row>
    <row r="966" spans="6:9" ht="15.75" customHeight="1">
      <c r="F966" s="509"/>
      <c r="G966" s="531"/>
      <c r="H966" s="32"/>
      <c r="I966" s="32"/>
    </row>
    <row r="967" spans="6:9" ht="15.75" customHeight="1">
      <c r="F967" s="509"/>
      <c r="G967" s="531"/>
      <c r="H967" s="32"/>
      <c r="I967" s="32"/>
    </row>
    <row r="968" spans="6:9" ht="15.75" customHeight="1">
      <c r="F968" s="509"/>
      <c r="G968" s="531"/>
      <c r="H968" s="32"/>
      <c r="I968" s="32"/>
    </row>
    <row r="969" spans="6:9" ht="15.75" customHeight="1">
      <c r="F969" s="509"/>
      <c r="G969" s="531"/>
      <c r="H969" s="32"/>
      <c r="I969" s="32"/>
    </row>
    <row r="970" spans="6:9" ht="15.75" customHeight="1">
      <c r="F970" s="509"/>
      <c r="G970" s="531"/>
      <c r="H970" s="32"/>
      <c r="I970" s="32"/>
    </row>
    <row r="971" spans="6:9" ht="15.75" customHeight="1">
      <c r="F971" s="509"/>
      <c r="G971" s="531"/>
      <c r="H971" s="32"/>
      <c r="I971" s="32"/>
    </row>
    <row r="972" spans="6:9" ht="15.75" customHeight="1">
      <c r="F972" s="509"/>
      <c r="G972" s="531"/>
      <c r="H972" s="32"/>
      <c r="I972" s="32"/>
    </row>
    <row r="973" spans="6:9" ht="15.75" customHeight="1">
      <c r="F973" s="509"/>
      <c r="G973" s="531"/>
      <c r="H973" s="32"/>
      <c r="I973" s="32"/>
    </row>
    <row r="974" spans="6:9" ht="15.75" customHeight="1">
      <c r="F974" s="509"/>
      <c r="G974" s="531"/>
      <c r="H974" s="32"/>
      <c r="I974" s="32"/>
    </row>
    <row r="975" spans="6:9" ht="15.75" customHeight="1">
      <c r="F975" s="509"/>
      <c r="G975" s="531"/>
      <c r="H975" s="32"/>
      <c r="I975" s="32"/>
    </row>
    <row r="976" spans="6:9" ht="15.75" customHeight="1">
      <c r="F976" s="509"/>
      <c r="G976" s="531"/>
      <c r="H976" s="32"/>
      <c r="I976" s="32"/>
    </row>
    <row r="977" spans="6:9" ht="15.75" customHeight="1">
      <c r="F977" s="509"/>
      <c r="G977" s="531"/>
      <c r="H977" s="32"/>
      <c r="I977" s="32"/>
    </row>
    <row r="978" spans="6:9" ht="15.75" customHeight="1">
      <c r="F978" s="509"/>
      <c r="G978" s="531"/>
      <c r="H978" s="32"/>
      <c r="I978" s="32"/>
    </row>
    <row r="979" spans="6:9" ht="15.75" customHeight="1">
      <c r="F979" s="509"/>
      <c r="G979" s="531"/>
      <c r="H979" s="32"/>
      <c r="I979" s="32"/>
    </row>
    <row r="980" spans="6:9" ht="15.75" customHeight="1">
      <c r="F980" s="509"/>
      <c r="G980" s="531"/>
      <c r="H980" s="32"/>
      <c r="I980" s="32"/>
    </row>
    <row r="981" spans="6:9" ht="15.75" customHeight="1">
      <c r="F981" s="509"/>
      <c r="G981" s="531"/>
      <c r="H981" s="32"/>
      <c r="I981" s="32"/>
    </row>
    <row r="982" spans="6:9" ht="15.75" customHeight="1">
      <c r="F982" s="509"/>
      <c r="G982" s="531"/>
      <c r="H982" s="32"/>
      <c r="I982" s="32"/>
    </row>
    <row r="983" spans="6:9" ht="15.75" customHeight="1">
      <c r="F983" s="509"/>
      <c r="G983" s="531"/>
      <c r="H983" s="32"/>
      <c r="I983" s="32"/>
    </row>
    <row r="984" spans="6:9" ht="15.75" customHeight="1">
      <c r="F984" s="509"/>
      <c r="G984" s="531"/>
      <c r="H984" s="32"/>
      <c r="I984" s="32"/>
    </row>
    <row r="985" spans="6:9" ht="15.75" customHeight="1">
      <c r="F985" s="509"/>
      <c r="G985" s="531"/>
      <c r="H985" s="32"/>
      <c r="I985" s="32"/>
    </row>
    <row r="986" spans="6:9" ht="15.75" customHeight="1">
      <c r="F986" s="509"/>
      <c r="G986" s="531"/>
      <c r="H986" s="32"/>
      <c r="I986" s="32"/>
    </row>
    <row r="987" spans="6:9" ht="15.75" customHeight="1">
      <c r="F987" s="509"/>
      <c r="G987" s="531"/>
      <c r="H987" s="32"/>
      <c r="I987" s="32"/>
    </row>
    <row r="988" spans="6:9" ht="15.75" customHeight="1">
      <c r="F988" s="509"/>
      <c r="G988" s="531"/>
      <c r="H988" s="32"/>
      <c r="I988" s="32"/>
    </row>
    <row r="989" spans="6:9" ht="15.75" customHeight="1">
      <c r="F989" s="509"/>
      <c r="G989" s="531"/>
      <c r="H989" s="32"/>
      <c r="I989" s="32"/>
    </row>
    <row r="990" spans="6:9" ht="15.75" customHeight="1">
      <c r="F990" s="509"/>
      <c r="G990" s="531"/>
      <c r="H990" s="32"/>
      <c r="I990" s="32"/>
    </row>
    <row r="991" spans="6:9" ht="15.75" customHeight="1">
      <c r="F991" s="509"/>
      <c r="G991" s="531"/>
      <c r="H991" s="32"/>
      <c r="I991" s="32"/>
    </row>
  </sheetData>
  <mergeCells count="1">
    <mergeCell ref="A1:F1"/>
  </mergeCells>
  <pageMargins left="0.7" right="0.7" top="0.75" bottom="0.75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J998"/>
  <sheetViews>
    <sheetView topLeftCell="A184" workbookViewId="0">
      <selection activeCell="G195" sqref="G195"/>
    </sheetView>
  </sheetViews>
  <sheetFormatPr defaultColWidth="14.42578125" defaultRowHeight="15" customHeight="1"/>
  <cols>
    <col min="1" max="1" width="6.5703125" customWidth="1"/>
    <col min="2" max="2" width="22.7109375" style="1259" customWidth="1"/>
    <col min="3" max="3" width="34.7109375" customWidth="1"/>
    <col min="4" max="4" width="15.42578125" customWidth="1"/>
    <col min="5" max="5" width="13.7109375" customWidth="1"/>
    <col min="6" max="6" width="15.85546875" style="1055" customWidth="1"/>
    <col min="7" max="7" width="18.42578125" style="1055" customWidth="1"/>
    <col min="8" max="8" width="29.28515625" customWidth="1"/>
    <col min="9" max="9" width="21.42578125" customWidth="1"/>
    <col min="10" max="26" width="10" customWidth="1"/>
  </cols>
  <sheetData>
    <row r="1" spans="1:10" ht="20.25">
      <c r="A1" s="952" t="s">
        <v>2238</v>
      </c>
      <c r="B1" s="890"/>
      <c r="C1" s="890"/>
      <c r="D1" s="890"/>
      <c r="E1" s="890"/>
      <c r="F1" s="890"/>
      <c r="G1" s="1091"/>
    </row>
    <row r="2" spans="1:10">
      <c r="A2" s="208"/>
      <c r="B2" s="687"/>
      <c r="D2" s="208"/>
      <c r="E2" s="208"/>
      <c r="F2" s="1091"/>
      <c r="G2" s="1091"/>
    </row>
    <row r="3" spans="1:10">
      <c r="A3" s="208"/>
      <c r="B3" s="687"/>
      <c r="D3" s="208"/>
      <c r="E3" s="208"/>
      <c r="F3" s="1091"/>
      <c r="G3" s="1091"/>
    </row>
    <row r="4" spans="1:10" ht="15.75">
      <c r="A4" s="673" t="s">
        <v>820</v>
      </c>
      <c r="B4" s="1257" t="s">
        <v>821</v>
      </c>
      <c r="C4" s="674" t="s">
        <v>822</v>
      </c>
      <c r="D4" s="675" t="s">
        <v>823</v>
      </c>
      <c r="E4" s="675" t="s">
        <v>824</v>
      </c>
      <c r="F4" s="1260" t="s">
        <v>825</v>
      </c>
      <c r="G4" s="1260" t="s">
        <v>826</v>
      </c>
      <c r="H4" s="676" t="s">
        <v>827</v>
      </c>
      <c r="I4" s="337" t="s">
        <v>664</v>
      </c>
    </row>
    <row r="5" spans="1:10" ht="15.75">
      <c r="A5" s="302">
        <v>1</v>
      </c>
      <c r="B5" s="737" t="s">
        <v>2239</v>
      </c>
      <c r="C5" s="677" t="s">
        <v>2240</v>
      </c>
      <c r="D5" s="299" t="s">
        <v>2241</v>
      </c>
      <c r="E5" s="299">
        <v>12</v>
      </c>
      <c r="F5" s="1088">
        <v>4136500</v>
      </c>
      <c r="G5" s="1088">
        <f>F5*E5</f>
        <v>49638000</v>
      </c>
      <c r="H5" s="678" t="s">
        <v>924</v>
      </c>
      <c r="I5" s="612" t="s">
        <v>671</v>
      </c>
    </row>
    <row r="6" spans="1:10" ht="15.75">
      <c r="A6" s="302">
        <v>2</v>
      </c>
      <c r="B6" s="737" t="s">
        <v>971</v>
      </c>
      <c r="C6" s="677" t="s">
        <v>2242</v>
      </c>
      <c r="D6" s="299" t="s">
        <v>2243</v>
      </c>
      <c r="E6" s="299">
        <v>720</v>
      </c>
      <c r="F6" s="1088">
        <v>57500</v>
      </c>
      <c r="G6" s="1088">
        <f>E6*F6</f>
        <v>41400000</v>
      </c>
      <c r="H6" s="678"/>
      <c r="I6" s="612" t="s">
        <v>671</v>
      </c>
    </row>
    <row r="7" spans="1:10" ht="15.75">
      <c r="A7" s="298">
        <v>3</v>
      </c>
      <c r="B7" s="738" t="s">
        <v>1163</v>
      </c>
      <c r="C7" s="679" t="s">
        <v>2244</v>
      </c>
      <c r="D7" s="680"/>
      <c r="E7" s="680">
        <v>600</v>
      </c>
      <c r="F7" s="1261">
        <v>60000</v>
      </c>
      <c r="G7" s="1088">
        <f>SUM(E7*F7)</f>
        <v>36000000</v>
      </c>
      <c r="H7" s="678"/>
      <c r="I7" s="612" t="s">
        <v>1273</v>
      </c>
    </row>
    <row r="8" spans="1:10" ht="15.75">
      <c r="A8" s="302">
        <v>4</v>
      </c>
      <c r="B8" s="737" t="s">
        <v>2239</v>
      </c>
      <c r="C8" s="677" t="s">
        <v>2245</v>
      </c>
      <c r="D8" s="299" t="s">
        <v>2246</v>
      </c>
      <c r="E8" s="299">
        <v>168</v>
      </c>
      <c r="F8" s="1088">
        <v>200000</v>
      </c>
      <c r="G8" s="1088">
        <f>F8*E8</f>
        <v>33600000</v>
      </c>
      <c r="H8" s="678" t="s">
        <v>924</v>
      </c>
      <c r="I8" s="612" t="s">
        <v>671</v>
      </c>
    </row>
    <row r="9" spans="1:10" ht="15.75">
      <c r="A9" s="302">
        <v>5</v>
      </c>
      <c r="B9" s="738" t="s">
        <v>1163</v>
      </c>
      <c r="C9" s="679" t="s">
        <v>2247</v>
      </c>
      <c r="D9" s="680"/>
      <c r="E9" s="681">
        <v>10800</v>
      </c>
      <c r="F9" s="1261">
        <v>3000</v>
      </c>
      <c r="G9" s="1088">
        <f>SUM(E9*F9)</f>
        <v>32400000</v>
      </c>
      <c r="H9" s="678"/>
      <c r="I9" s="612" t="s">
        <v>1273</v>
      </c>
    </row>
    <row r="10" spans="1:10" ht="15.75">
      <c r="A10" s="298">
        <v>6</v>
      </c>
      <c r="B10" s="737" t="s">
        <v>2248</v>
      </c>
      <c r="C10" s="677" t="s">
        <v>2249</v>
      </c>
      <c r="D10" s="299" t="s">
        <v>2250</v>
      </c>
      <c r="E10" s="299">
        <v>240</v>
      </c>
      <c r="F10" s="1088">
        <v>130000</v>
      </c>
      <c r="G10" s="1088">
        <f>F10*E10</f>
        <v>31200000</v>
      </c>
      <c r="H10" s="678" t="s">
        <v>924</v>
      </c>
      <c r="I10" s="612" t="s">
        <v>671</v>
      </c>
    </row>
    <row r="11" spans="1:10" ht="15.75">
      <c r="A11" s="302">
        <v>7</v>
      </c>
      <c r="B11" s="737" t="s">
        <v>2251</v>
      </c>
      <c r="C11" s="677" t="s">
        <v>2252</v>
      </c>
      <c r="D11" s="299" t="s">
        <v>2253</v>
      </c>
      <c r="E11" s="299">
        <v>2000</v>
      </c>
      <c r="F11" s="1088">
        <v>15500</v>
      </c>
      <c r="G11" s="1088">
        <f>SUM(F11*E11)</f>
        <v>31000000</v>
      </c>
      <c r="H11" s="678" t="s">
        <v>924</v>
      </c>
      <c r="I11" s="612" t="s">
        <v>696</v>
      </c>
    </row>
    <row r="12" spans="1:10" ht="15.75">
      <c r="A12" s="302">
        <v>8</v>
      </c>
      <c r="B12" s="737" t="s">
        <v>971</v>
      </c>
      <c r="C12" s="677" t="s">
        <v>2254</v>
      </c>
      <c r="D12" s="299" t="s">
        <v>2255</v>
      </c>
      <c r="E12" s="299">
        <v>156</v>
      </c>
      <c r="F12" s="1088">
        <v>126500</v>
      </c>
      <c r="G12" s="1088">
        <f>E12*F12</f>
        <v>19734000</v>
      </c>
      <c r="H12" s="678"/>
      <c r="I12" s="612" t="s">
        <v>671</v>
      </c>
    </row>
    <row r="13" spans="1:10" ht="15.75">
      <c r="A13" s="298">
        <v>9</v>
      </c>
      <c r="B13" s="737" t="s">
        <v>2248</v>
      </c>
      <c r="C13" s="677" t="s">
        <v>2256</v>
      </c>
      <c r="D13" s="299" t="s">
        <v>2257</v>
      </c>
      <c r="E13" s="299">
        <v>120</v>
      </c>
      <c r="F13" s="1088">
        <v>140000</v>
      </c>
      <c r="G13" s="1088">
        <f t="shared" ref="G13:G14" si="0">F13*E13</f>
        <v>16800000</v>
      </c>
      <c r="H13" s="678" t="s">
        <v>924</v>
      </c>
      <c r="I13" s="612" t="s">
        <v>671</v>
      </c>
    </row>
    <row r="14" spans="1:10" ht="15.75">
      <c r="A14" s="302">
        <v>10</v>
      </c>
      <c r="B14" s="147" t="s">
        <v>1261</v>
      </c>
      <c r="C14" s="683" t="s">
        <v>2258</v>
      </c>
      <c r="D14" s="302" t="s">
        <v>2259</v>
      </c>
      <c r="E14" s="302">
        <v>40</v>
      </c>
      <c r="F14" s="1262">
        <v>420000</v>
      </c>
      <c r="G14" s="1262">
        <f t="shared" si="0"/>
        <v>16800000</v>
      </c>
      <c r="H14" s="685" t="s">
        <v>2260</v>
      </c>
      <c r="I14" s="686" t="s">
        <v>671</v>
      </c>
      <c r="J14" s="687"/>
    </row>
    <row r="15" spans="1:10" ht="15.75">
      <c r="A15" s="302">
        <v>11</v>
      </c>
      <c r="B15" s="737" t="s">
        <v>971</v>
      </c>
      <c r="C15" s="677" t="s">
        <v>2261</v>
      </c>
      <c r="D15" s="299" t="s">
        <v>2262</v>
      </c>
      <c r="E15" s="299">
        <v>1440</v>
      </c>
      <c r="F15" s="1088">
        <v>11500</v>
      </c>
      <c r="G15" s="1088">
        <f>E15*F15</f>
        <v>16560000</v>
      </c>
      <c r="H15" s="678"/>
      <c r="I15" s="612" t="s">
        <v>671</v>
      </c>
    </row>
    <row r="16" spans="1:10" ht="15.75">
      <c r="A16" s="298">
        <v>12</v>
      </c>
      <c r="B16" s="737" t="s">
        <v>2248</v>
      </c>
      <c r="C16" s="677" t="s">
        <v>2263</v>
      </c>
      <c r="D16" s="299" t="s">
        <v>2257</v>
      </c>
      <c r="E16" s="299">
        <v>300</v>
      </c>
      <c r="F16" s="1088">
        <v>45000</v>
      </c>
      <c r="G16" s="1088">
        <f>F16*E16</f>
        <v>13500000</v>
      </c>
      <c r="H16" s="678" t="s">
        <v>924</v>
      </c>
      <c r="I16" s="612" t="s">
        <v>671</v>
      </c>
    </row>
    <row r="17" spans="1:9" ht="15.75">
      <c r="A17" s="302">
        <v>13</v>
      </c>
      <c r="B17" s="737" t="s">
        <v>971</v>
      </c>
      <c r="C17" s="677" t="s">
        <v>2264</v>
      </c>
      <c r="D17" s="299" t="s">
        <v>2262</v>
      </c>
      <c r="E17" s="299">
        <v>720</v>
      </c>
      <c r="F17" s="1088">
        <v>17250</v>
      </c>
      <c r="G17" s="1088">
        <f>E17*F17</f>
        <v>12420000</v>
      </c>
      <c r="H17" s="678"/>
      <c r="I17" s="612" t="s">
        <v>671</v>
      </c>
    </row>
    <row r="18" spans="1:9" ht="15.75">
      <c r="A18" s="302">
        <v>14</v>
      </c>
      <c r="B18" s="737" t="s">
        <v>2248</v>
      </c>
      <c r="C18" s="677" t="s">
        <v>2265</v>
      </c>
      <c r="D18" s="299" t="s">
        <v>2257</v>
      </c>
      <c r="E18" s="299">
        <v>300</v>
      </c>
      <c r="F18" s="1088">
        <v>38000</v>
      </c>
      <c r="G18" s="1088">
        <f t="shared" ref="G18:G19" si="1">F18*E18</f>
        <v>11400000</v>
      </c>
      <c r="H18" s="678" t="s">
        <v>924</v>
      </c>
      <c r="I18" s="612" t="s">
        <v>671</v>
      </c>
    </row>
    <row r="19" spans="1:9" ht="15.75">
      <c r="A19" s="298">
        <v>15</v>
      </c>
      <c r="B19" s="737" t="s">
        <v>2248</v>
      </c>
      <c r="C19" s="677" t="s">
        <v>2266</v>
      </c>
      <c r="D19" s="299" t="s">
        <v>2257</v>
      </c>
      <c r="E19" s="299">
        <v>360</v>
      </c>
      <c r="F19" s="1088">
        <v>30000</v>
      </c>
      <c r="G19" s="1088">
        <f t="shared" si="1"/>
        <v>10800000</v>
      </c>
      <c r="H19" s="678" t="s">
        <v>924</v>
      </c>
      <c r="I19" s="612" t="s">
        <v>671</v>
      </c>
    </row>
    <row r="20" spans="1:9" ht="15.75">
      <c r="A20" s="302">
        <v>16</v>
      </c>
      <c r="B20" s="737" t="s">
        <v>971</v>
      </c>
      <c r="C20" s="677" t="s">
        <v>2267</v>
      </c>
      <c r="D20" s="299" t="s">
        <v>2255</v>
      </c>
      <c r="E20" s="299">
        <v>72</v>
      </c>
      <c r="F20" s="1088">
        <v>147200</v>
      </c>
      <c r="G20" s="1088">
        <f>E20*F20</f>
        <v>10598400</v>
      </c>
      <c r="H20" s="678"/>
      <c r="I20" s="612" t="s">
        <v>671</v>
      </c>
    </row>
    <row r="21" spans="1:9" ht="15.75" customHeight="1">
      <c r="A21" s="302">
        <v>17</v>
      </c>
      <c r="B21" s="738" t="s">
        <v>1163</v>
      </c>
      <c r="C21" s="679" t="s">
        <v>2268</v>
      </c>
      <c r="D21" s="680"/>
      <c r="E21" s="680">
        <v>420</v>
      </c>
      <c r="F21" s="1261">
        <v>25000</v>
      </c>
      <c r="G21" s="1088">
        <f>SUM(E21*F21)</f>
        <v>10500000</v>
      </c>
      <c r="H21" s="678"/>
      <c r="I21" s="612" t="s">
        <v>1273</v>
      </c>
    </row>
    <row r="22" spans="1:9" ht="15.75" customHeight="1">
      <c r="A22" s="298">
        <v>18</v>
      </c>
      <c r="B22" s="737" t="s">
        <v>971</v>
      </c>
      <c r="C22" s="677" t="s">
        <v>2269</v>
      </c>
      <c r="D22" s="299" t="s">
        <v>2255</v>
      </c>
      <c r="E22" s="299">
        <v>156</v>
      </c>
      <c r="F22" s="1088">
        <v>66700</v>
      </c>
      <c r="G22" s="1088">
        <f t="shared" ref="G22:G24" si="2">E22*F22</f>
        <v>10405200</v>
      </c>
      <c r="H22" s="678"/>
      <c r="I22" s="612" t="s">
        <v>671</v>
      </c>
    </row>
    <row r="23" spans="1:9" ht="15.75" customHeight="1">
      <c r="A23" s="302">
        <v>19</v>
      </c>
      <c r="B23" s="737" t="s">
        <v>971</v>
      </c>
      <c r="C23" s="677" t="s">
        <v>2270</v>
      </c>
      <c r="D23" s="299" t="s">
        <v>2255</v>
      </c>
      <c r="E23" s="299">
        <v>120</v>
      </c>
      <c r="F23" s="1088">
        <v>86250</v>
      </c>
      <c r="G23" s="1088">
        <f t="shared" si="2"/>
        <v>10350000</v>
      </c>
      <c r="H23" s="678"/>
      <c r="I23" s="612" t="s">
        <v>671</v>
      </c>
    </row>
    <row r="24" spans="1:9" ht="15.75" customHeight="1">
      <c r="A24" s="302">
        <v>20</v>
      </c>
      <c r="B24" s="737" t="s">
        <v>971</v>
      </c>
      <c r="C24" s="677" t="s">
        <v>2271</v>
      </c>
      <c r="D24" s="299" t="s">
        <v>2255</v>
      </c>
      <c r="E24" s="299">
        <v>120</v>
      </c>
      <c r="F24" s="1088">
        <v>86250</v>
      </c>
      <c r="G24" s="1088">
        <f t="shared" si="2"/>
        <v>10350000</v>
      </c>
      <c r="H24" s="678"/>
      <c r="I24" s="612" t="s">
        <v>671</v>
      </c>
    </row>
    <row r="25" spans="1:9" ht="15.75" customHeight="1">
      <c r="A25" s="298">
        <v>21</v>
      </c>
      <c r="B25" s="737" t="s">
        <v>2251</v>
      </c>
      <c r="C25" s="677" t="s">
        <v>2272</v>
      </c>
      <c r="D25" s="299" t="s">
        <v>2273</v>
      </c>
      <c r="E25" s="299">
        <v>4</v>
      </c>
      <c r="F25" s="1088">
        <v>2250000</v>
      </c>
      <c r="G25" s="1088">
        <f>SUM(F25*E25)</f>
        <v>9000000</v>
      </c>
      <c r="H25" s="678" t="s">
        <v>924</v>
      </c>
      <c r="I25" s="612" t="s">
        <v>2274</v>
      </c>
    </row>
    <row r="26" spans="1:9" ht="15.75" customHeight="1">
      <c r="A26" s="302">
        <v>22</v>
      </c>
      <c r="B26" s="738" t="s">
        <v>1163</v>
      </c>
      <c r="C26" s="679" t="s">
        <v>2275</v>
      </c>
      <c r="D26" s="680"/>
      <c r="E26" s="680">
        <v>180</v>
      </c>
      <c r="F26" s="1261">
        <v>50000</v>
      </c>
      <c r="G26" s="1088">
        <f>SUM(E26*F26)</f>
        <v>9000000</v>
      </c>
      <c r="H26" s="678"/>
      <c r="I26" s="612" t="s">
        <v>1273</v>
      </c>
    </row>
    <row r="27" spans="1:9" ht="15.75" customHeight="1">
      <c r="A27" s="302">
        <v>23</v>
      </c>
      <c r="B27" s="737" t="s">
        <v>2251</v>
      </c>
      <c r="C27" s="677" t="s">
        <v>2276</v>
      </c>
      <c r="D27" s="299" t="s">
        <v>2273</v>
      </c>
      <c r="E27" s="299">
        <v>4</v>
      </c>
      <c r="F27" s="1088">
        <v>2010000</v>
      </c>
      <c r="G27" s="1088">
        <f t="shared" ref="G27:G28" si="3">SUM(F27*E27)</f>
        <v>8040000</v>
      </c>
      <c r="H27" s="678" t="s">
        <v>924</v>
      </c>
      <c r="I27" s="612" t="s">
        <v>2274</v>
      </c>
    </row>
    <row r="28" spans="1:9" ht="15.75" customHeight="1">
      <c r="A28" s="298">
        <v>24</v>
      </c>
      <c r="B28" s="737" t="s">
        <v>2251</v>
      </c>
      <c r="C28" s="677" t="s">
        <v>2277</v>
      </c>
      <c r="D28" s="299" t="s">
        <v>2273</v>
      </c>
      <c r="E28" s="299">
        <v>4</v>
      </c>
      <c r="F28" s="1088">
        <v>1995000</v>
      </c>
      <c r="G28" s="1088">
        <f t="shared" si="3"/>
        <v>7980000</v>
      </c>
      <c r="H28" s="678" t="s">
        <v>924</v>
      </c>
      <c r="I28" s="612" t="s">
        <v>2274</v>
      </c>
    </row>
    <row r="29" spans="1:9" ht="15.75" customHeight="1">
      <c r="A29" s="302">
        <v>25</v>
      </c>
      <c r="B29" s="737" t="s">
        <v>2248</v>
      </c>
      <c r="C29" s="677" t="s">
        <v>2278</v>
      </c>
      <c r="D29" s="299" t="s">
        <v>2279</v>
      </c>
      <c r="E29" s="299">
        <v>240</v>
      </c>
      <c r="F29" s="1088">
        <v>30000</v>
      </c>
      <c r="G29" s="1088">
        <f t="shared" ref="G29:G30" si="4">F29*E29</f>
        <v>7200000</v>
      </c>
      <c r="H29" s="678" t="s">
        <v>924</v>
      </c>
      <c r="I29" s="612" t="s">
        <v>671</v>
      </c>
    </row>
    <row r="30" spans="1:9" ht="15.75" customHeight="1">
      <c r="A30" s="302">
        <v>26</v>
      </c>
      <c r="B30" s="737" t="s">
        <v>2248</v>
      </c>
      <c r="C30" s="677" t="s">
        <v>2280</v>
      </c>
      <c r="D30" s="299" t="s">
        <v>2279</v>
      </c>
      <c r="E30" s="299">
        <v>240</v>
      </c>
      <c r="F30" s="1088">
        <v>30000</v>
      </c>
      <c r="G30" s="1088">
        <f t="shared" si="4"/>
        <v>7200000</v>
      </c>
      <c r="H30" s="678" t="s">
        <v>924</v>
      </c>
      <c r="I30" s="612" t="s">
        <v>671</v>
      </c>
    </row>
    <row r="31" spans="1:9" ht="15.75" customHeight="1">
      <c r="A31" s="298">
        <v>27</v>
      </c>
      <c r="B31" s="737" t="s">
        <v>2251</v>
      </c>
      <c r="C31" s="677" t="s">
        <v>2281</v>
      </c>
      <c r="D31" s="299" t="s">
        <v>2282</v>
      </c>
      <c r="E31" s="299">
        <v>150</v>
      </c>
      <c r="F31" s="1088">
        <v>38985</v>
      </c>
      <c r="G31" s="1088">
        <f>SUM(F31*E31)</f>
        <v>5847750</v>
      </c>
      <c r="H31" s="678" t="s">
        <v>924</v>
      </c>
      <c r="I31" s="612" t="s">
        <v>696</v>
      </c>
    </row>
    <row r="32" spans="1:9" ht="15.75" customHeight="1">
      <c r="A32" s="302">
        <v>28</v>
      </c>
      <c r="B32" s="737" t="s">
        <v>2248</v>
      </c>
      <c r="C32" s="677" t="s">
        <v>2283</v>
      </c>
      <c r="D32" s="299" t="s">
        <v>2284</v>
      </c>
      <c r="E32" s="299">
        <v>180</v>
      </c>
      <c r="F32" s="1088">
        <v>30000</v>
      </c>
      <c r="G32" s="1088">
        <f t="shared" ref="G32:G33" si="5">F32*E32</f>
        <v>5400000</v>
      </c>
      <c r="H32" s="678" t="s">
        <v>924</v>
      </c>
      <c r="I32" s="612" t="s">
        <v>671</v>
      </c>
    </row>
    <row r="33" spans="1:9" ht="15.75" customHeight="1">
      <c r="A33" s="302">
        <v>29</v>
      </c>
      <c r="B33" s="738" t="s">
        <v>1163</v>
      </c>
      <c r="C33" s="677" t="s">
        <v>2285</v>
      </c>
      <c r="D33" s="299"/>
      <c r="E33" s="688">
        <v>50</v>
      </c>
      <c r="F33" s="1088">
        <v>50000</v>
      </c>
      <c r="G33" s="1088">
        <f t="shared" si="5"/>
        <v>2500000</v>
      </c>
      <c r="H33" s="689" t="s">
        <v>2286</v>
      </c>
      <c r="I33" s="612"/>
    </row>
    <row r="34" spans="1:9" ht="15.75" customHeight="1">
      <c r="A34" s="298">
        <v>30</v>
      </c>
      <c r="B34" s="738" t="s">
        <v>1163</v>
      </c>
      <c r="C34" s="679" t="s">
        <v>2287</v>
      </c>
      <c r="D34" s="680"/>
      <c r="E34" s="690">
        <v>30</v>
      </c>
      <c r="F34" s="1261">
        <v>150000</v>
      </c>
      <c r="G34" s="1088">
        <f>SUM(E34*F34)</f>
        <v>4500000</v>
      </c>
      <c r="H34" s="678"/>
      <c r="I34" s="612" t="s">
        <v>1273</v>
      </c>
    </row>
    <row r="35" spans="1:9" ht="15.75" customHeight="1">
      <c r="A35" s="302">
        <v>31</v>
      </c>
      <c r="B35" s="737" t="s">
        <v>2251</v>
      </c>
      <c r="C35" s="677" t="s">
        <v>2288</v>
      </c>
      <c r="D35" s="299" t="s">
        <v>2282</v>
      </c>
      <c r="E35" s="299">
        <v>100</v>
      </c>
      <c r="F35" s="1088">
        <v>38985</v>
      </c>
      <c r="G35" s="1088">
        <f>SUM(F35*E35)</f>
        <v>3898500</v>
      </c>
      <c r="H35" s="678" t="s">
        <v>924</v>
      </c>
      <c r="I35" s="612" t="s">
        <v>696</v>
      </c>
    </row>
    <row r="36" spans="1:9" ht="15.75" customHeight="1">
      <c r="A36" s="302">
        <v>32</v>
      </c>
      <c r="B36" s="738" t="s">
        <v>1163</v>
      </c>
      <c r="C36" s="677" t="s">
        <v>2289</v>
      </c>
      <c r="D36" s="299"/>
      <c r="E36" s="688">
        <v>30</v>
      </c>
      <c r="F36" s="1088">
        <v>75000</v>
      </c>
      <c r="G36" s="1088">
        <f t="shared" ref="G36:G37" si="6">F36*E36</f>
        <v>2250000</v>
      </c>
      <c r="H36" s="689" t="s">
        <v>2286</v>
      </c>
      <c r="I36" s="612"/>
    </row>
    <row r="37" spans="1:9" ht="15.75" customHeight="1">
      <c r="A37" s="298">
        <v>33</v>
      </c>
      <c r="B37" s="737" t="s">
        <v>502</v>
      </c>
      <c r="C37" s="691" t="s">
        <v>2290</v>
      </c>
      <c r="D37" s="299" t="s">
        <v>870</v>
      </c>
      <c r="E37" s="298">
        <v>48</v>
      </c>
      <c r="F37" s="1263">
        <v>75000</v>
      </c>
      <c r="G37" s="1088">
        <f t="shared" si="6"/>
        <v>3600000</v>
      </c>
      <c r="H37" s="678"/>
      <c r="I37" s="304"/>
    </row>
    <row r="38" spans="1:9" ht="15.75" customHeight="1">
      <c r="A38" s="302">
        <v>34</v>
      </c>
      <c r="B38" s="738" t="s">
        <v>1163</v>
      </c>
      <c r="C38" s="679" t="s">
        <v>1035</v>
      </c>
      <c r="D38" s="680"/>
      <c r="E38" s="690">
        <v>10</v>
      </c>
      <c r="F38" s="1261">
        <v>300000</v>
      </c>
      <c r="G38" s="1088">
        <f t="shared" ref="G38:G39" si="7">SUM(E38*F38)</f>
        <v>3000000</v>
      </c>
      <c r="H38" s="678"/>
      <c r="I38" s="612" t="s">
        <v>1273</v>
      </c>
    </row>
    <row r="39" spans="1:9" ht="15.75" customHeight="1">
      <c r="A39" s="302">
        <v>35</v>
      </c>
      <c r="B39" s="738" t="s">
        <v>1163</v>
      </c>
      <c r="C39" s="679" t="s">
        <v>2291</v>
      </c>
      <c r="D39" s="680"/>
      <c r="E39" s="680">
        <v>96</v>
      </c>
      <c r="F39" s="1261">
        <v>25000</v>
      </c>
      <c r="G39" s="1088">
        <f t="shared" si="7"/>
        <v>2400000</v>
      </c>
      <c r="H39" s="678"/>
      <c r="I39" s="612" t="s">
        <v>1273</v>
      </c>
    </row>
    <row r="40" spans="1:9" ht="15.75" customHeight="1">
      <c r="A40" s="298">
        <v>36</v>
      </c>
      <c r="B40" s="737" t="s">
        <v>672</v>
      </c>
      <c r="C40" s="677" t="s">
        <v>2292</v>
      </c>
      <c r="D40" s="299"/>
      <c r="E40" s="299">
        <v>84</v>
      </c>
      <c r="F40" s="1088" t="s">
        <v>2293</v>
      </c>
      <c r="G40" s="1088">
        <v>2100000</v>
      </c>
      <c r="H40" s="678"/>
      <c r="I40" s="304"/>
    </row>
    <row r="41" spans="1:9" ht="15.75" customHeight="1">
      <c r="A41" s="302">
        <v>37</v>
      </c>
      <c r="B41" s="737" t="s">
        <v>971</v>
      </c>
      <c r="C41" s="677" t="s">
        <v>2294</v>
      </c>
      <c r="D41" s="299" t="s">
        <v>2255</v>
      </c>
      <c r="E41" s="299">
        <v>6</v>
      </c>
      <c r="F41" s="1264">
        <v>350000</v>
      </c>
      <c r="G41" s="1088">
        <f t="shared" ref="G41:G42" si="8">E41*F41</f>
        <v>2100000</v>
      </c>
      <c r="H41" s="678"/>
      <c r="I41" s="612" t="s">
        <v>671</v>
      </c>
    </row>
    <row r="42" spans="1:9" ht="15.75" customHeight="1">
      <c r="A42" s="302">
        <v>38</v>
      </c>
      <c r="B42" s="737" t="s">
        <v>971</v>
      </c>
      <c r="C42" s="677" t="s">
        <v>2295</v>
      </c>
      <c r="D42" s="299" t="s">
        <v>901</v>
      </c>
      <c r="E42" s="299">
        <v>120</v>
      </c>
      <c r="F42" s="1088">
        <v>17250</v>
      </c>
      <c r="G42" s="1088">
        <f t="shared" si="8"/>
        <v>2070000</v>
      </c>
      <c r="H42" s="678"/>
      <c r="I42" s="612" t="s">
        <v>671</v>
      </c>
    </row>
    <row r="43" spans="1:9" ht="15.75" customHeight="1">
      <c r="A43" s="298">
        <v>39</v>
      </c>
      <c r="B43" s="738" t="s">
        <v>1163</v>
      </c>
      <c r="C43" s="677" t="s">
        <v>2296</v>
      </c>
      <c r="D43" s="299"/>
      <c r="E43" s="299">
        <v>50</v>
      </c>
      <c r="F43" s="1088">
        <v>40000</v>
      </c>
      <c r="G43" s="1088">
        <f t="shared" ref="G43:G46" si="9">F43*E43</f>
        <v>2000000</v>
      </c>
      <c r="H43" s="689" t="s">
        <v>2286</v>
      </c>
      <c r="I43" s="612"/>
    </row>
    <row r="44" spans="1:9" ht="15.75" customHeight="1">
      <c r="A44" s="302">
        <v>40</v>
      </c>
      <c r="B44" s="737" t="s">
        <v>2248</v>
      </c>
      <c r="C44" s="677" t="s">
        <v>2297</v>
      </c>
      <c r="D44" s="299" t="s">
        <v>2279</v>
      </c>
      <c r="E44" s="299">
        <v>60</v>
      </c>
      <c r="F44" s="1088">
        <v>30000</v>
      </c>
      <c r="G44" s="1088">
        <f t="shared" si="9"/>
        <v>1800000</v>
      </c>
      <c r="H44" s="678" t="s">
        <v>924</v>
      </c>
      <c r="I44" s="612" t="s">
        <v>671</v>
      </c>
    </row>
    <row r="45" spans="1:9" ht="15.75" customHeight="1">
      <c r="A45" s="302">
        <v>41</v>
      </c>
      <c r="B45" s="737" t="s">
        <v>502</v>
      </c>
      <c r="C45" s="691" t="s">
        <v>2298</v>
      </c>
      <c r="D45" s="299" t="s">
        <v>870</v>
      </c>
      <c r="E45" s="298">
        <v>24</v>
      </c>
      <c r="F45" s="1263">
        <v>75000</v>
      </c>
      <c r="G45" s="1088">
        <f t="shared" si="9"/>
        <v>1800000</v>
      </c>
      <c r="H45" s="678"/>
      <c r="I45" s="304"/>
    </row>
    <row r="46" spans="1:9" ht="15.75" customHeight="1">
      <c r="A46" s="298">
        <v>42</v>
      </c>
      <c r="B46" s="737" t="s">
        <v>502</v>
      </c>
      <c r="C46" s="691" t="s">
        <v>2299</v>
      </c>
      <c r="D46" s="299" t="s">
        <v>870</v>
      </c>
      <c r="E46" s="298">
        <v>24</v>
      </c>
      <c r="F46" s="1263">
        <v>75000</v>
      </c>
      <c r="G46" s="1088">
        <f t="shared" si="9"/>
        <v>1800000</v>
      </c>
      <c r="H46" s="678"/>
      <c r="I46" s="304"/>
    </row>
    <row r="47" spans="1:9" ht="15.75" customHeight="1">
      <c r="A47" s="302">
        <v>43</v>
      </c>
      <c r="B47" s="738" t="s">
        <v>1163</v>
      </c>
      <c r="C47" s="679" t="s">
        <v>2300</v>
      </c>
      <c r="D47" s="680"/>
      <c r="E47" s="680">
        <v>50</v>
      </c>
      <c r="F47" s="1261">
        <v>35000</v>
      </c>
      <c r="G47" s="1088">
        <f>SUM(E47*F47)</f>
        <v>1750000</v>
      </c>
      <c r="H47" s="678"/>
      <c r="I47" s="612" t="s">
        <v>1273</v>
      </c>
    </row>
    <row r="48" spans="1:9" ht="15.75" customHeight="1">
      <c r="A48" s="302">
        <v>44</v>
      </c>
      <c r="B48" s="777" t="s">
        <v>788</v>
      </c>
      <c r="C48" s="679" t="s">
        <v>2301</v>
      </c>
      <c r="D48" s="680" t="s">
        <v>830</v>
      </c>
      <c r="E48" s="680">
        <v>72</v>
      </c>
      <c r="F48" s="1261">
        <v>24150</v>
      </c>
      <c r="G48" s="1261">
        <f>F48*E48</f>
        <v>1738800</v>
      </c>
      <c r="H48" s="678" t="s">
        <v>924</v>
      </c>
      <c r="I48" s="304" t="s">
        <v>671</v>
      </c>
    </row>
    <row r="49" spans="1:9" ht="15.75" customHeight="1">
      <c r="A49" s="298">
        <v>45</v>
      </c>
      <c r="B49" s="737" t="s">
        <v>2251</v>
      </c>
      <c r="C49" s="677" t="s">
        <v>2302</v>
      </c>
      <c r="D49" s="299" t="s">
        <v>830</v>
      </c>
      <c r="E49" s="299">
        <v>50</v>
      </c>
      <c r="F49" s="1088">
        <v>30000</v>
      </c>
      <c r="G49" s="1088">
        <f>SUM(F49*E49)</f>
        <v>1500000</v>
      </c>
      <c r="H49" s="678" t="s">
        <v>2303</v>
      </c>
      <c r="I49" s="612" t="s">
        <v>696</v>
      </c>
    </row>
    <row r="50" spans="1:9" ht="15.75" customHeight="1">
      <c r="A50" s="302">
        <v>46</v>
      </c>
      <c r="B50" s="738" t="s">
        <v>832</v>
      </c>
      <c r="C50" s="677" t="s">
        <v>2304</v>
      </c>
      <c r="D50" s="299" t="s">
        <v>830</v>
      </c>
      <c r="E50" s="299">
        <v>30</v>
      </c>
      <c r="F50" s="1088">
        <v>50000</v>
      </c>
      <c r="G50" s="1088">
        <v>1500000</v>
      </c>
      <c r="H50" s="678"/>
      <c r="I50" s="612" t="s">
        <v>671</v>
      </c>
    </row>
    <row r="51" spans="1:9" ht="15.75" customHeight="1">
      <c r="A51" s="302">
        <v>47</v>
      </c>
      <c r="B51" s="738" t="s">
        <v>562</v>
      </c>
      <c r="C51" s="692" t="s">
        <v>2305</v>
      </c>
      <c r="D51" s="302"/>
      <c r="E51" s="302">
        <v>10</v>
      </c>
      <c r="F51" s="1088">
        <v>150000</v>
      </c>
      <c r="G51" s="1265">
        <f t="shared" ref="G51:G52" si="10">F51*E51</f>
        <v>1500000</v>
      </c>
      <c r="H51" s="693"/>
      <c r="I51" s="612"/>
    </row>
    <row r="52" spans="1:9" ht="15.75" customHeight="1">
      <c r="A52" s="298">
        <v>48</v>
      </c>
      <c r="B52" s="738" t="s">
        <v>1163</v>
      </c>
      <c r="C52" s="677" t="s">
        <v>2306</v>
      </c>
      <c r="D52" s="299"/>
      <c r="E52" s="299">
        <v>30</v>
      </c>
      <c r="F52" s="1088">
        <v>50000</v>
      </c>
      <c r="G52" s="1088">
        <f t="shared" si="10"/>
        <v>1500000</v>
      </c>
      <c r="H52" s="689" t="s">
        <v>2286</v>
      </c>
      <c r="I52" s="612"/>
    </row>
    <row r="53" spans="1:9" ht="15.75" customHeight="1">
      <c r="A53" s="302">
        <v>49</v>
      </c>
      <c r="B53" s="738" t="s">
        <v>562</v>
      </c>
      <c r="C53" s="694" t="s">
        <v>1144</v>
      </c>
      <c r="D53" s="684">
        <v>100000</v>
      </c>
      <c r="E53" s="695">
        <v>15</v>
      </c>
      <c r="F53" s="1088">
        <f>D53*E53</f>
        <v>1500000</v>
      </c>
      <c r="G53" s="1088">
        <f>D53*E53</f>
        <v>1500000</v>
      </c>
      <c r="H53" s="678" t="s">
        <v>2307</v>
      </c>
      <c r="I53" s="612" t="s">
        <v>2066</v>
      </c>
    </row>
    <row r="54" spans="1:9" ht="15.75" customHeight="1">
      <c r="A54" s="302">
        <v>50</v>
      </c>
      <c r="B54" s="737" t="s">
        <v>502</v>
      </c>
      <c r="C54" s="691" t="s">
        <v>2308</v>
      </c>
      <c r="D54" s="299" t="s">
        <v>870</v>
      </c>
      <c r="E54" s="298">
        <v>48</v>
      </c>
      <c r="F54" s="1263">
        <v>30000</v>
      </c>
      <c r="G54" s="1088">
        <f>F54*E54</f>
        <v>1440000</v>
      </c>
      <c r="H54" s="678"/>
      <c r="I54" s="304"/>
    </row>
    <row r="55" spans="1:9" ht="15.75" customHeight="1">
      <c r="A55" s="298">
        <v>51</v>
      </c>
      <c r="B55" s="737" t="s">
        <v>2251</v>
      </c>
      <c r="C55" s="677" t="s">
        <v>2309</v>
      </c>
      <c r="D55" s="299" t="s">
        <v>830</v>
      </c>
      <c r="E55" s="299">
        <v>80</v>
      </c>
      <c r="F55" s="1088">
        <v>17000</v>
      </c>
      <c r="G55" s="1088">
        <f t="shared" ref="G55:G56" si="11">SUM(F55*E55)</f>
        <v>1360000</v>
      </c>
      <c r="H55" s="678" t="s">
        <v>924</v>
      </c>
      <c r="I55" s="612" t="s">
        <v>696</v>
      </c>
    </row>
    <row r="56" spans="1:9" ht="15.75" customHeight="1">
      <c r="A56" s="302">
        <v>52</v>
      </c>
      <c r="B56" s="737" t="s">
        <v>2251</v>
      </c>
      <c r="C56" s="677" t="s">
        <v>2310</v>
      </c>
      <c r="D56" s="299" t="s">
        <v>830</v>
      </c>
      <c r="E56" s="299">
        <v>8</v>
      </c>
      <c r="F56" s="1088">
        <v>150000</v>
      </c>
      <c r="G56" s="1088">
        <f t="shared" si="11"/>
        <v>1200000</v>
      </c>
      <c r="H56" s="678" t="s">
        <v>924</v>
      </c>
      <c r="I56" s="612" t="s">
        <v>696</v>
      </c>
    </row>
    <row r="57" spans="1:9" ht="15.75" customHeight="1">
      <c r="A57" s="302">
        <v>53</v>
      </c>
      <c r="B57" s="738" t="s">
        <v>562</v>
      </c>
      <c r="C57" s="696" t="s">
        <v>1146</v>
      </c>
      <c r="D57" s="697">
        <v>40000</v>
      </c>
      <c r="E57" s="299">
        <v>30</v>
      </c>
      <c r="F57" s="1088">
        <f>D57*E57</f>
        <v>1200000</v>
      </c>
      <c r="G57" s="1088">
        <f>D57*E57</f>
        <v>1200000</v>
      </c>
      <c r="H57" s="678" t="s">
        <v>2307</v>
      </c>
      <c r="I57" s="612" t="s">
        <v>2066</v>
      </c>
    </row>
    <row r="58" spans="1:9" ht="15.75" customHeight="1">
      <c r="A58" s="298">
        <v>54</v>
      </c>
      <c r="B58" s="737" t="s">
        <v>856</v>
      </c>
      <c r="C58" s="694" t="s">
        <v>2311</v>
      </c>
      <c r="D58" s="299" t="s">
        <v>2243</v>
      </c>
      <c r="E58" s="299">
        <v>60</v>
      </c>
      <c r="F58" s="1088">
        <v>20000</v>
      </c>
      <c r="G58" s="1088">
        <v>1200000</v>
      </c>
      <c r="H58" s="678" t="s">
        <v>924</v>
      </c>
      <c r="I58" s="612" t="s">
        <v>671</v>
      </c>
    </row>
    <row r="59" spans="1:9" ht="15.75" customHeight="1">
      <c r="A59" s="302">
        <v>55</v>
      </c>
      <c r="B59" s="737" t="s">
        <v>1025</v>
      </c>
      <c r="C59" s="677" t="s">
        <v>2312</v>
      </c>
      <c r="D59" s="299">
        <v>48</v>
      </c>
      <c r="E59" s="299">
        <v>48</v>
      </c>
      <c r="F59" s="1088">
        <v>10000</v>
      </c>
      <c r="G59" s="1088">
        <f>48*25000</f>
        <v>1200000</v>
      </c>
      <c r="H59" s="678"/>
      <c r="I59" s="612" t="s">
        <v>671</v>
      </c>
    </row>
    <row r="60" spans="1:9" ht="15.75" customHeight="1">
      <c r="A60" s="302">
        <v>56</v>
      </c>
      <c r="B60" s="737" t="s">
        <v>502</v>
      </c>
      <c r="C60" s="691" t="s">
        <v>2313</v>
      </c>
      <c r="D60" s="299" t="s">
        <v>870</v>
      </c>
      <c r="E60" s="298">
        <v>12</v>
      </c>
      <c r="F60" s="1263">
        <v>100000</v>
      </c>
      <c r="G60" s="1088">
        <f t="shared" ref="G60:G61" si="12">F60*E60</f>
        <v>1200000</v>
      </c>
      <c r="H60" s="678"/>
      <c r="I60" s="304"/>
    </row>
    <row r="61" spans="1:9" ht="15.75" customHeight="1">
      <c r="A61" s="298">
        <v>57</v>
      </c>
      <c r="B61" s="737" t="s">
        <v>502</v>
      </c>
      <c r="C61" s="691" t="s">
        <v>2314</v>
      </c>
      <c r="D61" s="299" t="s">
        <v>870</v>
      </c>
      <c r="E61" s="298">
        <v>24</v>
      </c>
      <c r="F61" s="1263">
        <v>50000</v>
      </c>
      <c r="G61" s="1088">
        <f t="shared" si="12"/>
        <v>1200000</v>
      </c>
      <c r="H61" s="678"/>
      <c r="I61" s="304"/>
    </row>
    <row r="62" spans="1:9" ht="15.75" customHeight="1">
      <c r="A62" s="302">
        <v>58</v>
      </c>
      <c r="B62" s="738" t="s">
        <v>1163</v>
      </c>
      <c r="C62" s="679" t="s">
        <v>2315</v>
      </c>
      <c r="D62" s="680"/>
      <c r="E62" s="680">
        <v>700</v>
      </c>
      <c r="F62" s="1261">
        <v>1700</v>
      </c>
      <c r="G62" s="1088">
        <f>SUM(E62*F62)</f>
        <v>1190000</v>
      </c>
      <c r="H62" s="678"/>
      <c r="I62" s="612" t="s">
        <v>1273</v>
      </c>
    </row>
    <row r="63" spans="1:9" ht="15.75" customHeight="1">
      <c r="A63" s="302">
        <v>59</v>
      </c>
      <c r="B63" s="737" t="s">
        <v>971</v>
      </c>
      <c r="C63" s="677" t="s">
        <v>2316</v>
      </c>
      <c r="D63" s="299" t="s">
        <v>2255</v>
      </c>
      <c r="E63" s="299">
        <v>36</v>
      </c>
      <c r="F63" s="1088">
        <v>32775</v>
      </c>
      <c r="G63" s="1088">
        <f>E63*F63</f>
        <v>1179900</v>
      </c>
      <c r="H63" s="678"/>
      <c r="I63" s="612" t="s">
        <v>671</v>
      </c>
    </row>
    <row r="64" spans="1:9" ht="15.75" customHeight="1">
      <c r="A64" s="298">
        <v>60</v>
      </c>
      <c r="B64" s="738" t="s">
        <v>1163</v>
      </c>
      <c r="C64" s="679" t="s">
        <v>2317</v>
      </c>
      <c r="D64" s="680" t="s">
        <v>2318</v>
      </c>
      <c r="E64" s="690">
        <v>15</v>
      </c>
      <c r="F64" s="1261">
        <v>65000</v>
      </c>
      <c r="G64" s="1088">
        <f>SUM(E64*F64)</f>
        <v>975000</v>
      </c>
      <c r="H64" s="678"/>
      <c r="I64" s="612" t="s">
        <v>1273</v>
      </c>
    </row>
    <row r="65" spans="1:9" ht="15.75" customHeight="1">
      <c r="A65" s="302">
        <v>61</v>
      </c>
      <c r="B65" s="737" t="s">
        <v>502</v>
      </c>
      <c r="C65" s="691" t="s">
        <v>2319</v>
      </c>
      <c r="D65" s="299" t="s">
        <v>870</v>
      </c>
      <c r="E65" s="298">
        <v>12</v>
      </c>
      <c r="F65" s="1263">
        <v>75000</v>
      </c>
      <c r="G65" s="1088">
        <f t="shared" ref="G65:G66" si="13">F65*E65</f>
        <v>900000</v>
      </c>
      <c r="H65" s="678"/>
      <c r="I65" s="612"/>
    </row>
    <row r="66" spans="1:9" ht="15.75" customHeight="1">
      <c r="A66" s="302">
        <v>62</v>
      </c>
      <c r="B66" s="737" t="s">
        <v>502</v>
      </c>
      <c r="C66" s="691" t="s">
        <v>2320</v>
      </c>
      <c r="D66" s="299" t="s">
        <v>870</v>
      </c>
      <c r="E66" s="298">
        <v>12</v>
      </c>
      <c r="F66" s="1263">
        <v>75000</v>
      </c>
      <c r="G66" s="1088">
        <f t="shared" si="13"/>
        <v>900000</v>
      </c>
      <c r="H66" s="678"/>
      <c r="I66" s="304"/>
    </row>
    <row r="67" spans="1:9" ht="15.75" customHeight="1">
      <c r="A67" s="298">
        <v>63</v>
      </c>
      <c r="B67" s="738" t="s">
        <v>832</v>
      </c>
      <c r="C67" s="677" t="s">
        <v>2321</v>
      </c>
      <c r="D67" s="299" t="s">
        <v>830</v>
      </c>
      <c r="E67" s="299">
        <v>12</v>
      </c>
      <c r="F67" s="1088">
        <v>70000</v>
      </c>
      <c r="G67" s="1088">
        <v>840000</v>
      </c>
      <c r="H67" s="678"/>
      <c r="I67" s="612" t="s">
        <v>671</v>
      </c>
    </row>
    <row r="68" spans="1:9" ht="15.75" customHeight="1">
      <c r="A68" s="302">
        <v>64</v>
      </c>
      <c r="B68" s="737" t="s">
        <v>971</v>
      </c>
      <c r="C68" s="677" t="s">
        <v>2322</v>
      </c>
      <c r="D68" s="299" t="s">
        <v>901</v>
      </c>
      <c r="E68" s="299">
        <v>24</v>
      </c>
      <c r="F68" s="1088">
        <v>34500</v>
      </c>
      <c r="G68" s="1088">
        <f>E68*F68</f>
        <v>828000</v>
      </c>
      <c r="H68" s="678"/>
      <c r="I68" s="612" t="s">
        <v>671</v>
      </c>
    </row>
    <row r="69" spans="1:9" ht="15.75" customHeight="1">
      <c r="A69" s="302">
        <v>65</v>
      </c>
      <c r="B69" s="737" t="s">
        <v>2251</v>
      </c>
      <c r="C69" s="677" t="s">
        <v>2323</v>
      </c>
      <c r="D69" s="299" t="s">
        <v>830</v>
      </c>
      <c r="E69" s="688">
        <v>8</v>
      </c>
      <c r="F69" s="1088">
        <v>80000</v>
      </c>
      <c r="G69" s="1088">
        <f>SUM(F69*E69)</f>
        <v>640000</v>
      </c>
      <c r="H69" s="678" t="s">
        <v>924</v>
      </c>
      <c r="I69" s="612" t="s">
        <v>704</v>
      </c>
    </row>
    <row r="70" spans="1:9" ht="15.75" customHeight="1">
      <c r="A70" s="298">
        <v>66</v>
      </c>
      <c r="B70" s="737" t="s">
        <v>2251</v>
      </c>
      <c r="C70" s="677" t="s">
        <v>2324</v>
      </c>
      <c r="D70" s="299" t="s">
        <v>830</v>
      </c>
      <c r="E70" s="688">
        <v>5</v>
      </c>
      <c r="F70" s="1088">
        <v>100000</v>
      </c>
      <c r="G70" s="1088">
        <v>800000</v>
      </c>
      <c r="H70" s="678" t="s">
        <v>924</v>
      </c>
      <c r="I70" s="612" t="s">
        <v>696</v>
      </c>
    </row>
    <row r="71" spans="1:9" ht="15.75" customHeight="1">
      <c r="A71" s="302">
        <v>67</v>
      </c>
      <c r="B71" s="738" t="s">
        <v>832</v>
      </c>
      <c r="C71" s="677" t="s">
        <v>2325</v>
      </c>
      <c r="D71" s="299" t="s">
        <v>830</v>
      </c>
      <c r="E71" s="299">
        <v>36</v>
      </c>
      <c r="F71" s="1088">
        <v>21000</v>
      </c>
      <c r="G71" s="1088">
        <v>756000</v>
      </c>
      <c r="H71" s="678"/>
      <c r="I71" s="612" t="s">
        <v>671</v>
      </c>
    </row>
    <row r="72" spans="1:9" ht="15.75" customHeight="1">
      <c r="A72" s="302">
        <v>68</v>
      </c>
      <c r="B72" s="738" t="s">
        <v>562</v>
      </c>
      <c r="C72" s="692" t="s">
        <v>1147</v>
      </c>
      <c r="D72" s="684">
        <v>185000</v>
      </c>
      <c r="E72" s="695">
        <v>4</v>
      </c>
      <c r="F72" s="1088">
        <f>D72*E72</f>
        <v>740000</v>
      </c>
      <c r="G72" s="1088">
        <f>D72*E72</f>
        <v>740000</v>
      </c>
      <c r="H72" s="678" t="s">
        <v>2307</v>
      </c>
      <c r="I72" s="612" t="s">
        <v>2066</v>
      </c>
    </row>
    <row r="73" spans="1:9" ht="15.75" customHeight="1">
      <c r="A73" s="298">
        <v>69</v>
      </c>
      <c r="B73" s="737" t="s">
        <v>971</v>
      </c>
      <c r="C73" s="677" t="s">
        <v>2326</v>
      </c>
      <c r="D73" s="299" t="s">
        <v>2255</v>
      </c>
      <c r="E73" s="299">
        <v>6</v>
      </c>
      <c r="F73" s="1264">
        <v>122900</v>
      </c>
      <c r="G73" s="1088">
        <f>E73*F73</f>
        <v>737400</v>
      </c>
      <c r="H73" s="678"/>
      <c r="I73" s="612" t="s">
        <v>671</v>
      </c>
    </row>
    <row r="74" spans="1:9" ht="15.75" customHeight="1">
      <c r="A74" s="302">
        <v>70</v>
      </c>
      <c r="B74" s="737" t="s">
        <v>2239</v>
      </c>
      <c r="C74" s="677" t="s">
        <v>2327</v>
      </c>
      <c r="D74" s="299" t="s">
        <v>2328</v>
      </c>
      <c r="E74" s="299">
        <v>36</v>
      </c>
      <c r="F74" s="1088">
        <v>20000</v>
      </c>
      <c r="G74" s="1088">
        <f t="shared" ref="G74:G76" si="14">F74*E74</f>
        <v>720000</v>
      </c>
      <c r="H74" s="678" t="s">
        <v>924</v>
      </c>
      <c r="I74" s="612" t="s">
        <v>671</v>
      </c>
    </row>
    <row r="75" spans="1:9" ht="15.75" customHeight="1">
      <c r="A75" s="302">
        <v>71</v>
      </c>
      <c r="B75" s="737" t="s">
        <v>502</v>
      </c>
      <c r="C75" s="691" t="s">
        <v>2329</v>
      </c>
      <c r="D75" s="299" t="s">
        <v>870</v>
      </c>
      <c r="E75" s="298">
        <v>24</v>
      </c>
      <c r="F75" s="1263">
        <v>30000</v>
      </c>
      <c r="G75" s="1088">
        <f t="shared" si="14"/>
        <v>720000</v>
      </c>
      <c r="H75" s="678"/>
      <c r="I75" s="304"/>
    </row>
    <row r="76" spans="1:9" ht="15.75" customHeight="1">
      <c r="A76" s="298">
        <v>72</v>
      </c>
      <c r="B76" s="737" t="s">
        <v>502</v>
      </c>
      <c r="C76" s="691" t="s">
        <v>2330</v>
      </c>
      <c r="D76" s="299" t="s">
        <v>870</v>
      </c>
      <c r="E76" s="298">
        <v>24</v>
      </c>
      <c r="F76" s="1263">
        <v>30000</v>
      </c>
      <c r="G76" s="1088">
        <f t="shared" si="14"/>
        <v>720000</v>
      </c>
      <c r="H76" s="678"/>
      <c r="I76" s="304"/>
    </row>
    <row r="77" spans="1:9" ht="15.75" customHeight="1">
      <c r="A77" s="302">
        <v>73</v>
      </c>
      <c r="B77" s="737" t="s">
        <v>2251</v>
      </c>
      <c r="C77" s="677" t="s">
        <v>2331</v>
      </c>
      <c r="D77" s="299" t="s">
        <v>830</v>
      </c>
      <c r="E77" s="688">
        <v>15</v>
      </c>
      <c r="F77" s="1088">
        <v>35650</v>
      </c>
      <c r="G77" s="1088">
        <f t="shared" ref="G77:G78" si="15">SUM(F77*E77)</f>
        <v>534750</v>
      </c>
      <c r="H77" s="678" t="s">
        <v>924</v>
      </c>
      <c r="I77" s="612" t="s">
        <v>704</v>
      </c>
    </row>
    <row r="78" spans="1:9" ht="15.75" customHeight="1">
      <c r="A78" s="302">
        <v>74</v>
      </c>
      <c r="B78" s="737" t="s">
        <v>2251</v>
      </c>
      <c r="C78" s="677" t="s">
        <v>2332</v>
      </c>
      <c r="D78" s="299" t="s">
        <v>830</v>
      </c>
      <c r="E78" s="299">
        <v>7</v>
      </c>
      <c r="F78" s="1088">
        <v>100000</v>
      </c>
      <c r="G78" s="1088">
        <f t="shared" si="15"/>
        <v>700000</v>
      </c>
      <c r="H78" s="678" t="s">
        <v>924</v>
      </c>
      <c r="I78" s="612" t="s">
        <v>696</v>
      </c>
    </row>
    <row r="79" spans="1:9" ht="15.75" customHeight="1">
      <c r="A79" s="298">
        <v>75</v>
      </c>
      <c r="B79" s="147" t="s">
        <v>697</v>
      </c>
      <c r="C79" s="677" t="s">
        <v>2333</v>
      </c>
      <c r="D79" s="299" t="s">
        <v>870</v>
      </c>
      <c r="E79" s="299">
        <v>12</v>
      </c>
      <c r="F79" s="1266">
        <v>57500</v>
      </c>
      <c r="G79" s="1088">
        <f t="shared" ref="G79:G81" si="16">F79*E79</f>
        <v>690000</v>
      </c>
      <c r="H79" s="678" t="s">
        <v>924</v>
      </c>
      <c r="I79" s="612" t="s">
        <v>671</v>
      </c>
    </row>
    <row r="80" spans="1:9" ht="15.75" customHeight="1">
      <c r="A80" s="302">
        <v>76</v>
      </c>
      <c r="B80" s="147" t="s">
        <v>697</v>
      </c>
      <c r="C80" s="677" t="s">
        <v>2334</v>
      </c>
      <c r="D80" s="299"/>
      <c r="E80" s="299">
        <v>12</v>
      </c>
      <c r="F80" s="1266">
        <v>57500</v>
      </c>
      <c r="G80" s="1088">
        <f t="shared" si="16"/>
        <v>690000</v>
      </c>
      <c r="H80" s="678" t="s">
        <v>924</v>
      </c>
      <c r="I80" s="612" t="s">
        <v>671</v>
      </c>
    </row>
    <row r="81" spans="1:9" ht="15.75" customHeight="1">
      <c r="A81" s="302">
        <v>77</v>
      </c>
      <c r="B81" s="147" t="s">
        <v>697</v>
      </c>
      <c r="C81" s="677" t="s">
        <v>2335</v>
      </c>
      <c r="D81" s="299" t="s">
        <v>870</v>
      </c>
      <c r="E81" s="299">
        <v>12</v>
      </c>
      <c r="F81" s="1266">
        <v>57500</v>
      </c>
      <c r="G81" s="1088">
        <f t="shared" si="16"/>
        <v>690000</v>
      </c>
      <c r="H81" s="678" t="s">
        <v>924</v>
      </c>
      <c r="I81" s="304" t="s">
        <v>671</v>
      </c>
    </row>
    <row r="82" spans="1:9" ht="15.75" customHeight="1">
      <c r="A82" s="298">
        <v>78</v>
      </c>
      <c r="B82" s="737" t="s">
        <v>971</v>
      </c>
      <c r="C82" s="677" t="s">
        <v>2336</v>
      </c>
      <c r="D82" s="299"/>
      <c r="E82" s="299">
        <v>12</v>
      </c>
      <c r="F82" s="1088">
        <v>57500</v>
      </c>
      <c r="G82" s="1088">
        <f>E82*F82</f>
        <v>690000</v>
      </c>
      <c r="H82" s="678"/>
      <c r="I82" s="612" t="s">
        <v>671</v>
      </c>
    </row>
    <row r="83" spans="1:9" ht="15.75" customHeight="1">
      <c r="A83" s="302">
        <v>79</v>
      </c>
      <c r="B83" s="737" t="s">
        <v>2337</v>
      </c>
      <c r="C83" s="677" t="s">
        <v>2338</v>
      </c>
      <c r="D83" s="299"/>
      <c r="E83" s="688">
        <v>6</v>
      </c>
      <c r="F83" s="1088">
        <v>57500</v>
      </c>
      <c r="G83" s="1088">
        <f t="shared" ref="G83:G87" si="17">F83*E83</f>
        <v>345000</v>
      </c>
      <c r="H83" s="698" t="s">
        <v>2339</v>
      </c>
      <c r="I83" s="612" t="s">
        <v>1273</v>
      </c>
    </row>
    <row r="84" spans="1:9" ht="15.75" customHeight="1">
      <c r="A84" s="302">
        <v>80</v>
      </c>
      <c r="B84" s="147" t="s">
        <v>697</v>
      </c>
      <c r="C84" s="699" t="s">
        <v>2340</v>
      </c>
      <c r="D84" s="299" t="s">
        <v>2341</v>
      </c>
      <c r="E84" s="299">
        <v>12</v>
      </c>
      <c r="F84" s="1088">
        <v>50000</v>
      </c>
      <c r="G84" s="1088">
        <f t="shared" si="17"/>
        <v>600000</v>
      </c>
      <c r="H84" s="678" t="s">
        <v>924</v>
      </c>
      <c r="I84" s="304" t="s">
        <v>671</v>
      </c>
    </row>
    <row r="85" spans="1:9" ht="15.75" customHeight="1">
      <c r="A85" s="298">
        <v>81</v>
      </c>
      <c r="B85" s="737" t="s">
        <v>881</v>
      </c>
      <c r="C85" s="677" t="s">
        <v>2342</v>
      </c>
      <c r="D85" s="299" t="s">
        <v>830</v>
      </c>
      <c r="E85" s="299">
        <v>12</v>
      </c>
      <c r="F85" s="1088">
        <v>50000</v>
      </c>
      <c r="G85" s="1088">
        <f t="shared" si="17"/>
        <v>600000</v>
      </c>
      <c r="H85" s="678" t="s">
        <v>924</v>
      </c>
      <c r="I85" s="304" t="s">
        <v>671</v>
      </c>
    </row>
    <row r="86" spans="1:9" ht="15.75" customHeight="1">
      <c r="A86" s="302">
        <v>82</v>
      </c>
      <c r="B86" s="737" t="s">
        <v>2343</v>
      </c>
      <c r="C86" s="677" t="s">
        <v>2344</v>
      </c>
      <c r="D86" s="299" t="s">
        <v>2345</v>
      </c>
      <c r="E86" s="299">
        <v>12</v>
      </c>
      <c r="F86" s="1088">
        <v>50000</v>
      </c>
      <c r="G86" s="1088">
        <f t="shared" si="17"/>
        <v>600000</v>
      </c>
      <c r="H86" s="678" t="s">
        <v>924</v>
      </c>
      <c r="I86" s="612" t="s">
        <v>671</v>
      </c>
    </row>
    <row r="87" spans="1:9" ht="15.75" customHeight="1">
      <c r="A87" s="302">
        <v>83</v>
      </c>
      <c r="B87" s="737" t="s">
        <v>881</v>
      </c>
      <c r="C87" s="677" t="s">
        <v>2346</v>
      </c>
      <c r="D87" s="299" t="s">
        <v>870</v>
      </c>
      <c r="E87" s="299">
        <v>24</v>
      </c>
      <c r="F87" s="1088">
        <v>24150</v>
      </c>
      <c r="G87" s="1088">
        <f t="shared" si="17"/>
        <v>579600</v>
      </c>
      <c r="H87" s="678" t="s">
        <v>924</v>
      </c>
      <c r="I87" s="612" t="s">
        <v>671</v>
      </c>
    </row>
    <row r="88" spans="1:9" ht="15.75" customHeight="1">
      <c r="A88" s="298">
        <v>84</v>
      </c>
      <c r="B88" s="737" t="s">
        <v>856</v>
      </c>
      <c r="C88" s="677" t="s">
        <v>2347</v>
      </c>
      <c r="D88" s="299" t="s">
        <v>830</v>
      </c>
      <c r="E88" s="299">
        <v>24</v>
      </c>
      <c r="F88" s="1088">
        <v>23000</v>
      </c>
      <c r="G88" s="1088">
        <v>552000</v>
      </c>
      <c r="H88" s="678" t="s">
        <v>924</v>
      </c>
      <c r="I88" s="612" t="s">
        <v>671</v>
      </c>
    </row>
    <row r="89" spans="1:9" ht="15.75" customHeight="1">
      <c r="A89" s="302">
        <v>85</v>
      </c>
      <c r="B89" s="737" t="s">
        <v>2251</v>
      </c>
      <c r="C89" s="677" t="s">
        <v>2348</v>
      </c>
      <c r="D89" s="299" t="s">
        <v>830</v>
      </c>
      <c r="E89" s="299">
        <v>20</v>
      </c>
      <c r="F89" s="1088">
        <v>25000</v>
      </c>
      <c r="G89" s="1088">
        <f t="shared" ref="G89:G91" si="18">SUM(F89*E89)</f>
        <v>500000</v>
      </c>
      <c r="H89" s="678" t="s">
        <v>924</v>
      </c>
      <c r="I89" s="612" t="s">
        <v>696</v>
      </c>
    </row>
    <row r="90" spans="1:9" ht="15.75" customHeight="1">
      <c r="A90" s="302">
        <v>86</v>
      </c>
      <c r="B90" s="737" t="s">
        <v>1025</v>
      </c>
      <c r="C90" s="677" t="s">
        <v>2349</v>
      </c>
      <c r="D90" s="299"/>
      <c r="E90" s="688">
        <v>24</v>
      </c>
      <c r="F90" s="1088">
        <v>10000</v>
      </c>
      <c r="G90" s="1088">
        <f t="shared" si="18"/>
        <v>240000</v>
      </c>
      <c r="H90" s="678"/>
      <c r="I90" s="612" t="s">
        <v>671</v>
      </c>
    </row>
    <row r="91" spans="1:9" ht="15.75" customHeight="1">
      <c r="A91" s="298">
        <v>87</v>
      </c>
      <c r="B91" s="737" t="s">
        <v>2251</v>
      </c>
      <c r="C91" s="677" t="s">
        <v>2350</v>
      </c>
      <c r="D91" s="299" t="s">
        <v>830</v>
      </c>
      <c r="E91" s="299">
        <v>30</v>
      </c>
      <c r="F91" s="1088">
        <v>15000</v>
      </c>
      <c r="G91" s="1088">
        <f t="shared" si="18"/>
        <v>450000</v>
      </c>
      <c r="H91" s="678" t="s">
        <v>924</v>
      </c>
      <c r="I91" s="612" t="s">
        <v>696</v>
      </c>
    </row>
    <row r="92" spans="1:9" ht="15.75" customHeight="1">
      <c r="A92" s="302">
        <v>88</v>
      </c>
      <c r="B92" s="737" t="s">
        <v>2343</v>
      </c>
      <c r="C92" s="677" t="s">
        <v>2351</v>
      </c>
      <c r="D92" s="299" t="s">
        <v>2243</v>
      </c>
      <c r="E92" s="299">
        <v>15</v>
      </c>
      <c r="F92" s="1088">
        <v>30000</v>
      </c>
      <c r="G92" s="1088">
        <f t="shared" ref="G92:G94" si="19">F92*E92</f>
        <v>450000</v>
      </c>
      <c r="H92" s="678" t="s">
        <v>924</v>
      </c>
      <c r="I92" s="612" t="s">
        <v>671</v>
      </c>
    </row>
    <row r="93" spans="1:9" ht="15.75" customHeight="1">
      <c r="A93" s="302">
        <v>89</v>
      </c>
      <c r="B93" s="147" t="s">
        <v>697</v>
      </c>
      <c r="C93" s="677" t="s">
        <v>2352</v>
      </c>
      <c r="D93" s="299" t="s">
        <v>870</v>
      </c>
      <c r="E93" s="299">
        <v>24</v>
      </c>
      <c r="F93" s="1088">
        <v>18400</v>
      </c>
      <c r="G93" s="1088">
        <f t="shared" si="19"/>
        <v>441600</v>
      </c>
      <c r="H93" s="678" t="s">
        <v>924</v>
      </c>
      <c r="I93" s="304" t="s">
        <v>671</v>
      </c>
    </row>
    <row r="94" spans="1:9" ht="15.75" customHeight="1">
      <c r="A94" s="298">
        <v>90</v>
      </c>
      <c r="B94" s="147" t="s">
        <v>697</v>
      </c>
      <c r="C94" s="677" t="s">
        <v>2353</v>
      </c>
      <c r="D94" s="299" t="s">
        <v>870</v>
      </c>
      <c r="E94" s="299">
        <v>12</v>
      </c>
      <c r="F94" s="1266">
        <v>35000</v>
      </c>
      <c r="G94" s="1088">
        <f t="shared" si="19"/>
        <v>420000</v>
      </c>
      <c r="H94" s="678" t="s">
        <v>924</v>
      </c>
      <c r="I94" s="700" t="s">
        <v>671</v>
      </c>
    </row>
    <row r="95" spans="1:9" ht="15.75" customHeight="1">
      <c r="A95" s="302">
        <v>91</v>
      </c>
      <c r="B95" s="737" t="s">
        <v>2251</v>
      </c>
      <c r="C95" s="677" t="s">
        <v>2354</v>
      </c>
      <c r="D95" s="299" t="s">
        <v>2259</v>
      </c>
      <c r="E95" s="299">
        <v>2</v>
      </c>
      <c r="F95" s="1088">
        <v>200000</v>
      </c>
      <c r="G95" s="1088">
        <f t="shared" ref="G95:G96" si="20">SUM(F95*E95)</f>
        <v>400000</v>
      </c>
      <c r="H95" s="678" t="s">
        <v>924</v>
      </c>
      <c r="I95" s="700" t="s">
        <v>696</v>
      </c>
    </row>
    <row r="96" spans="1:9" ht="15.75" customHeight="1">
      <c r="A96" s="302">
        <v>92</v>
      </c>
      <c r="B96" s="737" t="s">
        <v>2251</v>
      </c>
      <c r="C96" s="677" t="s">
        <v>2355</v>
      </c>
      <c r="D96" s="299" t="s">
        <v>830</v>
      </c>
      <c r="E96" s="299">
        <v>8</v>
      </c>
      <c r="F96" s="1088">
        <v>50000</v>
      </c>
      <c r="G96" s="1088">
        <f t="shared" si="20"/>
        <v>400000</v>
      </c>
      <c r="H96" s="678" t="s">
        <v>924</v>
      </c>
      <c r="I96" s="700" t="s">
        <v>704</v>
      </c>
    </row>
    <row r="97" spans="1:9" ht="15.75" customHeight="1">
      <c r="A97" s="298">
        <v>93</v>
      </c>
      <c r="B97" s="738" t="s">
        <v>562</v>
      </c>
      <c r="C97" s="696" t="s">
        <v>1151</v>
      </c>
      <c r="E97" s="688">
        <v>10</v>
      </c>
      <c r="F97" s="1262">
        <v>20000</v>
      </c>
      <c r="G97" s="1088">
        <f t="shared" ref="G97:G98" si="21">F97*E97</f>
        <v>200000</v>
      </c>
      <c r="H97" s="678" t="s">
        <v>2307</v>
      </c>
      <c r="I97" s="700" t="s">
        <v>2066</v>
      </c>
    </row>
    <row r="98" spans="1:9" ht="15.75" customHeight="1">
      <c r="A98" s="302">
        <v>94</v>
      </c>
      <c r="B98" s="738" t="s">
        <v>562</v>
      </c>
      <c r="C98" s="694" t="s">
        <v>1153</v>
      </c>
      <c r="E98" s="701">
        <v>10</v>
      </c>
      <c r="F98" s="1262">
        <v>20000</v>
      </c>
      <c r="G98" s="1088">
        <f t="shared" si="21"/>
        <v>200000</v>
      </c>
      <c r="H98" s="678" t="s">
        <v>2307</v>
      </c>
      <c r="I98" s="700" t="s">
        <v>2066</v>
      </c>
    </row>
    <row r="99" spans="1:9" ht="15.75" customHeight="1">
      <c r="A99" s="302">
        <v>95</v>
      </c>
      <c r="B99" s="737" t="s">
        <v>2251</v>
      </c>
      <c r="C99" s="677" t="s">
        <v>2356</v>
      </c>
      <c r="D99" s="299" t="s">
        <v>830</v>
      </c>
      <c r="E99" s="299">
        <v>20</v>
      </c>
      <c r="F99" s="1088">
        <v>19000</v>
      </c>
      <c r="G99" s="1088">
        <f>SUM(F99*E99)</f>
        <v>380000</v>
      </c>
      <c r="H99" s="678" t="s">
        <v>924</v>
      </c>
      <c r="I99" s="700" t="s">
        <v>696</v>
      </c>
    </row>
    <row r="100" spans="1:9" ht="15.75" customHeight="1">
      <c r="A100" s="298">
        <v>96</v>
      </c>
      <c r="B100" s="737" t="s">
        <v>856</v>
      </c>
      <c r="C100" s="677" t="s">
        <v>2357</v>
      </c>
      <c r="D100" s="299" t="s">
        <v>2358</v>
      </c>
      <c r="E100" s="299">
        <v>3</v>
      </c>
      <c r="F100" s="1088">
        <v>125000</v>
      </c>
      <c r="G100" s="1088">
        <v>375000</v>
      </c>
      <c r="H100" s="678" t="s">
        <v>924</v>
      </c>
      <c r="I100" s="612" t="s">
        <v>671</v>
      </c>
    </row>
    <row r="101" spans="1:9" ht="15.75" customHeight="1">
      <c r="A101" s="302">
        <v>97</v>
      </c>
      <c r="B101" s="737" t="s">
        <v>2251</v>
      </c>
      <c r="C101" s="677" t="s">
        <v>2359</v>
      </c>
      <c r="D101" s="299" t="s">
        <v>2259</v>
      </c>
      <c r="E101" s="299">
        <v>2</v>
      </c>
      <c r="F101" s="1088">
        <v>180000</v>
      </c>
      <c r="G101" s="1088">
        <f>SUM(F101*E101)</f>
        <v>360000</v>
      </c>
      <c r="H101" s="678" t="s">
        <v>924</v>
      </c>
      <c r="I101" s="612" t="s">
        <v>696</v>
      </c>
    </row>
    <row r="102" spans="1:9" ht="15.75" customHeight="1">
      <c r="A102" s="302">
        <v>98</v>
      </c>
      <c r="B102" s="737" t="s">
        <v>672</v>
      </c>
      <c r="C102" s="677" t="s">
        <v>2360</v>
      </c>
      <c r="D102" s="299"/>
      <c r="E102" s="299">
        <v>12</v>
      </c>
      <c r="F102" s="1088" t="s">
        <v>2361</v>
      </c>
      <c r="G102" s="1088">
        <v>360000</v>
      </c>
      <c r="H102" s="678"/>
      <c r="I102" s="612"/>
    </row>
    <row r="103" spans="1:9" ht="15.75" customHeight="1">
      <c r="A103" s="298">
        <v>99</v>
      </c>
      <c r="B103" s="737" t="s">
        <v>2337</v>
      </c>
      <c r="C103" s="677" t="s">
        <v>2362</v>
      </c>
      <c r="D103" s="299"/>
      <c r="E103" s="688">
        <v>10</v>
      </c>
      <c r="F103" s="1088">
        <v>30000</v>
      </c>
      <c r="G103" s="1088">
        <f>F103*E103</f>
        <v>300000</v>
      </c>
      <c r="H103" s="698" t="s">
        <v>2339</v>
      </c>
      <c r="I103" s="612" t="s">
        <v>1273</v>
      </c>
    </row>
    <row r="104" spans="1:9" ht="15.75" customHeight="1">
      <c r="A104" s="302">
        <v>100</v>
      </c>
      <c r="B104" s="737" t="s">
        <v>2251</v>
      </c>
      <c r="C104" s="677" t="s">
        <v>2363</v>
      </c>
      <c r="D104" s="299" t="s">
        <v>830</v>
      </c>
      <c r="E104" s="299">
        <v>10</v>
      </c>
      <c r="F104" s="1088">
        <v>35650</v>
      </c>
      <c r="G104" s="1088">
        <f t="shared" ref="G104:G113" si="22">SUM(F104*E104)</f>
        <v>356500</v>
      </c>
      <c r="H104" s="678" t="s">
        <v>924</v>
      </c>
      <c r="I104" s="612" t="s">
        <v>704</v>
      </c>
    </row>
    <row r="105" spans="1:9" ht="15.75" customHeight="1">
      <c r="A105" s="302">
        <v>101</v>
      </c>
      <c r="B105" s="737" t="s">
        <v>2251</v>
      </c>
      <c r="C105" s="677" t="s">
        <v>2364</v>
      </c>
      <c r="D105" s="299" t="s">
        <v>830</v>
      </c>
      <c r="E105" s="299">
        <v>3</v>
      </c>
      <c r="F105" s="1088">
        <v>115000</v>
      </c>
      <c r="G105" s="1088">
        <f t="shared" si="22"/>
        <v>345000</v>
      </c>
      <c r="H105" s="678" t="s">
        <v>924</v>
      </c>
      <c r="I105" s="612" t="s">
        <v>704</v>
      </c>
    </row>
    <row r="106" spans="1:9" ht="15.75" customHeight="1">
      <c r="A106" s="298">
        <v>102</v>
      </c>
      <c r="B106" s="737" t="s">
        <v>2251</v>
      </c>
      <c r="C106" s="677" t="s">
        <v>2365</v>
      </c>
      <c r="D106" s="299" t="s">
        <v>830</v>
      </c>
      <c r="E106" s="299">
        <v>15</v>
      </c>
      <c r="F106" s="1088">
        <v>22000</v>
      </c>
      <c r="G106" s="1088">
        <f t="shared" si="22"/>
        <v>330000</v>
      </c>
      <c r="H106" s="678" t="s">
        <v>924</v>
      </c>
      <c r="I106" s="612" t="s">
        <v>696</v>
      </c>
    </row>
    <row r="107" spans="1:9" ht="15.75" customHeight="1">
      <c r="A107" s="302">
        <v>103</v>
      </c>
      <c r="B107" s="737" t="s">
        <v>2251</v>
      </c>
      <c r="C107" s="677" t="s">
        <v>2366</v>
      </c>
      <c r="D107" s="299" t="s">
        <v>830</v>
      </c>
      <c r="E107" s="299">
        <v>4</v>
      </c>
      <c r="F107" s="1088">
        <v>80000</v>
      </c>
      <c r="G107" s="1088">
        <f t="shared" si="22"/>
        <v>320000</v>
      </c>
      <c r="H107" s="678" t="s">
        <v>924</v>
      </c>
      <c r="I107" s="612" t="s">
        <v>704</v>
      </c>
    </row>
    <row r="108" spans="1:9" ht="15.75" customHeight="1">
      <c r="A108" s="302">
        <v>104</v>
      </c>
      <c r="B108" s="737" t="s">
        <v>2251</v>
      </c>
      <c r="C108" s="677" t="s">
        <v>2367</v>
      </c>
      <c r="D108" s="299" t="s">
        <v>2259</v>
      </c>
      <c r="E108" s="299">
        <v>9</v>
      </c>
      <c r="F108" s="1088">
        <v>35000</v>
      </c>
      <c r="G108" s="1088">
        <f t="shared" si="22"/>
        <v>315000</v>
      </c>
      <c r="H108" s="678" t="s">
        <v>924</v>
      </c>
      <c r="I108" s="612" t="s">
        <v>696</v>
      </c>
    </row>
    <row r="109" spans="1:9" ht="15.75" customHeight="1">
      <c r="A109" s="298">
        <v>105</v>
      </c>
      <c r="B109" s="737" t="s">
        <v>2251</v>
      </c>
      <c r="C109" s="702" t="s">
        <v>2368</v>
      </c>
      <c r="D109" s="299" t="s">
        <v>2259</v>
      </c>
      <c r="E109" s="299">
        <v>2</v>
      </c>
      <c r="F109" s="1088">
        <v>150000</v>
      </c>
      <c r="G109" s="1088">
        <f t="shared" si="22"/>
        <v>300000</v>
      </c>
      <c r="H109" s="678" t="s">
        <v>924</v>
      </c>
      <c r="I109" s="700" t="s">
        <v>696</v>
      </c>
    </row>
    <row r="110" spans="1:9" ht="15.75" customHeight="1">
      <c r="A110" s="302">
        <v>106</v>
      </c>
      <c r="B110" s="737" t="s">
        <v>2251</v>
      </c>
      <c r="C110" s="702" t="s">
        <v>2369</v>
      </c>
      <c r="D110" s="299" t="s">
        <v>2259</v>
      </c>
      <c r="E110" s="299">
        <v>2</v>
      </c>
      <c r="F110" s="1088">
        <v>150000</v>
      </c>
      <c r="G110" s="1088">
        <f t="shared" si="22"/>
        <v>300000</v>
      </c>
      <c r="H110" s="678" t="s">
        <v>924</v>
      </c>
      <c r="I110" s="700" t="s">
        <v>696</v>
      </c>
    </row>
    <row r="111" spans="1:9" ht="15.75" customHeight="1">
      <c r="A111" s="302">
        <v>107</v>
      </c>
      <c r="B111" s="737" t="s">
        <v>2251</v>
      </c>
      <c r="C111" s="702" t="s">
        <v>2370</v>
      </c>
      <c r="D111" s="299" t="s">
        <v>2259</v>
      </c>
      <c r="E111" s="299">
        <v>2</v>
      </c>
      <c r="F111" s="1088">
        <v>150000</v>
      </c>
      <c r="G111" s="1088">
        <f t="shared" si="22"/>
        <v>300000</v>
      </c>
      <c r="H111" s="678" t="s">
        <v>924</v>
      </c>
      <c r="I111" s="700" t="s">
        <v>696</v>
      </c>
    </row>
    <row r="112" spans="1:9" ht="15.75" customHeight="1">
      <c r="A112" s="298">
        <v>108</v>
      </c>
      <c r="B112" s="737" t="s">
        <v>2251</v>
      </c>
      <c r="C112" s="677" t="s">
        <v>2371</v>
      </c>
      <c r="D112" s="299" t="s">
        <v>830</v>
      </c>
      <c r="E112" s="688">
        <v>20</v>
      </c>
      <c r="F112" s="1088">
        <v>12000</v>
      </c>
      <c r="G112" s="1088">
        <f t="shared" si="22"/>
        <v>240000</v>
      </c>
      <c r="H112" s="678" t="s">
        <v>924</v>
      </c>
      <c r="I112" s="700" t="s">
        <v>696</v>
      </c>
    </row>
    <row r="113" spans="1:9" ht="15.75" customHeight="1">
      <c r="A113" s="302">
        <v>109</v>
      </c>
      <c r="B113" s="737" t="s">
        <v>2251</v>
      </c>
      <c r="C113" s="677" t="s">
        <v>2372</v>
      </c>
      <c r="D113" s="299" t="s">
        <v>830</v>
      </c>
      <c r="E113" s="688">
        <v>15</v>
      </c>
      <c r="F113" s="1088">
        <v>15000</v>
      </c>
      <c r="G113" s="1088">
        <f t="shared" si="22"/>
        <v>225000</v>
      </c>
      <c r="H113" s="678" t="s">
        <v>924</v>
      </c>
      <c r="I113" s="700" t="s">
        <v>704</v>
      </c>
    </row>
    <row r="114" spans="1:9" ht="15.75" customHeight="1">
      <c r="A114" s="302">
        <v>110</v>
      </c>
      <c r="B114" s="738" t="s">
        <v>1163</v>
      </c>
      <c r="C114" s="679" t="s">
        <v>1034</v>
      </c>
      <c r="D114" s="680" t="s">
        <v>830</v>
      </c>
      <c r="E114" s="690">
        <v>20</v>
      </c>
      <c r="F114" s="1261">
        <v>15000</v>
      </c>
      <c r="G114" s="1088">
        <f>SUM(E114*F114)</f>
        <v>300000</v>
      </c>
      <c r="H114" s="678"/>
      <c r="I114" s="700" t="s">
        <v>1273</v>
      </c>
    </row>
    <row r="115" spans="1:9" ht="15.75" customHeight="1">
      <c r="A115" s="298">
        <v>111</v>
      </c>
      <c r="B115" s="738" t="s">
        <v>562</v>
      </c>
      <c r="C115" s="692" t="s">
        <v>1155</v>
      </c>
      <c r="E115" s="701">
        <v>15</v>
      </c>
      <c r="F115" s="1262">
        <v>10000</v>
      </c>
      <c r="G115" s="1088">
        <f t="shared" ref="G115:G119" si="23">F115*E115</f>
        <v>150000</v>
      </c>
      <c r="H115" s="678" t="s">
        <v>2307</v>
      </c>
      <c r="I115" s="700" t="s">
        <v>2066</v>
      </c>
    </row>
    <row r="116" spans="1:9" ht="15.75" customHeight="1">
      <c r="A116" s="302">
        <v>112</v>
      </c>
      <c r="B116" s="737" t="s">
        <v>502</v>
      </c>
      <c r="C116" s="691" t="s">
        <v>2373</v>
      </c>
      <c r="D116" s="299" t="s">
        <v>870</v>
      </c>
      <c r="E116" s="298">
        <v>6</v>
      </c>
      <c r="F116" s="1263">
        <v>50000</v>
      </c>
      <c r="G116" s="1088">
        <f t="shared" si="23"/>
        <v>300000</v>
      </c>
      <c r="H116" s="678"/>
      <c r="I116" s="703"/>
    </row>
    <row r="117" spans="1:9" ht="15.75" customHeight="1">
      <c r="A117" s="302">
        <v>113</v>
      </c>
      <c r="B117" s="737" t="s">
        <v>701</v>
      </c>
      <c r="C117" s="677" t="s">
        <v>2374</v>
      </c>
      <c r="D117" s="299" t="s">
        <v>2243</v>
      </c>
      <c r="E117" s="299">
        <v>6</v>
      </c>
      <c r="F117" s="1266">
        <v>50000</v>
      </c>
      <c r="G117" s="1088">
        <f t="shared" si="23"/>
        <v>300000</v>
      </c>
      <c r="H117" s="678" t="s">
        <v>924</v>
      </c>
      <c r="I117" s="700" t="s">
        <v>671</v>
      </c>
    </row>
    <row r="118" spans="1:9" ht="15.75" customHeight="1">
      <c r="A118" s="298">
        <v>114</v>
      </c>
      <c r="B118" s="737" t="s">
        <v>2337</v>
      </c>
      <c r="C118" s="677" t="s">
        <v>2375</v>
      </c>
      <c r="D118" s="299"/>
      <c r="E118" s="688">
        <v>6</v>
      </c>
      <c r="F118" s="1088">
        <v>25000</v>
      </c>
      <c r="G118" s="1088">
        <f t="shared" si="23"/>
        <v>150000</v>
      </c>
      <c r="H118" s="698" t="s">
        <v>2339</v>
      </c>
      <c r="I118" s="700" t="s">
        <v>1273</v>
      </c>
    </row>
    <row r="119" spans="1:9" ht="15.75" customHeight="1">
      <c r="A119" s="302">
        <v>115</v>
      </c>
      <c r="B119" s="711" t="s">
        <v>668</v>
      </c>
      <c r="C119" s="691" t="s">
        <v>2376</v>
      </c>
      <c r="D119" s="298" t="s">
        <v>830</v>
      </c>
      <c r="E119" s="298">
        <v>12</v>
      </c>
      <c r="F119" s="1267">
        <v>24150</v>
      </c>
      <c r="G119" s="1267">
        <f t="shared" si="23"/>
        <v>289800</v>
      </c>
      <c r="H119" s="704" t="s">
        <v>924</v>
      </c>
      <c r="I119" s="705" t="s">
        <v>671</v>
      </c>
    </row>
    <row r="120" spans="1:9" ht="15.75" customHeight="1">
      <c r="A120" s="302">
        <v>116</v>
      </c>
      <c r="B120" s="737" t="s">
        <v>856</v>
      </c>
      <c r="C120" s="677" t="s">
        <v>2283</v>
      </c>
      <c r="D120" s="299" t="s">
        <v>2243</v>
      </c>
      <c r="E120" s="299">
        <v>12</v>
      </c>
      <c r="F120" s="1088">
        <v>24150</v>
      </c>
      <c r="G120" s="1088">
        <v>289800</v>
      </c>
      <c r="H120" s="678" t="s">
        <v>924</v>
      </c>
      <c r="I120" s="700" t="s">
        <v>671</v>
      </c>
    </row>
    <row r="121" spans="1:9" ht="15.75" customHeight="1">
      <c r="A121" s="298">
        <v>117</v>
      </c>
      <c r="B121" s="737" t="s">
        <v>881</v>
      </c>
      <c r="C121" s="677" t="s">
        <v>2377</v>
      </c>
      <c r="D121" s="299" t="s">
        <v>2378</v>
      </c>
      <c r="E121" s="299">
        <v>1</v>
      </c>
      <c r="F121" s="1088">
        <v>287500</v>
      </c>
      <c r="G121" s="1088">
        <f t="shared" ref="G121:G123" si="24">F121*E121</f>
        <v>287500</v>
      </c>
      <c r="H121" s="678" t="s">
        <v>924</v>
      </c>
      <c r="I121" s="612" t="s">
        <v>671</v>
      </c>
    </row>
    <row r="122" spans="1:9" ht="15.75" customHeight="1">
      <c r="A122" s="302">
        <v>118</v>
      </c>
      <c r="B122" s="147" t="s">
        <v>697</v>
      </c>
      <c r="C122" s="677" t="s">
        <v>2379</v>
      </c>
      <c r="D122" s="299" t="s">
        <v>870</v>
      </c>
      <c r="E122" s="299">
        <v>12</v>
      </c>
      <c r="F122" s="1088">
        <v>23500</v>
      </c>
      <c r="G122" s="1088">
        <f t="shared" si="24"/>
        <v>282000</v>
      </c>
      <c r="H122" s="678" t="s">
        <v>924</v>
      </c>
      <c r="I122" s="703" t="s">
        <v>671</v>
      </c>
    </row>
    <row r="123" spans="1:9" ht="15.75" customHeight="1">
      <c r="A123" s="302">
        <v>119</v>
      </c>
      <c r="B123" s="147" t="s">
        <v>697</v>
      </c>
      <c r="C123" s="706" t="s">
        <v>2380</v>
      </c>
      <c r="D123" s="299" t="s">
        <v>870</v>
      </c>
      <c r="E123" s="299">
        <v>12</v>
      </c>
      <c r="F123" s="1088">
        <v>23500</v>
      </c>
      <c r="G123" s="1088">
        <f t="shared" si="24"/>
        <v>282000</v>
      </c>
      <c r="H123" s="678" t="s">
        <v>924</v>
      </c>
      <c r="I123" s="703" t="s">
        <v>671</v>
      </c>
    </row>
    <row r="124" spans="1:9" ht="15.75" customHeight="1">
      <c r="A124" s="298">
        <v>120</v>
      </c>
      <c r="B124" s="737" t="s">
        <v>856</v>
      </c>
      <c r="C124" s="694" t="s">
        <v>985</v>
      </c>
      <c r="D124" s="299" t="s">
        <v>830</v>
      </c>
      <c r="E124" s="299">
        <v>5</v>
      </c>
      <c r="F124" s="1088">
        <v>51750</v>
      </c>
      <c r="G124" s="1088">
        <v>258750</v>
      </c>
      <c r="H124" s="678" t="s">
        <v>924</v>
      </c>
      <c r="I124" s="700" t="s">
        <v>671</v>
      </c>
    </row>
    <row r="125" spans="1:9" ht="15.75" customHeight="1">
      <c r="A125" s="302">
        <v>121</v>
      </c>
      <c r="B125" s="737" t="s">
        <v>971</v>
      </c>
      <c r="C125" s="677" t="s">
        <v>2381</v>
      </c>
      <c r="D125" s="299" t="s">
        <v>901</v>
      </c>
      <c r="E125" s="299">
        <v>15</v>
      </c>
      <c r="F125" s="1088">
        <v>17250</v>
      </c>
      <c r="G125" s="1088">
        <f>E125*F125</f>
        <v>258750</v>
      </c>
      <c r="H125" s="678"/>
      <c r="I125" s="700" t="s">
        <v>671</v>
      </c>
    </row>
    <row r="126" spans="1:9" ht="15.75" customHeight="1">
      <c r="A126" s="302">
        <v>122</v>
      </c>
      <c r="B126" s="737" t="s">
        <v>2251</v>
      </c>
      <c r="C126" s="677" t="s">
        <v>2382</v>
      </c>
      <c r="D126" s="299" t="s">
        <v>2259</v>
      </c>
      <c r="E126" s="299">
        <v>10</v>
      </c>
      <c r="F126" s="1088">
        <v>25000</v>
      </c>
      <c r="G126" s="1088">
        <f>SUM(F126*E126)</f>
        <v>250000</v>
      </c>
      <c r="H126" s="678" t="s">
        <v>924</v>
      </c>
      <c r="I126" s="700" t="s">
        <v>696</v>
      </c>
    </row>
    <row r="127" spans="1:9" ht="15.75" customHeight="1">
      <c r="A127" s="298">
        <v>123</v>
      </c>
      <c r="B127" s="777" t="s">
        <v>788</v>
      </c>
      <c r="C127" s="679" t="s">
        <v>2383</v>
      </c>
      <c r="D127" s="680" t="s">
        <v>830</v>
      </c>
      <c r="E127" s="680">
        <v>72</v>
      </c>
      <c r="F127" s="1261">
        <v>3450</v>
      </c>
      <c r="G127" s="1261">
        <f>F127*E127</f>
        <v>248400</v>
      </c>
      <c r="H127" s="678" t="s">
        <v>924</v>
      </c>
      <c r="I127" s="703" t="s">
        <v>671</v>
      </c>
    </row>
    <row r="128" spans="1:9" ht="15.75" customHeight="1">
      <c r="A128" s="302">
        <v>124</v>
      </c>
      <c r="B128" s="737" t="s">
        <v>2251</v>
      </c>
      <c r="C128" s="677" t="s">
        <v>2384</v>
      </c>
      <c r="D128" s="299" t="s">
        <v>2259</v>
      </c>
      <c r="E128" s="299">
        <v>8</v>
      </c>
      <c r="F128" s="1088">
        <v>30000</v>
      </c>
      <c r="G128" s="1088">
        <f>SUM(F128*E128)</f>
        <v>240000</v>
      </c>
      <c r="H128" s="678" t="s">
        <v>924</v>
      </c>
      <c r="I128" s="700" t="s">
        <v>696</v>
      </c>
    </row>
    <row r="129" spans="1:10" ht="15.75" customHeight="1">
      <c r="A129" s="302">
        <v>125</v>
      </c>
      <c r="B129" s="147" t="s">
        <v>697</v>
      </c>
      <c r="C129" s="677" t="s">
        <v>2385</v>
      </c>
      <c r="D129" s="299" t="s">
        <v>870</v>
      </c>
      <c r="E129" s="299">
        <v>12</v>
      </c>
      <c r="F129" s="1266">
        <v>20000</v>
      </c>
      <c r="G129" s="1088">
        <f t="shared" ref="G129:G130" si="25">F129*E129</f>
        <v>240000</v>
      </c>
      <c r="H129" s="678" t="s">
        <v>924</v>
      </c>
      <c r="I129" s="703" t="s">
        <v>671</v>
      </c>
    </row>
    <row r="130" spans="1:10" ht="15.75" customHeight="1">
      <c r="A130" s="298">
        <v>126</v>
      </c>
      <c r="B130" s="737" t="s">
        <v>2343</v>
      </c>
      <c r="C130" s="677" t="s">
        <v>2386</v>
      </c>
      <c r="D130" s="299" t="s">
        <v>2243</v>
      </c>
      <c r="E130" s="299">
        <v>12</v>
      </c>
      <c r="F130" s="1088">
        <v>20000</v>
      </c>
      <c r="G130" s="1088">
        <f t="shared" si="25"/>
        <v>240000</v>
      </c>
      <c r="H130" s="678" t="s">
        <v>924</v>
      </c>
      <c r="I130" s="703"/>
    </row>
    <row r="131" spans="1:10" ht="15.75" customHeight="1">
      <c r="A131" s="302">
        <v>127</v>
      </c>
      <c r="B131" s="737" t="s">
        <v>856</v>
      </c>
      <c r="C131" s="677" t="s">
        <v>2387</v>
      </c>
      <c r="D131" s="299" t="s">
        <v>830</v>
      </c>
      <c r="E131" s="299">
        <v>4</v>
      </c>
      <c r="F131" s="1088">
        <v>57500</v>
      </c>
      <c r="G131" s="1088">
        <v>230000</v>
      </c>
      <c r="H131" s="678" t="s">
        <v>924</v>
      </c>
      <c r="I131" s="612" t="s">
        <v>671</v>
      </c>
      <c r="J131" s="32"/>
    </row>
    <row r="132" spans="1:10" ht="15.75" customHeight="1">
      <c r="A132" s="302">
        <v>128</v>
      </c>
      <c r="B132" s="737" t="s">
        <v>971</v>
      </c>
      <c r="C132" s="677" t="s">
        <v>2388</v>
      </c>
      <c r="D132" s="299" t="s">
        <v>2389</v>
      </c>
      <c r="E132" s="299">
        <v>10</v>
      </c>
      <c r="F132" s="1264">
        <v>22776</v>
      </c>
      <c r="G132" s="1088">
        <f>E132*F132</f>
        <v>227760</v>
      </c>
      <c r="H132" s="678"/>
      <c r="I132" s="700" t="s">
        <v>671</v>
      </c>
    </row>
    <row r="133" spans="1:10" ht="15.75" customHeight="1">
      <c r="A133" s="298">
        <v>129</v>
      </c>
      <c r="B133" s="711" t="s">
        <v>668</v>
      </c>
      <c r="C133" s="691" t="s">
        <v>2353</v>
      </c>
      <c r="D133" s="298" t="s">
        <v>830</v>
      </c>
      <c r="E133" s="298">
        <v>6</v>
      </c>
      <c r="F133" s="1267">
        <v>34500</v>
      </c>
      <c r="G133" s="1267">
        <f t="shared" ref="G133:G134" si="26">F133*E133</f>
        <v>207000</v>
      </c>
      <c r="H133" s="704" t="s">
        <v>924</v>
      </c>
      <c r="I133" s="705" t="s">
        <v>671</v>
      </c>
    </row>
    <row r="134" spans="1:10" ht="15.75" customHeight="1">
      <c r="A134" s="302">
        <v>130</v>
      </c>
      <c r="B134" s="711" t="s">
        <v>668</v>
      </c>
      <c r="C134" s="691" t="s">
        <v>2390</v>
      </c>
      <c r="D134" s="298" t="s">
        <v>830</v>
      </c>
      <c r="E134" s="298">
        <v>60</v>
      </c>
      <c r="F134" s="1267">
        <v>3450</v>
      </c>
      <c r="G134" s="1267">
        <f t="shared" si="26"/>
        <v>207000</v>
      </c>
      <c r="H134" s="704" t="s">
        <v>924</v>
      </c>
      <c r="I134" s="705" t="s">
        <v>671</v>
      </c>
    </row>
    <row r="135" spans="1:10" ht="15.75" customHeight="1">
      <c r="A135" s="302">
        <v>131</v>
      </c>
      <c r="B135" s="737" t="s">
        <v>2251</v>
      </c>
      <c r="C135" s="677" t="s">
        <v>2391</v>
      </c>
      <c r="D135" s="299" t="s">
        <v>2282</v>
      </c>
      <c r="E135" s="299">
        <v>10</v>
      </c>
      <c r="F135" s="1088">
        <v>20000</v>
      </c>
      <c r="G135" s="1088">
        <f>SUM(F135*E135)</f>
        <v>200000</v>
      </c>
      <c r="H135" s="678" t="s">
        <v>924</v>
      </c>
      <c r="I135" s="700" t="s">
        <v>696</v>
      </c>
    </row>
    <row r="136" spans="1:10" ht="15.75" customHeight="1">
      <c r="A136" s="298">
        <v>132</v>
      </c>
      <c r="B136" s="738" t="s">
        <v>1163</v>
      </c>
      <c r="C136" s="677" t="s">
        <v>2392</v>
      </c>
      <c r="D136" s="299"/>
      <c r="E136" s="299">
        <v>2</v>
      </c>
      <c r="F136" s="1088">
        <v>100000</v>
      </c>
      <c r="G136" s="1088">
        <f>SUM(E136*F136)</f>
        <v>200000</v>
      </c>
      <c r="H136" s="678"/>
      <c r="I136" s="700" t="s">
        <v>1273</v>
      </c>
    </row>
    <row r="137" spans="1:10" ht="15.75" customHeight="1">
      <c r="A137" s="302">
        <v>133</v>
      </c>
      <c r="B137" s="737" t="s">
        <v>1025</v>
      </c>
      <c r="C137" s="677" t="s">
        <v>2393</v>
      </c>
      <c r="D137" s="299">
        <v>8</v>
      </c>
      <c r="E137" s="299"/>
      <c r="F137" s="1088">
        <v>25000</v>
      </c>
      <c r="G137" s="1088">
        <f>D137*F137</f>
        <v>200000</v>
      </c>
      <c r="H137" s="678"/>
      <c r="I137" s="700" t="s">
        <v>671</v>
      </c>
    </row>
    <row r="138" spans="1:10" ht="15.75" customHeight="1">
      <c r="A138" s="302">
        <v>134</v>
      </c>
      <c r="B138" s="737" t="s">
        <v>2251</v>
      </c>
      <c r="C138" s="677" t="s">
        <v>2394</v>
      </c>
      <c r="D138" s="299" t="s">
        <v>830</v>
      </c>
      <c r="E138" s="299">
        <v>13</v>
      </c>
      <c r="F138" s="1088">
        <v>15000</v>
      </c>
      <c r="G138" s="1088">
        <v>272238</v>
      </c>
      <c r="H138" s="678" t="s">
        <v>924</v>
      </c>
      <c r="I138" s="700" t="s">
        <v>704</v>
      </c>
    </row>
    <row r="139" spans="1:10" ht="15.75" customHeight="1">
      <c r="A139" s="298">
        <v>135</v>
      </c>
      <c r="B139" s="737" t="s">
        <v>2251</v>
      </c>
      <c r="C139" s="677" t="s">
        <v>2395</v>
      </c>
      <c r="D139" s="299" t="s">
        <v>830</v>
      </c>
      <c r="E139" s="299">
        <v>10</v>
      </c>
      <c r="F139" s="1088">
        <v>18000</v>
      </c>
      <c r="G139" s="1088">
        <f>SUM(F139*E139)</f>
        <v>180000</v>
      </c>
      <c r="H139" s="678" t="s">
        <v>924</v>
      </c>
      <c r="I139" s="700" t="s">
        <v>696</v>
      </c>
    </row>
    <row r="140" spans="1:10" ht="15.75" customHeight="1">
      <c r="A140" s="302">
        <v>136</v>
      </c>
      <c r="B140" s="738" t="s">
        <v>562</v>
      </c>
      <c r="C140" s="692" t="s">
        <v>1156</v>
      </c>
      <c r="D140" s="684">
        <v>15000</v>
      </c>
      <c r="E140" s="695">
        <v>10</v>
      </c>
      <c r="F140" s="1088">
        <f t="shared" ref="F140:F150" si="27">D140*E140</f>
        <v>150000</v>
      </c>
      <c r="G140" s="1088">
        <f t="shared" ref="G140:G150" si="28">D140*E140</f>
        <v>150000</v>
      </c>
      <c r="H140" s="678" t="s">
        <v>2307</v>
      </c>
      <c r="I140" s="700" t="s">
        <v>2066</v>
      </c>
    </row>
    <row r="141" spans="1:10" ht="15.75" customHeight="1">
      <c r="A141" s="302">
        <v>137</v>
      </c>
      <c r="B141" s="738" t="s">
        <v>562</v>
      </c>
      <c r="C141" s="677" t="s">
        <v>2396</v>
      </c>
      <c r="D141" s="697">
        <v>15000</v>
      </c>
      <c r="E141" s="302">
        <v>10</v>
      </c>
      <c r="F141" s="1088">
        <f t="shared" si="27"/>
        <v>150000</v>
      </c>
      <c r="G141" s="1088">
        <f t="shared" si="28"/>
        <v>150000</v>
      </c>
      <c r="H141" s="678" t="s">
        <v>2307</v>
      </c>
      <c r="I141" s="700" t="s">
        <v>2066</v>
      </c>
    </row>
    <row r="142" spans="1:10" ht="15.75" customHeight="1">
      <c r="A142" s="298">
        <v>138</v>
      </c>
      <c r="B142" s="738" t="s">
        <v>562</v>
      </c>
      <c r="C142" s="677" t="s">
        <v>2397</v>
      </c>
      <c r="D142" s="697">
        <v>15000</v>
      </c>
      <c r="E142" s="302">
        <v>10</v>
      </c>
      <c r="F142" s="1088">
        <f t="shared" si="27"/>
        <v>150000</v>
      </c>
      <c r="G142" s="1088">
        <f t="shared" si="28"/>
        <v>150000</v>
      </c>
      <c r="H142" s="678" t="s">
        <v>2307</v>
      </c>
      <c r="I142" s="700" t="s">
        <v>2066</v>
      </c>
    </row>
    <row r="143" spans="1:10" ht="15.75" customHeight="1">
      <c r="A143" s="302">
        <v>139</v>
      </c>
      <c r="B143" s="738" t="s">
        <v>562</v>
      </c>
      <c r="C143" s="677" t="s">
        <v>2398</v>
      </c>
      <c r="D143" s="697">
        <v>15000</v>
      </c>
      <c r="E143" s="302">
        <v>10</v>
      </c>
      <c r="F143" s="1088">
        <f t="shared" si="27"/>
        <v>150000</v>
      </c>
      <c r="G143" s="1088">
        <f t="shared" si="28"/>
        <v>150000</v>
      </c>
      <c r="H143" s="678" t="s">
        <v>2307</v>
      </c>
      <c r="I143" s="700" t="s">
        <v>2066</v>
      </c>
    </row>
    <row r="144" spans="1:10" ht="15.75" customHeight="1">
      <c r="A144" s="302">
        <v>140</v>
      </c>
      <c r="B144" s="738" t="s">
        <v>562</v>
      </c>
      <c r="C144" s="677" t="s">
        <v>2399</v>
      </c>
      <c r="D144" s="697">
        <v>15000</v>
      </c>
      <c r="E144" s="302">
        <v>10</v>
      </c>
      <c r="F144" s="1088">
        <f t="shared" si="27"/>
        <v>150000</v>
      </c>
      <c r="G144" s="1088">
        <f t="shared" si="28"/>
        <v>150000</v>
      </c>
      <c r="H144" s="678" t="s">
        <v>2307</v>
      </c>
      <c r="I144" s="700" t="s">
        <v>2066</v>
      </c>
    </row>
    <row r="145" spans="1:9" ht="15.75" customHeight="1">
      <c r="A145" s="298">
        <v>141</v>
      </c>
      <c r="B145" s="738" t="s">
        <v>562</v>
      </c>
      <c r="C145" s="707" t="s">
        <v>2400</v>
      </c>
      <c r="D145" s="697">
        <v>15000</v>
      </c>
      <c r="E145" s="302">
        <v>10</v>
      </c>
      <c r="F145" s="1088">
        <f t="shared" si="27"/>
        <v>150000</v>
      </c>
      <c r="G145" s="1088">
        <f t="shared" si="28"/>
        <v>150000</v>
      </c>
      <c r="H145" s="678" t="s">
        <v>2307</v>
      </c>
      <c r="I145" s="700" t="s">
        <v>2066</v>
      </c>
    </row>
    <row r="146" spans="1:9" ht="15.75" customHeight="1">
      <c r="A146" s="302">
        <v>142</v>
      </c>
      <c r="B146" s="738" t="s">
        <v>562</v>
      </c>
      <c r="C146" s="707" t="s">
        <v>2401</v>
      </c>
      <c r="D146" s="697">
        <v>15000</v>
      </c>
      <c r="E146" s="302">
        <v>10</v>
      </c>
      <c r="F146" s="1088">
        <f t="shared" si="27"/>
        <v>150000</v>
      </c>
      <c r="G146" s="1088">
        <f t="shared" si="28"/>
        <v>150000</v>
      </c>
      <c r="H146" s="678" t="s">
        <v>2307</v>
      </c>
      <c r="I146" s="700" t="s">
        <v>2066</v>
      </c>
    </row>
    <row r="147" spans="1:9" ht="15.75" customHeight="1">
      <c r="A147" s="302">
        <v>143</v>
      </c>
      <c r="B147" s="738" t="s">
        <v>562</v>
      </c>
      <c r="C147" s="707" t="s">
        <v>2402</v>
      </c>
      <c r="D147" s="697">
        <v>15000</v>
      </c>
      <c r="E147" s="302">
        <v>10</v>
      </c>
      <c r="F147" s="1088">
        <f t="shared" si="27"/>
        <v>150000</v>
      </c>
      <c r="G147" s="1088">
        <f t="shared" si="28"/>
        <v>150000</v>
      </c>
      <c r="H147" s="678" t="s">
        <v>2307</v>
      </c>
      <c r="I147" s="700" t="s">
        <v>2066</v>
      </c>
    </row>
    <row r="148" spans="1:9" ht="15.75" customHeight="1">
      <c r="A148" s="298">
        <v>144</v>
      </c>
      <c r="B148" s="738" t="s">
        <v>562</v>
      </c>
      <c r="C148" s="707" t="s">
        <v>2403</v>
      </c>
      <c r="D148" s="697">
        <v>15000</v>
      </c>
      <c r="E148" s="302">
        <v>10</v>
      </c>
      <c r="F148" s="1088">
        <f t="shared" si="27"/>
        <v>150000</v>
      </c>
      <c r="G148" s="1088">
        <f t="shared" si="28"/>
        <v>150000</v>
      </c>
      <c r="H148" s="678" t="s">
        <v>2307</v>
      </c>
      <c r="I148" s="700" t="s">
        <v>2066</v>
      </c>
    </row>
    <row r="149" spans="1:9" ht="15.75" customHeight="1">
      <c r="A149" s="302">
        <v>145</v>
      </c>
      <c r="B149" s="738" t="s">
        <v>562</v>
      </c>
      <c r="C149" s="707" t="s">
        <v>2404</v>
      </c>
      <c r="D149" s="697">
        <v>15000</v>
      </c>
      <c r="E149" s="302">
        <v>10</v>
      </c>
      <c r="F149" s="1088">
        <f t="shared" si="27"/>
        <v>150000</v>
      </c>
      <c r="G149" s="1088">
        <f t="shared" si="28"/>
        <v>150000</v>
      </c>
      <c r="H149" s="678" t="s">
        <v>2307</v>
      </c>
      <c r="I149" s="700" t="s">
        <v>2066</v>
      </c>
    </row>
    <row r="150" spans="1:9" ht="15.75" customHeight="1">
      <c r="A150" s="302">
        <v>146</v>
      </c>
      <c r="B150" s="738" t="s">
        <v>562</v>
      </c>
      <c r="C150" s="707" t="s">
        <v>2405</v>
      </c>
      <c r="D150" s="697">
        <v>15000</v>
      </c>
      <c r="E150" s="302">
        <v>10</v>
      </c>
      <c r="F150" s="1088">
        <f t="shared" si="27"/>
        <v>150000</v>
      </c>
      <c r="G150" s="1088">
        <f t="shared" si="28"/>
        <v>150000</v>
      </c>
      <c r="H150" s="678" t="s">
        <v>2307</v>
      </c>
      <c r="I150" s="700" t="s">
        <v>2066</v>
      </c>
    </row>
    <row r="151" spans="1:9" ht="15.75" customHeight="1">
      <c r="A151" s="298">
        <v>147</v>
      </c>
      <c r="B151" s="737" t="s">
        <v>1025</v>
      </c>
      <c r="C151" s="677" t="s">
        <v>2406</v>
      </c>
      <c r="D151" s="299" t="s">
        <v>2407</v>
      </c>
      <c r="E151" s="299"/>
      <c r="F151" s="1088">
        <v>25000</v>
      </c>
      <c r="G151" s="1088">
        <f t="shared" ref="G151:G152" si="29">6*25000</f>
        <v>150000</v>
      </c>
      <c r="H151" s="678"/>
      <c r="I151" s="700" t="s">
        <v>671</v>
      </c>
    </row>
    <row r="152" spans="1:9" ht="15.75" customHeight="1">
      <c r="A152" s="302">
        <v>148</v>
      </c>
      <c r="B152" s="737" t="s">
        <v>1025</v>
      </c>
      <c r="C152" s="677" t="s">
        <v>2408</v>
      </c>
      <c r="D152" s="299" t="s">
        <v>2407</v>
      </c>
      <c r="E152" s="299"/>
      <c r="F152" s="1088">
        <v>25000</v>
      </c>
      <c r="G152" s="1088">
        <f t="shared" si="29"/>
        <v>150000</v>
      </c>
      <c r="H152" s="678"/>
      <c r="I152" s="700" t="s">
        <v>671</v>
      </c>
    </row>
    <row r="153" spans="1:9" ht="15.75" customHeight="1">
      <c r="A153" s="302">
        <v>149</v>
      </c>
      <c r="B153" s="737" t="s">
        <v>2251</v>
      </c>
      <c r="C153" s="677" t="s">
        <v>2409</v>
      </c>
      <c r="D153" s="299" t="s">
        <v>2410</v>
      </c>
      <c r="E153" s="299">
        <v>4</v>
      </c>
      <c r="F153" s="1088">
        <v>30000</v>
      </c>
      <c r="G153" s="1088">
        <f t="shared" ref="G153:G154" si="30">SUM(F153*E153)</f>
        <v>120000</v>
      </c>
      <c r="H153" s="678" t="s">
        <v>924</v>
      </c>
      <c r="I153" s="700" t="s">
        <v>696</v>
      </c>
    </row>
    <row r="154" spans="1:9" ht="15.75" customHeight="1">
      <c r="A154" s="298">
        <v>150</v>
      </c>
      <c r="B154" s="737" t="s">
        <v>2251</v>
      </c>
      <c r="C154" s="677" t="s">
        <v>2411</v>
      </c>
      <c r="D154" s="299" t="s">
        <v>830</v>
      </c>
      <c r="E154" s="299">
        <v>10</v>
      </c>
      <c r="F154" s="1088">
        <v>12000</v>
      </c>
      <c r="G154" s="1088">
        <f t="shared" si="30"/>
        <v>120000</v>
      </c>
      <c r="H154" s="678" t="s">
        <v>924</v>
      </c>
      <c r="I154" s="700" t="s">
        <v>704</v>
      </c>
    </row>
    <row r="155" spans="1:9" ht="15.75" customHeight="1">
      <c r="A155" s="302">
        <v>151</v>
      </c>
      <c r="B155" s="738" t="s">
        <v>1163</v>
      </c>
      <c r="C155" s="708" t="s">
        <v>2412</v>
      </c>
      <c r="D155" s="680"/>
      <c r="E155" s="690">
        <v>2</v>
      </c>
      <c r="F155" s="1261">
        <v>60000</v>
      </c>
      <c r="G155" s="1088">
        <f>SUM(E155*F155)</f>
        <v>120000</v>
      </c>
      <c r="H155" s="678"/>
      <c r="I155" s="700" t="s">
        <v>1273</v>
      </c>
    </row>
    <row r="156" spans="1:9" ht="15.75" customHeight="1">
      <c r="A156" s="302">
        <v>152</v>
      </c>
      <c r="B156" s="738" t="s">
        <v>562</v>
      </c>
      <c r="C156" s="692" t="s">
        <v>2413</v>
      </c>
      <c r="D156" s="697">
        <v>120000</v>
      </c>
      <c r="E156" s="695">
        <v>1</v>
      </c>
      <c r="F156" s="1088">
        <f>D156*E156</f>
        <v>120000</v>
      </c>
      <c r="G156" s="1088">
        <f>D156*E156</f>
        <v>120000</v>
      </c>
      <c r="H156" s="678" t="s">
        <v>2307</v>
      </c>
      <c r="I156" s="700" t="s">
        <v>2066</v>
      </c>
    </row>
    <row r="157" spans="1:9" ht="15.75" customHeight="1">
      <c r="A157" s="298">
        <v>153</v>
      </c>
      <c r="B157" s="737" t="s">
        <v>2343</v>
      </c>
      <c r="C157" s="677" t="s">
        <v>2414</v>
      </c>
      <c r="D157" s="299" t="s">
        <v>2243</v>
      </c>
      <c r="E157" s="299">
        <v>4</v>
      </c>
      <c r="F157" s="1088">
        <v>30000</v>
      </c>
      <c r="G157" s="1088">
        <f>F157*E157</f>
        <v>120000</v>
      </c>
      <c r="H157" s="678" t="s">
        <v>924</v>
      </c>
      <c r="I157" s="703"/>
    </row>
    <row r="158" spans="1:9" ht="15.75" customHeight="1">
      <c r="A158" s="302">
        <v>154</v>
      </c>
      <c r="B158" s="737" t="s">
        <v>856</v>
      </c>
      <c r="C158" s="694" t="s">
        <v>2415</v>
      </c>
      <c r="D158" s="299" t="s">
        <v>2416</v>
      </c>
      <c r="E158" s="299"/>
      <c r="F158" s="1088">
        <v>39187.5</v>
      </c>
      <c r="G158" s="1088">
        <v>135813</v>
      </c>
      <c r="H158" s="678" t="s">
        <v>924</v>
      </c>
      <c r="I158" s="700" t="s">
        <v>671</v>
      </c>
    </row>
    <row r="159" spans="1:9" ht="15.75" customHeight="1">
      <c r="A159" s="302">
        <v>155</v>
      </c>
      <c r="B159" s="737" t="s">
        <v>2251</v>
      </c>
      <c r="C159" s="677" t="s">
        <v>2417</v>
      </c>
      <c r="D159" s="299" t="s">
        <v>830</v>
      </c>
      <c r="E159" s="299">
        <v>5</v>
      </c>
      <c r="F159" s="1088">
        <v>23000</v>
      </c>
      <c r="G159" s="1088">
        <f>SUM(F159*E159)</f>
        <v>115000</v>
      </c>
      <c r="H159" s="678" t="s">
        <v>924</v>
      </c>
      <c r="I159" s="700" t="s">
        <v>704</v>
      </c>
    </row>
    <row r="160" spans="1:9" ht="15.75" customHeight="1">
      <c r="A160" s="298">
        <v>156</v>
      </c>
      <c r="B160" s="737" t="s">
        <v>971</v>
      </c>
      <c r="C160" s="677" t="s">
        <v>2418</v>
      </c>
      <c r="D160" s="299" t="s">
        <v>2419</v>
      </c>
      <c r="E160" s="299">
        <v>5</v>
      </c>
      <c r="F160" s="1088">
        <v>23000</v>
      </c>
      <c r="G160" s="1088">
        <f>E160*F160</f>
        <v>115000</v>
      </c>
      <c r="H160" s="678"/>
      <c r="I160" s="612" t="s">
        <v>671</v>
      </c>
    </row>
    <row r="161" spans="1:9" ht="15.75" customHeight="1">
      <c r="A161" s="302">
        <v>157</v>
      </c>
      <c r="B161" s="737" t="s">
        <v>856</v>
      </c>
      <c r="C161" s="677" t="s">
        <v>2420</v>
      </c>
      <c r="D161" s="299" t="s">
        <v>2243</v>
      </c>
      <c r="E161" s="299">
        <v>30</v>
      </c>
      <c r="F161" s="1088">
        <v>3450</v>
      </c>
      <c r="G161" s="1088">
        <v>103500</v>
      </c>
      <c r="H161" s="678" t="s">
        <v>924</v>
      </c>
      <c r="I161" s="612" t="s">
        <v>671</v>
      </c>
    </row>
    <row r="162" spans="1:9" ht="15.75" customHeight="1">
      <c r="A162" s="302">
        <v>158</v>
      </c>
      <c r="B162" s="737" t="s">
        <v>856</v>
      </c>
      <c r="C162" s="677" t="s">
        <v>2421</v>
      </c>
      <c r="D162" s="299" t="s">
        <v>2243</v>
      </c>
      <c r="E162" s="299">
        <v>30</v>
      </c>
      <c r="F162" s="1088">
        <v>3450</v>
      </c>
      <c r="G162" s="1088">
        <v>103500</v>
      </c>
      <c r="H162" s="678" t="s">
        <v>924</v>
      </c>
      <c r="I162" s="612" t="s">
        <v>671</v>
      </c>
    </row>
    <row r="163" spans="1:9" ht="15.75" customHeight="1">
      <c r="A163" s="298">
        <v>159</v>
      </c>
      <c r="B163" s="738" t="s">
        <v>562</v>
      </c>
      <c r="C163" s="709" t="s">
        <v>1148</v>
      </c>
      <c r="D163" s="697">
        <v>10000</v>
      </c>
      <c r="E163" s="710">
        <v>10</v>
      </c>
      <c r="F163" s="1088">
        <f>D163*E163</f>
        <v>100000</v>
      </c>
      <c r="G163" s="1088">
        <f>D163*E163</f>
        <v>100000</v>
      </c>
      <c r="H163" s="678" t="s">
        <v>2307</v>
      </c>
      <c r="I163" s="612" t="s">
        <v>2066</v>
      </c>
    </row>
    <row r="164" spans="1:9" ht="15.75" customHeight="1">
      <c r="A164" s="302">
        <v>160</v>
      </c>
      <c r="B164" s="147" t="s">
        <v>697</v>
      </c>
      <c r="C164" s="677" t="s">
        <v>2422</v>
      </c>
      <c r="D164" s="299" t="s">
        <v>870</v>
      </c>
      <c r="E164" s="299">
        <v>2</v>
      </c>
      <c r="F164" s="1088">
        <v>50000</v>
      </c>
      <c r="G164" s="1088">
        <f t="shared" ref="G164:G168" si="31">F164*E164</f>
        <v>100000</v>
      </c>
      <c r="H164" s="678" t="s">
        <v>924</v>
      </c>
      <c r="I164" s="304" t="s">
        <v>671</v>
      </c>
    </row>
    <row r="165" spans="1:9" ht="15.75" customHeight="1">
      <c r="A165" s="302">
        <v>161</v>
      </c>
      <c r="B165" s="737" t="s">
        <v>881</v>
      </c>
      <c r="C165" s="677" t="s">
        <v>2423</v>
      </c>
      <c r="D165" s="299" t="s">
        <v>2243</v>
      </c>
      <c r="E165" s="299">
        <v>4</v>
      </c>
      <c r="F165" s="1088">
        <v>25000</v>
      </c>
      <c r="G165" s="1088">
        <f t="shared" si="31"/>
        <v>100000</v>
      </c>
      <c r="H165" s="678" t="s">
        <v>924</v>
      </c>
      <c r="I165" s="612" t="s">
        <v>671</v>
      </c>
    </row>
    <row r="166" spans="1:9" ht="15.75" customHeight="1">
      <c r="A166" s="298">
        <v>162</v>
      </c>
      <c r="B166" s="737" t="s">
        <v>2343</v>
      </c>
      <c r="C166" s="677" t="s">
        <v>2424</v>
      </c>
      <c r="D166" s="299" t="s">
        <v>2243</v>
      </c>
      <c r="E166" s="299">
        <v>2</v>
      </c>
      <c r="F166" s="1088">
        <v>50000</v>
      </c>
      <c r="G166" s="1088">
        <f t="shared" si="31"/>
        <v>100000</v>
      </c>
      <c r="H166" s="678" t="s">
        <v>924</v>
      </c>
      <c r="I166" s="304"/>
    </row>
    <row r="167" spans="1:9" ht="15.75" customHeight="1">
      <c r="A167" s="302">
        <v>163</v>
      </c>
      <c r="B167" s="737" t="s">
        <v>881</v>
      </c>
      <c r="C167" s="677" t="s">
        <v>2425</v>
      </c>
      <c r="D167" s="299" t="s">
        <v>2426</v>
      </c>
      <c r="E167" s="299">
        <v>1</v>
      </c>
      <c r="F167" s="1088">
        <v>92000</v>
      </c>
      <c r="G167" s="1088">
        <f t="shared" si="31"/>
        <v>92000</v>
      </c>
      <c r="H167" s="678" t="s">
        <v>924</v>
      </c>
      <c r="I167" s="612" t="s">
        <v>671</v>
      </c>
    </row>
    <row r="168" spans="1:9" ht="15.75" customHeight="1">
      <c r="A168" s="302">
        <v>164</v>
      </c>
      <c r="B168" s="737" t="s">
        <v>502</v>
      </c>
      <c r="C168" s="677" t="s">
        <v>2427</v>
      </c>
      <c r="D168" s="299" t="s">
        <v>870</v>
      </c>
      <c r="E168" s="299">
        <v>6</v>
      </c>
      <c r="F168" s="1088">
        <v>15000</v>
      </c>
      <c r="G168" s="1088">
        <f t="shared" si="31"/>
        <v>90000</v>
      </c>
      <c r="H168" s="678"/>
      <c r="I168" s="304"/>
    </row>
    <row r="169" spans="1:9" ht="15.75" customHeight="1">
      <c r="A169" s="298">
        <v>165</v>
      </c>
      <c r="B169" s="738" t="s">
        <v>1163</v>
      </c>
      <c r="C169" s="679" t="s">
        <v>2428</v>
      </c>
      <c r="D169" s="680"/>
      <c r="E169" s="690">
        <v>5</v>
      </c>
      <c r="F169" s="1261">
        <v>17000</v>
      </c>
      <c r="G169" s="1088">
        <f>SUM(E169*F169)</f>
        <v>85000</v>
      </c>
      <c r="H169" s="678"/>
      <c r="I169" s="612" t="s">
        <v>1273</v>
      </c>
    </row>
    <row r="170" spans="1:9" ht="15.75" customHeight="1">
      <c r="A170" s="302">
        <v>166</v>
      </c>
      <c r="B170" s="737" t="s">
        <v>856</v>
      </c>
      <c r="C170" s="694" t="s">
        <v>2429</v>
      </c>
      <c r="D170" s="302" t="s">
        <v>830</v>
      </c>
      <c r="E170" s="299">
        <v>12</v>
      </c>
      <c r="F170" s="1088">
        <v>5750</v>
      </c>
      <c r="G170" s="1088">
        <v>69000</v>
      </c>
      <c r="H170" s="678" t="s">
        <v>924</v>
      </c>
      <c r="I170" s="612" t="s">
        <v>671</v>
      </c>
    </row>
    <row r="171" spans="1:9" ht="15.75" customHeight="1">
      <c r="A171" s="302">
        <v>167</v>
      </c>
      <c r="B171" s="737" t="s">
        <v>971</v>
      </c>
      <c r="C171" s="677" t="s">
        <v>2430</v>
      </c>
      <c r="D171" s="299" t="s">
        <v>2431</v>
      </c>
      <c r="E171" s="299">
        <v>60</v>
      </c>
      <c r="F171" s="1088">
        <v>1150</v>
      </c>
      <c r="G171" s="1088">
        <f>E171*F171</f>
        <v>69000</v>
      </c>
      <c r="H171" s="678"/>
      <c r="I171" s="612" t="s">
        <v>671</v>
      </c>
    </row>
    <row r="172" spans="1:9" ht="15.75" customHeight="1">
      <c r="A172" s="298">
        <v>168</v>
      </c>
      <c r="B172" s="1258" t="s">
        <v>2251</v>
      </c>
      <c r="C172" s="677" t="s">
        <v>2432</v>
      </c>
      <c r="D172" s="299" t="s">
        <v>2433</v>
      </c>
      <c r="E172" s="299">
        <v>3</v>
      </c>
      <c r="F172" s="1088">
        <v>22000</v>
      </c>
      <c r="G172" s="1088">
        <f t="shared" ref="G172:G175" si="32">SUM(F172*E172)</f>
        <v>66000</v>
      </c>
      <c r="H172" s="678" t="s">
        <v>924</v>
      </c>
      <c r="I172" s="700" t="s">
        <v>704</v>
      </c>
    </row>
    <row r="173" spans="1:9" ht="15.75" customHeight="1">
      <c r="A173" s="302">
        <v>169</v>
      </c>
      <c r="B173" s="737" t="s">
        <v>2251</v>
      </c>
      <c r="C173" s="677" t="s">
        <v>2434</v>
      </c>
      <c r="D173" s="299" t="s">
        <v>830</v>
      </c>
      <c r="E173" s="299">
        <v>5</v>
      </c>
      <c r="F173" s="1088">
        <v>12500</v>
      </c>
      <c r="G173" s="1088">
        <f t="shared" si="32"/>
        <v>62500</v>
      </c>
      <c r="H173" s="678" t="s">
        <v>924</v>
      </c>
      <c r="I173" s="700" t="s">
        <v>696</v>
      </c>
    </row>
    <row r="174" spans="1:9" ht="15.75" customHeight="1">
      <c r="A174" s="302">
        <v>170</v>
      </c>
      <c r="B174" s="737" t="s">
        <v>2251</v>
      </c>
      <c r="C174" s="677" t="s">
        <v>2435</v>
      </c>
      <c r="D174" s="299" t="s">
        <v>830</v>
      </c>
      <c r="E174" s="299">
        <v>4</v>
      </c>
      <c r="F174" s="1088">
        <v>15000</v>
      </c>
      <c r="G174" s="1088">
        <f t="shared" si="32"/>
        <v>60000</v>
      </c>
      <c r="H174" s="678" t="s">
        <v>924</v>
      </c>
      <c r="I174" s="700" t="s">
        <v>696</v>
      </c>
    </row>
    <row r="175" spans="1:9" ht="15.75" customHeight="1">
      <c r="A175" s="298">
        <v>171</v>
      </c>
      <c r="B175" s="737" t="s">
        <v>2251</v>
      </c>
      <c r="C175" s="677" t="s">
        <v>2436</v>
      </c>
      <c r="D175" s="299" t="s">
        <v>830</v>
      </c>
      <c r="E175" s="299">
        <v>4</v>
      </c>
      <c r="F175" s="1088">
        <v>15000</v>
      </c>
      <c r="G175" s="1088">
        <f t="shared" si="32"/>
        <v>60000</v>
      </c>
      <c r="H175" s="678" t="s">
        <v>924</v>
      </c>
      <c r="I175" s="700" t="s">
        <v>704</v>
      </c>
    </row>
    <row r="176" spans="1:9" ht="15.75" customHeight="1">
      <c r="A176" s="302">
        <v>172</v>
      </c>
      <c r="B176" s="738" t="s">
        <v>562</v>
      </c>
      <c r="C176" s="692" t="s">
        <v>2437</v>
      </c>
      <c r="E176" s="695">
        <v>2</v>
      </c>
      <c r="F176" s="1268">
        <v>30000</v>
      </c>
      <c r="G176" s="1088">
        <f t="shared" ref="G176:G179" si="33">F176*E176</f>
        <v>60000</v>
      </c>
      <c r="H176" s="678" t="s">
        <v>2307</v>
      </c>
      <c r="I176" s="700" t="s">
        <v>2066</v>
      </c>
    </row>
    <row r="177" spans="1:9" ht="15.75" customHeight="1">
      <c r="A177" s="302">
        <v>173</v>
      </c>
      <c r="B177" s="737" t="s">
        <v>881</v>
      </c>
      <c r="C177" s="677" t="s">
        <v>2438</v>
      </c>
      <c r="D177" s="299" t="s">
        <v>2243</v>
      </c>
      <c r="E177" s="299">
        <v>2</v>
      </c>
      <c r="F177" s="1088">
        <v>30000</v>
      </c>
      <c r="G177" s="1088">
        <f t="shared" si="33"/>
        <v>60000</v>
      </c>
      <c r="H177" s="678" t="s">
        <v>924</v>
      </c>
      <c r="I177" s="700" t="s">
        <v>671</v>
      </c>
    </row>
    <row r="178" spans="1:9" ht="15.75" customHeight="1">
      <c r="A178" s="298">
        <v>174</v>
      </c>
      <c r="B178" s="737" t="s">
        <v>2343</v>
      </c>
      <c r="C178" s="677" t="s">
        <v>2439</v>
      </c>
      <c r="D178" s="299" t="s">
        <v>2243</v>
      </c>
      <c r="E178" s="299">
        <v>2</v>
      </c>
      <c r="F178" s="1088">
        <v>30000</v>
      </c>
      <c r="G178" s="1088">
        <f t="shared" si="33"/>
        <v>60000</v>
      </c>
      <c r="H178" s="678" t="s">
        <v>924</v>
      </c>
      <c r="I178" s="703"/>
    </row>
    <row r="179" spans="1:9" ht="15.75" customHeight="1">
      <c r="A179" s="302">
        <v>175</v>
      </c>
      <c r="B179" s="737" t="s">
        <v>2343</v>
      </c>
      <c r="C179" s="677" t="s">
        <v>2440</v>
      </c>
      <c r="D179" s="299" t="s">
        <v>2243</v>
      </c>
      <c r="E179" s="299">
        <v>6</v>
      </c>
      <c r="F179" s="1088">
        <v>10000</v>
      </c>
      <c r="G179" s="1088">
        <f t="shared" si="33"/>
        <v>60000</v>
      </c>
      <c r="H179" s="678" t="s">
        <v>924</v>
      </c>
      <c r="I179" s="304"/>
    </row>
    <row r="180" spans="1:9" ht="15.75" customHeight="1">
      <c r="A180" s="302">
        <v>176</v>
      </c>
      <c r="B180" s="737" t="s">
        <v>2251</v>
      </c>
      <c r="C180" s="677" t="s">
        <v>2441</v>
      </c>
      <c r="D180" s="299" t="s">
        <v>2259</v>
      </c>
      <c r="E180" s="299">
        <v>1</v>
      </c>
      <c r="F180" s="1088">
        <v>50000</v>
      </c>
      <c r="G180" s="1088">
        <f t="shared" ref="G180:G181" si="34">SUM(F180*E180)</f>
        <v>50000</v>
      </c>
      <c r="H180" s="678" t="s">
        <v>924</v>
      </c>
      <c r="I180" s="700" t="s">
        <v>696</v>
      </c>
    </row>
    <row r="181" spans="1:9" ht="15.75" customHeight="1">
      <c r="A181" s="298">
        <v>177</v>
      </c>
      <c r="B181" s="737" t="s">
        <v>2251</v>
      </c>
      <c r="C181" s="677" t="s">
        <v>2442</v>
      </c>
      <c r="D181" s="299" t="s">
        <v>2259</v>
      </c>
      <c r="E181" s="299">
        <v>1</v>
      </c>
      <c r="F181" s="1088">
        <v>50000</v>
      </c>
      <c r="G181" s="1088">
        <f t="shared" si="34"/>
        <v>50000</v>
      </c>
      <c r="H181" s="678" t="s">
        <v>924</v>
      </c>
      <c r="I181" s="700" t="s">
        <v>696</v>
      </c>
    </row>
    <row r="182" spans="1:9" ht="15.75" customHeight="1">
      <c r="A182" s="302">
        <v>178</v>
      </c>
      <c r="B182" s="737" t="s">
        <v>2337</v>
      </c>
      <c r="C182" s="677" t="s">
        <v>2443</v>
      </c>
      <c r="D182" s="299"/>
      <c r="E182" s="299">
        <v>1</v>
      </c>
      <c r="F182" s="1088">
        <v>50000</v>
      </c>
      <c r="G182" s="1088">
        <v>50000</v>
      </c>
      <c r="H182" s="698" t="s">
        <v>2339</v>
      </c>
      <c r="I182" s="700" t="s">
        <v>1273</v>
      </c>
    </row>
    <row r="183" spans="1:9" ht="15.75" customHeight="1">
      <c r="A183" s="302">
        <v>179</v>
      </c>
      <c r="B183" s="737" t="s">
        <v>881</v>
      </c>
      <c r="C183" s="677" t="s">
        <v>2444</v>
      </c>
      <c r="D183" s="299" t="s">
        <v>2378</v>
      </c>
      <c r="E183" s="299">
        <v>1</v>
      </c>
      <c r="F183" s="1088">
        <v>43700</v>
      </c>
      <c r="G183" s="1088">
        <f t="shared" ref="G183:G184" si="35">F183*E183</f>
        <v>43700</v>
      </c>
      <c r="H183" s="678" t="s">
        <v>924</v>
      </c>
      <c r="I183" s="612" t="s">
        <v>671</v>
      </c>
    </row>
    <row r="184" spans="1:9" ht="15.75" customHeight="1">
      <c r="A184" s="298">
        <v>180</v>
      </c>
      <c r="B184" s="737" t="s">
        <v>2343</v>
      </c>
      <c r="C184" s="677" t="s">
        <v>2445</v>
      </c>
      <c r="D184" s="299" t="s">
        <v>2243</v>
      </c>
      <c r="E184" s="299">
        <v>2</v>
      </c>
      <c r="F184" s="1088">
        <v>20000</v>
      </c>
      <c r="G184" s="1088">
        <f t="shared" si="35"/>
        <v>40000</v>
      </c>
      <c r="H184" s="678" t="s">
        <v>924</v>
      </c>
      <c r="I184" s="304"/>
    </row>
    <row r="185" spans="1:9" ht="15.75" customHeight="1">
      <c r="A185" s="302">
        <v>181</v>
      </c>
      <c r="B185" s="737" t="s">
        <v>2251</v>
      </c>
      <c r="C185" s="677" t="s">
        <v>2446</v>
      </c>
      <c r="D185" s="299" t="s">
        <v>830</v>
      </c>
      <c r="E185" s="299">
        <v>1</v>
      </c>
      <c r="F185" s="1088">
        <v>35000</v>
      </c>
      <c r="G185" s="1088">
        <f>SUM(F185*E185)</f>
        <v>35000</v>
      </c>
      <c r="H185" s="678" t="s">
        <v>924</v>
      </c>
      <c r="I185" s="612" t="s">
        <v>696</v>
      </c>
    </row>
    <row r="186" spans="1:9" ht="15.75" customHeight="1">
      <c r="A186" s="302">
        <v>182</v>
      </c>
      <c r="B186" s="737" t="s">
        <v>856</v>
      </c>
      <c r="C186" s="677" t="s">
        <v>2447</v>
      </c>
      <c r="D186" s="299" t="s">
        <v>830</v>
      </c>
      <c r="E186" s="299">
        <v>6</v>
      </c>
      <c r="F186" s="1088">
        <v>5750</v>
      </c>
      <c r="G186" s="1088">
        <v>34500</v>
      </c>
      <c r="H186" s="678" t="s">
        <v>924</v>
      </c>
      <c r="I186" s="612" t="s">
        <v>671</v>
      </c>
    </row>
    <row r="187" spans="1:9" ht="15.75" customHeight="1">
      <c r="A187" s="298">
        <v>183</v>
      </c>
      <c r="B187" s="147" t="s">
        <v>697</v>
      </c>
      <c r="C187" s="677" t="s">
        <v>2448</v>
      </c>
      <c r="D187" s="299" t="s">
        <v>870</v>
      </c>
      <c r="E187" s="299">
        <v>6</v>
      </c>
      <c r="F187" s="1266">
        <v>5000</v>
      </c>
      <c r="G187" s="1088">
        <f t="shared" ref="G187:G188" si="36">F187*E187</f>
        <v>30000</v>
      </c>
      <c r="H187" s="678" t="s">
        <v>924</v>
      </c>
      <c r="I187" s="304" t="s">
        <v>924</v>
      </c>
    </row>
    <row r="188" spans="1:9" ht="15.75" customHeight="1">
      <c r="A188" s="302">
        <v>184</v>
      </c>
      <c r="B188" s="737" t="s">
        <v>2343</v>
      </c>
      <c r="C188" s="677" t="s">
        <v>2449</v>
      </c>
      <c r="D188" s="299" t="s">
        <v>2345</v>
      </c>
      <c r="E188" s="299">
        <v>2</v>
      </c>
      <c r="F188" s="1088">
        <v>10000</v>
      </c>
      <c r="G188" s="1088">
        <f t="shared" si="36"/>
        <v>20000</v>
      </c>
      <c r="H188" s="678" t="s">
        <v>924</v>
      </c>
      <c r="I188" s="612" t="s">
        <v>671</v>
      </c>
    </row>
    <row r="189" spans="1:9" ht="15.75" customHeight="1">
      <c r="A189" s="302">
        <v>185</v>
      </c>
      <c r="B189" s="737" t="s">
        <v>2251</v>
      </c>
      <c r="C189" s="677" t="s">
        <v>2450</v>
      </c>
      <c r="D189" s="299" t="s">
        <v>830</v>
      </c>
      <c r="E189" s="299">
        <v>3</v>
      </c>
      <c r="F189" s="1088">
        <v>5000</v>
      </c>
      <c r="G189" s="1088">
        <f>SUM(F189*E189)</f>
        <v>15000</v>
      </c>
      <c r="H189" s="678" t="s">
        <v>924</v>
      </c>
      <c r="I189" s="700" t="s">
        <v>696</v>
      </c>
    </row>
    <row r="190" spans="1:9" ht="15.75" customHeight="1">
      <c r="A190" s="298">
        <v>186</v>
      </c>
      <c r="B190" s="147" t="s">
        <v>697</v>
      </c>
      <c r="C190" s="702" t="s">
        <v>2451</v>
      </c>
      <c r="D190" s="299" t="s">
        <v>870</v>
      </c>
      <c r="E190" s="299">
        <v>5</v>
      </c>
      <c r="F190" s="1088">
        <v>2000</v>
      </c>
      <c r="G190" s="1088">
        <f>F190*E190</f>
        <v>10000</v>
      </c>
      <c r="H190" s="678" t="s">
        <v>924</v>
      </c>
      <c r="I190" s="703" t="s">
        <v>671</v>
      </c>
    </row>
    <row r="191" spans="1:9" ht="15.75" customHeight="1">
      <c r="A191" s="208"/>
      <c r="B191" s="687"/>
      <c r="D191" s="208"/>
      <c r="E191" s="208"/>
      <c r="F191" s="1091"/>
      <c r="G191" s="1091"/>
    </row>
    <row r="192" spans="1:9" ht="15.75" customHeight="1">
      <c r="A192" s="208"/>
      <c r="B192" s="687"/>
      <c r="D192" s="208"/>
      <c r="E192" s="208"/>
      <c r="F192" s="1091"/>
      <c r="G192" s="1091"/>
    </row>
    <row r="193" spans="1:7" ht="15.75" customHeight="1">
      <c r="A193" s="208"/>
      <c r="B193" s="687"/>
      <c r="D193" s="208"/>
      <c r="E193" s="208"/>
      <c r="F193" s="1091"/>
      <c r="G193" s="1091">
        <f>SUM(G5:G190)</f>
        <v>581441911</v>
      </c>
    </row>
    <row r="194" spans="1:7" ht="15.75" customHeight="1">
      <c r="A194" s="208"/>
      <c r="B194" s="687"/>
      <c r="D194" s="208"/>
      <c r="E194" s="208"/>
      <c r="F194" s="1091"/>
      <c r="G194" s="1091"/>
    </row>
    <row r="195" spans="1:7" ht="15.75" customHeight="1">
      <c r="A195" s="208"/>
      <c r="B195" s="687"/>
      <c r="D195" s="208"/>
      <c r="E195" s="208"/>
      <c r="F195" s="1091"/>
      <c r="G195" s="1091"/>
    </row>
    <row r="196" spans="1:7" ht="15.75" customHeight="1">
      <c r="A196" s="208"/>
      <c r="B196" s="687"/>
      <c r="D196" s="208"/>
      <c r="E196" s="208"/>
      <c r="F196" s="1091"/>
      <c r="G196" s="1091"/>
    </row>
    <row r="197" spans="1:7" ht="15.75" customHeight="1">
      <c r="A197" s="208"/>
      <c r="B197" s="687"/>
      <c r="D197" s="208"/>
      <c r="E197" s="208"/>
      <c r="F197" s="1091"/>
      <c r="G197" s="1091"/>
    </row>
    <row r="198" spans="1:7" ht="15.75" customHeight="1">
      <c r="A198" s="208"/>
      <c r="B198" s="687"/>
      <c r="D198" s="208"/>
      <c r="E198" s="208"/>
      <c r="F198" s="1091"/>
      <c r="G198" s="1091"/>
    </row>
    <row r="199" spans="1:7" ht="15.75" customHeight="1">
      <c r="A199" s="208"/>
      <c r="B199" s="687"/>
      <c r="D199" s="208"/>
      <c r="E199" s="208"/>
      <c r="F199" s="1091"/>
      <c r="G199" s="1091"/>
    </row>
    <row r="200" spans="1:7" ht="15.75" customHeight="1">
      <c r="A200" s="208"/>
      <c r="B200" s="687"/>
      <c r="D200" s="208"/>
      <c r="E200" s="208"/>
      <c r="F200" s="1091"/>
      <c r="G200" s="1091"/>
    </row>
    <row r="201" spans="1:7" ht="15.75" customHeight="1">
      <c r="A201" s="208"/>
      <c r="B201" s="687"/>
      <c r="D201" s="208"/>
      <c r="E201" s="208"/>
      <c r="F201" s="1091"/>
      <c r="G201" s="1091"/>
    </row>
    <row r="202" spans="1:7" ht="15.75" customHeight="1">
      <c r="A202" s="208"/>
      <c r="B202" s="687"/>
      <c r="D202" s="208"/>
      <c r="E202" s="208"/>
      <c r="F202" s="1091"/>
      <c r="G202" s="1091"/>
    </row>
    <row r="203" spans="1:7" ht="15.75" customHeight="1">
      <c r="A203" s="208"/>
      <c r="B203" s="687"/>
      <c r="D203" s="208"/>
      <c r="E203" s="208"/>
      <c r="F203" s="1091"/>
      <c r="G203" s="1091"/>
    </row>
    <row r="204" spans="1:7" ht="15.75" customHeight="1">
      <c r="A204" s="208"/>
      <c r="B204" s="687"/>
      <c r="D204" s="208"/>
      <c r="E204" s="208"/>
      <c r="F204" s="1091"/>
      <c r="G204" s="1091"/>
    </row>
    <row r="205" spans="1:7" ht="15.75" customHeight="1">
      <c r="A205" s="208"/>
      <c r="B205" s="687"/>
      <c r="D205" s="208"/>
      <c r="E205" s="208"/>
      <c r="F205" s="1091"/>
      <c r="G205" s="1091"/>
    </row>
    <row r="206" spans="1:7" ht="15.75" customHeight="1">
      <c r="A206" s="208"/>
      <c r="B206" s="687"/>
      <c r="D206" s="208"/>
      <c r="E206" s="208"/>
      <c r="F206" s="1091"/>
      <c r="G206" s="1091"/>
    </row>
    <row r="207" spans="1:7" ht="15.75" customHeight="1">
      <c r="A207" s="208"/>
      <c r="B207" s="687"/>
      <c r="D207" s="208"/>
      <c r="E207" s="208"/>
      <c r="F207" s="1091"/>
      <c r="G207" s="1091"/>
    </row>
    <row r="208" spans="1:7" ht="15.75" customHeight="1">
      <c r="A208" s="208"/>
      <c r="B208" s="687"/>
      <c r="D208" s="208"/>
      <c r="E208" s="208"/>
      <c r="F208" s="1091"/>
      <c r="G208" s="1091"/>
    </row>
    <row r="209" spans="1:7" ht="15.75" customHeight="1">
      <c r="A209" s="208"/>
      <c r="B209" s="687"/>
      <c r="D209" s="208"/>
      <c r="E209" s="208"/>
      <c r="F209" s="1091"/>
      <c r="G209" s="1091"/>
    </row>
    <row r="210" spans="1:7" ht="15.75" customHeight="1">
      <c r="A210" s="208"/>
      <c r="B210" s="687"/>
      <c r="D210" s="208"/>
      <c r="E210" s="208"/>
      <c r="F210" s="1091"/>
      <c r="G210" s="1091"/>
    </row>
    <row r="211" spans="1:7" ht="15.75" customHeight="1">
      <c r="A211" s="208"/>
      <c r="B211" s="687"/>
      <c r="D211" s="208"/>
      <c r="E211" s="208"/>
      <c r="F211" s="1091"/>
      <c r="G211" s="1091"/>
    </row>
    <row r="212" spans="1:7" ht="15.75" customHeight="1">
      <c r="A212" s="208"/>
      <c r="B212" s="687"/>
      <c r="D212" s="208"/>
      <c r="E212" s="208"/>
      <c r="F212" s="1091"/>
      <c r="G212" s="1091"/>
    </row>
    <row r="213" spans="1:7" ht="15.75" customHeight="1">
      <c r="A213" s="208"/>
      <c r="B213" s="687"/>
      <c r="D213" s="208"/>
      <c r="E213" s="208"/>
      <c r="F213" s="1091"/>
      <c r="G213" s="1091"/>
    </row>
    <row r="214" spans="1:7" ht="15.75" customHeight="1">
      <c r="A214" s="208"/>
      <c r="B214" s="687"/>
      <c r="D214" s="208"/>
      <c r="E214" s="208"/>
      <c r="F214" s="1091"/>
      <c r="G214" s="1091"/>
    </row>
    <row r="215" spans="1:7" ht="15.75" customHeight="1">
      <c r="A215" s="208"/>
      <c r="B215" s="687"/>
      <c r="D215" s="208"/>
      <c r="E215" s="208"/>
      <c r="F215" s="1091"/>
      <c r="G215" s="1091"/>
    </row>
    <row r="216" spans="1:7" ht="15.75" customHeight="1">
      <c r="A216" s="208"/>
      <c r="B216" s="687"/>
      <c r="D216" s="208"/>
      <c r="E216" s="208"/>
      <c r="F216" s="1091"/>
      <c r="G216" s="1091"/>
    </row>
    <row r="217" spans="1:7" ht="15.75" customHeight="1">
      <c r="A217" s="208"/>
      <c r="B217" s="687"/>
      <c r="D217" s="208"/>
      <c r="E217" s="208"/>
      <c r="F217" s="1091"/>
      <c r="G217" s="1091"/>
    </row>
    <row r="218" spans="1:7" ht="15.75" customHeight="1">
      <c r="A218" s="208"/>
      <c r="B218" s="687"/>
      <c r="D218" s="208"/>
      <c r="E218" s="208"/>
      <c r="F218" s="1091"/>
      <c r="G218" s="1091"/>
    </row>
    <row r="219" spans="1:7" ht="15.75" customHeight="1">
      <c r="A219" s="208"/>
      <c r="B219" s="687"/>
      <c r="D219" s="208"/>
      <c r="E219" s="208"/>
      <c r="F219" s="1091"/>
      <c r="G219" s="1091"/>
    </row>
    <row r="220" spans="1:7" ht="15.75" customHeight="1">
      <c r="A220" s="208"/>
      <c r="B220" s="687"/>
      <c r="D220" s="208"/>
      <c r="E220" s="208"/>
      <c r="F220" s="1091"/>
      <c r="G220" s="1091"/>
    </row>
    <row r="221" spans="1:7" ht="15.75" customHeight="1">
      <c r="A221" s="208"/>
      <c r="B221" s="687"/>
      <c r="D221" s="208"/>
      <c r="E221" s="208"/>
      <c r="F221" s="1091"/>
      <c r="G221" s="1091"/>
    </row>
    <row r="222" spans="1:7" ht="15.75" customHeight="1">
      <c r="A222" s="208"/>
      <c r="B222" s="687"/>
      <c r="D222" s="208"/>
      <c r="E222" s="208"/>
      <c r="F222" s="1091"/>
      <c r="G222" s="1091"/>
    </row>
    <row r="223" spans="1:7" ht="15.75" customHeight="1">
      <c r="A223" s="208"/>
      <c r="B223" s="687"/>
      <c r="D223" s="208"/>
      <c r="E223" s="208"/>
      <c r="F223" s="1091"/>
      <c r="G223" s="1091"/>
    </row>
    <row r="224" spans="1:7" ht="15.75" customHeight="1">
      <c r="A224" s="208"/>
      <c r="B224" s="687"/>
      <c r="D224" s="208"/>
      <c r="E224" s="208"/>
      <c r="F224" s="1091"/>
      <c r="G224" s="1091"/>
    </row>
    <row r="225" spans="1:7" ht="15.75" customHeight="1">
      <c r="A225" s="208"/>
      <c r="B225" s="687"/>
      <c r="D225" s="208"/>
      <c r="E225" s="208"/>
      <c r="F225" s="1091"/>
      <c r="G225" s="1091"/>
    </row>
    <row r="226" spans="1:7" ht="15.75" customHeight="1">
      <c r="A226" s="208"/>
      <c r="B226" s="687"/>
      <c r="D226" s="208"/>
      <c r="E226" s="208"/>
      <c r="F226" s="1091"/>
      <c r="G226" s="1091"/>
    </row>
    <row r="227" spans="1:7" ht="15.75" customHeight="1">
      <c r="A227" s="208"/>
      <c r="B227" s="687"/>
      <c r="D227" s="208"/>
      <c r="E227" s="208"/>
      <c r="F227" s="1091"/>
      <c r="G227" s="1091"/>
    </row>
    <row r="228" spans="1:7" ht="15.75" customHeight="1">
      <c r="A228" s="208"/>
      <c r="B228" s="687"/>
      <c r="D228" s="208"/>
      <c r="E228" s="208"/>
      <c r="F228" s="1091"/>
      <c r="G228" s="1091"/>
    </row>
    <row r="229" spans="1:7" ht="15.75" customHeight="1">
      <c r="A229" s="208"/>
      <c r="B229" s="687"/>
      <c r="D229" s="208"/>
      <c r="E229" s="208"/>
      <c r="F229" s="1091"/>
      <c r="G229" s="1091"/>
    </row>
    <row r="230" spans="1:7" ht="15.75" customHeight="1">
      <c r="A230" s="208"/>
      <c r="B230" s="687"/>
      <c r="D230" s="208"/>
      <c r="E230" s="208"/>
      <c r="F230" s="1091"/>
      <c r="G230" s="1091"/>
    </row>
    <row r="231" spans="1:7" ht="15.75" customHeight="1">
      <c r="A231" s="208"/>
      <c r="B231" s="687"/>
      <c r="D231" s="208"/>
      <c r="E231" s="208"/>
      <c r="F231" s="1091"/>
      <c r="G231" s="1091"/>
    </row>
    <row r="232" spans="1:7" ht="15.75" customHeight="1">
      <c r="A232" s="208"/>
      <c r="B232" s="687"/>
      <c r="D232" s="208"/>
      <c r="E232" s="208"/>
      <c r="F232" s="1091"/>
      <c r="G232" s="1091"/>
    </row>
    <row r="233" spans="1:7" ht="15.75" customHeight="1">
      <c r="A233" s="208"/>
      <c r="B233" s="687"/>
      <c r="D233" s="208"/>
      <c r="E233" s="208"/>
      <c r="F233" s="1091"/>
      <c r="G233" s="1091"/>
    </row>
    <row r="234" spans="1:7" ht="15.75" customHeight="1">
      <c r="A234" s="208"/>
      <c r="B234" s="687"/>
      <c r="D234" s="208"/>
      <c r="E234" s="208"/>
      <c r="F234" s="1091"/>
      <c r="G234" s="1091"/>
    </row>
    <row r="235" spans="1:7" ht="15.75" customHeight="1">
      <c r="A235" s="208"/>
      <c r="B235" s="687"/>
      <c r="D235" s="208"/>
      <c r="E235" s="208"/>
      <c r="F235" s="1091"/>
      <c r="G235" s="1091"/>
    </row>
    <row r="236" spans="1:7" ht="15.75" customHeight="1">
      <c r="A236" s="208"/>
      <c r="B236" s="687"/>
      <c r="D236" s="208"/>
      <c r="E236" s="208"/>
      <c r="F236" s="1091"/>
      <c r="G236" s="1091"/>
    </row>
    <row r="237" spans="1:7" ht="15.75" customHeight="1">
      <c r="A237" s="208"/>
      <c r="B237" s="687"/>
      <c r="D237" s="208"/>
      <c r="E237" s="208"/>
      <c r="F237" s="1091"/>
      <c r="G237" s="1091"/>
    </row>
    <row r="238" spans="1:7" ht="15.75" customHeight="1">
      <c r="A238" s="208"/>
      <c r="B238" s="687"/>
      <c r="D238" s="208"/>
      <c r="E238" s="208"/>
      <c r="F238" s="1091"/>
      <c r="G238" s="1091"/>
    </row>
    <row r="239" spans="1:7" ht="15.75" customHeight="1">
      <c r="A239" s="208"/>
      <c r="B239" s="687"/>
      <c r="D239" s="208"/>
      <c r="E239" s="208"/>
      <c r="F239" s="1091"/>
      <c r="G239" s="1091"/>
    </row>
    <row r="240" spans="1:7" ht="15.75" customHeight="1">
      <c r="A240" s="208"/>
      <c r="B240" s="687"/>
      <c r="D240" s="208"/>
      <c r="E240" s="208"/>
      <c r="F240" s="1091"/>
      <c r="G240" s="1091"/>
    </row>
    <row r="241" spans="1:7" ht="15.75" customHeight="1">
      <c r="A241" s="208"/>
      <c r="B241" s="687"/>
      <c r="D241" s="208"/>
      <c r="E241" s="208"/>
      <c r="F241" s="1091"/>
      <c r="G241" s="1091"/>
    </row>
    <row r="242" spans="1:7" ht="15.75" customHeight="1">
      <c r="A242" s="208"/>
      <c r="B242" s="687"/>
      <c r="D242" s="208"/>
      <c r="E242" s="208"/>
      <c r="F242" s="1091"/>
      <c r="G242" s="1091"/>
    </row>
    <row r="243" spans="1:7" ht="15.75" customHeight="1">
      <c r="A243" s="208"/>
      <c r="B243" s="687"/>
      <c r="D243" s="208"/>
      <c r="E243" s="208"/>
      <c r="F243" s="1091"/>
      <c r="G243" s="1091"/>
    </row>
    <row r="244" spans="1:7" ht="15.75" customHeight="1">
      <c r="A244" s="208"/>
      <c r="B244" s="687"/>
      <c r="D244" s="208"/>
      <c r="E244" s="208"/>
      <c r="F244" s="1091"/>
      <c r="G244" s="1091"/>
    </row>
    <row r="245" spans="1:7" ht="15.75" customHeight="1">
      <c r="A245" s="208"/>
      <c r="B245" s="687"/>
      <c r="D245" s="208"/>
      <c r="E245" s="208"/>
      <c r="F245" s="1091"/>
      <c r="G245" s="1091"/>
    </row>
    <row r="246" spans="1:7" ht="15.75" customHeight="1">
      <c r="A246" s="208"/>
      <c r="B246" s="687"/>
      <c r="D246" s="208"/>
      <c r="E246" s="208"/>
      <c r="F246" s="1091"/>
      <c r="G246" s="1091"/>
    </row>
    <row r="247" spans="1:7" ht="15.75" customHeight="1">
      <c r="A247" s="208"/>
      <c r="B247" s="687"/>
      <c r="D247" s="208"/>
      <c r="E247" s="208"/>
      <c r="F247" s="1091"/>
      <c r="G247" s="1091"/>
    </row>
    <row r="248" spans="1:7" ht="15.75" customHeight="1">
      <c r="A248" s="208"/>
      <c r="B248" s="687"/>
      <c r="D248" s="208"/>
      <c r="E248" s="208"/>
      <c r="F248" s="1091"/>
      <c r="G248" s="1091"/>
    </row>
    <row r="249" spans="1:7" ht="15.75" customHeight="1">
      <c r="A249" s="208"/>
      <c r="B249" s="687"/>
      <c r="D249" s="208"/>
      <c r="E249" s="208"/>
      <c r="F249" s="1091"/>
      <c r="G249" s="1091"/>
    </row>
    <row r="250" spans="1:7" ht="15.75" customHeight="1">
      <c r="A250" s="208"/>
      <c r="B250" s="687"/>
      <c r="D250" s="208"/>
      <c r="E250" s="208"/>
      <c r="F250" s="1091"/>
      <c r="G250" s="1091"/>
    </row>
    <row r="251" spans="1:7" ht="15.75" customHeight="1">
      <c r="A251" s="208"/>
      <c r="B251" s="687"/>
      <c r="D251" s="208"/>
      <c r="E251" s="208"/>
      <c r="F251" s="1091"/>
      <c r="G251" s="1091"/>
    </row>
    <row r="252" spans="1:7" ht="15.75" customHeight="1">
      <c r="A252" s="208"/>
      <c r="B252" s="687"/>
      <c r="D252" s="208"/>
      <c r="E252" s="208"/>
      <c r="F252" s="1091"/>
      <c r="G252" s="1091"/>
    </row>
    <row r="253" spans="1:7" ht="15.75" customHeight="1">
      <c r="A253" s="208"/>
      <c r="B253" s="687"/>
      <c r="D253" s="208"/>
      <c r="E253" s="208"/>
      <c r="F253" s="1091"/>
      <c r="G253" s="1091"/>
    </row>
    <row r="254" spans="1:7" ht="15.75" customHeight="1">
      <c r="A254" s="208"/>
      <c r="B254" s="687"/>
      <c r="D254" s="208"/>
      <c r="E254" s="208"/>
      <c r="F254" s="1091"/>
      <c r="G254" s="1091"/>
    </row>
    <row r="255" spans="1:7" ht="15.75" customHeight="1">
      <c r="A255" s="208"/>
      <c r="B255" s="687"/>
      <c r="D255" s="208"/>
      <c r="E255" s="208"/>
      <c r="F255" s="1091"/>
      <c r="G255" s="1091"/>
    </row>
    <row r="256" spans="1:7" ht="15.75" customHeight="1">
      <c r="A256" s="208"/>
      <c r="B256" s="687"/>
      <c r="D256" s="208"/>
      <c r="E256" s="208"/>
      <c r="F256" s="1091"/>
      <c r="G256" s="1091"/>
    </row>
    <row r="257" spans="1:7" ht="15.75" customHeight="1">
      <c r="A257" s="208"/>
      <c r="B257" s="687"/>
      <c r="D257" s="208"/>
      <c r="E257" s="208"/>
      <c r="F257" s="1091"/>
      <c r="G257" s="1091"/>
    </row>
    <row r="258" spans="1:7" ht="15.75" customHeight="1">
      <c r="A258" s="208"/>
      <c r="B258" s="687"/>
      <c r="D258" s="208"/>
      <c r="E258" s="208"/>
      <c r="F258" s="1091"/>
      <c r="G258" s="1091"/>
    </row>
    <row r="259" spans="1:7" ht="15.75" customHeight="1">
      <c r="A259" s="208"/>
      <c r="B259" s="687"/>
      <c r="D259" s="208"/>
      <c r="E259" s="208"/>
      <c r="F259" s="1091"/>
      <c r="G259" s="1091"/>
    </row>
    <row r="260" spans="1:7" ht="15.75" customHeight="1">
      <c r="A260" s="208"/>
      <c r="B260" s="687"/>
      <c r="D260" s="208"/>
      <c r="E260" s="208"/>
      <c r="F260" s="1091"/>
      <c r="G260" s="1091"/>
    </row>
    <row r="261" spans="1:7" ht="15.75" customHeight="1">
      <c r="A261" s="208"/>
      <c r="B261" s="687"/>
      <c r="D261" s="208"/>
      <c r="E261" s="208"/>
      <c r="F261" s="1091"/>
      <c r="G261" s="1091"/>
    </row>
    <row r="262" spans="1:7" ht="15.75" customHeight="1">
      <c r="A262" s="208"/>
      <c r="B262" s="687"/>
      <c r="D262" s="208"/>
      <c r="E262" s="208"/>
      <c r="F262" s="1091"/>
      <c r="G262" s="1091"/>
    </row>
    <row r="263" spans="1:7" ht="15.75" customHeight="1">
      <c r="A263" s="208"/>
      <c r="B263" s="687"/>
      <c r="D263" s="208"/>
      <c r="E263" s="208"/>
      <c r="F263" s="1091"/>
      <c r="G263" s="1091"/>
    </row>
    <row r="264" spans="1:7" ht="15.75" customHeight="1">
      <c r="A264" s="208"/>
      <c r="B264" s="687"/>
      <c r="D264" s="208"/>
      <c r="E264" s="208"/>
      <c r="F264" s="1091"/>
      <c r="G264" s="1091"/>
    </row>
    <row r="265" spans="1:7" ht="15.75" customHeight="1">
      <c r="A265" s="208"/>
      <c r="B265" s="687"/>
      <c r="D265" s="208"/>
      <c r="E265" s="208"/>
      <c r="F265" s="1091"/>
      <c r="G265" s="1091"/>
    </row>
    <row r="266" spans="1:7" ht="15.75" customHeight="1">
      <c r="A266" s="208"/>
      <c r="B266" s="687"/>
      <c r="D266" s="208"/>
      <c r="E266" s="208"/>
      <c r="F266" s="1091"/>
      <c r="G266" s="1091"/>
    </row>
    <row r="267" spans="1:7" ht="15.75" customHeight="1">
      <c r="A267" s="208"/>
      <c r="B267" s="687"/>
      <c r="D267" s="208"/>
      <c r="E267" s="208"/>
      <c r="F267" s="1091"/>
      <c r="G267" s="1091"/>
    </row>
    <row r="268" spans="1:7" ht="15.75" customHeight="1">
      <c r="A268" s="208"/>
      <c r="B268" s="687"/>
      <c r="D268" s="208"/>
      <c r="E268" s="208"/>
      <c r="F268" s="1091"/>
      <c r="G268" s="1091"/>
    </row>
    <row r="269" spans="1:7" ht="15.75" customHeight="1">
      <c r="A269" s="208"/>
      <c r="B269" s="687"/>
      <c r="D269" s="208"/>
      <c r="E269" s="208"/>
      <c r="F269" s="1091"/>
      <c r="G269" s="1091"/>
    </row>
    <row r="270" spans="1:7" ht="15.75" customHeight="1">
      <c r="A270" s="208"/>
      <c r="B270" s="687"/>
      <c r="D270" s="208"/>
      <c r="E270" s="208"/>
      <c r="F270" s="1091"/>
      <c r="G270" s="1091"/>
    </row>
    <row r="271" spans="1:7" ht="15.75" customHeight="1">
      <c r="A271" s="208"/>
      <c r="B271" s="687"/>
      <c r="D271" s="208"/>
      <c r="E271" s="208"/>
      <c r="F271" s="1091"/>
      <c r="G271" s="1091"/>
    </row>
    <row r="272" spans="1:7" ht="15.75" customHeight="1">
      <c r="A272" s="208"/>
      <c r="B272" s="687"/>
      <c r="D272" s="208"/>
      <c r="E272" s="208"/>
      <c r="F272" s="1091"/>
      <c r="G272" s="1091"/>
    </row>
    <row r="273" spans="1:7" ht="15.75" customHeight="1">
      <c r="A273" s="208"/>
      <c r="B273" s="687"/>
      <c r="D273" s="208"/>
      <c r="E273" s="208"/>
      <c r="F273" s="1091"/>
      <c r="G273" s="1091"/>
    </row>
    <row r="274" spans="1:7" ht="15.75" customHeight="1">
      <c r="A274" s="208"/>
      <c r="B274" s="687"/>
      <c r="D274" s="208"/>
      <c r="E274" s="208"/>
      <c r="F274" s="1091"/>
      <c r="G274" s="1091"/>
    </row>
    <row r="275" spans="1:7" ht="15.75" customHeight="1">
      <c r="A275" s="208"/>
      <c r="B275" s="687"/>
      <c r="D275" s="208"/>
      <c r="E275" s="208"/>
      <c r="F275" s="1091"/>
      <c r="G275" s="1091"/>
    </row>
    <row r="276" spans="1:7" ht="15.75" customHeight="1">
      <c r="A276" s="208"/>
      <c r="B276" s="687"/>
      <c r="D276" s="208"/>
      <c r="E276" s="208"/>
      <c r="F276" s="1091"/>
      <c r="G276" s="1091"/>
    </row>
    <row r="277" spans="1:7" ht="15.75" customHeight="1">
      <c r="A277" s="208"/>
      <c r="B277" s="687"/>
      <c r="D277" s="208"/>
      <c r="E277" s="208"/>
      <c r="F277" s="1091"/>
      <c r="G277" s="1091"/>
    </row>
    <row r="278" spans="1:7" ht="15.75" customHeight="1">
      <c r="A278" s="208"/>
      <c r="B278" s="687"/>
      <c r="D278" s="208"/>
      <c r="E278" s="208"/>
      <c r="F278" s="1091"/>
      <c r="G278" s="1091"/>
    </row>
    <row r="279" spans="1:7" ht="15.75" customHeight="1">
      <c r="A279" s="208"/>
      <c r="B279" s="687"/>
      <c r="D279" s="208"/>
      <c r="E279" s="208"/>
      <c r="F279" s="1091"/>
      <c r="G279" s="1091"/>
    </row>
    <row r="280" spans="1:7" ht="15.75" customHeight="1">
      <c r="A280" s="208"/>
      <c r="B280" s="687"/>
      <c r="D280" s="208"/>
      <c r="E280" s="208"/>
      <c r="F280" s="1091"/>
      <c r="G280" s="1091"/>
    </row>
    <row r="281" spans="1:7" ht="15.75" customHeight="1">
      <c r="A281" s="208"/>
      <c r="B281" s="687"/>
      <c r="D281" s="208"/>
      <c r="E281" s="208"/>
      <c r="F281" s="1091"/>
      <c r="G281" s="1091"/>
    </row>
    <row r="282" spans="1:7" ht="15.75" customHeight="1">
      <c r="A282" s="208"/>
      <c r="B282" s="687"/>
      <c r="D282" s="208"/>
      <c r="E282" s="208"/>
      <c r="F282" s="1091"/>
      <c r="G282" s="1091"/>
    </row>
    <row r="283" spans="1:7" ht="15.75" customHeight="1">
      <c r="A283" s="208"/>
      <c r="B283" s="687"/>
      <c r="D283" s="208"/>
      <c r="E283" s="208"/>
      <c r="F283" s="1091"/>
      <c r="G283" s="1091"/>
    </row>
    <row r="284" spans="1:7" ht="15.75" customHeight="1">
      <c r="A284" s="208"/>
      <c r="B284" s="687"/>
      <c r="D284" s="208"/>
      <c r="E284" s="208"/>
      <c r="F284" s="1091"/>
      <c r="G284" s="1091"/>
    </row>
    <row r="285" spans="1:7" ht="15.75" customHeight="1">
      <c r="A285" s="208"/>
      <c r="B285" s="687"/>
      <c r="D285" s="208"/>
      <c r="E285" s="208"/>
      <c r="F285" s="1091"/>
      <c r="G285" s="1091"/>
    </row>
    <row r="286" spans="1:7" ht="15.75" customHeight="1">
      <c r="A286" s="208"/>
      <c r="B286" s="687"/>
      <c r="D286" s="208"/>
      <c r="E286" s="208"/>
      <c r="F286" s="1091"/>
      <c r="G286" s="1091"/>
    </row>
    <row r="287" spans="1:7" ht="15.75" customHeight="1">
      <c r="A287" s="208"/>
      <c r="B287" s="687"/>
      <c r="D287" s="208"/>
      <c r="E287" s="208"/>
      <c r="F287" s="1091"/>
      <c r="G287" s="1091"/>
    </row>
    <row r="288" spans="1:7" ht="15.75" customHeight="1">
      <c r="A288" s="208"/>
      <c r="B288" s="687"/>
      <c r="D288" s="208"/>
      <c r="E288" s="208"/>
      <c r="F288" s="1091"/>
      <c r="G288" s="1091"/>
    </row>
    <row r="289" spans="1:7" ht="15.75" customHeight="1">
      <c r="A289" s="208"/>
      <c r="B289" s="687"/>
      <c r="D289" s="208"/>
      <c r="E289" s="208"/>
      <c r="F289" s="1091"/>
      <c r="G289" s="1091"/>
    </row>
    <row r="290" spans="1:7" ht="15.75" customHeight="1">
      <c r="A290" s="208"/>
      <c r="B290" s="687"/>
      <c r="D290" s="208"/>
      <c r="E290" s="208"/>
      <c r="F290" s="1091"/>
      <c r="G290" s="1091"/>
    </row>
    <row r="291" spans="1:7" ht="15.75" customHeight="1">
      <c r="A291" s="208"/>
      <c r="B291" s="687"/>
      <c r="D291" s="208"/>
      <c r="E291" s="208"/>
      <c r="F291" s="1091"/>
      <c r="G291" s="1091"/>
    </row>
    <row r="292" spans="1:7" ht="15.75" customHeight="1">
      <c r="A292" s="208"/>
      <c r="B292" s="687"/>
      <c r="D292" s="208"/>
      <c r="E292" s="208"/>
      <c r="F292" s="1091"/>
      <c r="G292" s="1091"/>
    </row>
    <row r="293" spans="1:7" ht="15.75" customHeight="1">
      <c r="A293" s="208"/>
      <c r="B293" s="687"/>
      <c r="D293" s="208"/>
      <c r="E293" s="208"/>
      <c r="F293" s="1091"/>
      <c r="G293" s="1091"/>
    </row>
    <row r="294" spans="1:7" ht="15.75" customHeight="1">
      <c r="A294" s="208"/>
      <c r="B294" s="687"/>
      <c r="D294" s="208"/>
      <c r="E294" s="208"/>
      <c r="F294" s="1091"/>
      <c r="G294" s="1091"/>
    </row>
    <row r="295" spans="1:7" ht="15.75" customHeight="1">
      <c r="A295" s="208"/>
      <c r="B295" s="687"/>
      <c r="D295" s="208"/>
      <c r="E295" s="208"/>
      <c r="F295" s="1091"/>
      <c r="G295" s="1091"/>
    </row>
    <row r="296" spans="1:7" ht="15.75" customHeight="1">
      <c r="A296" s="208"/>
      <c r="B296" s="687"/>
      <c r="D296" s="208"/>
      <c r="E296" s="208"/>
      <c r="F296" s="1091"/>
      <c r="G296" s="1091"/>
    </row>
    <row r="297" spans="1:7" ht="15.75" customHeight="1">
      <c r="A297" s="208"/>
      <c r="B297" s="687"/>
      <c r="D297" s="208"/>
      <c r="E297" s="208"/>
      <c r="F297" s="1091"/>
      <c r="G297" s="1091"/>
    </row>
    <row r="298" spans="1:7" ht="15.75" customHeight="1">
      <c r="A298" s="208"/>
      <c r="B298" s="687"/>
      <c r="D298" s="208"/>
      <c r="E298" s="208"/>
      <c r="F298" s="1091"/>
      <c r="G298" s="1091"/>
    </row>
    <row r="299" spans="1:7" ht="15.75" customHeight="1">
      <c r="A299" s="208"/>
      <c r="B299" s="687"/>
      <c r="D299" s="208"/>
      <c r="E299" s="208"/>
      <c r="F299" s="1091"/>
      <c r="G299" s="1091"/>
    </row>
    <row r="300" spans="1:7" ht="15.75" customHeight="1">
      <c r="A300" s="208"/>
      <c r="B300" s="687"/>
      <c r="D300" s="208"/>
      <c r="E300" s="208"/>
      <c r="F300" s="1091"/>
      <c r="G300" s="1091"/>
    </row>
    <row r="301" spans="1:7" ht="15.75" customHeight="1">
      <c r="A301" s="208"/>
      <c r="B301" s="687"/>
      <c r="D301" s="208"/>
      <c r="E301" s="208"/>
      <c r="F301" s="1091"/>
      <c r="G301" s="1091"/>
    </row>
    <row r="302" spans="1:7" ht="15.75" customHeight="1">
      <c r="A302" s="208"/>
      <c r="B302" s="687"/>
      <c r="D302" s="208"/>
      <c r="E302" s="208"/>
      <c r="F302" s="1091"/>
      <c r="G302" s="1091"/>
    </row>
    <row r="303" spans="1:7" ht="15.75" customHeight="1">
      <c r="A303" s="208"/>
      <c r="B303" s="687"/>
      <c r="D303" s="208"/>
      <c r="E303" s="208"/>
      <c r="F303" s="1091"/>
      <c r="G303" s="1091"/>
    </row>
    <row r="304" spans="1:7" ht="15.75" customHeight="1">
      <c r="A304" s="208"/>
      <c r="B304" s="687"/>
      <c r="D304" s="208"/>
      <c r="E304" s="208"/>
      <c r="F304" s="1091"/>
      <c r="G304" s="1091"/>
    </row>
    <row r="305" spans="1:7" ht="15.75" customHeight="1">
      <c r="A305" s="208"/>
      <c r="B305" s="687"/>
      <c r="D305" s="208"/>
      <c r="E305" s="208"/>
      <c r="F305" s="1091"/>
      <c r="G305" s="1091"/>
    </row>
    <row r="306" spans="1:7" ht="15.75" customHeight="1">
      <c r="A306" s="208"/>
      <c r="B306" s="687"/>
      <c r="D306" s="208"/>
      <c r="E306" s="208"/>
      <c r="F306" s="1091"/>
      <c r="G306" s="1091"/>
    </row>
    <row r="307" spans="1:7" ht="15.75" customHeight="1">
      <c r="A307" s="208"/>
      <c r="B307" s="687"/>
      <c r="D307" s="208"/>
      <c r="E307" s="208"/>
      <c r="F307" s="1091"/>
      <c r="G307" s="1091"/>
    </row>
    <row r="308" spans="1:7" ht="15.75" customHeight="1">
      <c r="A308" s="208"/>
      <c r="B308" s="687"/>
      <c r="D308" s="208"/>
      <c r="E308" s="208"/>
      <c r="F308" s="1091"/>
      <c r="G308" s="1091"/>
    </row>
    <row r="309" spans="1:7" ht="15.75" customHeight="1">
      <c r="A309" s="208"/>
      <c r="B309" s="687"/>
      <c r="D309" s="208"/>
      <c r="E309" s="208"/>
      <c r="F309" s="1091"/>
      <c r="G309" s="1091"/>
    </row>
    <row r="310" spans="1:7" ht="15.75" customHeight="1">
      <c r="A310" s="208"/>
      <c r="B310" s="687"/>
      <c r="D310" s="208"/>
      <c r="E310" s="208"/>
      <c r="F310" s="1091"/>
      <c r="G310" s="1091"/>
    </row>
    <row r="311" spans="1:7" ht="15.75" customHeight="1">
      <c r="A311" s="208"/>
      <c r="B311" s="687"/>
      <c r="D311" s="208"/>
      <c r="E311" s="208"/>
      <c r="F311" s="1091"/>
      <c r="G311" s="1091"/>
    </row>
    <row r="312" spans="1:7" ht="15.75" customHeight="1">
      <c r="A312" s="208"/>
      <c r="B312" s="687"/>
      <c r="D312" s="208"/>
      <c r="E312" s="208"/>
      <c r="F312" s="1091"/>
      <c r="G312" s="1091"/>
    </row>
    <row r="313" spans="1:7" ht="15.75" customHeight="1">
      <c r="A313" s="208"/>
      <c r="B313" s="687"/>
      <c r="D313" s="208"/>
      <c r="E313" s="208"/>
      <c r="F313" s="1091"/>
      <c r="G313" s="1091"/>
    </row>
    <row r="314" spans="1:7" ht="15.75" customHeight="1">
      <c r="A314" s="208"/>
      <c r="B314" s="687"/>
      <c r="D314" s="208"/>
      <c r="E314" s="208"/>
      <c r="F314" s="1091"/>
      <c r="G314" s="1091"/>
    </row>
    <row r="315" spans="1:7" ht="15.75" customHeight="1">
      <c r="A315" s="208"/>
      <c r="B315" s="687"/>
      <c r="D315" s="208"/>
      <c r="E315" s="208"/>
      <c r="F315" s="1091"/>
      <c r="G315" s="1091"/>
    </row>
    <row r="316" spans="1:7" ht="15.75" customHeight="1">
      <c r="A316" s="208"/>
      <c r="B316" s="687"/>
      <c r="D316" s="208"/>
      <c r="E316" s="208"/>
      <c r="F316" s="1091"/>
      <c r="G316" s="1091"/>
    </row>
    <row r="317" spans="1:7" ht="15.75" customHeight="1">
      <c r="A317" s="208"/>
      <c r="B317" s="687"/>
      <c r="D317" s="208"/>
      <c r="E317" s="208"/>
      <c r="F317" s="1091"/>
      <c r="G317" s="1091"/>
    </row>
    <row r="318" spans="1:7" ht="15.75" customHeight="1">
      <c r="A318" s="208"/>
      <c r="B318" s="687"/>
      <c r="D318" s="208"/>
      <c r="E318" s="208"/>
      <c r="F318" s="1091"/>
      <c r="G318" s="1091"/>
    </row>
    <row r="319" spans="1:7" ht="15.75" customHeight="1">
      <c r="A319" s="208"/>
      <c r="B319" s="687"/>
      <c r="D319" s="208"/>
      <c r="E319" s="208"/>
      <c r="F319" s="1091"/>
      <c r="G319" s="1091"/>
    </row>
    <row r="320" spans="1:7" ht="15.75" customHeight="1">
      <c r="A320" s="208"/>
      <c r="B320" s="687"/>
      <c r="D320" s="208"/>
      <c r="E320" s="208"/>
      <c r="F320" s="1091"/>
      <c r="G320" s="1091"/>
    </row>
    <row r="321" spans="1:7" ht="15.75" customHeight="1">
      <c r="A321" s="208"/>
      <c r="B321" s="687"/>
      <c r="D321" s="208"/>
      <c r="E321" s="208"/>
      <c r="F321" s="1091"/>
      <c r="G321" s="1091"/>
    </row>
    <row r="322" spans="1:7" ht="15.75" customHeight="1">
      <c r="A322" s="208"/>
      <c r="B322" s="687"/>
      <c r="D322" s="208"/>
      <c r="E322" s="208"/>
      <c r="F322" s="1091"/>
      <c r="G322" s="1091"/>
    </row>
    <row r="323" spans="1:7" ht="15.75" customHeight="1">
      <c r="A323" s="208"/>
      <c r="B323" s="687"/>
      <c r="D323" s="208"/>
      <c r="E323" s="208"/>
      <c r="F323" s="1091"/>
      <c r="G323" s="1091"/>
    </row>
    <row r="324" spans="1:7" ht="15.75" customHeight="1">
      <c r="A324" s="208"/>
      <c r="B324" s="687"/>
      <c r="D324" s="208"/>
      <c r="E324" s="208"/>
      <c r="F324" s="1091"/>
      <c r="G324" s="1091"/>
    </row>
    <row r="325" spans="1:7" ht="15.75" customHeight="1">
      <c r="A325" s="208"/>
      <c r="B325" s="687"/>
      <c r="D325" s="208"/>
      <c r="E325" s="208"/>
      <c r="F325" s="1091"/>
      <c r="G325" s="1091"/>
    </row>
    <row r="326" spans="1:7" ht="15.75" customHeight="1">
      <c r="A326" s="208"/>
      <c r="B326" s="687"/>
      <c r="D326" s="208"/>
      <c r="E326" s="208"/>
      <c r="F326" s="1091"/>
      <c r="G326" s="1091"/>
    </row>
    <row r="327" spans="1:7" ht="15.75" customHeight="1">
      <c r="A327" s="208"/>
      <c r="B327" s="687"/>
      <c r="D327" s="208"/>
      <c r="E327" s="208"/>
      <c r="F327" s="1091"/>
      <c r="G327" s="1091"/>
    </row>
    <row r="328" spans="1:7" ht="15.75" customHeight="1">
      <c r="A328" s="208"/>
      <c r="B328" s="687"/>
      <c r="D328" s="208"/>
      <c r="E328" s="208"/>
      <c r="F328" s="1091"/>
      <c r="G328" s="1091"/>
    </row>
    <row r="329" spans="1:7" ht="15.75" customHeight="1">
      <c r="A329" s="208"/>
      <c r="B329" s="687"/>
      <c r="D329" s="208"/>
      <c r="E329" s="208"/>
      <c r="F329" s="1091"/>
      <c r="G329" s="1091"/>
    </row>
    <row r="330" spans="1:7" ht="15.75" customHeight="1">
      <c r="A330" s="208"/>
      <c r="B330" s="687"/>
      <c r="D330" s="208"/>
      <c r="E330" s="208"/>
      <c r="F330" s="1091"/>
      <c r="G330" s="1091"/>
    </row>
    <row r="331" spans="1:7" ht="15.75" customHeight="1">
      <c r="A331" s="208"/>
      <c r="B331" s="687"/>
      <c r="D331" s="208"/>
      <c r="E331" s="208"/>
      <c r="F331" s="1091"/>
      <c r="G331" s="1091"/>
    </row>
    <row r="332" spans="1:7" ht="15.75" customHeight="1">
      <c r="A332" s="208"/>
      <c r="B332" s="687"/>
      <c r="D332" s="208"/>
      <c r="E332" s="208"/>
      <c r="F332" s="1091"/>
      <c r="G332" s="1091"/>
    </row>
    <row r="333" spans="1:7" ht="15.75" customHeight="1">
      <c r="A333" s="208"/>
      <c r="B333" s="687"/>
      <c r="D333" s="208"/>
      <c r="E333" s="208"/>
      <c r="F333" s="1091"/>
      <c r="G333" s="1091"/>
    </row>
    <row r="334" spans="1:7" ht="15.75" customHeight="1">
      <c r="A334" s="208"/>
      <c r="B334" s="687"/>
      <c r="D334" s="208"/>
      <c r="E334" s="208"/>
      <c r="F334" s="1091"/>
      <c r="G334" s="1091"/>
    </row>
    <row r="335" spans="1:7" ht="15.75" customHeight="1">
      <c r="A335" s="208"/>
      <c r="B335" s="687"/>
      <c r="D335" s="208"/>
      <c r="E335" s="208"/>
      <c r="F335" s="1091"/>
      <c r="G335" s="1091"/>
    </row>
    <row r="336" spans="1:7" ht="15.75" customHeight="1">
      <c r="A336" s="208"/>
      <c r="B336" s="687"/>
      <c r="D336" s="208"/>
      <c r="E336" s="208"/>
      <c r="F336" s="1091"/>
      <c r="G336" s="1091"/>
    </row>
    <row r="337" spans="1:7" ht="15.75" customHeight="1">
      <c r="A337" s="208"/>
      <c r="B337" s="687"/>
      <c r="D337" s="208"/>
      <c r="E337" s="208"/>
      <c r="F337" s="1091"/>
      <c r="G337" s="1091"/>
    </row>
    <row r="338" spans="1:7" ht="15.75" customHeight="1">
      <c r="A338" s="208"/>
      <c r="B338" s="687"/>
      <c r="D338" s="208"/>
      <c r="E338" s="208"/>
      <c r="F338" s="1091"/>
      <c r="G338" s="1091"/>
    </row>
    <row r="339" spans="1:7" ht="15.75" customHeight="1">
      <c r="A339" s="208"/>
      <c r="B339" s="687"/>
      <c r="D339" s="208"/>
      <c r="E339" s="208"/>
      <c r="F339" s="1091"/>
      <c r="G339" s="1091"/>
    </row>
    <row r="340" spans="1:7" ht="15.75" customHeight="1">
      <c r="A340" s="208"/>
      <c r="B340" s="687"/>
      <c r="D340" s="208"/>
      <c r="E340" s="208"/>
      <c r="F340" s="1091"/>
      <c r="G340" s="1091"/>
    </row>
    <row r="341" spans="1:7" ht="15.75" customHeight="1">
      <c r="A341" s="208"/>
      <c r="B341" s="687"/>
      <c r="D341" s="208"/>
      <c r="E341" s="208"/>
      <c r="F341" s="1091"/>
      <c r="G341" s="1091"/>
    </row>
    <row r="342" spans="1:7" ht="15.75" customHeight="1">
      <c r="A342" s="208"/>
      <c r="B342" s="687"/>
      <c r="D342" s="208"/>
      <c r="E342" s="208"/>
      <c r="F342" s="1091"/>
      <c r="G342" s="1091"/>
    </row>
    <row r="343" spans="1:7" ht="15.75" customHeight="1">
      <c r="A343" s="208"/>
      <c r="B343" s="687"/>
      <c r="D343" s="208"/>
      <c r="E343" s="208"/>
      <c r="F343" s="1091"/>
      <c r="G343" s="1091"/>
    </row>
    <row r="344" spans="1:7" ht="15.75" customHeight="1">
      <c r="A344" s="208"/>
      <c r="B344" s="687"/>
      <c r="D344" s="208"/>
      <c r="E344" s="208"/>
      <c r="F344" s="1091"/>
      <c r="G344" s="1091"/>
    </row>
    <row r="345" spans="1:7" ht="15.75" customHeight="1">
      <c r="A345" s="208"/>
      <c r="B345" s="687"/>
      <c r="D345" s="208"/>
      <c r="E345" s="208"/>
      <c r="F345" s="1091"/>
      <c r="G345" s="1091"/>
    </row>
    <row r="346" spans="1:7" ht="15.75" customHeight="1">
      <c r="A346" s="208"/>
      <c r="B346" s="687"/>
      <c r="D346" s="208"/>
      <c r="E346" s="208"/>
      <c r="F346" s="1091"/>
      <c r="G346" s="1091"/>
    </row>
    <row r="347" spans="1:7" ht="15.75" customHeight="1">
      <c r="A347" s="208"/>
      <c r="B347" s="687"/>
      <c r="D347" s="208"/>
      <c r="E347" s="208"/>
      <c r="F347" s="1091"/>
      <c r="G347" s="1091"/>
    </row>
    <row r="348" spans="1:7" ht="15.75" customHeight="1">
      <c r="A348" s="208"/>
      <c r="B348" s="687"/>
      <c r="D348" s="208"/>
      <c r="E348" s="208"/>
      <c r="F348" s="1091"/>
      <c r="G348" s="1091"/>
    </row>
    <row r="349" spans="1:7" ht="15.75" customHeight="1">
      <c r="A349" s="208"/>
      <c r="B349" s="687"/>
      <c r="D349" s="208"/>
      <c r="E349" s="208"/>
      <c r="F349" s="1091"/>
      <c r="G349" s="1091"/>
    </row>
    <row r="350" spans="1:7" ht="15.75" customHeight="1">
      <c r="A350" s="208"/>
      <c r="B350" s="687"/>
      <c r="D350" s="208"/>
      <c r="E350" s="208"/>
      <c r="F350" s="1091"/>
      <c r="G350" s="1091"/>
    </row>
    <row r="351" spans="1:7" ht="15.75" customHeight="1">
      <c r="A351" s="208"/>
      <c r="B351" s="687"/>
      <c r="D351" s="208"/>
      <c r="E351" s="208"/>
      <c r="F351" s="1091"/>
      <c r="G351" s="1091"/>
    </row>
    <row r="352" spans="1:7" ht="15.75" customHeight="1">
      <c r="A352" s="208"/>
      <c r="B352" s="687"/>
      <c r="D352" s="208"/>
      <c r="E352" s="208"/>
      <c r="F352" s="1091"/>
      <c r="G352" s="1091"/>
    </row>
    <row r="353" spans="1:7" ht="15.75" customHeight="1">
      <c r="A353" s="208"/>
      <c r="B353" s="687"/>
      <c r="D353" s="208"/>
      <c r="E353" s="208"/>
      <c r="F353" s="1091"/>
      <c r="G353" s="1091"/>
    </row>
    <row r="354" spans="1:7" ht="15.75" customHeight="1">
      <c r="A354" s="208"/>
      <c r="B354" s="687"/>
      <c r="D354" s="208"/>
      <c r="E354" s="208"/>
      <c r="F354" s="1091"/>
      <c r="G354" s="1091"/>
    </row>
    <row r="355" spans="1:7" ht="15.75" customHeight="1">
      <c r="A355" s="208"/>
      <c r="B355" s="687"/>
      <c r="D355" s="208"/>
      <c r="E355" s="208"/>
      <c r="F355" s="1091"/>
      <c r="G355" s="1091"/>
    </row>
    <row r="356" spans="1:7" ht="15.75" customHeight="1">
      <c r="A356" s="208"/>
      <c r="B356" s="687"/>
      <c r="D356" s="208"/>
      <c r="E356" s="208"/>
      <c r="F356" s="1091"/>
      <c r="G356" s="1091"/>
    </row>
    <row r="357" spans="1:7" ht="15.75" customHeight="1">
      <c r="A357" s="208"/>
      <c r="B357" s="687"/>
      <c r="D357" s="208"/>
      <c r="E357" s="208"/>
      <c r="F357" s="1091"/>
      <c r="G357" s="1091"/>
    </row>
    <row r="358" spans="1:7" ht="15.75" customHeight="1">
      <c r="A358" s="208"/>
      <c r="B358" s="687"/>
      <c r="D358" s="208"/>
      <c r="E358" s="208"/>
      <c r="F358" s="1091"/>
      <c r="G358" s="1091"/>
    </row>
    <row r="359" spans="1:7" ht="15.75" customHeight="1">
      <c r="A359" s="208"/>
      <c r="B359" s="687"/>
      <c r="D359" s="208"/>
      <c r="E359" s="208"/>
      <c r="F359" s="1091"/>
      <c r="G359" s="1091"/>
    </row>
    <row r="360" spans="1:7" ht="15.75" customHeight="1">
      <c r="A360" s="208"/>
      <c r="B360" s="687"/>
      <c r="D360" s="208"/>
      <c r="E360" s="208"/>
      <c r="F360" s="1091"/>
      <c r="G360" s="1091"/>
    </row>
    <row r="361" spans="1:7" ht="15.75" customHeight="1">
      <c r="A361" s="208"/>
      <c r="B361" s="687"/>
      <c r="D361" s="208"/>
      <c r="E361" s="208"/>
      <c r="F361" s="1091"/>
      <c r="G361" s="1091"/>
    </row>
    <row r="362" spans="1:7" ht="15.75" customHeight="1">
      <c r="A362" s="208"/>
      <c r="B362" s="687"/>
      <c r="D362" s="208"/>
      <c r="E362" s="208"/>
      <c r="F362" s="1091"/>
      <c r="G362" s="1091"/>
    </row>
    <row r="363" spans="1:7" ht="15.75" customHeight="1">
      <c r="A363" s="208"/>
      <c r="B363" s="687"/>
      <c r="D363" s="208"/>
      <c r="E363" s="208"/>
      <c r="F363" s="1091"/>
      <c r="G363" s="1091"/>
    </row>
    <row r="364" spans="1:7" ht="15.75" customHeight="1">
      <c r="A364" s="208"/>
      <c r="B364" s="687"/>
      <c r="D364" s="208"/>
      <c r="E364" s="208"/>
      <c r="F364" s="1091"/>
      <c r="G364" s="1091"/>
    </row>
    <row r="365" spans="1:7" ht="15.75" customHeight="1">
      <c r="A365" s="208"/>
      <c r="B365" s="687"/>
      <c r="D365" s="208"/>
      <c r="E365" s="208"/>
      <c r="F365" s="1091"/>
      <c r="G365" s="1091"/>
    </row>
    <row r="366" spans="1:7" ht="15.75" customHeight="1">
      <c r="A366" s="208"/>
      <c r="B366" s="687"/>
      <c r="D366" s="208"/>
      <c r="E366" s="208"/>
      <c r="F366" s="1091"/>
      <c r="G366" s="1091"/>
    </row>
    <row r="367" spans="1:7" ht="15.75" customHeight="1">
      <c r="A367" s="208"/>
      <c r="B367" s="687"/>
      <c r="D367" s="208"/>
      <c r="E367" s="208"/>
      <c r="F367" s="1091"/>
      <c r="G367" s="1091"/>
    </row>
    <row r="368" spans="1:7" ht="15.75" customHeight="1">
      <c r="A368" s="208"/>
      <c r="B368" s="687"/>
      <c r="D368" s="208"/>
      <c r="E368" s="208"/>
      <c r="F368" s="1091"/>
      <c r="G368" s="1091"/>
    </row>
    <row r="369" spans="1:7" ht="15.75" customHeight="1">
      <c r="A369" s="208"/>
      <c r="B369" s="687"/>
      <c r="D369" s="208"/>
      <c r="E369" s="208"/>
      <c r="F369" s="1091"/>
      <c r="G369" s="1091"/>
    </row>
    <row r="370" spans="1:7" ht="15.75" customHeight="1">
      <c r="A370" s="208"/>
      <c r="B370" s="687"/>
      <c r="D370" s="208"/>
      <c r="E370" s="208"/>
      <c r="F370" s="1091"/>
      <c r="G370" s="1091"/>
    </row>
    <row r="371" spans="1:7" ht="15.75" customHeight="1">
      <c r="A371" s="208"/>
      <c r="B371" s="687"/>
      <c r="D371" s="208"/>
      <c r="E371" s="208"/>
      <c r="F371" s="1091"/>
      <c r="G371" s="1091"/>
    </row>
    <row r="372" spans="1:7" ht="15.75" customHeight="1">
      <c r="A372" s="208"/>
      <c r="B372" s="687"/>
      <c r="D372" s="208"/>
      <c r="E372" s="208"/>
      <c r="F372" s="1091"/>
      <c r="G372" s="1091"/>
    </row>
    <row r="373" spans="1:7" ht="15.75" customHeight="1">
      <c r="A373" s="208"/>
      <c r="B373" s="687"/>
      <c r="D373" s="208"/>
      <c r="E373" s="208"/>
      <c r="F373" s="1091"/>
      <c r="G373" s="1091"/>
    </row>
    <row r="374" spans="1:7" ht="15.75" customHeight="1">
      <c r="A374" s="208"/>
      <c r="B374" s="687"/>
      <c r="D374" s="208"/>
      <c r="E374" s="208"/>
      <c r="F374" s="1091"/>
      <c r="G374" s="1091"/>
    </row>
    <row r="375" spans="1:7" ht="15.75" customHeight="1">
      <c r="A375" s="208"/>
      <c r="B375" s="687"/>
      <c r="D375" s="208"/>
      <c r="E375" s="208"/>
      <c r="F375" s="1091"/>
      <c r="G375" s="1091"/>
    </row>
    <row r="376" spans="1:7" ht="15.75" customHeight="1">
      <c r="A376" s="208"/>
      <c r="B376" s="687"/>
      <c r="D376" s="208"/>
      <c r="E376" s="208"/>
      <c r="F376" s="1091"/>
      <c r="G376" s="1091"/>
    </row>
    <row r="377" spans="1:7" ht="15.75" customHeight="1">
      <c r="A377" s="208"/>
      <c r="B377" s="687"/>
      <c r="D377" s="208"/>
      <c r="E377" s="208"/>
      <c r="F377" s="1091"/>
      <c r="G377" s="1091"/>
    </row>
    <row r="378" spans="1:7" ht="15.75" customHeight="1">
      <c r="A378" s="208"/>
      <c r="B378" s="687"/>
      <c r="D378" s="208"/>
      <c r="E378" s="208"/>
      <c r="F378" s="1091"/>
      <c r="G378" s="1091"/>
    </row>
    <row r="379" spans="1:7" ht="15.75" customHeight="1">
      <c r="A379" s="208"/>
      <c r="B379" s="687"/>
      <c r="D379" s="208"/>
      <c r="E379" s="208"/>
      <c r="F379" s="1091"/>
      <c r="G379" s="1091"/>
    </row>
    <row r="380" spans="1:7" ht="15.75" customHeight="1">
      <c r="A380" s="208"/>
      <c r="B380" s="687"/>
      <c r="D380" s="208"/>
      <c r="E380" s="208"/>
      <c r="F380" s="1091"/>
      <c r="G380" s="1091"/>
    </row>
    <row r="381" spans="1:7" ht="15.75" customHeight="1">
      <c r="A381" s="208"/>
      <c r="B381" s="687"/>
      <c r="D381" s="208"/>
      <c r="E381" s="208"/>
      <c r="F381" s="1091"/>
      <c r="G381" s="1091"/>
    </row>
    <row r="382" spans="1:7" ht="15.75" customHeight="1">
      <c r="A382" s="208"/>
      <c r="B382" s="687"/>
      <c r="D382" s="208"/>
      <c r="E382" s="208"/>
      <c r="F382" s="1091"/>
      <c r="G382" s="1091"/>
    </row>
    <row r="383" spans="1:7" ht="15.75" customHeight="1">
      <c r="A383" s="208"/>
      <c r="B383" s="687"/>
      <c r="D383" s="208"/>
      <c r="E383" s="208"/>
      <c r="F383" s="1091"/>
      <c r="G383" s="1091"/>
    </row>
    <row r="384" spans="1:7" ht="15.75" customHeight="1">
      <c r="A384" s="208"/>
      <c r="B384" s="687"/>
      <c r="D384" s="208"/>
      <c r="E384" s="208"/>
      <c r="F384" s="1091"/>
      <c r="G384" s="1091"/>
    </row>
    <row r="385" spans="1:7" ht="15.75" customHeight="1">
      <c r="A385" s="208"/>
      <c r="B385" s="687"/>
      <c r="D385" s="208"/>
      <c r="E385" s="208"/>
      <c r="F385" s="1091"/>
      <c r="G385" s="1091"/>
    </row>
    <row r="386" spans="1:7" ht="15.75" customHeight="1">
      <c r="A386" s="208"/>
      <c r="B386" s="687"/>
      <c r="D386" s="208"/>
      <c r="E386" s="208"/>
      <c r="F386" s="1091"/>
      <c r="G386" s="1091"/>
    </row>
    <row r="387" spans="1:7" ht="15.75" customHeight="1">
      <c r="A387" s="208"/>
      <c r="B387" s="687"/>
      <c r="D387" s="208"/>
      <c r="E387" s="208"/>
      <c r="F387" s="1091"/>
      <c r="G387" s="1091"/>
    </row>
    <row r="388" spans="1:7" ht="15.75" customHeight="1">
      <c r="A388" s="208"/>
      <c r="B388" s="687"/>
      <c r="D388" s="208"/>
      <c r="E388" s="208"/>
      <c r="F388" s="1091"/>
      <c r="G388" s="1091"/>
    </row>
    <row r="389" spans="1:7" ht="15.75" customHeight="1">
      <c r="A389" s="208"/>
      <c r="B389" s="687"/>
      <c r="D389" s="208"/>
      <c r="E389" s="208"/>
      <c r="F389" s="1091"/>
      <c r="G389" s="1091"/>
    </row>
    <row r="390" spans="1:7" ht="15.75" customHeight="1">
      <c r="A390" s="208"/>
      <c r="B390" s="687"/>
      <c r="D390" s="208"/>
      <c r="E390" s="208"/>
      <c r="F390" s="1091"/>
      <c r="G390" s="1091"/>
    </row>
    <row r="391" spans="1:7" ht="15.75" customHeight="1">
      <c r="A391" s="208"/>
      <c r="B391" s="687"/>
      <c r="D391" s="208"/>
      <c r="E391" s="208"/>
      <c r="F391" s="1091"/>
      <c r="G391" s="1091"/>
    </row>
    <row r="392" spans="1:7" ht="15.75" customHeight="1">
      <c r="A392" s="208"/>
      <c r="B392" s="687"/>
      <c r="D392" s="208"/>
      <c r="E392" s="208"/>
      <c r="F392" s="1091"/>
      <c r="G392" s="1091"/>
    </row>
    <row r="393" spans="1:7" ht="15.75" customHeight="1">
      <c r="A393" s="208"/>
      <c r="B393" s="687"/>
      <c r="D393" s="208"/>
      <c r="E393" s="208"/>
      <c r="F393" s="1091"/>
      <c r="G393" s="1091"/>
    </row>
    <row r="394" spans="1:7" ht="15.75" customHeight="1">
      <c r="A394" s="208"/>
      <c r="B394" s="687"/>
      <c r="D394" s="208"/>
      <c r="E394" s="208"/>
      <c r="F394" s="1091"/>
      <c r="G394" s="1091"/>
    </row>
    <row r="395" spans="1:7" ht="15.75" customHeight="1">
      <c r="A395" s="208"/>
      <c r="B395" s="687"/>
      <c r="D395" s="208"/>
      <c r="E395" s="208"/>
      <c r="F395" s="1091"/>
      <c r="G395" s="1091"/>
    </row>
    <row r="396" spans="1:7" ht="15.75" customHeight="1">
      <c r="A396" s="208"/>
      <c r="B396" s="687"/>
      <c r="D396" s="208"/>
      <c r="E396" s="208"/>
      <c r="F396" s="1091"/>
      <c r="G396" s="1091"/>
    </row>
    <row r="397" spans="1:7" ht="15.75" customHeight="1">
      <c r="A397" s="208"/>
      <c r="B397" s="687"/>
      <c r="D397" s="208"/>
      <c r="E397" s="208"/>
      <c r="F397" s="1091"/>
      <c r="G397" s="1091"/>
    </row>
    <row r="398" spans="1:7" ht="15.75" customHeight="1">
      <c r="A398" s="208"/>
      <c r="B398" s="687"/>
      <c r="D398" s="208"/>
      <c r="E398" s="208"/>
      <c r="F398" s="1091"/>
      <c r="G398" s="1091"/>
    </row>
    <row r="399" spans="1:7" ht="15.75" customHeight="1">
      <c r="A399" s="208"/>
      <c r="B399" s="687"/>
      <c r="D399" s="208"/>
      <c r="E399" s="208"/>
      <c r="F399" s="1091"/>
      <c r="G399" s="1091"/>
    </row>
    <row r="400" spans="1:7" ht="15.75" customHeight="1">
      <c r="A400" s="208"/>
      <c r="B400" s="687"/>
      <c r="D400" s="208"/>
      <c r="E400" s="208"/>
      <c r="F400" s="1091"/>
      <c r="G400" s="1091"/>
    </row>
    <row r="401" spans="1:7" ht="15.75" customHeight="1">
      <c r="A401" s="208"/>
      <c r="B401" s="687"/>
      <c r="D401" s="208"/>
      <c r="E401" s="208"/>
      <c r="F401" s="1091"/>
      <c r="G401" s="1091"/>
    </row>
    <row r="402" spans="1:7" ht="15.75" customHeight="1">
      <c r="A402" s="208"/>
      <c r="B402" s="687"/>
      <c r="D402" s="208"/>
      <c r="E402" s="208"/>
      <c r="F402" s="1091"/>
      <c r="G402" s="1091"/>
    </row>
    <row r="403" spans="1:7" ht="15.75" customHeight="1">
      <c r="A403" s="208"/>
      <c r="B403" s="687"/>
      <c r="D403" s="208"/>
      <c r="E403" s="208"/>
      <c r="F403" s="1091"/>
      <c r="G403" s="1091"/>
    </row>
    <row r="404" spans="1:7" ht="15.75" customHeight="1">
      <c r="A404" s="208"/>
      <c r="B404" s="687"/>
      <c r="D404" s="208"/>
      <c r="E404" s="208"/>
      <c r="F404" s="1091"/>
      <c r="G404" s="1091"/>
    </row>
    <row r="405" spans="1:7" ht="15.75" customHeight="1">
      <c r="A405" s="208"/>
      <c r="B405" s="687"/>
      <c r="D405" s="208"/>
      <c r="E405" s="208"/>
      <c r="F405" s="1091"/>
      <c r="G405" s="1091"/>
    </row>
    <row r="406" spans="1:7" ht="15.75" customHeight="1">
      <c r="A406" s="208"/>
      <c r="B406" s="687"/>
      <c r="D406" s="208"/>
      <c r="E406" s="208"/>
      <c r="F406" s="1091"/>
      <c r="G406" s="1091"/>
    </row>
    <row r="407" spans="1:7" ht="15.75" customHeight="1">
      <c r="A407" s="208"/>
      <c r="B407" s="687"/>
      <c r="D407" s="208"/>
      <c r="E407" s="208"/>
      <c r="F407" s="1091"/>
      <c r="G407" s="1091"/>
    </row>
    <row r="408" spans="1:7" ht="15.75" customHeight="1">
      <c r="A408" s="208"/>
      <c r="B408" s="687"/>
      <c r="D408" s="208"/>
      <c r="E408" s="208"/>
      <c r="F408" s="1091"/>
      <c r="G408" s="1091"/>
    </row>
    <row r="409" spans="1:7" ht="15.75" customHeight="1">
      <c r="A409" s="208"/>
      <c r="B409" s="687"/>
      <c r="D409" s="208"/>
      <c r="E409" s="208"/>
      <c r="F409" s="1091"/>
      <c r="G409" s="1091"/>
    </row>
    <row r="410" spans="1:7" ht="15.75" customHeight="1">
      <c r="A410" s="208"/>
      <c r="B410" s="687"/>
      <c r="D410" s="208"/>
      <c r="E410" s="208"/>
      <c r="F410" s="1091"/>
      <c r="G410" s="1091"/>
    </row>
    <row r="411" spans="1:7" ht="15.75" customHeight="1">
      <c r="A411" s="208"/>
      <c r="B411" s="687"/>
      <c r="D411" s="208"/>
      <c r="E411" s="208"/>
      <c r="F411" s="1091"/>
      <c r="G411" s="1091"/>
    </row>
    <row r="412" spans="1:7" ht="15.75" customHeight="1">
      <c r="A412" s="208"/>
      <c r="B412" s="687"/>
      <c r="D412" s="208"/>
      <c r="E412" s="208"/>
      <c r="F412" s="1091"/>
      <c r="G412" s="1091"/>
    </row>
    <row r="413" spans="1:7" ht="15.75" customHeight="1">
      <c r="A413" s="208"/>
      <c r="B413" s="687"/>
      <c r="D413" s="208"/>
      <c r="E413" s="208"/>
      <c r="F413" s="1091"/>
      <c r="G413" s="1091"/>
    </row>
    <row r="414" spans="1:7" ht="15.75" customHeight="1">
      <c r="A414" s="208"/>
      <c r="B414" s="687"/>
      <c r="D414" s="208"/>
      <c r="E414" s="208"/>
      <c r="F414" s="1091"/>
      <c r="G414" s="1091"/>
    </row>
    <row r="415" spans="1:7" ht="15.75" customHeight="1">
      <c r="A415" s="208"/>
      <c r="B415" s="687"/>
      <c r="D415" s="208"/>
      <c r="E415" s="208"/>
      <c r="F415" s="1091"/>
      <c r="G415" s="1091"/>
    </row>
    <row r="416" spans="1:7" ht="15.75" customHeight="1">
      <c r="A416" s="208"/>
      <c r="B416" s="687"/>
      <c r="D416" s="208"/>
      <c r="E416" s="208"/>
      <c r="F416" s="1091"/>
      <c r="G416" s="1091"/>
    </row>
    <row r="417" spans="1:7" ht="15.75" customHeight="1">
      <c r="A417" s="208"/>
      <c r="B417" s="687"/>
      <c r="D417" s="208"/>
      <c r="E417" s="208"/>
      <c r="F417" s="1091"/>
      <c r="G417" s="1091"/>
    </row>
    <row r="418" spans="1:7" ht="15.75" customHeight="1">
      <c r="A418" s="208"/>
      <c r="B418" s="687"/>
      <c r="D418" s="208"/>
      <c r="E418" s="208"/>
      <c r="F418" s="1091"/>
      <c r="G418" s="1091"/>
    </row>
    <row r="419" spans="1:7" ht="15.75" customHeight="1">
      <c r="A419" s="208"/>
      <c r="B419" s="687"/>
      <c r="D419" s="208"/>
      <c r="E419" s="208"/>
      <c r="F419" s="1091"/>
      <c r="G419" s="1091"/>
    </row>
    <row r="420" spans="1:7" ht="15.75" customHeight="1">
      <c r="A420" s="208"/>
      <c r="B420" s="687"/>
      <c r="D420" s="208"/>
      <c r="E420" s="208"/>
      <c r="F420" s="1091"/>
      <c r="G420" s="1091"/>
    </row>
    <row r="421" spans="1:7" ht="15.75" customHeight="1">
      <c r="A421" s="208"/>
      <c r="B421" s="687"/>
      <c r="D421" s="208"/>
      <c r="E421" s="208"/>
      <c r="F421" s="1091"/>
      <c r="G421" s="1091"/>
    </row>
    <row r="422" spans="1:7" ht="15.75" customHeight="1">
      <c r="A422" s="208"/>
      <c r="B422" s="687"/>
      <c r="D422" s="208"/>
      <c r="E422" s="208"/>
      <c r="F422" s="1091"/>
      <c r="G422" s="1091"/>
    </row>
    <row r="423" spans="1:7" ht="15.75" customHeight="1">
      <c r="A423" s="208"/>
      <c r="B423" s="687"/>
      <c r="D423" s="208"/>
      <c r="E423" s="208"/>
      <c r="F423" s="1091"/>
      <c r="G423" s="1091"/>
    </row>
    <row r="424" spans="1:7" ht="15.75" customHeight="1">
      <c r="A424" s="208"/>
      <c r="B424" s="687"/>
      <c r="D424" s="208"/>
      <c r="E424" s="208"/>
      <c r="F424" s="1091"/>
      <c r="G424" s="1091"/>
    </row>
    <row r="425" spans="1:7" ht="15.75" customHeight="1">
      <c r="A425" s="208"/>
      <c r="B425" s="687"/>
      <c r="D425" s="208"/>
      <c r="E425" s="208"/>
      <c r="F425" s="1091"/>
      <c r="G425" s="1091"/>
    </row>
    <row r="426" spans="1:7" ht="15.75" customHeight="1">
      <c r="A426" s="208"/>
      <c r="B426" s="687"/>
      <c r="D426" s="208"/>
      <c r="E426" s="208"/>
      <c r="F426" s="1091"/>
      <c r="G426" s="1091"/>
    </row>
    <row r="427" spans="1:7" ht="15.75" customHeight="1">
      <c r="A427" s="208"/>
      <c r="B427" s="687"/>
      <c r="D427" s="208"/>
      <c r="E427" s="208"/>
      <c r="F427" s="1091"/>
      <c r="G427" s="1091"/>
    </row>
    <row r="428" spans="1:7" ht="15.75" customHeight="1">
      <c r="A428" s="208"/>
      <c r="B428" s="687"/>
      <c r="D428" s="208"/>
      <c r="E428" s="208"/>
      <c r="F428" s="1091"/>
      <c r="G428" s="1091"/>
    </row>
    <row r="429" spans="1:7" ht="15.75" customHeight="1">
      <c r="A429" s="208"/>
      <c r="B429" s="687"/>
      <c r="D429" s="208"/>
      <c r="E429" s="208"/>
      <c r="F429" s="1091"/>
      <c r="G429" s="1091"/>
    </row>
    <row r="430" spans="1:7" ht="15.75" customHeight="1">
      <c r="A430" s="208"/>
      <c r="B430" s="687"/>
      <c r="D430" s="208"/>
      <c r="E430" s="208"/>
      <c r="F430" s="1091"/>
      <c r="G430" s="1091"/>
    </row>
    <row r="431" spans="1:7" ht="15.75" customHeight="1">
      <c r="A431" s="208"/>
      <c r="B431" s="687"/>
      <c r="D431" s="208"/>
      <c r="E431" s="208"/>
      <c r="F431" s="1091"/>
      <c r="G431" s="1091"/>
    </row>
    <row r="432" spans="1:7" ht="15.75" customHeight="1">
      <c r="A432" s="208"/>
      <c r="B432" s="687"/>
      <c r="D432" s="208"/>
      <c r="E432" s="208"/>
      <c r="F432" s="1091"/>
      <c r="G432" s="1091"/>
    </row>
    <row r="433" spans="1:7" ht="15.75" customHeight="1">
      <c r="A433" s="208"/>
      <c r="B433" s="687"/>
      <c r="D433" s="208"/>
      <c r="E433" s="208"/>
      <c r="F433" s="1091"/>
      <c r="G433" s="1091"/>
    </row>
    <row r="434" spans="1:7" ht="15.75" customHeight="1">
      <c r="A434" s="208"/>
      <c r="B434" s="687"/>
      <c r="D434" s="208"/>
      <c r="E434" s="208"/>
      <c r="F434" s="1091"/>
      <c r="G434" s="1091"/>
    </row>
    <row r="435" spans="1:7" ht="15.75" customHeight="1">
      <c r="A435" s="208"/>
      <c r="B435" s="687"/>
      <c r="D435" s="208"/>
      <c r="E435" s="208"/>
      <c r="F435" s="1091"/>
      <c r="G435" s="1091"/>
    </row>
    <row r="436" spans="1:7" ht="15.75" customHeight="1">
      <c r="A436" s="208"/>
      <c r="B436" s="687"/>
      <c r="D436" s="208"/>
      <c r="E436" s="208"/>
      <c r="F436" s="1091"/>
      <c r="G436" s="1091"/>
    </row>
    <row r="437" spans="1:7" ht="15.75" customHeight="1">
      <c r="A437" s="208"/>
      <c r="B437" s="687"/>
      <c r="D437" s="208"/>
      <c r="E437" s="208"/>
      <c r="F437" s="1091"/>
      <c r="G437" s="1091"/>
    </row>
    <row r="438" spans="1:7" ht="15.75" customHeight="1">
      <c r="A438" s="208"/>
      <c r="B438" s="687"/>
      <c r="D438" s="208"/>
      <c r="E438" s="208"/>
      <c r="F438" s="1091"/>
      <c r="G438" s="1091"/>
    </row>
    <row r="439" spans="1:7" ht="15.75" customHeight="1">
      <c r="A439" s="208"/>
      <c r="B439" s="687"/>
      <c r="D439" s="208"/>
      <c r="E439" s="208"/>
      <c r="F439" s="1091"/>
      <c r="G439" s="1091"/>
    </row>
    <row r="440" spans="1:7" ht="15.75" customHeight="1">
      <c r="A440" s="208"/>
      <c r="B440" s="687"/>
      <c r="D440" s="208"/>
      <c r="E440" s="208"/>
      <c r="F440" s="1091"/>
      <c r="G440" s="1091"/>
    </row>
    <row r="441" spans="1:7" ht="15.75" customHeight="1">
      <c r="A441" s="208"/>
      <c r="B441" s="687"/>
      <c r="D441" s="208"/>
      <c r="E441" s="208"/>
      <c r="F441" s="1091"/>
      <c r="G441" s="1091"/>
    </row>
    <row r="442" spans="1:7" ht="15.75" customHeight="1">
      <c r="A442" s="208"/>
      <c r="B442" s="687"/>
      <c r="D442" s="208"/>
      <c r="E442" s="208"/>
      <c r="F442" s="1091"/>
      <c r="G442" s="1091"/>
    </row>
    <row r="443" spans="1:7" ht="15.75" customHeight="1">
      <c r="A443" s="208"/>
      <c r="B443" s="687"/>
      <c r="D443" s="208"/>
      <c r="E443" s="208"/>
      <c r="F443" s="1091"/>
      <c r="G443" s="1091"/>
    </row>
    <row r="444" spans="1:7" ht="15.75" customHeight="1">
      <c r="A444" s="208"/>
      <c r="B444" s="687"/>
      <c r="D444" s="208"/>
      <c r="E444" s="208"/>
      <c r="F444" s="1091"/>
      <c r="G444" s="1091"/>
    </row>
    <row r="445" spans="1:7" ht="15.75" customHeight="1">
      <c r="A445" s="208"/>
      <c r="B445" s="687"/>
      <c r="D445" s="208"/>
      <c r="E445" s="208"/>
      <c r="F445" s="1091"/>
      <c r="G445" s="1091"/>
    </row>
    <row r="446" spans="1:7" ht="15.75" customHeight="1">
      <c r="A446" s="208"/>
      <c r="B446" s="687"/>
      <c r="D446" s="208"/>
      <c r="E446" s="208"/>
      <c r="F446" s="1091"/>
      <c r="G446" s="1091"/>
    </row>
    <row r="447" spans="1:7" ht="15.75" customHeight="1">
      <c r="A447" s="208"/>
      <c r="B447" s="687"/>
      <c r="D447" s="208"/>
      <c r="E447" s="208"/>
      <c r="F447" s="1091"/>
      <c r="G447" s="1091"/>
    </row>
    <row r="448" spans="1:7" ht="15.75" customHeight="1">
      <c r="A448" s="208"/>
      <c r="B448" s="687"/>
      <c r="D448" s="208"/>
      <c r="E448" s="208"/>
      <c r="F448" s="1091"/>
      <c r="G448" s="1091"/>
    </row>
    <row r="449" spans="1:7" ht="15.75" customHeight="1">
      <c r="A449" s="208"/>
      <c r="B449" s="687"/>
      <c r="D449" s="208"/>
      <c r="E449" s="208"/>
      <c r="F449" s="1091"/>
      <c r="G449" s="1091"/>
    </row>
    <row r="450" spans="1:7" ht="15.75" customHeight="1">
      <c r="A450" s="208"/>
      <c r="B450" s="687"/>
      <c r="D450" s="208"/>
      <c r="E450" s="208"/>
      <c r="F450" s="1091"/>
      <c r="G450" s="1091"/>
    </row>
    <row r="451" spans="1:7" ht="15.75" customHeight="1">
      <c r="A451" s="208"/>
      <c r="B451" s="687"/>
      <c r="D451" s="208"/>
      <c r="E451" s="208"/>
      <c r="F451" s="1091"/>
      <c r="G451" s="1091"/>
    </row>
    <row r="452" spans="1:7" ht="15.75" customHeight="1">
      <c r="A452" s="208"/>
      <c r="B452" s="687"/>
      <c r="D452" s="208"/>
      <c r="E452" s="208"/>
      <c r="F452" s="1091"/>
      <c r="G452" s="1091"/>
    </row>
    <row r="453" spans="1:7" ht="15.75" customHeight="1">
      <c r="A453" s="208"/>
      <c r="B453" s="687"/>
      <c r="D453" s="208"/>
      <c r="E453" s="208"/>
      <c r="F453" s="1091"/>
      <c r="G453" s="1091"/>
    </row>
    <row r="454" spans="1:7" ht="15.75" customHeight="1">
      <c r="A454" s="208"/>
      <c r="B454" s="687"/>
      <c r="D454" s="208"/>
      <c r="E454" s="208"/>
      <c r="F454" s="1091"/>
      <c r="G454" s="1091"/>
    </row>
    <row r="455" spans="1:7" ht="15.75" customHeight="1">
      <c r="A455" s="208"/>
      <c r="B455" s="687"/>
      <c r="D455" s="208"/>
      <c r="E455" s="208"/>
      <c r="F455" s="1091"/>
      <c r="G455" s="1091"/>
    </row>
    <row r="456" spans="1:7" ht="15.75" customHeight="1">
      <c r="A456" s="208"/>
      <c r="B456" s="687"/>
      <c r="D456" s="208"/>
      <c r="E456" s="208"/>
      <c r="F456" s="1091"/>
      <c r="G456" s="1091"/>
    </row>
    <row r="457" spans="1:7" ht="15.75" customHeight="1">
      <c r="A457" s="208"/>
      <c r="B457" s="687"/>
      <c r="D457" s="208"/>
      <c r="E457" s="208"/>
      <c r="F457" s="1091"/>
      <c r="G457" s="1091"/>
    </row>
    <row r="458" spans="1:7" ht="15.75" customHeight="1">
      <c r="A458" s="208"/>
      <c r="B458" s="687"/>
      <c r="D458" s="208"/>
      <c r="E458" s="208"/>
      <c r="F458" s="1091"/>
      <c r="G458" s="1091"/>
    </row>
    <row r="459" spans="1:7" ht="15.75" customHeight="1">
      <c r="A459" s="208"/>
      <c r="B459" s="687"/>
      <c r="D459" s="208"/>
      <c r="E459" s="208"/>
      <c r="F459" s="1091"/>
      <c r="G459" s="1091"/>
    </row>
    <row r="460" spans="1:7" ht="15.75" customHeight="1">
      <c r="A460" s="208"/>
      <c r="B460" s="687"/>
      <c r="D460" s="208"/>
      <c r="E460" s="208"/>
      <c r="F460" s="1091"/>
      <c r="G460" s="1091"/>
    </row>
    <row r="461" spans="1:7" ht="15.75" customHeight="1">
      <c r="A461" s="208"/>
      <c r="B461" s="687"/>
      <c r="D461" s="208"/>
      <c r="E461" s="208"/>
      <c r="F461" s="1091"/>
      <c r="G461" s="1091"/>
    </row>
    <row r="462" spans="1:7" ht="15.75" customHeight="1">
      <c r="A462" s="208"/>
      <c r="B462" s="687"/>
      <c r="D462" s="208"/>
      <c r="E462" s="208"/>
      <c r="F462" s="1091"/>
      <c r="G462" s="1091"/>
    </row>
    <row r="463" spans="1:7" ht="15.75" customHeight="1">
      <c r="A463" s="208"/>
      <c r="B463" s="687"/>
      <c r="D463" s="208"/>
      <c r="E463" s="208"/>
      <c r="F463" s="1091"/>
      <c r="G463" s="1091"/>
    </row>
    <row r="464" spans="1:7" ht="15.75" customHeight="1">
      <c r="A464" s="208"/>
      <c r="B464" s="687"/>
      <c r="D464" s="208"/>
      <c r="E464" s="208"/>
      <c r="F464" s="1091"/>
      <c r="G464" s="1091"/>
    </row>
    <row r="465" spans="1:7" ht="15.75" customHeight="1">
      <c r="A465" s="208"/>
      <c r="B465" s="687"/>
      <c r="D465" s="208"/>
      <c r="E465" s="208"/>
      <c r="F465" s="1091"/>
      <c r="G465" s="1091"/>
    </row>
    <row r="466" spans="1:7" ht="15.75" customHeight="1">
      <c r="A466" s="208"/>
      <c r="B466" s="687"/>
      <c r="D466" s="208"/>
      <c r="E466" s="208"/>
      <c r="F466" s="1091"/>
      <c r="G466" s="1091"/>
    </row>
    <row r="467" spans="1:7" ht="15.75" customHeight="1">
      <c r="A467" s="208"/>
      <c r="B467" s="687"/>
      <c r="D467" s="208"/>
      <c r="E467" s="208"/>
      <c r="F467" s="1091"/>
      <c r="G467" s="1091"/>
    </row>
    <row r="468" spans="1:7" ht="15.75" customHeight="1">
      <c r="A468" s="208"/>
      <c r="B468" s="687"/>
      <c r="D468" s="208"/>
      <c r="E468" s="208"/>
      <c r="F468" s="1091"/>
      <c r="G468" s="1091"/>
    </row>
    <row r="469" spans="1:7" ht="15.75" customHeight="1">
      <c r="A469" s="208"/>
      <c r="B469" s="687"/>
      <c r="D469" s="208"/>
      <c r="E469" s="208"/>
      <c r="F469" s="1091"/>
      <c r="G469" s="1091"/>
    </row>
    <row r="470" spans="1:7" ht="15.75" customHeight="1">
      <c r="A470" s="208"/>
      <c r="B470" s="687"/>
      <c r="D470" s="208"/>
      <c r="E470" s="208"/>
      <c r="F470" s="1091"/>
      <c r="G470" s="1091"/>
    </row>
    <row r="471" spans="1:7" ht="15.75" customHeight="1">
      <c r="A471" s="208"/>
      <c r="B471" s="687"/>
      <c r="D471" s="208"/>
      <c r="E471" s="208"/>
      <c r="F471" s="1091"/>
      <c r="G471" s="1091"/>
    </row>
    <row r="472" spans="1:7" ht="15.75" customHeight="1">
      <c r="A472" s="208"/>
      <c r="B472" s="687"/>
      <c r="D472" s="208"/>
      <c r="E472" s="208"/>
      <c r="F472" s="1091"/>
      <c r="G472" s="1091"/>
    </row>
    <row r="473" spans="1:7" ht="15.75" customHeight="1">
      <c r="A473" s="208"/>
      <c r="B473" s="687"/>
      <c r="D473" s="208"/>
      <c r="E473" s="208"/>
      <c r="F473" s="1091"/>
      <c r="G473" s="1091"/>
    </row>
    <row r="474" spans="1:7" ht="15.75" customHeight="1">
      <c r="A474" s="208"/>
      <c r="B474" s="687"/>
      <c r="D474" s="208"/>
      <c r="E474" s="208"/>
      <c r="F474" s="1091"/>
      <c r="G474" s="1091"/>
    </row>
    <row r="475" spans="1:7" ht="15.75" customHeight="1">
      <c r="A475" s="208"/>
      <c r="B475" s="687"/>
      <c r="D475" s="208"/>
      <c r="E475" s="208"/>
      <c r="F475" s="1091"/>
      <c r="G475" s="1091"/>
    </row>
    <row r="476" spans="1:7" ht="15.75" customHeight="1">
      <c r="A476" s="208"/>
      <c r="B476" s="687"/>
      <c r="D476" s="208"/>
      <c r="E476" s="208"/>
      <c r="F476" s="1091"/>
      <c r="G476" s="1091"/>
    </row>
    <row r="477" spans="1:7" ht="15.75" customHeight="1">
      <c r="A477" s="208"/>
      <c r="B477" s="687"/>
      <c r="D477" s="208"/>
      <c r="E477" s="208"/>
      <c r="F477" s="1091"/>
      <c r="G477" s="1091"/>
    </row>
    <row r="478" spans="1:7" ht="15.75" customHeight="1">
      <c r="A478" s="208"/>
      <c r="B478" s="687"/>
      <c r="D478" s="208"/>
      <c r="E478" s="208"/>
      <c r="F478" s="1091"/>
      <c r="G478" s="1091"/>
    </row>
    <row r="479" spans="1:7" ht="15.75" customHeight="1">
      <c r="A479" s="208"/>
      <c r="B479" s="687"/>
      <c r="D479" s="208"/>
      <c r="E479" s="208"/>
      <c r="F479" s="1091"/>
      <c r="G479" s="1091"/>
    </row>
    <row r="480" spans="1:7" ht="15.75" customHeight="1">
      <c r="A480" s="208"/>
      <c r="B480" s="687"/>
      <c r="D480" s="208"/>
      <c r="E480" s="208"/>
      <c r="F480" s="1091"/>
      <c r="G480" s="1091"/>
    </row>
    <row r="481" spans="1:7" ht="15.75" customHeight="1">
      <c r="A481" s="208"/>
      <c r="B481" s="687"/>
      <c r="D481" s="208"/>
      <c r="E481" s="208"/>
      <c r="F481" s="1091"/>
      <c r="G481" s="1091"/>
    </row>
    <row r="482" spans="1:7" ht="15.75" customHeight="1">
      <c r="A482" s="208"/>
      <c r="B482" s="687"/>
      <c r="D482" s="208"/>
      <c r="E482" s="208"/>
      <c r="F482" s="1091"/>
      <c r="G482" s="1091"/>
    </row>
    <row r="483" spans="1:7" ht="15.75" customHeight="1">
      <c r="A483" s="208"/>
      <c r="B483" s="687"/>
      <c r="D483" s="208"/>
      <c r="E483" s="208"/>
      <c r="F483" s="1091"/>
      <c r="G483" s="1091"/>
    </row>
    <row r="484" spans="1:7" ht="15.75" customHeight="1">
      <c r="A484" s="208"/>
      <c r="B484" s="687"/>
      <c r="D484" s="208"/>
      <c r="E484" s="208"/>
      <c r="F484" s="1091"/>
      <c r="G484" s="1091"/>
    </row>
    <row r="485" spans="1:7" ht="15.75" customHeight="1">
      <c r="A485" s="208"/>
      <c r="B485" s="687"/>
      <c r="D485" s="208"/>
      <c r="E485" s="208"/>
      <c r="F485" s="1091"/>
      <c r="G485" s="1091"/>
    </row>
    <row r="486" spans="1:7" ht="15.75" customHeight="1">
      <c r="A486" s="208"/>
      <c r="B486" s="687"/>
      <c r="D486" s="208"/>
      <c r="E486" s="208"/>
      <c r="F486" s="1091"/>
      <c r="G486" s="1091"/>
    </row>
    <row r="487" spans="1:7" ht="15.75" customHeight="1">
      <c r="A487" s="208"/>
      <c r="B487" s="687"/>
      <c r="D487" s="208"/>
      <c r="E487" s="208"/>
      <c r="F487" s="1091"/>
      <c r="G487" s="1091"/>
    </row>
    <row r="488" spans="1:7" ht="15.75" customHeight="1">
      <c r="A488" s="208"/>
      <c r="B488" s="687"/>
      <c r="D488" s="208"/>
      <c r="E488" s="208"/>
      <c r="F488" s="1091"/>
      <c r="G488" s="1091"/>
    </row>
    <row r="489" spans="1:7" ht="15.75" customHeight="1">
      <c r="A489" s="208"/>
      <c r="B489" s="687"/>
      <c r="D489" s="208"/>
      <c r="E489" s="208"/>
      <c r="F489" s="1091"/>
      <c r="G489" s="1091"/>
    </row>
    <row r="490" spans="1:7" ht="15.75" customHeight="1">
      <c r="A490" s="208"/>
      <c r="B490" s="687"/>
      <c r="D490" s="208"/>
      <c r="E490" s="208"/>
      <c r="F490" s="1091"/>
      <c r="G490" s="1091"/>
    </row>
    <row r="491" spans="1:7" ht="15.75" customHeight="1">
      <c r="A491" s="208"/>
      <c r="B491" s="687"/>
      <c r="D491" s="208"/>
      <c r="E491" s="208"/>
      <c r="F491" s="1091"/>
      <c r="G491" s="1091"/>
    </row>
    <row r="492" spans="1:7" ht="15.75" customHeight="1">
      <c r="A492" s="208"/>
      <c r="B492" s="687"/>
      <c r="D492" s="208"/>
      <c r="E492" s="208"/>
      <c r="F492" s="1091"/>
      <c r="G492" s="1091"/>
    </row>
    <row r="493" spans="1:7" ht="15.75" customHeight="1">
      <c r="A493" s="208"/>
      <c r="B493" s="687"/>
      <c r="D493" s="208"/>
      <c r="E493" s="208"/>
      <c r="F493" s="1091"/>
      <c r="G493" s="1091"/>
    </row>
    <row r="494" spans="1:7" ht="15.75" customHeight="1">
      <c r="A494" s="208"/>
      <c r="B494" s="687"/>
      <c r="D494" s="208"/>
      <c r="E494" s="208"/>
      <c r="F494" s="1091"/>
      <c r="G494" s="1091"/>
    </row>
    <row r="495" spans="1:7" ht="15.75" customHeight="1">
      <c r="A495" s="208"/>
      <c r="B495" s="687"/>
      <c r="D495" s="208"/>
      <c r="E495" s="208"/>
      <c r="F495" s="1091"/>
      <c r="G495" s="1091"/>
    </row>
    <row r="496" spans="1:7" ht="15.75" customHeight="1">
      <c r="A496" s="208"/>
      <c r="B496" s="687"/>
      <c r="D496" s="208"/>
      <c r="E496" s="208"/>
      <c r="F496" s="1091"/>
      <c r="G496" s="1091"/>
    </row>
    <row r="497" spans="1:7" ht="15.75" customHeight="1">
      <c r="A497" s="208"/>
      <c r="B497" s="687"/>
      <c r="D497" s="208"/>
      <c r="E497" s="208"/>
      <c r="F497" s="1091"/>
      <c r="G497" s="1091"/>
    </row>
    <row r="498" spans="1:7" ht="15.75" customHeight="1">
      <c r="A498" s="208"/>
      <c r="B498" s="687"/>
      <c r="D498" s="208"/>
      <c r="E498" s="208"/>
      <c r="F498" s="1091"/>
      <c r="G498" s="1091"/>
    </row>
    <row r="499" spans="1:7" ht="15.75" customHeight="1">
      <c r="A499" s="208"/>
      <c r="B499" s="687"/>
      <c r="D499" s="208"/>
      <c r="E499" s="208"/>
      <c r="F499" s="1091"/>
      <c r="G499" s="1091"/>
    </row>
    <row r="500" spans="1:7" ht="15.75" customHeight="1">
      <c r="A500" s="208"/>
      <c r="B500" s="687"/>
      <c r="D500" s="208"/>
      <c r="E500" s="208"/>
      <c r="F500" s="1091"/>
      <c r="G500" s="1091"/>
    </row>
    <row r="501" spans="1:7" ht="15.75" customHeight="1">
      <c r="A501" s="208"/>
      <c r="B501" s="687"/>
      <c r="D501" s="208"/>
      <c r="E501" s="208"/>
      <c r="F501" s="1091"/>
      <c r="G501" s="1091"/>
    </row>
    <row r="502" spans="1:7" ht="15.75" customHeight="1">
      <c r="A502" s="208"/>
      <c r="B502" s="687"/>
      <c r="D502" s="208"/>
      <c r="E502" s="208"/>
      <c r="F502" s="1091"/>
      <c r="G502" s="1091"/>
    </row>
    <row r="503" spans="1:7" ht="15.75" customHeight="1">
      <c r="A503" s="208"/>
      <c r="B503" s="687"/>
      <c r="D503" s="208"/>
      <c r="E503" s="208"/>
      <c r="F503" s="1091"/>
      <c r="G503" s="1091"/>
    </row>
    <row r="504" spans="1:7" ht="15.75" customHeight="1">
      <c r="A504" s="208"/>
      <c r="B504" s="687"/>
      <c r="D504" s="208"/>
      <c r="E504" s="208"/>
      <c r="F504" s="1091"/>
      <c r="G504" s="1091"/>
    </row>
    <row r="505" spans="1:7" ht="15.75" customHeight="1">
      <c r="A505" s="208"/>
      <c r="B505" s="687"/>
      <c r="D505" s="208"/>
      <c r="E505" s="208"/>
      <c r="F505" s="1091"/>
      <c r="G505" s="1091"/>
    </row>
    <row r="506" spans="1:7" ht="15.75" customHeight="1">
      <c r="A506" s="208"/>
      <c r="B506" s="687"/>
      <c r="D506" s="208"/>
      <c r="E506" s="208"/>
      <c r="F506" s="1091"/>
      <c r="G506" s="1091"/>
    </row>
    <row r="507" spans="1:7" ht="15.75" customHeight="1">
      <c r="A507" s="208"/>
      <c r="B507" s="687"/>
      <c r="D507" s="208"/>
      <c r="E507" s="208"/>
      <c r="F507" s="1091"/>
      <c r="G507" s="1091"/>
    </row>
    <row r="508" spans="1:7" ht="15.75" customHeight="1">
      <c r="A508" s="208"/>
      <c r="B508" s="687"/>
      <c r="D508" s="208"/>
      <c r="E508" s="208"/>
      <c r="F508" s="1091"/>
      <c r="G508" s="1091"/>
    </row>
    <row r="509" spans="1:7" ht="15.75" customHeight="1">
      <c r="A509" s="208"/>
      <c r="B509" s="687"/>
      <c r="D509" s="208"/>
      <c r="E509" s="208"/>
      <c r="F509" s="1091"/>
      <c r="G509" s="1091"/>
    </row>
    <row r="510" spans="1:7" ht="15.75" customHeight="1">
      <c r="A510" s="208"/>
      <c r="B510" s="687"/>
      <c r="D510" s="208"/>
      <c r="E510" s="208"/>
      <c r="F510" s="1091"/>
      <c r="G510" s="1091"/>
    </row>
    <row r="511" spans="1:7" ht="15.75" customHeight="1">
      <c r="A511" s="208"/>
      <c r="B511" s="687"/>
      <c r="D511" s="208"/>
      <c r="E511" s="208"/>
      <c r="F511" s="1091"/>
      <c r="G511" s="1091"/>
    </row>
    <row r="512" spans="1:7" ht="15.75" customHeight="1">
      <c r="A512" s="208"/>
      <c r="B512" s="687"/>
      <c r="D512" s="208"/>
      <c r="E512" s="208"/>
      <c r="F512" s="1091"/>
      <c r="G512" s="1091"/>
    </row>
    <row r="513" spans="1:7" ht="15.75" customHeight="1">
      <c r="A513" s="208"/>
      <c r="B513" s="687"/>
      <c r="D513" s="208"/>
      <c r="E513" s="208"/>
      <c r="F513" s="1091"/>
      <c r="G513" s="1091"/>
    </row>
    <row r="514" spans="1:7" ht="15.75" customHeight="1">
      <c r="A514" s="208"/>
      <c r="B514" s="687"/>
      <c r="D514" s="208"/>
      <c r="E514" s="208"/>
      <c r="F514" s="1091"/>
      <c r="G514" s="1091"/>
    </row>
    <row r="515" spans="1:7" ht="15.75" customHeight="1">
      <c r="A515" s="208"/>
      <c r="B515" s="687"/>
      <c r="D515" s="208"/>
      <c r="E515" s="208"/>
      <c r="F515" s="1091"/>
      <c r="G515" s="1091"/>
    </row>
    <row r="516" spans="1:7" ht="15.75" customHeight="1">
      <c r="A516" s="208"/>
      <c r="B516" s="687"/>
      <c r="D516" s="208"/>
      <c r="E516" s="208"/>
      <c r="F516" s="1091"/>
      <c r="G516" s="1091"/>
    </row>
    <row r="517" spans="1:7" ht="15.75" customHeight="1">
      <c r="A517" s="208"/>
      <c r="B517" s="687"/>
      <c r="D517" s="208"/>
      <c r="E517" s="208"/>
      <c r="F517" s="1091"/>
      <c r="G517" s="1091"/>
    </row>
    <row r="518" spans="1:7" ht="15.75" customHeight="1">
      <c r="A518" s="208"/>
      <c r="B518" s="687"/>
      <c r="D518" s="208"/>
      <c r="E518" s="208"/>
      <c r="F518" s="1091"/>
      <c r="G518" s="1091"/>
    </row>
    <row r="519" spans="1:7" ht="15.75" customHeight="1">
      <c r="A519" s="208"/>
      <c r="B519" s="687"/>
      <c r="D519" s="208"/>
      <c r="E519" s="208"/>
      <c r="F519" s="1091"/>
      <c r="G519" s="1091"/>
    </row>
    <row r="520" spans="1:7" ht="15.75" customHeight="1">
      <c r="A520" s="208"/>
      <c r="B520" s="687"/>
      <c r="D520" s="208"/>
      <c r="E520" s="208"/>
      <c r="F520" s="1091"/>
      <c r="G520" s="1091"/>
    </row>
    <row r="521" spans="1:7" ht="15.75" customHeight="1">
      <c r="A521" s="208"/>
      <c r="B521" s="687"/>
      <c r="D521" s="208"/>
      <c r="E521" s="208"/>
      <c r="F521" s="1091"/>
      <c r="G521" s="1091"/>
    </row>
    <row r="522" spans="1:7" ht="15.75" customHeight="1">
      <c r="A522" s="208"/>
      <c r="B522" s="687"/>
      <c r="D522" s="208"/>
      <c r="E522" s="208"/>
      <c r="F522" s="1091"/>
      <c r="G522" s="1091"/>
    </row>
    <row r="523" spans="1:7" ht="15.75" customHeight="1">
      <c r="A523" s="208"/>
      <c r="B523" s="687"/>
      <c r="D523" s="208"/>
      <c r="E523" s="208"/>
      <c r="F523" s="1091"/>
      <c r="G523" s="1091"/>
    </row>
    <row r="524" spans="1:7" ht="15.75" customHeight="1">
      <c r="A524" s="208"/>
      <c r="B524" s="687"/>
      <c r="D524" s="208"/>
      <c r="E524" s="208"/>
      <c r="F524" s="1091"/>
      <c r="G524" s="1091"/>
    </row>
    <row r="525" spans="1:7" ht="15.75" customHeight="1">
      <c r="A525" s="208"/>
      <c r="B525" s="687"/>
      <c r="D525" s="208"/>
      <c r="E525" s="208"/>
      <c r="F525" s="1091"/>
      <c r="G525" s="1091"/>
    </row>
    <row r="526" spans="1:7" ht="15.75" customHeight="1">
      <c r="A526" s="208"/>
      <c r="B526" s="687"/>
      <c r="D526" s="208"/>
      <c r="E526" s="208"/>
      <c r="F526" s="1091"/>
      <c r="G526" s="1091"/>
    </row>
    <row r="527" spans="1:7" ht="15.75" customHeight="1">
      <c r="A527" s="208"/>
      <c r="B527" s="687"/>
      <c r="D527" s="208"/>
      <c r="E527" s="208"/>
      <c r="F527" s="1091"/>
      <c r="G527" s="1091"/>
    </row>
    <row r="528" spans="1:7" ht="15.75" customHeight="1">
      <c r="A528" s="208"/>
      <c r="B528" s="687"/>
      <c r="D528" s="208"/>
      <c r="E528" s="208"/>
      <c r="F528" s="1091"/>
      <c r="G528" s="1091"/>
    </row>
    <row r="529" spans="1:7" ht="15.75" customHeight="1">
      <c r="A529" s="208"/>
      <c r="B529" s="687"/>
      <c r="D529" s="208"/>
      <c r="E529" s="208"/>
      <c r="F529" s="1091"/>
      <c r="G529" s="1091"/>
    </row>
    <row r="530" spans="1:7" ht="15.75" customHeight="1">
      <c r="A530" s="208"/>
      <c r="B530" s="687"/>
      <c r="D530" s="208"/>
      <c r="E530" s="208"/>
      <c r="F530" s="1091"/>
      <c r="G530" s="1091"/>
    </row>
    <row r="531" spans="1:7" ht="15.75" customHeight="1">
      <c r="A531" s="208"/>
      <c r="B531" s="687"/>
      <c r="D531" s="208"/>
      <c r="E531" s="208"/>
      <c r="F531" s="1091"/>
      <c r="G531" s="1091"/>
    </row>
    <row r="532" spans="1:7" ht="15.75" customHeight="1">
      <c r="A532" s="208"/>
      <c r="B532" s="687"/>
      <c r="D532" s="208"/>
      <c r="E532" s="208"/>
      <c r="F532" s="1091"/>
      <c r="G532" s="1091"/>
    </row>
    <row r="533" spans="1:7" ht="15.75" customHeight="1">
      <c r="A533" s="208"/>
      <c r="B533" s="687"/>
      <c r="D533" s="208"/>
      <c r="E533" s="208"/>
      <c r="F533" s="1091"/>
      <c r="G533" s="1091"/>
    </row>
    <row r="534" spans="1:7" ht="15.75" customHeight="1">
      <c r="A534" s="208"/>
      <c r="B534" s="687"/>
      <c r="D534" s="208"/>
      <c r="E534" s="208"/>
      <c r="F534" s="1091"/>
      <c r="G534" s="1091"/>
    </row>
    <row r="535" spans="1:7" ht="15.75" customHeight="1">
      <c r="A535" s="208"/>
      <c r="B535" s="687"/>
      <c r="D535" s="208"/>
      <c r="E535" s="208"/>
      <c r="F535" s="1091"/>
      <c r="G535" s="1091"/>
    </row>
    <row r="536" spans="1:7" ht="15.75" customHeight="1">
      <c r="A536" s="208"/>
      <c r="B536" s="687"/>
      <c r="D536" s="208"/>
      <c r="E536" s="208"/>
      <c r="F536" s="1091"/>
      <c r="G536" s="1091"/>
    </row>
    <row r="537" spans="1:7" ht="15.75" customHeight="1">
      <c r="A537" s="208"/>
      <c r="B537" s="687"/>
      <c r="D537" s="208"/>
      <c r="E537" s="208"/>
      <c r="F537" s="1091"/>
      <c r="G537" s="1091"/>
    </row>
    <row r="538" spans="1:7" ht="15.75" customHeight="1">
      <c r="A538" s="208"/>
      <c r="B538" s="687"/>
      <c r="D538" s="208"/>
      <c r="E538" s="208"/>
      <c r="F538" s="1091"/>
      <c r="G538" s="1091"/>
    </row>
    <row r="539" spans="1:7" ht="15.75" customHeight="1">
      <c r="A539" s="208"/>
      <c r="B539" s="687"/>
      <c r="D539" s="208"/>
      <c r="E539" s="208"/>
      <c r="F539" s="1091"/>
      <c r="G539" s="1091"/>
    </row>
    <row r="540" spans="1:7" ht="15.75" customHeight="1">
      <c r="A540" s="208"/>
      <c r="B540" s="687"/>
      <c r="D540" s="208"/>
      <c r="E540" s="208"/>
      <c r="F540" s="1091"/>
      <c r="G540" s="1091"/>
    </row>
    <row r="541" spans="1:7" ht="15.75" customHeight="1">
      <c r="A541" s="208"/>
      <c r="B541" s="687"/>
      <c r="D541" s="208"/>
      <c r="E541" s="208"/>
      <c r="F541" s="1091"/>
      <c r="G541" s="1091"/>
    </row>
    <row r="542" spans="1:7" ht="15.75" customHeight="1">
      <c r="A542" s="208"/>
      <c r="B542" s="687"/>
      <c r="D542" s="208"/>
      <c r="E542" s="208"/>
      <c r="F542" s="1091"/>
      <c r="G542" s="1091"/>
    </row>
    <row r="543" spans="1:7" ht="15.75" customHeight="1">
      <c r="A543" s="208"/>
      <c r="B543" s="687"/>
      <c r="D543" s="208"/>
      <c r="E543" s="208"/>
      <c r="F543" s="1091"/>
      <c r="G543" s="1091"/>
    </row>
    <row r="544" spans="1:7" ht="15.75" customHeight="1">
      <c r="A544" s="208"/>
      <c r="B544" s="687"/>
      <c r="D544" s="208"/>
      <c r="E544" s="208"/>
      <c r="F544" s="1091"/>
      <c r="G544" s="1091"/>
    </row>
    <row r="545" spans="1:7" ht="15.75" customHeight="1">
      <c r="A545" s="208"/>
      <c r="B545" s="687"/>
      <c r="D545" s="208"/>
      <c r="E545" s="208"/>
      <c r="F545" s="1091"/>
      <c r="G545" s="1091"/>
    </row>
    <row r="546" spans="1:7" ht="15.75" customHeight="1">
      <c r="A546" s="208"/>
      <c r="B546" s="687"/>
      <c r="D546" s="208"/>
      <c r="E546" s="208"/>
      <c r="F546" s="1091"/>
      <c r="G546" s="1091"/>
    </row>
    <row r="547" spans="1:7" ht="15.75" customHeight="1">
      <c r="A547" s="208"/>
      <c r="B547" s="687"/>
      <c r="D547" s="208"/>
      <c r="E547" s="208"/>
      <c r="F547" s="1091"/>
      <c r="G547" s="1091"/>
    </row>
    <row r="548" spans="1:7" ht="15.75" customHeight="1">
      <c r="A548" s="208"/>
      <c r="B548" s="687"/>
      <c r="D548" s="208"/>
      <c r="E548" s="208"/>
      <c r="F548" s="1091"/>
      <c r="G548" s="1091"/>
    </row>
    <row r="549" spans="1:7" ht="15.75" customHeight="1">
      <c r="A549" s="208"/>
      <c r="B549" s="687"/>
      <c r="D549" s="208"/>
      <c r="E549" s="208"/>
      <c r="F549" s="1091"/>
      <c r="G549" s="1091"/>
    </row>
    <row r="550" spans="1:7" ht="15.75" customHeight="1">
      <c r="A550" s="208"/>
      <c r="B550" s="687"/>
      <c r="D550" s="208"/>
      <c r="E550" s="208"/>
      <c r="F550" s="1091"/>
      <c r="G550" s="1091"/>
    </row>
    <row r="551" spans="1:7" ht="15.75" customHeight="1">
      <c r="A551" s="208"/>
      <c r="B551" s="687"/>
      <c r="D551" s="208"/>
      <c r="E551" s="208"/>
      <c r="F551" s="1091"/>
      <c r="G551" s="1091"/>
    </row>
    <row r="552" spans="1:7" ht="15.75" customHeight="1">
      <c r="A552" s="208"/>
      <c r="B552" s="687"/>
      <c r="D552" s="208"/>
      <c r="E552" s="208"/>
      <c r="F552" s="1091"/>
      <c r="G552" s="1091"/>
    </row>
    <row r="553" spans="1:7" ht="15.75" customHeight="1">
      <c r="A553" s="208"/>
      <c r="B553" s="687"/>
      <c r="D553" s="208"/>
      <c r="E553" s="208"/>
      <c r="F553" s="1091"/>
      <c r="G553" s="1091"/>
    </row>
    <row r="554" spans="1:7" ht="15.75" customHeight="1">
      <c r="A554" s="208"/>
      <c r="B554" s="687"/>
      <c r="D554" s="208"/>
      <c r="E554" s="208"/>
      <c r="F554" s="1091"/>
      <c r="G554" s="1091"/>
    </row>
    <row r="555" spans="1:7" ht="15.75" customHeight="1">
      <c r="A555" s="208"/>
      <c r="B555" s="687"/>
      <c r="D555" s="208"/>
      <c r="E555" s="208"/>
      <c r="F555" s="1091"/>
      <c r="G555" s="1091"/>
    </row>
    <row r="556" spans="1:7" ht="15.75" customHeight="1">
      <c r="A556" s="208"/>
      <c r="B556" s="687"/>
      <c r="D556" s="208"/>
      <c r="E556" s="208"/>
      <c r="F556" s="1091"/>
      <c r="G556" s="1091"/>
    </row>
    <row r="557" spans="1:7" ht="15.75" customHeight="1">
      <c r="A557" s="208"/>
      <c r="B557" s="687"/>
      <c r="D557" s="208"/>
      <c r="E557" s="208"/>
      <c r="F557" s="1091"/>
      <c r="G557" s="1091"/>
    </row>
    <row r="558" spans="1:7" ht="15.75" customHeight="1">
      <c r="A558" s="208"/>
      <c r="B558" s="687"/>
      <c r="D558" s="208"/>
      <c r="E558" s="208"/>
      <c r="F558" s="1091"/>
      <c r="G558" s="1091"/>
    </row>
    <row r="559" spans="1:7" ht="15.75" customHeight="1">
      <c r="A559" s="208"/>
      <c r="B559" s="687"/>
      <c r="D559" s="208"/>
      <c r="E559" s="208"/>
      <c r="F559" s="1091"/>
      <c r="G559" s="1091"/>
    </row>
    <row r="560" spans="1:7" ht="15.75" customHeight="1">
      <c r="A560" s="208"/>
      <c r="B560" s="687"/>
      <c r="D560" s="208"/>
      <c r="E560" s="208"/>
      <c r="F560" s="1091"/>
      <c r="G560" s="1091"/>
    </row>
    <row r="561" spans="1:7" ht="15.75" customHeight="1">
      <c r="A561" s="208"/>
      <c r="B561" s="687"/>
      <c r="D561" s="208"/>
      <c r="E561" s="208"/>
      <c r="F561" s="1091"/>
      <c r="G561" s="1091"/>
    </row>
    <row r="562" spans="1:7" ht="15.75" customHeight="1">
      <c r="A562" s="208"/>
      <c r="B562" s="687"/>
      <c r="D562" s="208"/>
      <c r="E562" s="208"/>
      <c r="F562" s="1091"/>
      <c r="G562" s="1091"/>
    </row>
    <row r="563" spans="1:7" ht="15.75" customHeight="1">
      <c r="A563" s="208"/>
      <c r="B563" s="687"/>
      <c r="D563" s="208"/>
      <c r="E563" s="208"/>
      <c r="F563" s="1091"/>
      <c r="G563" s="1091"/>
    </row>
    <row r="564" spans="1:7" ht="15.75" customHeight="1">
      <c r="A564" s="208"/>
      <c r="B564" s="687"/>
      <c r="D564" s="208"/>
      <c r="E564" s="208"/>
      <c r="F564" s="1091"/>
      <c r="G564" s="1091"/>
    </row>
    <row r="565" spans="1:7" ht="15.75" customHeight="1">
      <c r="A565" s="208"/>
      <c r="B565" s="687"/>
      <c r="D565" s="208"/>
      <c r="E565" s="208"/>
      <c r="F565" s="1091"/>
      <c r="G565" s="1091"/>
    </row>
    <row r="566" spans="1:7" ht="15.75" customHeight="1">
      <c r="A566" s="208"/>
      <c r="B566" s="687"/>
      <c r="D566" s="208"/>
      <c r="E566" s="208"/>
      <c r="F566" s="1091"/>
      <c r="G566" s="1091"/>
    </row>
    <row r="567" spans="1:7" ht="15.75" customHeight="1">
      <c r="A567" s="208"/>
      <c r="B567" s="687"/>
      <c r="D567" s="208"/>
      <c r="E567" s="208"/>
      <c r="F567" s="1091"/>
      <c r="G567" s="1091"/>
    </row>
    <row r="568" spans="1:7" ht="15.75" customHeight="1">
      <c r="A568" s="208"/>
      <c r="B568" s="687"/>
      <c r="D568" s="208"/>
      <c r="E568" s="208"/>
      <c r="F568" s="1091"/>
      <c r="G568" s="1091"/>
    </row>
    <row r="569" spans="1:7" ht="15.75" customHeight="1">
      <c r="A569" s="208"/>
      <c r="B569" s="687"/>
      <c r="D569" s="208"/>
      <c r="E569" s="208"/>
      <c r="F569" s="1091"/>
      <c r="G569" s="1091"/>
    </row>
    <row r="570" spans="1:7" ht="15.75" customHeight="1">
      <c r="A570" s="208"/>
      <c r="B570" s="687"/>
      <c r="D570" s="208"/>
      <c r="E570" s="208"/>
      <c r="F570" s="1091"/>
      <c r="G570" s="1091"/>
    </row>
    <row r="571" spans="1:7" ht="15.75" customHeight="1">
      <c r="A571" s="208"/>
      <c r="B571" s="687"/>
      <c r="D571" s="208"/>
      <c r="E571" s="208"/>
      <c r="F571" s="1091"/>
      <c r="G571" s="1091"/>
    </row>
    <row r="572" spans="1:7" ht="15.75" customHeight="1">
      <c r="A572" s="208"/>
      <c r="B572" s="687"/>
      <c r="D572" s="208"/>
      <c r="E572" s="208"/>
      <c r="F572" s="1091"/>
      <c r="G572" s="1091"/>
    </row>
    <row r="573" spans="1:7" ht="15.75" customHeight="1">
      <c r="A573" s="208"/>
      <c r="B573" s="687"/>
      <c r="D573" s="208"/>
      <c r="E573" s="208"/>
      <c r="F573" s="1091"/>
      <c r="G573" s="1091"/>
    </row>
    <row r="574" spans="1:7" ht="15.75" customHeight="1">
      <c r="A574" s="208"/>
      <c r="B574" s="687"/>
      <c r="D574" s="208"/>
      <c r="E574" s="208"/>
      <c r="F574" s="1091"/>
      <c r="G574" s="1091"/>
    </row>
    <row r="575" spans="1:7" ht="15.75" customHeight="1">
      <c r="A575" s="208"/>
      <c r="B575" s="687"/>
      <c r="D575" s="208"/>
      <c r="E575" s="208"/>
      <c r="F575" s="1091"/>
      <c r="G575" s="1091"/>
    </row>
    <row r="576" spans="1:7" ht="15.75" customHeight="1">
      <c r="A576" s="208"/>
      <c r="B576" s="687"/>
      <c r="D576" s="208"/>
      <c r="E576" s="208"/>
      <c r="F576" s="1091"/>
      <c r="G576" s="1091"/>
    </row>
    <row r="577" spans="1:7" ht="15.75" customHeight="1">
      <c r="A577" s="208"/>
      <c r="B577" s="687"/>
      <c r="D577" s="208"/>
      <c r="E577" s="208"/>
      <c r="F577" s="1091"/>
      <c r="G577" s="1091"/>
    </row>
    <row r="578" spans="1:7" ht="15.75" customHeight="1">
      <c r="A578" s="208"/>
      <c r="B578" s="687"/>
      <c r="D578" s="208"/>
      <c r="E578" s="208"/>
      <c r="F578" s="1091"/>
      <c r="G578" s="1091"/>
    </row>
    <row r="579" spans="1:7" ht="15.75" customHeight="1">
      <c r="A579" s="208"/>
      <c r="B579" s="687"/>
      <c r="D579" s="208"/>
      <c r="E579" s="208"/>
      <c r="F579" s="1091"/>
      <c r="G579" s="1091"/>
    </row>
    <row r="580" spans="1:7" ht="15.75" customHeight="1">
      <c r="A580" s="208"/>
      <c r="B580" s="687"/>
      <c r="D580" s="208"/>
      <c r="E580" s="208"/>
      <c r="F580" s="1091"/>
      <c r="G580" s="1091"/>
    </row>
    <row r="581" spans="1:7" ht="15.75" customHeight="1">
      <c r="A581" s="208"/>
      <c r="B581" s="687"/>
      <c r="D581" s="208"/>
      <c r="E581" s="208"/>
      <c r="F581" s="1091"/>
      <c r="G581" s="1091"/>
    </row>
    <row r="582" spans="1:7" ht="15.75" customHeight="1">
      <c r="A582" s="208"/>
      <c r="B582" s="687"/>
      <c r="D582" s="208"/>
      <c r="E582" s="208"/>
      <c r="F582" s="1091"/>
      <c r="G582" s="1091"/>
    </row>
    <row r="583" spans="1:7" ht="15.75" customHeight="1">
      <c r="A583" s="208"/>
      <c r="B583" s="687"/>
      <c r="D583" s="208"/>
      <c r="E583" s="208"/>
      <c r="F583" s="1091"/>
      <c r="G583" s="1091"/>
    </row>
    <row r="584" spans="1:7" ht="15.75" customHeight="1">
      <c r="A584" s="208"/>
      <c r="B584" s="687"/>
      <c r="D584" s="208"/>
      <c r="E584" s="208"/>
      <c r="F584" s="1091"/>
      <c r="G584" s="1091"/>
    </row>
    <row r="585" spans="1:7" ht="15.75" customHeight="1">
      <c r="A585" s="208"/>
      <c r="B585" s="687"/>
      <c r="D585" s="208"/>
      <c r="E585" s="208"/>
      <c r="F585" s="1091"/>
      <c r="G585" s="1091"/>
    </row>
    <row r="586" spans="1:7" ht="15.75" customHeight="1">
      <c r="A586" s="208"/>
      <c r="B586" s="687"/>
      <c r="D586" s="208"/>
      <c r="E586" s="208"/>
      <c r="F586" s="1091"/>
      <c r="G586" s="1091"/>
    </row>
    <row r="587" spans="1:7" ht="15.75" customHeight="1">
      <c r="A587" s="208"/>
      <c r="B587" s="687"/>
      <c r="D587" s="208"/>
      <c r="E587" s="208"/>
      <c r="F587" s="1091"/>
      <c r="G587" s="1091"/>
    </row>
    <row r="588" spans="1:7" ht="15.75" customHeight="1">
      <c r="A588" s="208"/>
      <c r="B588" s="687"/>
      <c r="D588" s="208"/>
      <c r="E588" s="208"/>
      <c r="F588" s="1091"/>
      <c r="G588" s="1091"/>
    </row>
    <row r="589" spans="1:7" ht="15.75" customHeight="1">
      <c r="A589" s="208"/>
      <c r="B589" s="687"/>
      <c r="D589" s="208"/>
      <c r="E589" s="208"/>
      <c r="F589" s="1091"/>
      <c r="G589" s="1091"/>
    </row>
    <row r="590" spans="1:7" ht="15.75" customHeight="1">
      <c r="A590" s="208"/>
      <c r="B590" s="687"/>
      <c r="D590" s="208"/>
      <c r="E590" s="208"/>
      <c r="F590" s="1091"/>
      <c r="G590" s="1091"/>
    </row>
    <row r="591" spans="1:7" ht="15.75" customHeight="1">
      <c r="A591" s="208"/>
      <c r="B591" s="687"/>
      <c r="D591" s="208"/>
      <c r="E591" s="208"/>
      <c r="F591" s="1091"/>
      <c r="G591" s="1091"/>
    </row>
    <row r="592" spans="1:7" ht="15.75" customHeight="1">
      <c r="A592" s="208"/>
      <c r="B592" s="687"/>
      <c r="D592" s="208"/>
      <c r="E592" s="208"/>
      <c r="F592" s="1091"/>
      <c r="G592" s="1091"/>
    </row>
    <row r="593" spans="1:7" ht="15.75" customHeight="1">
      <c r="A593" s="208"/>
      <c r="B593" s="687"/>
      <c r="D593" s="208"/>
      <c r="E593" s="208"/>
      <c r="F593" s="1091"/>
      <c r="G593" s="1091"/>
    </row>
    <row r="594" spans="1:7" ht="15.75" customHeight="1">
      <c r="A594" s="208"/>
      <c r="B594" s="687"/>
      <c r="D594" s="208"/>
      <c r="E594" s="208"/>
      <c r="F594" s="1091"/>
      <c r="G594" s="1091"/>
    </row>
    <row r="595" spans="1:7" ht="15.75" customHeight="1">
      <c r="A595" s="208"/>
      <c r="B595" s="687"/>
      <c r="D595" s="208"/>
      <c r="E595" s="208"/>
      <c r="F595" s="1091"/>
      <c r="G595" s="1091"/>
    </row>
    <row r="596" spans="1:7" ht="15.75" customHeight="1">
      <c r="A596" s="208"/>
      <c r="B596" s="687"/>
      <c r="D596" s="208"/>
      <c r="E596" s="208"/>
      <c r="F596" s="1091"/>
      <c r="G596" s="1091"/>
    </row>
    <row r="597" spans="1:7" ht="15.75" customHeight="1">
      <c r="A597" s="208"/>
      <c r="B597" s="687"/>
      <c r="D597" s="208"/>
      <c r="E597" s="208"/>
      <c r="F597" s="1091"/>
      <c r="G597" s="1091"/>
    </row>
    <row r="598" spans="1:7" ht="15.75" customHeight="1">
      <c r="A598" s="208"/>
      <c r="B598" s="687"/>
      <c r="D598" s="208"/>
      <c r="E598" s="208"/>
      <c r="F598" s="1091"/>
      <c r="G598" s="1091"/>
    </row>
    <row r="599" spans="1:7" ht="15.75" customHeight="1">
      <c r="A599" s="208"/>
      <c r="B599" s="687"/>
      <c r="D599" s="208"/>
      <c r="E599" s="208"/>
      <c r="F599" s="1091"/>
      <c r="G599" s="1091"/>
    </row>
    <row r="600" spans="1:7" ht="15.75" customHeight="1">
      <c r="A600" s="208"/>
      <c r="B600" s="687"/>
      <c r="D600" s="208"/>
      <c r="E600" s="208"/>
      <c r="F600" s="1091"/>
      <c r="G600" s="1091"/>
    </row>
    <row r="601" spans="1:7" ht="15.75" customHeight="1">
      <c r="A601" s="208"/>
      <c r="B601" s="687"/>
      <c r="D601" s="208"/>
      <c r="E601" s="208"/>
      <c r="F601" s="1091"/>
      <c r="G601" s="1091"/>
    </row>
    <row r="602" spans="1:7" ht="15.75" customHeight="1">
      <c r="A602" s="208"/>
      <c r="B602" s="687"/>
      <c r="D602" s="208"/>
      <c r="E602" s="208"/>
      <c r="F602" s="1091"/>
      <c r="G602" s="1091"/>
    </row>
    <row r="603" spans="1:7" ht="15.75" customHeight="1">
      <c r="A603" s="208"/>
      <c r="B603" s="687"/>
      <c r="D603" s="208"/>
      <c r="E603" s="208"/>
      <c r="F603" s="1091"/>
      <c r="G603" s="1091"/>
    </row>
    <row r="604" spans="1:7" ht="15.75" customHeight="1">
      <c r="A604" s="208"/>
      <c r="B604" s="687"/>
      <c r="D604" s="208"/>
      <c r="E604" s="208"/>
      <c r="F604" s="1091"/>
      <c r="G604" s="1091"/>
    </row>
    <row r="605" spans="1:7" ht="15.75" customHeight="1">
      <c r="A605" s="208"/>
      <c r="B605" s="687"/>
      <c r="D605" s="208"/>
      <c r="E605" s="208"/>
      <c r="F605" s="1091"/>
      <c r="G605" s="1091"/>
    </row>
    <row r="606" spans="1:7" ht="15.75" customHeight="1">
      <c r="A606" s="208"/>
      <c r="B606" s="687"/>
      <c r="D606" s="208"/>
      <c r="E606" s="208"/>
      <c r="F606" s="1091"/>
      <c r="G606" s="1091"/>
    </row>
    <row r="607" spans="1:7" ht="15.75" customHeight="1">
      <c r="A607" s="208"/>
      <c r="B607" s="687"/>
      <c r="D607" s="208"/>
      <c r="E607" s="208"/>
      <c r="F607" s="1091"/>
      <c r="G607" s="1091"/>
    </row>
    <row r="608" spans="1:7" ht="15.75" customHeight="1">
      <c r="A608" s="208"/>
      <c r="B608" s="687"/>
      <c r="D608" s="208"/>
      <c r="E608" s="208"/>
      <c r="F608" s="1091"/>
      <c r="G608" s="1091"/>
    </row>
    <row r="609" spans="1:7" ht="15.75" customHeight="1">
      <c r="A609" s="208"/>
      <c r="B609" s="687"/>
      <c r="D609" s="208"/>
      <c r="E609" s="208"/>
      <c r="F609" s="1091"/>
      <c r="G609" s="1091"/>
    </row>
    <row r="610" spans="1:7" ht="15.75" customHeight="1">
      <c r="A610" s="208"/>
      <c r="B610" s="687"/>
      <c r="D610" s="208"/>
      <c r="E610" s="208"/>
      <c r="F610" s="1091"/>
      <c r="G610" s="1091"/>
    </row>
    <row r="611" spans="1:7" ht="15.75" customHeight="1">
      <c r="A611" s="208"/>
      <c r="B611" s="687"/>
      <c r="D611" s="208"/>
      <c r="E611" s="208"/>
      <c r="F611" s="1091"/>
      <c r="G611" s="1091"/>
    </row>
    <row r="612" spans="1:7" ht="15.75" customHeight="1">
      <c r="A612" s="208"/>
      <c r="B612" s="687"/>
      <c r="D612" s="208"/>
      <c r="E612" s="208"/>
      <c r="F612" s="1091"/>
      <c r="G612" s="1091"/>
    </row>
    <row r="613" spans="1:7" ht="15.75" customHeight="1">
      <c r="A613" s="208"/>
      <c r="B613" s="687"/>
      <c r="D613" s="208"/>
      <c r="E613" s="208"/>
      <c r="F613" s="1091"/>
      <c r="G613" s="1091"/>
    </row>
    <row r="614" spans="1:7" ht="15.75" customHeight="1">
      <c r="A614" s="208"/>
      <c r="B614" s="687"/>
      <c r="D614" s="208"/>
      <c r="E614" s="208"/>
      <c r="F614" s="1091"/>
      <c r="G614" s="1091"/>
    </row>
    <row r="615" spans="1:7" ht="15.75" customHeight="1">
      <c r="A615" s="208"/>
      <c r="B615" s="687"/>
      <c r="D615" s="208"/>
      <c r="E615" s="208"/>
      <c r="F615" s="1091"/>
      <c r="G615" s="1091"/>
    </row>
    <row r="616" spans="1:7" ht="15.75" customHeight="1">
      <c r="A616" s="208"/>
      <c r="B616" s="687"/>
      <c r="D616" s="208"/>
      <c r="E616" s="208"/>
      <c r="F616" s="1091"/>
      <c r="G616" s="1091"/>
    </row>
    <row r="617" spans="1:7" ht="15.75" customHeight="1">
      <c r="A617" s="208"/>
      <c r="B617" s="687"/>
      <c r="D617" s="208"/>
      <c r="E617" s="208"/>
      <c r="F617" s="1091"/>
      <c r="G617" s="1091"/>
    </row>
    <row r="618" spans="1:7" ht="15.75" customHeight="1">
      <c r="A618" s="208"/>
      <c r="B618" s="687"/>
      <c r="D618" s="208"/>
      <c r="E618" s="208"/>
      <c r="F618" s="1091"/>
      <c r="G618" s="1091"/>
    </row>
    <row r="619" spans="1:7" ht="15.75" customHeight="1">
      <c r="A619" s="208"/>
      <c r="B619" s="687"/>
      <c r="D619" s="208"/>
      <c r="E619" s="208"/>
      <c r="F619" s="1091"/>
      <c r="G619" s="1091"/>
    </row>
    <row r="620" spans="1:7" ht="15.75" customHeight="1">
      <c r="A620" s="208"/>
      <c r="B620" s="687"/>
      <c r="D620" s="208"/>
      <c r="E620" s="208"/>
      <c r="F620" s="1091"/>
      <c r="G620" s="1091"/>
    </row>
    <row r="621" spans="1:7" ht="15.75" customHeight="1">
      <c r="A621" s="208"/>
      <c r="B621" s="687"/>
      <c r="D621" s="208"/>
      <c r="E621" s="208"/>
      <c r="F621" s="1091"/>
      <c r="G621" s="1091"/>
    </row>
    <row r="622" spans="1:7" ht="15.75" customHeight="1">
      <c r="A622" s="208"/>
      <c r="B622" s="687"/>
      <c r="D622" s="208"/>
      <c r="E622" s="208"/>
      <c r="F622" s="1091"/>
      <c r="G622" s="1091"/>
    </row>
    <row r="623" spans="1:7" ht="15.75" customHeight="1">
      <c r="A623" s="208"/>
      <c r="B623" s="687"/>
      <c r="D623" s="208"/>
      <c r="E623" s="208"/>
      <c r="F623" s="1091"/>
      <c r="G623" s="1091"/>
    </row>
    <row r="624" spans="1:7" ht="15.75" customHeight="1">
      <c r="A624" s="208"/>
      <c r="B624" s="687"/>
      <c r="D624" s="208"/>
      <c r="E624" s="208"/>
      <c r="F624" s="1091"/>
      <c r="G624" s="1091"/>
    </row>
    <row r="625" spans="1:7" ht="15.75" customHeight="1">
      <c r="A625" s="208"/>
      <c r="B625" s="687"/>
      <c r="D625" s="208"/>
      <c r="E625" s="208"/>
      <c r="F625" s="1091"/>
      <c r="G625" s="1091"/>
    </row>
    <row r="626" spans="1:7" ht="15.75" customHeight="1">
      <c r="A626" s="208"/>
      <c r="B626" s="687"/>
      <c r="D626" s="208"/>
      <c r="E626" s="208"/>
      <c r="F626" s="1091"/>
      <c r="G626" s="1091"/>
    </row>
    <row r="627" spans="1:7" ht="15.75" customHeight="1">
      <c r="A627" s="208"/>
      <c r="B627" s="687"/>
      <c r="D627" s="208"/>
      <c r="E627" s="208"/>
      <c r="F627" s="1091"/>
      <c r="G627" s="1091"/>
    </row>
    <row r="628" spans="1:7" ht="15.75" customHeight="1">
      <c r="A628" s="208"/>
      <c r="B628" s="687"/>
      <c r="D628" s="208"/>
      <c r="E628" s="208"/>
      <c r="F628" s="1091"/>
      <c r="G628" s="1091"/>
    </row>
    <row r="629" spans="1:7" ht="15.75" customHeight="1">
      <c r="A629" s="208"/>
      <c r="B629" s="687"/>
      <c r="D629" s="208"/>
      <c r="E629" s="208"/>
      <c r="F629" s="1091"/>
      <c r="G629" s="1091"/>
    </row>
    <row r="630" spans="1:7" ht="15.75" customHeight="1">
      <c r="A630" s="208"/>
      <c r="B630" s="687"/>
      <c r="D630" s="208"/>
      <c r="E630" s="208"/>
      <c r="F630" s="1091"/>
      <c r="G630" s="1091"/>
    </row>
    <row r="631" spans="1:7" ht="15.75" customHeight="1">
      <c r="A631" s="208"/>
      <c r="B631" s="687"/>
      <c r="D631" s="208"/>
      <c r="E631" s="208"/>
      <c r="F631" s="1091"/>
      <c r="G631" s="1091"/>
    </row>
    <row r="632" spans="1:7" ht="15.75" customHeight="1">
      <c r="A632" s="208"/>
      <c r="B632" s="687"/>
      <c r="D632" s="208"/>
      <c r="E632" s="208"/>
      <c r="F632" s="1091"/>
      <c r="G632" s="1091"/>
    </row>
    <row r="633" spans="1:7" ht="15.75" customHeight="1">
      <c r="A633" s="208"/>
      <c r="B633" s="687"/>
      <c r="D633" s="208"/>
      <c r="E633" s="208"/>
      <c r="F633" s="1091"/>
      <c r="G633" s="1091"/>
    </row>
    <row r="634" spans="1:7" ht="15.75" customHeight="1">
      <c r="A634" s="208"/>
      <c r="B634" s="687"/>
      <c r="D634" s="208"/>
      <c r="E634" s="208"/>
      <c r="F634" s="1091"/>
      <c r="G634" s="1091"/>
    </row>
    <row r="635" spans="1:7" ht="15.75" customHeight="1">
      <c r="A635" s="208"/>
      <c r="B635" s="687"/>
      <c r="D635" s="208"/>
      <c r="E635" s="208"/>
      <c r="F635" s="1091"/>
      <c r="G635" s="1091"/>
    </row>
    <row r="636" spans="1:7" ht="15.75" customHeight="1">
      <c r="A636" s="208"/>
      <c r="B636" s="687"/>
      <c r="D636" s="208"/>
      <c r="E636" s="208"/>
      <c r="F636" s="1091"/>
      <c r="G636" s="1091"/>
    </row>
    <row r="637" spans="1:7" ht="15.75" customHeight="1">
      <c r="A637" s="208"/>
      <c r="B637" s="687"/>
      <c r="D637" s="208"/>
      <c r="E637" s="208"/>
      <c r="F637" s="1091"/>
      <c r="G637" s="1091"/>
    </row>
    <row r="638" spans="1:7" ht="15.75" customHeight="1">
      <c r="A638" s="208"/>
      <c r="B638" s="687"/>
      <c r="D638" s="208"/>
      <c r="E638" s="208"/>
      <c r="F638" s="1091"/>
      <c r="G638" s="1091"/>
    </row>
    <row r="639" spans="1:7" ht="15.75" customHeight="1">
      <c r="A639" s="208"/>
      <c r="B639" s="687"/>
      <c r="D639" s="208"/>
      <c r="E639" s="208"/>
      <c r="F639" s="1091"/>
      <c r="G639" s="1091"/>
    </row>
    <row r="640" spans="1:7" ht="15.75" customHeight="1">
      <c r="A640" s="208"/>
      <c r="B640" s="687"/>
      <c r="D640" s="208"/>
      <c r="E640" s="208"/>
      <c r="F640" s="1091"/>
      <c r="G640" s="1091"/>
    </row>
    <row r="641" spans="1:7" ht="15.75" customHeight="1">
      <c r="A641" s="208"/>
      <c r="B641" s="687"/>
      <c r="D641" s="208"/>
      <c r="E641" s="208"/>
      <c r="F641" s="1091"/>
      <c r="G641" s="1091"/>
    </row>
    <row r="642" spans="1:7" ht="15.75" customHeight="1">
      <c r="A642" s="208"/>
      <c r="B642" s="687"/>
      <c r="D642" s="208"/>
      <c r="E642" s="208"/>
      <c r="F642" s="1091"/>
      <c r="G642" s="1091"/>
    </row>
    <row r="643" spans="1:7" ht="15.75" customHeight="1">
      <c r="A643" s="208"/>
      <c r="B643" s="687"/>
      <c r="D643" s="208"/>
      <c r="E643" s="208"/>
      <c r="F643" s="1091"/>
      <c r="G643" s="1091"/>
    </row>
    <row r="644" spans="1:7" ht="15.75" customHeight="1">
      <c r="A644" s="208"/>
      <c r="B644" s="687"/>
      <c r="D644" s="208"/>
      <c r="E644" s="208"/>
      <c r="F644" s="1091"/>
      <c r="G644" s="1091"/>
    </row>
    <row r="645" spans="1:7" ht="15.75" customHeight="1">
      <c r="A645" s="208"/>
      <c r="B645" s="687"/>
      <c r="D645" s="208"/>
      <c r="E645" s="208"/>
      <c r="F645" s="1091"/>
      <c r="G645" s="1091"/>
    </row>
    <row r="646" spans="1:7" ht="15.75" customHeight="1">
      <c r="A646" s="208"/>
      <c r="B646" s="687"/>
      <c r="D646" s="208"/>
      <c r="E646" s="208"/>
      <c r="F646" s="1091"/>
      <c r="G646" s="1091"/>
    </row>
    <row r="647" spans="1:7" ht="15.75" customHeight="1">
      <c r="A647" s="208"/>
      <c r="B647" s="687"/>
      <c r="D647" s="208"/>
      <c r="E647" s="208"/>
      <c r="F647" s="1091"/>
      <c r="G647" s="1091"/>
    </row>
    <row r="648" spans="1:7" ht="15.75" customHeight="1">
      <c r="A648" s="208"/>
      <c r="B648" s="687"/>
      <c r="D648" s="208"/>
      <c r="E648" s="208"/>
      <c r="F648" s="1091"/>
      <c r="G648" s="1091"/>
    </row>
    <row r="649" spans="1:7" ht="15.75" customHeight="1">
      <c r="A649" s="208"/>
      <c r="B649" s="687"/>
      <c r="D649" s="208"/>
      <c r="E649" s="208"/>
      <c r="F649" s="1091"/>
      <c r="G649" s="1091"/>
    </row>
    <row r="650" spans="1:7" ht="15.75" customHeight="1">
      <c r="A650" s="208"/>
      <c r="B650" s="687"/>
      <c r="D650" s="208"/>
      <c r="E650" s="208"/>
      <c r="F650" s="1091"/>
      <c r="G650" s="1091"/>
    </row>
    <row r="651" spans="1:7" ht="15.75" customHeight="1">
      <c r="A651" s="208"/>
      <c r="B651" s="687"/>
      <c r="D651" s="208"/>
      <c r="E651" s="208"/>
      <c r="F651" s="1091"/>
      <c r="G651" s="1091"/>
    </row>
    <row r="652" spans="1:7" ht="15.75" customHeight="1">
      <c r="A652" s="208"/>
      <c r="B652" s="687"/>
      <c r="D652" s="208"/>
      <c r="E652" s="208"/>
      <c r="F652" s="1091"/>
      <c r="G652" s="1091"/>
    </row>
    <row r="653" spans="1:7" ht="15.75" customHeight="1">
      <c r="A653" s="208"/>
      <c r="B653" s="687"/>
      <c r="D653" s="208"/>
      <c r="E653" s="208"/>
      <c r="F653" s="1091"/>
      <c r="G653" s="1091"/>
    </row>
    <row r="654" spans="1:7" ht="15.75" customHeight="1">
      <c r="A654" s="208"/>
      <c r="B654" s="687"/>
      <c r="D654" s="208"/>
      <c r="E654" s="208"/>
      <c r="F654" s="1091"/>
      <c r="G654" s="1091"/>
    </row>
    <row r="655" spans="1:7" ht="15.75" customHeight="1">
      <c r="A655" s="208"/>
      <c r="B655" s="687"/>
      <c r="D655" s="208"/>
      <c r="E655" s="208"/>
      <c r="F655" s="1091"/>
      <c r="G655" s="1091"/>
    </row>
    <row r="656" spans="1:7" ht="15.75" customHeight="1">
      <c r="A656" s="208"/>
      <c r="B656" s="687"/>
      <c r="D656" s="208"/>
      <c r="E656" s="208"/>
      <c r="F656" s="1091"/>
      <c r="G656" s="1091"/>
    </row>
    <row r="657" spans="1:7" ht="15.75" customHeight="1">
      <c r="A657" s="208"/>
      <c r="B657" s="687"/>
      <c r="D657" s="208"/>
      <c r="E657" s="208"/>
      <c r="F657" s="1091"/>
      <c r="G657" s="1091"/>
    </row>
    <row r="658" spans="1:7" ht="15.75" customHeight="1">
      <c r="A658" s="208"/>
      <c r="B658" s="687"/>
      <c r="D658" s="208"/>
      <c r="E658" s="208"/>
      <c r="F658" s="1091"/>
      <c r="G658" s="1091"/>
    </row>
    <row r="659" spans="1:7" ht="15.75" customHeight="1">
      <c r="A659" s="208"/>
      <c r="B659" s="687"/>
      <c r="D659" s="208"/>
      <c r="E659" s="208"/>
      <c r="F659" s="1091"/>
      <c r="G659" s="1091"/>
    </row>
    <row r="660" spans="1:7" ht="15.75" customHeight="1">
      <c r="A660" s="208"/>
      <c r="B660" s="687"/>
      <c r="D660" s="208"/>
      <c r="E660" s="208"/>
      <c r="F660" s="1091"/>
      <c r="G660" s="1091"/>
    </row>
    <row r="661" spans="1:7" ht="15.75" customHeight="1">
      <c r="A661" s="208"/>
      <c r="B661" s="687"/>
      <c r="D661" s="208"/>
      <c r="E661" s="208"/>
      <c r="F661" s="1091"/>
      <c r="G661" s="1091"/>
    </row>
    <row r="662" spans="1:7" ht="15.75" customHeight="1">
      <c r="A662" s="208"/>
      <c r="B662" s="687"/>
      <c r="D662" s="208"/>
      <c r="E662" s="208"/>
      <c r="F662" s="1091"/>
      <c r="G662" s="1091"/>
    </row>
    <row r="663" spans="1:7" ht="15.75" customHeight="1">
      <c r="A663" s="208"/>
      <c r="B663" s="687"/>
      <c r="D663" s="208"/>
      <c r="E663" s="208"/>
      <c r="F663" s="1091"/>
      <c r="G663" s="1091"/>
    </row>
    <row r="664" spans="1:7" ht="15.75" customHeight="1">
      <c r="A664" s="208"/>
      <c r="B664" s="687"/>
      <c r="D664" s="208"/>
      <c r="E664" s="208"/>
      <c r="F664" s="1091"/>
      <c r="G664" s="1091"/>
    </row>
    <row r="665" spans="1:7" ht="15.75" customHeight="1">
      <c r="A665" s="208"/>
      <c r="B665" s="687"/>
      <c r="D665" s="208"/>
      <c r="E665" s="208"/>
      <c r="F665" s="1091"/>
      <c r="G665" s="1091"/>
    </row>
    <row r="666" spans="1:7" ht="15.75" customHeight="1">
      <c r="A666" s="208"/>
      <c r="B666" s="687"/>
      <c r="D666" s="208"/>
      <c r="E666" s="208"/>
      <c r="F666" s="1091"/>
      <c r="G666" s="1091"/>
    </row>
    <row r="667" spans="1:7" ht="15.75" customHeight="1">
      <c r="A667" s="208"/>
      <c r="B667" s="687"/>
      <c r="D667" s="208"/>
      <c r="E667" s="208"/>
      <c r="F667" s="1091"/>
      <c r="G667" s="1091"/>
    </row>
    <row r="668" spans="1:7" ht="15.75" customHeight="1">
      <c r="A668" s="208"/>
      <c r="B668" s="687"/>
      <c r="D668" s="208"/>
      <c r="E668" s="208"/>
      <c r="F668" s="1091"/>
      <c r="G668" s="1091"/>
    </row>
    <row r="669" spans="1:7" ht="15.75" customHeight="1">
      <c r="A669" s="208"/>
      <c r="B669" s="687"/>
      <c r="D669" s="208"/>
      <c r="E669" s="208"/>
      <c r="F669" s="1091"/>
      <c r="G669" s="1091"/>
    </row>
    <row r="670" spans="1:7" ht="15.75" customHeight="1">
      <c r="A670" s="208"/>
      <c r="B670" s="687"/>
      <c r="D670" s="208"/>
      <c r="E670" s="208"/>
      <c r="F670" s="1091"/>
      <c r="G670" s="1091"/>
    </row>
    <row r="671" spans="1:7" ht="15.75" customHeight="1">
      <c r="A671" s="208"/>
      <c r="B671" s="687"/>
      <c r="D671" s="208"/>
      <c r="E671" s="208"/>
      <c r="F671" s="1091"/>
      <c r="G671" s="1091"/>
    </row>
    <row r="672" spans="1:7" ht="15.75" customHeight="1">
      <c r="A672" s="208"/>
      <c r="B672" s="687"/>
      <c r="D672" s="208"/>
      <c r="E672" s="208"/>
      <c r="F672" s="1091"/>
      <c r="G672" s="1091"/>
    </row>
    <row r="673" spans="1:7" ht="15.75" customHeight="1">
      <c r="A673" s="208"/>
      <c r="B673" s="687"/>
      <c r="D673" s="208"/>
      <c r="E673" s="208"/>
      <c r="F673" s="1091"/>
      <c r="G673" s="1091"/>
    </row>
    <row r="674" spans="1:7" ht="15.75" customHeight="1">
      <c r="A674" s="208"/>
      <c r="B674" s="687"/>
      <c r="D674" s="208"/>
      <c r="E674" s="208"/>
      <c r="F674" s="1091"/>
      <c r="G674" s="1091"/>
    </row>
    <row r="675" spans="1:7" ht="15.75" customHeight="1">
      <c r="A675" s="208"/>
      <c r="B675" s="687"/>
      <c r="D675" s="208"/>
      <c r="E675" s="208"/>
      <c r="F675" s="1091"/>
      <c r="G675" s="1091"/>
    </row>
    <row r="676" spans="1:7" ht="15.75" customHeight="1">
      <c r="A676" s="208"/>
      <c r="B676" s="687"/>
      <c r="D676" s="208"/>
      <c r="E676" s="208"/>
      <c r="F676" s="1091"/>
      <c r="G676" s="1091"/>
    </row>
    <row r="677" spans="1:7" ht="15.75" customHeight="1">
      <c r="A677" s="208"/>
      <c r="B677" s="687"/>
      <c r="D677" s="208"/>
      <c r="E677" s="208"/>
      <c r="F677" s="1091"/>
      <c r="G677" s="1091"/>
    </row>
    <row r="678" spans="1:7" ht="15.75" customHeight="1">
      <c r="A678" s="208"/>
      <c r="B678" s="687"/>
      <c r="D678" s="208"/>
      <c r="E678" s="208"/>
      <c r="F678" s="1091"/>
      <c r="G678" s="1091"/>
    </row>
    <row r="679" spans="1:7" ht="15.75" customHeight="1">
      <c r="A679" s="208"/>
      <c r="B679" s="687"/>
      <c r="D679" s="208"/>
      <c r="E679" s="208"/>
      <c r="F679" s="1091"/>
      <c r="G679" s="1091"/>
    </row>
    <row r="680" spans="1:7" ht="15.75" customHeight="1">
      <c r="A680" s="208"/>
      <c r="B680" s="687"/>
      <c r="D680" s="208"/>
      <c r="E680" s="208"/>
      <c r="F680" s="1091"/>
      <c r="G680" s="1091"/>
    </row>
    <row r="681" spans="1:7" ht="15.75" customHeight="1">
      <c r="A681" s="208"/>
      <c r="B681" s="687"/>
      <c r="D681" s="208"/>
      <c r="E681" s="208"/>
      <c r="F681" s="1091"/>
      <c r="G681" s="1091"/>
    </row>
    <row r="682" spans="1:7" ht="15.75" customHeight="1">
      <c r="A682" s="208"/>
      <c r="B682" s="687"/>
      <c r="D682" s="208"/>
      <c r="E682" s="208"/>
      <c r="F682" s="1091"/>
      <c r="G682" s="1091"/>
    </row>
    <row r="683" spans="1:7" ht="15.75" customHeight="1">
      <c r="A683" s="208"/>
      <c r="B683" s="687"/>
      <c r="D683" s="208"/>
      <c r="E683" s="208"/>
      <c r="F683" s="1091"/>
      <c r="G683" s="1091"/>
    </row>
    <row r="684" spans="1:7" ht="15.75" customHeight="1">
      <c r="A684" s="208"/>
      <c r="B684" s="687"/>
      <c r="D684" s="208"/>
      <c r="E684" s="208"/>
      <c r="F684" s="1091"/>
      <c r="G684" s="1091"/>
    </row>
    <row r="685" spans="1:7" ht="15.75" customHeight="1">
      <c r="A685" s="208"/>
      <c r="B685" s="687"/>
      <c r="D685" s="208"/>
      <c r="E685" s="208"/>
      <c r="F685" s="1091"/>
      <c r="G685" s="1091"/>
    </row>
    <row r="686" spans="1:7" ht="15.75" customHeight="1">
      <c r="A686" s="208"/>
      <c r="B686" s="687"/>
      <c r="D686" s="208"/>
      <c r="E686" s="208"/>
      <c r="F686" s="1091"/>
      <c r="G686" s="1091"/>
    </row>
    <row r="687" spans="1:7" ht="15.75" customHeight="1">
      <c r="A687" s="208"/>
      <c r="B687" s="687"/>
      <c r="D687" s="208"/>
      <c r="E687" s="208"/>
      <c r="F687" s="1091"/>
      <c r="G687" s="1091"/>
    </row>
    <row r="688" spans="1:7" ht="15.75" customHeight="1">
      <c r="A688" s="208"/>
      <c r="B688" s="687"/>
      <c r="D688" s="208"/>
      <c r="E688" s="208"/>
      <c r="F688" s="1091"/>
      <c r="G688" s="1091"/>
    </row>
    <row r="689" spans="1:7" ht="15.75" customHeight="1">
      <c r="A689" s="208"/>
      <c r="B689" s="687"/>
      <c r="D689" s="208"/>
      <c r="E689" s="208"/>
      <c r="F689" s="1091"/>
      <c r="G689" s="1091"/>
    </row>
    <row r="690" spans="1:7" ht="15.75" customHeight="1">
      <c r="A690" s="208"/>
      <c r="B690" s="687"/>
      <c r="D690" s="208"/>
      <c r="E690" s="208"/>
      <c r="F690" s="1091"/>
      <c r="G690" s="1091"/>
    </row>
    <row r="691" spans="1:7" ht="15.75" customHeight="1">
      <c r="A691" s="208"/>
      <c r="B691" s="687"/>
      <c r="D691" s="208"/>
      <c r="E691" s="208"/>
      <c r="F691" s="1091"/>
      <c r="G691" s="1091"/>
    </row>
    <row r="692" spans="1:7" ht="15.75" customHeight="1">
      <c r="A692" s="208"/>
      <c r="B692" s="687"/>
      <c r="D692" s="208"/>
      <c r="E692" s="208"/>
      <c r="F692" s="1091"/>
      <c r="G692" s="1091"/>
    </row>
    <row r="693" spans="1:7" ht="15.75" customHeight="1">
      <c r="A693" s="208"/>
      <c r="B693" s="687"/>
      <c r="D693" s="208"/>
      <c r="E693" s="208"/>
      <c r="F693" s="1091"/>
      <c r="G693" s="1091"/>
    </row>
    <row r="694" spans="1:7" ht="15.75" customHeight="1">
      <c r="A694" s="208"/>
      <c r="B694" s="687"/>
      <c r="D694" s="208"/>
      <c r="E694" s="208"/>
      <c r="F694" s="1091"/>
      <c r="G694" s="1091"/>
    </row>
    <row r="695" spans="1:7" ht="15.75" customHeight="1">
      <c r="A695" s="208"/>
      <c r="B695" s="687"/>
      <c r="D695" s="208"/>
      <c r="E695" s="208"/>
      <c r="F695" s="1091"/>
      <c r="G695" s="1091"/>
    </row>
    <row r="696" spans="1:7" ht="15.75" customHeight="1">
      <c r="A696" s="208"/>
      <c r="B696" s="687"/>
      <c r="D696" s="208"/>
      <c r="E696" s="208"/>
      <c r="F696" s="1091"/>
      <c r="G696" s="1091"/>
    </row>
    <row r="697" spans="1:7" ht="15.75" customHeight="1">
      <c r="A697" s="208"/>
      <c r="B697" s="687"/>
      <c r="D697" s="208"/>
      <c r="E697" s="208"/>
      <c r="F697" s="1091"/>
      <c r="G697" s="1091"/>
    </row>
    <row r="698" spans="1:7" ht="15.75" customHeight="1">
      <c r="A698" s="208"/>
      <c r="B698" s="687"/>
      <c r="D698" s="208"/>
      <c r="E698" s="208"/>
      <c r="F698" s="1091"/>
      <c r="G698" s="1091"/>
    </row>
    <row r="699" spans="1:7" ht="15.75" customHeight="1">
      <c r="A699" s="208"/>
      <c r="B699" s="687"/>
      <c r="D699" s="208"/>
      <c r="E699" s="208"/>
      <c r="F699" s="1091"/>
      <c r="G699" s="1091"/>
    </row>
    <row r="700" spans="1:7" ht="15.75" customHeight="1">
      <c r="A700" s="208"/>
      <c r="B700" s="687"/>
      <c r="D700" s="208"/>
      <c r="E700" s="208"/>
      <c r="F700" s="1091"/>
      <c r="G700" s="1091"/>
    </row>
    <row r="701" spans="1:7" ht="15.75" customHeight="1">
      <c r="A701" s="208"/>
      <c r="B701" s="687"/>
      <c r="D701" s="208"/>
      <c r="E701" s="208"/>
      <c r="F701" s="1091"/>
      <c r="G701" s="1091"/>
    </row>
    <row r="702" spans="1:7" ht="15.75" customHeight="1">
      <c r="A702" s="208"/>
      <c r="B702" s="687"/>
      <c r="D702" s="208"/>
      <c r="E702" s="208"/>
      <c r="F702" s="1091"/>
      <c r="G702" s="1091"/>
    </row>
    <row r="703" spans="1:7" ht="15.75" customHeight="1">
      <c r="A703" s="208"/>
      <c r="B703" s="687"/>
      <c r="D703" s="208"/>
      <c r="E703" s="208"/>
      <c r="F703" s="1091"/>
      <c r="G703" s="1091"/>
    </row>
    <row r="704" spans="1:7" ht="15.75" customHeight="1">
      <c r="A704" s="208"/>
      <c r="B704" s="687"/>
      <c r="D704" s="208"/>
      <c r="E704" s="208"/>
      <c r="F704" s="1091"/>
      <c r="G704" s="1091"/>
    </row>
    <row r="705" spans="1:7" ht="15.75" customHeight="1">
      <c r="A705" s="208"/>
      <c r="B705" s="687"/>
      <c r="D705" s="208"/>
      <c r="E705" s="208"/>
      <c r="F705" s="1091"/>
      <c r="G705" s="1091"/>
    </row>
    <row r="706" spans="1:7" ht="15.75" customHeight="1">
      <c r="A706" s="208"/>
      <c r="B706" s="687"/>
      <c r="D706" s="208"/>
      <c r="E706" s="208"/>
      <c r="F706" s="1091"/>
      <c r="G706" s="1091"/>
    </row>
    <row r="707" spans="1:7" ht="15.75" customHeight="1">
      <c r="A707" s="208"/>
      <c r="B707" s="687"/>
      <c r="D707" s="208"/>
      <c r="E707" s="208"/>
      <c r="F707" s="1091"/>
      <c r="G707" s="1091"/>
    </row>
    <row r="708" spans="1:7" ht="15.75" customHeight="1">
      <c r="A708" s="208"/>
      <c r="B708" s="687"/>
      <c r="D708" s="208"/>
      <c r="E708" s="208"/>
      <c r="F708" s="1091"/>
      <c r="G708" s="1091"/>
    </row>
    <row r="709" spans="1:7" ht="15.75" customHeight="1">
      <c r="A709" s="208"/>
      <c r="B709" s="687"/>
      <c r="D709" s="208"/>
      <c r="E709" s="208"/>
      <c r="F709" s="1091"/>
      <c r="G709" s="1091"/>
    </row>
    <row r="710" spans="1:7" ht="15.75" customHeight="1">
      <c r="A710" s="208"/>
      <c r="B710" s="687"/>
      <c r="D710" s="208"/>
      <c r="E710" s="208"/>
      <c r="F710" s="1091"/>
      <c r="G710" s="1091"/>
    </row>
    <row r="711" spans="1:7" ht="15.75" customHeight="1">
      <c r="A711" s="208"/>
      <c r="B711" s="687"/>
      <c r="D711" s="208"/>
      <c r="E711" s="208"/>
      <c r="F711" s="1091"/>
      <c r="G711" s="1091"/>
    </row>
    <row r="712" spans="1:7" ht="15.75" customHeight="1">
      <c r="A712" s="208"/>
      <c r="B712" s="687"/>
      <c r="D712" s="208"/>
      <c r="E712" s="208"/>
      <c r="F712" s="1091"/>
      <c r="G712" s="1091"/>
    </row>
    <row r="713" spans="1:7" ht="15.75" customHeight="1">
      <c r="A713" s="208"/>
      <c r="B713" s="687"/>
      <c r="D713" s="208"/>
      <c r="E713" s="208"/>
      <c r="F713" s="1091"/>
      <c r="G713" s="1091"/>
    </row>
    <row r="714" spans="1:7" ht="15.75" customHeight="1">
      <c r="A714" s="208"/>
      <c r="B714" s="687"/>
      <c r="D714" s="208"/>
      <c r="E714" s="208"/>
      <c r="F714" s="1091"/>
      <c r="G714" s="1091"/>
    </row>
    <row r="715" spans="1:7" ht="15.75" customHeight="1">
      <c r="A715" s="208"/>
      <c r="B715" s="687"/>
      <c r="D715" s="208"/>
      <c r="E715" s="208"/>
      <c r="F715" s="1091"/>
      <c r="G715" s="1091"/>
    </row>
    <row r="716" spans="1:7" ht="15.75" customHeight="1">
      <c r="A716" s="208"/>
      <c r="B716" s="687"/>
      <c r="D716" s="208"/>
      <c r="E716" s="208"/>
      <c r="F716" s="1091"/>
      <c r="G716" s="1091"/>
    </row>
    <row r="717" spans="1:7" ht="15.75" customHeight="1">
      <c r="A717" s="208"/>
      <c r="B717" s="687"/>
      <c r="D717" s="208"/>
      <c r="E717" s="208"/>
      <c r="F717" s="1091"/>
      <c r="G717" s="1091"/>
    </row>
    <row r="718" spans="1:7" ht="15.75" customHeight="1">
      <c r="A718" s="208"/>
      <c r="B718" s="687"/>
      <c r="D718" s="208"/>
      <c r="E718" s="208"/>
      <c r="F718" s="1091"/>
      <c r="G718" s="1091"/>
    </row>
    <row r="719" spans="1:7" ht="15.75" customHeight="1">
      <c r="A719" s="208"/>
      <c r="B719" s="687"/>
      <c r="D719" s="208"/>
      <c r="E719" s="208"/>
      <c r="F719" s="1091"/>
      <c r="G719" s="1091"/>
    </row>
    <row r="720" spans="1:7" ht="15.75" customHeight="1">
      <c r="A720" s="208"/>
      <c r="B720" s="687"/>
      <c r="D720" s="208"/>
      <c r="E720" s="208"/>
      <c r="F720" s="1091"/>
      <c r="G720" s="1091"/>
    </row>
    <row r="721" spans="1:7" ht="15.75" customHeight="1">
      <c r="A721" s="208"/>
      <c r="B721" s="687"/>
      <c r="D721" s="208"/>
      <c r="E721" s="208"/>
      <c r="F721" s="1091"/>
      <c r="G721" s="1091"/>
    </row>
    <row r="722" spans="1:7" ht="15.75" customHeight="1">
      <c r="A722" s="208"/>
      <c r="B722" s="687"/>
      <c r="D722" s="208"/>
      <c r="E722" s="208"/>
      <c r="F722" s="1091"/>
      <c r="G722" s="1091"/>
    </row>
    <row r="723" spans="1:7" ht="15.75" customHeight="1">
      <c r="A723" s="208"/>
      <c r="B723" s="687"/>
      <c r="D723" s="208"/>
      <c r="E723" s="208"/>
      <c r="F723" s="1091"/>
      <c r="G723" s="1091"/>
    </row>
    <row r="724" spans="1:7" ht="15.75" customHeight="1">
      <c r="A724" s="208"/>
      <c r="B724" s="687"/>
      <c r="D724" s="208"/>
      <c r="E724" s="208"/>
      <c r="F724" s="1091"/>
      <c r="G724" s="1091"/>
    </row>
    <row r="725" spans="1:7" ht="15.75" customHeight="1">
      <c r="A725" s="208"/>
      <c r="B725" s="687"/>
      <c r="D725" s="208"/>
      <c r="E725" s="208"/>
      <c r="F725" s="1091"/>
      <c r="G725" s="1091"/>
    </row>
    <row r="726" spans="1:7" ht="15.75" customHeight="1">
      <c r="A726" s="208"/>
      <c r="B726" s="687"/>
      <c r="D726" s="208"/>
      <c r="E726" s="208"/>
      <c r="F726" s="1091"/>
      <c r="G726" s="1091"/>
    </row>
    <row r="727" spans="1:7" ht="15.75" customHeight="1">
      <c r="A727" s="208"/>
      <c r="B727" s="687"/>
      <c r="D727" s="208"/>
      <c r="E727" s="208"/>
      <c r="F727" s="1091"/>
      <c r="G727" s="1091"/>
    </row>
    <row r="728" spans="1:7" ht="15.75" customHeight="1">
      <c r="A728" s="208"/>
      <c r="B728" s="687"/>
      <c r="D728" s="208"/>
      <c r="E728" s="208"/>
      <c r="F728" s="1091"/>
      <c r="G728" s="1091"/>
    </row>
    <row r="729" spans="1:7" ht="15.75" customHeight="1">
      <c r="A729" s="208"/>
      <c r="B729" s="687"/>
      <c r="D729" s="208"/>
      <c r="E729" s="208"/>
      <c r="F729" s="1091"/>
      <c r="G729" s="1091"/>
    </row>
    <row r="730" spans="1:7" ht="15.75" customHeight="1">
      <c r="A730" s="208"/>
      <c r="B730" s="687"/>
      <c r="D730" s="208"/>
      <c r="E730" s="208"/>
      <c r="F730" s="1091"/>
      <c r="G730" s="1091"/>
    </row>
    <row r="731" spans="1:7" ht="15.75" customHeight="1">
      <c r="A731" s="208"/>
      <c r="B731" s="687"/>
      <c r="D731" s="208"/>
      <c r="E731" s="208"/>
      <c r="F731" s="1091"/>
      <c r="G731" s="1091"/>
    </row>
    <row r="732" spans="1:7" ht="15.75" customHeight="1">
      <c r="A732" s="208"/>
      <c r="B732" s="687"/>
      <c r="D732" s="208"/>
      <c r="E732" s="208"/>
      <c r="F732" s="1091"/>
      <c r="G732" s="1091"/>
    </row>
    <row r="733" spans="1:7" ht="15.75" customHeight="1">
      <c r="A733" s="208"/>
      <c r="B733" s="687"/>
      <c r="D733" s="208"/>
      <c r="E733" s="208"/>
      <c r="F733" s="1091"/>
      <c r="G733" s="1091"/>
    </row>
    <row r="734" spans="1:7" ht="15.75" customHeight="1">
      <c r="A734" s="208"/>
      <c r="B734" s="687"/>
      <c r="D734" s="208"/>
      <c r="E734" s="208"/>
      <c r="F734" s="1091"/>
      <c r="G734" s="1091"/>
    </row>
    <row r="735" spans="1:7" ht="15.75" customHeight="1">
      <c r="A735" s="208"/>
      <c r="B735" s="687"/>
      <c r="D735" s="208"/>
      <c r="E735" s="208"/>
      <c r="F735" s="1091"/>
      <c r="G735" s="1091"/>
    </row>
    <row r="736" spans="1:7" ht="15.75" customHeight="1">
      <c r="A736" s="208"/>
      <c r="B736" s="687"/>
      <c r="D736" s="208"/>
      <c r="E736" s="208"/>
      <c r="F736" s="1091"/>
      <c r="G736" s="1091"/>
    </row>
    <row r="737" spans="1:7" ht="15.75" customHeight="1">
      <c r="A737" s="208"/>
      <c r="B737" s="687"/>
      <c r="D737" s="208"/>
      <c r="E737" s="208"/>
      <c r="F737" s="1091"/>
      <c r="G737" s="1091"/>
    </row>
    <row r="738" spans="1:7" ht="15.75" customHeight="1">
      <c r="A738" s="208"/>
      <c r="B738" s="687"/>
      <c r="D738" s="208"/>
      <c r="E738" s="208"/>
      <c r="F738" s="1091"/>
      <c r="G738" s="1091"/>
    </row>
    <row r="739" spans="1:7" ht="15.75" customHeight="1">
      <c r="A739" s="208"/>
      <c r="B739" s="687"/>
      <c r="D739" s="208"/>
      <c r="E739" s="208"/>
      <c r="F739" s="1091"/>
      <c r="G739" s="1091"/>
    </row>
    <row r="740" spans="1:7" ht="15.75" customHeight="1">
      <c r="A740" s="208"/>
      <c r="B740" s="687"/>
      <c r="D740" s="208"/>
      <c r="E740" s="208"/>
      <c r="F740" s="1091"/>
      <c r="G740" s="1091"/>
    </row>
    <row r="741" spans="1:7" ht="15.75" customHeight="1">
      <c r="A741" s="208"/>
      <c r="B741" s="687"/>
      <c r="D741" s="208"/>
      <c r="E741" s="208"/>
      <c r="F741" s="1091"/>
      <c r="G741" s="1091"/>
    </row>
    <row r="742" spans="1:7" ht="15.75" customHeight="1">
      <c r="A742" s="208"/>
      <c r="B742" s="687"/>
      <c r="D742" s="208"/>
      <c r="E742" s="208"/>
      <c r="F742" s="1091"/>
      <c r="G742" s="1091"/>
    </row>
    <row r="743" spans="1:7" ht="15.75" customHeight="1">
      <c r="A743" s="208"/>
      <c r="B743" s="687"/>
      <c r="D743" s="208"/>
      <c r="E743" s="208"/>
      <c r="F743" s="1091"/>
      <c r="G743" s="1091"/>
    </row>
    <row r="744" spans="1:7" ht="15.75" customHeight="1">
      <c r="A744" s="208"/>
      <c r="B744" s="687"/>
      <c r="D744" s="208"/>
      <c r="E744" s="208"/>
      <c r="F744" s="1091"/>
      <c r="G744" s="1091"/>
    </row>
    <row r="745" spans="1:7" ht="15.75" customHeight="1">
      <c r="A745" s="208"/>
      <c r="B745" s="687"/>
      <c r="D745" s="208"/>
      <c r="E745" s="208"/>
      <c r="F745" s="1091"/>
      <c r="G745" s="1091"/>
    </row>
    <row r="746" spans="1:7" ht="15.75" customHeight="1">
      <c r="A746" s="208"/>
      <c r="B746" s="687"/>
      <c r="D746" s="208"/>
      <c r="E746" s="208"/>
      <c r="F746" s="1091"/>
      <c r="G746" s="1091"/>
    </row>
    <row r="747" spans="1:7" ht="15.75" customHeight="1">
      <c r="A747" s="208"/>
      <c r="B747" s="687"/>
      <c r="D747" s="208"/>
      <c r="E747" s="208"/>
      <c r="F747" s="1091"/>
      <c r="G747" s="1091"/>
    </row>
    <row r="748" spans="1:7" ht="15.75" customHeight="1">
      <c r="A748" s="208"/>
      <c r="B748" s="687"/>
      <c r="D748" s="208"/>
      <c r="E748" s="208"/>
      <c r="F748" s="1091"/>
      <c r="G748" s="1091"/>
    </row>
    <row r="749" spans="1:7" ht="15.75" customHeight="1">
      <c r="A749" s="208"/>
      <c r="B749" s="687"/>
      <c r="D749" s="208"/>
      <c r="E749" s="208"/>
      <c r="F749" s="1091"/>
      <c r="G749" s="1091"/>
    </row>
    <row r="750" spans="1:7" ht="15.75" customHeight="1">
      <c r="A750" s="208"/>
      <c r="B750" s="687"/>
      <c r="D750" s="208"/>
      <c r="E750" s="208"/>
      <c r="F750" s="1091"/>
      <c r="G750" s="1091"/>
    </row>
    <row r="751" spans="1:7" ht="15.75" customHeight="1">
      <c r="A751" s="208"/>
      <c r="B751" s="687"/>
      <c r="D751" s="208"/>
      <c r="E751" s="208"/>
      <c r="F751" s="1091"/>
      <c r="G751" s="1091"/>
    </row>
    <row r="752" spans="1:7" ht="15.75" customHeight="1">
      <c r="A752" s="208"/>
      <c r="B752" s="687"/>
      <c r="D752" s="208"/>
      <c r="E752" s="208"/>
      <c r="F752" s="1091"/>
      <c r="G752" s="1091"/>
    </row>
    <row r="753" spans="1:7" ht="15.75" customHeight="1">
      <c r="A753" s="208"/>
      <c r="B753" s="687"/>
      <c r="D753" s="208"/>
      <c r="E753" s="208"/>
      <c r="F753" s="1091"/>
      <c r="G753" s="1091"/>
    </row>
    <row r="754" spans="1:7" ht="15.75" customHeight="1">
      <c r="A754" s="208"/>
      <c r="B754" s="687"/>
      <c r="D754" s="208"/>
      <c r="E754" s="208"/>
      <c r="F754" s="1091"/>
      <c r="G754" s="1091"/>
    </row>
    <row r="755" spans="1:7" ht="15.75" customHeight="1">
      <c r="A755" s="208"/>
      <c r="B755" s="687"/>
      <c r="D755" s="208"/>
      <c r="E755" s="208"/>
      <c r="F755" s="1091"/>
      <c r="G755" s="1091"/>
    </row>
    <row r="756" spans="1:7" ht="15.75" customHeight="1">
      <c r="A756" s="208"/>
      <c r="B756" s="687"/>
      <c r="D756" s="208"/>
      <c r="E756" s="208"/>
      <c r="F756" s="1091"/>
      <c r="G756" s="1091"/>
    </row>
    <row r="757" spans="1:7" ht="15.75" customHeight="1">
      <c r="A757" s="208"/>
      <c r="B757" s="687"/>
      <c r="D757" s="208"/>
      <c r="E757" s="208"/>
      <c r="F757" s="1091"/>
      <c r="G757" s="1091"/>
    </row>
    <row r="758" spans="1:7" ht="15.75" customHeight="1">
      <c r="A758" s="208"/>
      <c r="B758" s="687"/>
      <c r="D758" s="208"/>
      <c r="E758" s="208"/>
      <c r="F758" s="1091"/>
      <c r="G758" s="1091"/>
    </row>
    <row r="759" spans="1:7" ht="15.75" customHeight="1">
      <c r="A759" s="208"/>
      <c r="B759" s="687"/>
      <c r="D759" s="208"/>
      <c r="E759" s="208"/>
      <c r="F759" s="1091"/>
      <c r="G759" s="1091"/>
    </row>
    <row r="760" spans="1:7" ht="15.75" customHeight="1">
      <c r="A760" s="208"/>
      <c r="B760" s="687"/>
      <c r="D760" s="208"/>
      <c r="E760" s="208"/>
      <c r="F760" s="1091"/>
      <c r="G760" s="1091"/>
    </row>
    <row r="761" spans="1:7" ht="15.75" customHeight="1">
      <c r="A761" s="208"/>
      <c r="B761" s="687"/>
      <c r="D761" s="208"/>
      <c r="E761" s="208"/>
      <c r="F761" s="1091"/>
      <c r="G761" s="1091"/>
    </row>
    <row r="762" spans="1:7" ht="15.75" customHeight="1">
      <c r="A762" s="208"/>
      <c r="B762" s="687"/>
      <c r="D762" s="208"/>
      <c r="E762" s="208"/>
      <c r="F762" s="1091"/>
      <c r="G762" s="1091"/>
    </row>
    <row r="763" spans="1:7" ht="15.75" customHeight="1">
      <c r="A763" s="208"/>
      <c r="B763" s="687"/>
      <c r="D763" s="208"/>
      <c r="E763" s="208"/>
      <c r="F763" s="1091"/>
      <c r="G763" s="1091"/>
    </row>
    <row r="764" spans="1:7" ht="15.75" customHeight="1">
      <c r="A764" s="208"/>
      <c r="B764" s="687"/>
      <c r="D764" s="208"/>
      <c r="E764" s="208"/>
      <c r="F764" s="1091"/>
      <c r="G764" s="1091"/>
    </row>
    <row r="765" spans="1:7" ht="15.75" customHeight="1">
      <c r="A765" s="208"/>
      <c r="B765" s="687"/>
      <c r="D765" s="208"/>
      <c r="E765" s="208"/>
      <c r="F765" s="1091"/>
      <c r="G765" s="1091"/>
    </row>
    <row r="766" spans="1:7" ht="15.75" customHeight="1">
      <c r="A766" s="208"/>
      <c r="B766" s="687"/>
      <c r="D766" s="208"/>
      <c r="E766" s="208"/>
      <c r="F766" s="1091"/>
      <c r="G766" s="1091"/>
    </row>
    <row r="767" spans="1:7" ht="15.75" customHeight="1">
      <c r="A767" s="208"/>
      <c r="B767" s="687"/>
      <c r="D767" s="208"/>
      <c r="E767" s="208"/>
      <c r="F767" s="1091"/>
      <c r="G767" s="1091"/>
    </row>
    <row r="768" spans="1:7" ht="15.75" customHeight="1">
      <c r="A768" s="208"/>
      <c r="B768" s="687"/>
      <c r="D768" s="208"/>
      <c r="E768" s="208"/>
      <c r="F768" s="1091"/>
      <c r="G768" s="1091"/>
    </row>
    <row r="769" spans="1:7" ht="15.75" customHeight="1">
      <c r="A769" s="208"/>
      <c r="B769" s="687"/>
      <c r="D769" s="208"/>
      <c r="E769" s="208"/>
      <c r="F769" s="1091"/>
      <c r="G769" s="1091"/>
    </row>
    <row r="770" spans="1:7" ht="15.75" customHeight="1">
      <c r="A770" s="208"/>
      <c r="B770" s="687"/>
      <c r="D770" s="208"/>
      <c r="E770" s="208"/>
      <c r="F770" s="1091"/>
      <c r="G770" s="1091"/>
    </row>
    <row r="771" spans="1:7" ht="15.75" customHeight="1">
      <c r="A771" s="208"/>
      <c r="B771" s="687"/>
      <c r="D771" s="208"/>
      <c r="E771" s="208"/>
      <c r="F771" s="1091"/>
      <c r="G771" s="1091"/>
    </row>
    <row r="772" spans="1:7" ht="15.75" customHeight="1">
      <c r="A772" s="208"/>
      <c r="B772" s="687"/>
      <c r="D772" s="208"/>
      <c r="E772" s="208"/>
      <c r="F772" s="1091"/>
      <c r="G772" s="1091"/>
    </row>
    <row r="773" spans="1:7" ht="15.75" customHeight="1">
      <c r="A773" s="208"/>
      <c r="B773" s="687"/>
      <c r="D773" s="208"/>
      <c r="E773" s="208"/>
      <c r="F773" s="1091"/>
      <c r="G773" s="1091"/>
    </row>
    <row r="774" spans="1:7" ht="15.75" customHeight="1">
      <c r="A774" s="208"/>
      <c r="B774" s="687"/>
      <c r="D774" s="208"/>
      <c r="E774" s="208"/>
      <c r="F774" s="1091"/>
      <c r="G774" s="1091"/>
    </row>
    <row r="775" spans="1:7" ht="15.75" customHeight="1">
      <c r="A775" s="208"/>
      <c r="B775" s="687"/>
      <c r="D775" s="208"/>
      <c r="E775" s="208"/>
      <c r="F775" s="1091"/>
      <c r="G775" s="1091"/>
    </row>
    <row r="776" spans="1:7" ht="15.75" customHeight="1">
      <c r="A776" s="208"/>
      <c r="B776" s="687"/>
      <c r="D776" s="208"/>
      <c r="E776" s="208"/>
      <c r="F776" s="1091"/>
      <c r="G776" s="1091"/>
    </row>
    <row r="777" spans="1:7" ht="15.75" customHeight="1">
      <c r="A777" s="208"/>
      <c r="B777" s="687"/>
      <c r="D777" s="208"/>
      <c r="E777" s="208"/>
      <c r="F777" s="1091"/>
      <c r="G777" s="1091"/>
    </row>
    <row r="778" spans="1:7" ht="15.75" customHeight="1">
      <c r="A778" s="208"/>
      <c r="B778" s="687"/>
      <c r="D778" s="208"/>
      <c r="E778" s="208"/>
      <c r="F778" s="1091"/>
      <c r="G778" s="1091"/>
    </row>
    <row r="779" spans="1:7" ht="15.75" customHeight="1">
      <c r="A779" s="208"/>
      <c r="B779" s="687"/>
      <c r="D779" s="208"/>
      <c r="E779" s="208"/>
      <c r="F779" s="1091"/>
      <c r="G779" s="1091"/>
    </row>
    <row r="780" spans="1:7" ht="15.75" customHeight="1">
      <c r="A780" s="208"/>
      <c r="B780" s="687"/>
      <c r="D780" s="208"/>
      <c r="E780" s="208"/>
      <c r="F780" s="1091"/>
      <c r="G780" s="1091"/>
    </row>
    <row r="781" spans="1:7" ht="15.75" customHeight="1">
      <c r="A781" s="208"/>
      <c r="B781" s="687"/>
      <c r="D781" s="208"/>
      <c r="E781" s="208"/>
      <c r="F781" s="1091"/>
      <c r="G781" s="1091"/>
    </row>
    <row r="782" spans="1:7" ht="15.75" customHeight="1">
      <c r="A782" s="208"/>
      <c r="B782" s="687"/>
      <c r="D782" s="208"/>
      <c r="E782" s="208"/>
      <c r="F782" s="1091"/>
      <c r="G782" s="1091"/>
    </row>
    <row r="783" spans="1:7" ht="15.75" customHeight="1">
      <c r="A783" s="208"/>
      <c r="B783" s="687"/>
      <c r="D783" s="208"/>
      <c r="E783" s="208"/>
      <c r="F783" s="1091"/>
      <c r="G783" s="1091"/>
    </row>
    <row r="784" spans="1:7" ht="15.75" customHeight="1">
      <c r="A784" s="208"/>
      <c r="B784" s="687"/>
      <c r="D784" s="208"/>
      <c r="E784" s="208"/>
      <c r="F784" s="1091"/>
      <c r="G784" s="1091"/>
    </row>
    <row r="785" spans="1:7" ht="15.75" customHeight="1">
      <c r="A785" s="208"/>
      <c r="B785" s="687"/>
      <c r="D785" s="208"/>
      <c r="E785" s="208"/>
      <c r="F785" s="1091"/>
      <c r="G785" s="1091"/>
    </row>
    <row r="786" spans="1:7" ht="15.75" customHeight="1">
      <c r="A786" s="208"/>
      <c r="B786" s="687"/>
      <c r="D786" s="208"/>
      <c r="E786" s="208"/>
      <c r="F786" s="1091"/>
      <c r="G786" s="1091"/>
    </row>
    <row r="787" spans="1:7" ht="15.75" customHeight="1">
      <c r="A787" s="208"/>
      <c r="B787" s="687"/>
      <c r="D787" s="208"/>
      <c r="E787" s="208"/>
      <c r="F787" s="1091"/>
      <c r="G787" s="1091"/>
    </row>
    <row r="788" spans="1:7" ht="15.75" customHeight="1">
      <c r="A788" s="208"/>
      <c r="B788" s="687"/>
      <c r="D788" s="208"/>
      <c r="E788" s="208"/>
      <c r="F788" s="1091"/>
      <c r="G788" s="1091"/>
    </row>
    <row r="789" spans="1:7" ht="15.75" customHeight="1">
      <c r="A789" s="208"/>
      <c r="B789" s="687"/>
      <c r="D789" s="208"/>
      <c r="E789" s="208"/>
      <c r="F789" s="1091"/>
      <c r="G789" s="1091"/>
    </row>
    <row r="790" spans="1:7" ht="15.75" customHeight="1">
      <c r="A790" s="208"/>
      <c r="B790" s="687"/>
      <c r="D790" s="208"/>
      <c r="E790" s="208"/>
      <c r="F790" s="1091"/>
      <c r="G790" s="1091"/>
    </row>
    <row r="791" spans="1:7" ht="15.75" customHeight="1">
      <c r="A791" s="208"/>
      <c r="B791" s="687"/>
      <c r="D791" s="208"/>
      <c r="E791" s="208"/>
      <c r="F791" s="1091"/>
      <c r="G791" s="1091"/>
    </row>
    <row r="792" spans="1:7" ht="15.75" customHeight="1">
      <c r="A792" s="208"/>
      <c r="B792" s="687"/>
      <c r="D792" s="208"/>
      <c r="E792" s="208"/>
      <c r="F792" s="1091"/>
      <c r="G792" s="1091"/>
    </row>
    <row r="793" spans="1:7" ht="15.75" customHeight="1">
      <c r="A793" s="208"/>
      <c r="B793" s="687"/>
      <c r="D793" s="208"/>
      <c r="E793" s="208"/>
      <c r="F793" s="1091"/>
      <c r="G793" s="1091"/>
    </row>
    <row r="794" spans="1:7" ht="15.75" customHeight="1">
      <c r="A794" s="208"/>
      <c r="B794" s="687"/>
      <c r="D794" s="208"/>
      <c r="E794" s="208"/>
      <c r="F794" s="1091"/>
      <c r="G794" s="1091"/>
    </row>
    <row r="795" spans="1:7" ht="15.75" customHeight="1">
      <c r="A795" s="208"/>
      <c r="B795" s="687"/>
      <c r="D795" s="208"/>
      <c r="E795" s="208"/>
      <c r="F795" s="1091"/>
      <c r="G795" s="1091"/>
    </row>
    <row r="796" spans="1:7" ht="15.75" customHeight="1">
      <c r="A796" s="208"/>
      <c r="B796" s="687"/>
      <c r="D796" s="208"/>
      <c r="E796" s="208"/>
      <c r="F796" s="1091"/>
      <c r="G796" s="1091"/>
    </row>
    <row r="797" spans="1:7" ht="15.75" customHeight="1">
      <c r="A797" s="208"/>
      <c r="B797" s="687"/>
      <c r="D797" s="208"/>
      <c r="E797" s="208"/>
      <c r="F797" s="1091"/>
      <c r="G797" s="1091"/>
    </row>
    <row r="798" spans="1:7" ht="15.75" customHeight="1">
      <c r="A798" s="208"/>
      <c r="B798" s="687"/>
      <c r="D798" s="208"/>
      <c r="E798" s="208"/>
      <c r="F798" s="1091"/>
      <c r="G798" s="1091"/>
    </row>
    <row r="799" spans="1:7" ht="15.75" customHeight="1">
      <c r="A799" s="208"/>
      <c r="B799" s="687"/>
      <c r="D799" s="208"/>
      <c r="E799" s="208"/>
      <c r="F799" s="1091"/>
      <c r="G799" s="1091"/>
    </row>
    <row r="800" spans="1:7" ht="15.75" customHeight="1">
      <c r="A800" s="208"/>
      <c r="B800" s="687"/>
      <c r="D800" s="208"/>
      <c r="E800" s="208"/>
      <c r="F800" s="1091"/>
      <c r="G800" s="1091"/>
    </row>
    <row r="801" spans="1:7" ht="15.75" customHeight="1">
      <c r="A801" s="208"/>
      <c r="B801" s="687"/>
      <c r="D801" s="208"/>
      <c r="E801" s="208"/>
      <c r="F801" s="1091"/>
      <c r="G801" s="1091"/>
    </row>
    <row r="802" spans="1:7" ht="15.75" customHeight="1">
      <c r="A802" s="208"/>
      <c r="B802" s="687"/>
      <c r="D802" s="208"/>
      <c r="E802" s="208"/>
      <c r="F802" s="1091"/>
      <c r="G802" s="1091"/>
    </row>
    <row r="803" spans="1:7" ht="15.75" customHeight="1">
      <c r="A803" s="208"/>
      <c r="B803" s="687"/>
      <c r="D803" s="208"/>
      <c r="E803" s="208"/>
      <c r="F803" s="1091"/>
      <c r="G803" s="1091"/>
    </row>
    <row r="804" spans="1:7" ht="15.75" customHeight="1">
      <c r="A804" s="208"/>
      <c r="B804" s="687"/>
      <c r="D804" s="208"/>
      <c r="E804" s="208"/>
      <c r="F804" s="1091"/>
      <c r="G804" s="1091"/>
    </row>
    <row r="805" spans="1:7" ht="15.75" customHeight="1">
      <c r="A805" s="208"/>
      <c r="B805" s="687"/>
      <c r="D805" s="208"/>
      <c r="E805" s="208"/>
      <c r="F805" s="1091"/>
      <c r="G805" s="1091"/>
    </row>
    <row r="806" spans="1:7" ht="15.75" customHeight="1">
      <c r="A806" s="208"/>
      <c r="B806" s="687"/>
      <c r="D806" s="208"/>
      <c r="E806" s="208"/>
      <c r="F806" s="1091"/>
      <c r="G806" s="1091"/>
    </row>
    <row r="807" spans="1:7" ht="15.75" customHeight="1">
      <c r="A807" s="208"/>
      <c r="B807" s="687"/>
      <c r="D807" s="208"/>
      <c r="E807" s="208"/>
      <c r="F807" s="1091"/>
      <c r="G807" s="1091"/>
    </row>
    <row r="808" spans="1:7" ht="15.75" customHeight="1">
      <c r="A808" s="208"/>
      <c r="B808" s="687"/>
      <c r="D808" s="208"/>
      <c r="E808" s="208"/>
      <c r="F808" s="1091"/>
      <c r="G808" s="1091"/>
    </row>
    <row r="809" spans="1:7" ht="15.75" customHeight="1">
      <c r="A809" s="208"/>
      <c r="B809" s="687"/>
      <c r="D809" s="208"/>
      <c r="E809" s="208"/>
      <c r="F809" s="1091"/>
      <c r="G809" s="1091"/>
    </row>
    <row r="810" spans="1:7" ht="15.75" customHeight="1">
      <c r="A810" s="208"/>
      <c r="B810" s="687"/>
      <c r="D810" s="208"/>
      <c r="E810" s="208"/>
      <c r="F810" s="1091"/>
      <c r="G810" s="1091"/>
    </row>
    <row r="811" spans="1:7" ht="15.75" customHeight="1">
      <c r="A811" s="208"/>
      <c r="B811" s="687"/>
      <c r="D811" s="208"/>
      <c r="E811" s="208"/>
      <c r="F811" s="1091"/>
      <c r="G811" s="1091"/>
    </row>
    <row r="812" spans="1:7" ht="15.75" customHeight="1">
      <c r="A812" s="208"/>
      <c r="B812" s="687"/>
      <c r="D812" s="208"/>
      <c r="E812" s="208"/>
      <c r="F812" s="1091"/>
      <c r="G812" s="1091"/>
    </row>
    <row r="813" spans="1:7" ht="15.75" customHeight="1">
      <c r="A813" s="208"/>
      <c r="B813" s="687"/>
      <c r="D813" s="208"/>
      <c r="E813" s="208"/>
      <c r="F813" s="1091"/>
      <c r="G813" s="1091"/>
    </row>
    <row r="814" spans="1:7" ht="15.75" customHeight="1">
      <c r="A814" s="208"/>
      <c r="B814" s="687"/>
      <c r="D814" s="208"/>
      <c r="E814" s="208"/>
      <c r="F814" s="1091"/>
      <c r="G814" s="1091"/>
    </row>
    <row r="815" spans="1:7" ht="15.75" customHeight="1">
      <c r="A815" s="208"/>
      <c r="B815" s="687"/>
      <c r="D815" s="208"/>
      <c r="E815" s="208"/>
      <c r="F815" s="1091"/>
      <c r="G815" s="1091"/>
    </row>
    <row r="816" spans="1:7" ht="15.75" customHeight="1">
      <c r="A816" s="208"/>
      <c r="B816" s="687"/>
      <c r="D816" s="208"/>
      <c r="E816" s="208"/>
      <c r="F816" s="1091"/>
      <c r="G816" s="1091"/>
    </row>
    <row r="817" spans="1:7" ht="15.75" customHeight="1">
      <c r="A817" s="208"/>
      <c r="B817" s="687"/>
      <c r="D817" s="208"/>
      <c r="E817" s="208"/>
      <c r="F817" s="1091"/>
      <c r="G817" s="1091"/>
    </row>
    <row r="818" spans="1:7" ht="15.75" customHeight="1">
      <c r="A818" s="208"/>
      <c r="B818" s="687"/>
      <c r="D818" s="208"/>
      <c r="E818" s="208"/>
      <c r="F818" s="1091"/>
      <c r="G818" s="1091"/>
    </row>
    <row r="819" spans="1:7" ht="15.75" customHeight="1">
      <c r="A819" s="208"/>
      <c r="B819" s="687"/>
      <c r="D819" s="208"/>
      <c r="E819" s="208"/>
      <c r="F819" s="1091"/>
      <c r="G819" s="1091"/>
    </row>
    <row r="820" spans="1:7" ht="15.75" customHeight="1">
      <c r="A820" s="208"/>
      <c r="B820" s="687"/>
      <c r="D820" s="208"/>
      <c r="E820" s="208"/>
      <c r="F820" s="1091"/>
      <c r="G820" s="1091"/>
    </row>
    <row r="821" spans="1:7" ht="15.75" customHeight="1">
      <c r="A821" s="208"/>
      <c r="B821" s="687"/>
      <c r="D821" s="208"/>
      <c r="E821" s="208"/>
      <c r="F821" s="1091"/>
      <c r="G821" s="1091"/>
    </row>
    <row r="822" spans="1:7" ht="15.75" customHeight="1">
      <c r="A822" s="208"/>
      <c r="B822" s="687"/>
      <c r="D822" s="208"/>
      <c r="E822" s="208"/>
      <c r="F822" s="1091"/>
      <c r="G822" s="1091"/>
    </row>
    <row r="823" spans="1:7" ht="15.75" customHeight="1">
      <c r="A823" s="208"/>
      <c r="B823" s="687"/>
      <c r="D823" s="208"/>
      <c r="E823" s="208"/>
      <c r="F823" s="1091"/>
      <c r="G823" s="1091"/>
    </row>
    <row r="824" spans="1:7" ht="15.75" customHeight="1">
      <c r="A824" s="208"/>
      <c r="B824" s="687"/>
      <c r="D824" s="208"/>
      <c r="E824" s="208"/>
      <c r="F824" s="1091"/>
      <c r="G824" s="1091"/>
    </row>
    <row r="825" spans="1:7" ht="15.75" customHeight="1">
      <c r="A825" s="208"/>
      <c r="B825" s="687"/>
      <c r="D825" s="208"/>
      <c r="E825" s="208"/>
      <c r="F825" s="1091"/>
      <c r="G825" s="1091"/>
    </row>
    <row r="826" spans="1:7" ht="15.75" customHeight="1">
      <c r="A826" s="208"/>
      <c r="B826" s="687"/>
      <c r="D826" s="208"/>
      <c r="E826" s="208"/>
      <c r="F826" s="1091"/>
      <c r="G826" s="1091"/>
    </row>
    <row r="827" spans="1:7" ht="15.75" customHeight="1">
      <c r="A827" s="208"/>
      <c r="B827" s="687"/>
      <c r="D827" s="208"/>
      <c r="E827" s="208"/>
      <c r="F827" s="1091"/>
      <c r="G827" s="1091"/>
    </row>
    <row r="828" spans="1:7" ht="15.75" customHeight="1">
      <c r="A828" s="208"/>
      <c r="B828" s="687"/>
      <c r="D828" s="208"/>
      <c r="E828" s="208"/>
      <c r="F828" s="1091"/>
      <c r="G828" s="1091"/>
    </row>
    <row r="829" spans="1:7" ht="15.75" customHeight="1">
      <c r="A829" s="208"/>
      <c r="B829" s="687"/>
      <c r="D829" s="208"/>
      <c r="E829" s="208"/>
      <c r="F829" s="1091"/>
      <c r="G829" s="1091"/>
    </row>
    <row r="830" spans="1:7" ht="15.75" customHeight="1">
      <c r="A830" s="208"/>
      <c r="B830" s="687"/>
      <c r="D830" s="208"/>
      <c r="E830" s="208"/>
      <c r="F830" s="1091"/>
      <c r="G830" s="1091"/>
    </row>
    <row r="831" spans="1:7" ht="15.75" customHeight="1">
      <c r="A831" s="208"/>
      <c r="B831" s="687"/>
      <c r="D831" s="208"/>
      <c r="E831" s="208"/>
      <c r="F831" s="1091"/>
      <c r="G831" s="1091"/>
    </row>
    <row r="832" spans="1:7" ht="15.75" customHeight="1">
      <c r="A832" s="208"/>
      <c r="B832" s="687"/>
      <c r="D832" s="208"/>
      <c r="E832" s="208"/>
      <c r="F832" s="1091"/>
      <c r="G832" s="1091"/>
    </row>
    <row r="833" spans="1:7" ht="15.75" customHeight="1">
      <c r="A833" s="208"/>
      <c r="B833" s="687"/>
      <c r="D833" s="208"/>
      <c r="E833" s="208"/>
      <c r="F833" s="1091"/>
      <c r="G833" s="1091"/>
    </row>
    <row r="834" spans="1:7" ht="15.75" customHeight="1">
      <c r="A834" s="208"/>
      <c r="B834" s="687"/>
      <c r="D834" s="208"/>
      <c r="E834" s="208"/>
      <c r="F834" s="1091"/>
      <c r="G834" s="1091"/>
    </row>
    <row r="835" spans="1:7" ht="15.75" customHeight="1">
      <c r="A835" s="208"/>
      <c r="B835" s="687"/>
      <c r="D835" s="208"/>
      <c r="E835" s="208"/>
      <c r="F835" s="1091"/>
      <c r="G835" s="1091"/>
    </row>
    <row r="836" spans="1:7" ht="15.75" customHeight="1">
      <c r="A836" s="208"/>
      <c r="B836" s="687"/>
      <c r="D836" s="208"/>
      <c r="E836" s="208"/>
      <c r="F836" s="1091"/>
      <c r="G836" s="1091"/>
    </row>
    <row r="837" spans="1:7" ht="15.75" customHeight="1">
      <c r="A837" s="208"/>
      <c r="B837" s="687"/>
      <c r="D837" s="208"/>
      <c r="E837" s="208"/>
      <c r="F837" s="1091"/>
      <c r="G837" s="1091"/>
    </row>
    <row r="838" spans="1:7" ht="15.75" customHeight="1">
      <c r="A838" s="208"/>
      <c r="B838" s="687"/>
      <c r="D838" s="208"/>
      <c r="E838" s="208"/>
      <c r="F838" s="1091"/>
      <c r="G838" s="1091"/>
    </row>
    <row r="839" spans="1:7" ht="15.75" customHeight="1">
      <c r="A839" s="208"/>
      <c r="B839" s="687"/>
      <c r="D839" s="208"/>
      <c r="E839" s="208"/>
      <c r="F839" s="1091"/>
      <c r="G839" s="1091"/>
    </row>
    <row r="840" spans="1:7" ht="15.75" customHeight="1">
      <c r="A840" s="208"/>
      <c r="B840" s="687"/>
      <c r="D840" s="208"/>
      <c r="E840" s="208"/>
      <c r="F840" s="1091"/>
      <c r="G840" s="1091"/>
    </row>
    <row r="841" spans="1:7" ht="15.75" customHeight="1">
      <c r="A841" s="208"/>
      <c r="B841" s="687"/>
      <c r="D841" s="208"/>
      <c r="E841" s="208"/>
      <c r="F841" s="1091"/>
      <c r="G841" s="1091"/>
    </row>
    <row r="842" spans="1:7" ht="15.75" customHeight="1">
      <c r="A842" s="208"/>
      <c r="B842" s="687"/>
      <c r="D842" s="208"/>
      <c r="E842" s="208"/>
      <c r="F842" s="1091"/>
      <c r="G842" s="1091"/>
    </row>
    <row r="843" spans="1:7" ht="15.75" customHeight="1">
      <c r="A843" s="208"/>
      <c r="B843" s="687"/>
      <c r="D843" s="208"/>
      <c r="E843" s="208"/>
      <c r="F843" s="1091"/>
      <c r="G843" s="1091"/>
    </row>
    <row r="844" spans="1:7" ht="15.75" customHeight="1">
      <c r="A844" s="208"/>
      <c r="B844" s="687"/>
      <c r="D844" s="208"/>
      <c r="E844" s="208"/>
      <c r="F844" s="1091"/>
      <c r="G844" s="1091"/>
    </row>
    <row r="845" spans="1:7" ht="15.75" customHeight="1">
      <c r="A845" s="208"/>
      <c r="B845" s="687"/>
      <c r="D845" s="208"/>
      <c r="E845" s="208"/>
      <c r="F845" s="1091"/>
      <c r="G845" s="1091"/>
    </row>
    <row r="846" spans="1:7" ht="15.75" customHeight="1">
      <c r="A846" s="208"/>
      <c r="B846" s="687"/>
      <c r="D846" s="208"/>
      <c r="E846" s="208"/>
      <c r="F846" s="1091"/>
      <c r="G846" s="1091"/>
    </row>
    <row r="847" spans="1:7" ht="15.75" customHeight="1">
      <c r="A847" s="208"/>
      <c r="B847" s="687"/>
      <c r="D847" s="208"/>
      <c r="E847" s="208"/>
      <c r="F847" s="1091"/>
      <c r="G847" s="1091"/>
    </row>
    <row r="848" spans="1:7" ht="15.75" customHeight="1">
      <c r="A848" s="208"/>
      <c r="B848" s="687"/>
      <c r="D848" s="208"/>
      <c r="E848" s="208"/>
      <c r="F848" s="1091"/>
      <c r="G848" s="1091"/>
    </row>
    <row r="849" spans="1:7" ht="15.75" customHeight="1">
      <c r="A849" s="208"/>
      <c r="B849" s="687"/>
      <c r="D849" s="208"/>
      <c r="E849" s="208"/>
      <c r="F849" s="1091"/>
      <c r="G849" s="1091"/>
    </row>
    <row r="850" spans="1:7" ht="15.75" customHeight="1">
      <c r="A850" s="208"/>
      <c r="B850" s="687"/>
      <c r="D850" s="208"/>
      <c r="E850" s="208"/>
      <c r="F850" s="1091"/>
      <c r="G850" s="1091"/>
    </row>
    <row r="851" spans="1:7" ht="15.75" customHeight="1">
      <c r="A851" s="208"/>
      <c r="B851" s="687"/>
      <c r="D851" s="208"/>
      <c r="E851" s="208"/>
      <c r="F851" s="1091"/>
      <c r="G851" s="1091"/>
    </row>
    <row r="852" spans="1:7" ht="15.75" customHeight="1">
      <c r="A852" s="208"/>
      <c r="B852" s="687"/>
      <c r="D852" s="208"/>
      <c r="E852" s="208"/>
      <c r="F852" s="1091"/>
      <c r="G852" s="1091"/>
    </row>
    <row r="853" spans="1:7" ht="15.75" customHeight="1">
      <c r="A853" s="208"/>
      <c r="B853" s="687"/>
      <c r="D853" s="208"/>
      <c r="E853" s="208"/>
      <c r="F853" s="1091"/>
      <c r="G853" s="1091"/>
    </row>
    <row r="854" spans="1:7" ht="15.75" customHeight="1">
      <c r="A854" s="208"/>
      <c r="B854" s="687"/>
      <c r="D854" s="208"/>
      <c r="E854" s="208"/>
      <c r="F854" s="1091"/>
      <c r="G854" s="1091"/>
    </row>
    <row r="855" spans="1:7" ht="15.75" customHeight="1">
      <c r="A855" s="208"/>
      <c r="B855" s="687"/>
      <c r="D855" s="208"/>
      <c r="E855" s="208"/>
      <c r="F855" s="1091"/>
      <c r="G855" s="1091"/>
    </row>
    <row r="856" spans="1:7" ht="15.75" customHeight="1">
      <c r="A856" s="208"/>
      <c r="B856" s="687"/>
      <c r="D856" s="208"/>
      <c r="E856" s="208"/>
      <c r="F856" s="1091"/>
      <c r="G856" s="1091"/>
    </row>
    <row r="857" spans="1:7" ht="15.75" customHeight="1">
      <c r="A857" s="208"/>
      <c r="B857" s="687"/>
      <c r="D857" s="208"/>
      <c r="E857" s="208"/>
      <c r="F857" s="1091"/>
      <c r="G857" s="1091"/>
    </row>
    <row r="858" spans="1:7" ht="15.75" customHeight="1">
      <c r="A858" s="208"/>
      <c r="B858" s="687"/>
      <c r="D858" s="208"/>
      <c r="E858" s="208"/>
      <c r="F858" s="1091"/>
      <c r="G858" s="1091"/>
    </row>
    <row r="859" spans="1:7" ht="15.75" customHeight="1">
      <c r="A859" s="208"/>
      <c r="B859" s="687"/>
      <c r="D859" s="208"/>
      <c r="E859" s="208"/>
      <c r="F859" s="1091"/>
      <c r="G859" s="1091"/>
    </row>
    <row r="860" spans="1:7" ht="15.75" customHeight="1">
      <c r="A860" s="208"/>
      <c r="B860" s="687"/>
      <c r="D860" s="208"/>
      <c r="E860" s="208"/>
      <c r="F860" s="1091"/>
      <c r="G860" s="1091"/>
    </row>
    <row r="861" spans="1:7" ht="15.75" customHeight="1">
      <c r="A861" s="208"/>
      <c r="B861" s="687"/>
      <c r="D861" s="208"/>
      <c r="E861" s="208"/>
      <c r="F861" s="1091"/>
      <c r="G861" s="1091"/>
    </row>
    <row r="862" spans="1:7" ht="15.75" customHeight="1">
      <c r="A862" s="208"/>
      <c r="B862" s="687"/>
      <c r="D862" s="208"/>
      <c r="E862" s="208"/>
      <c r="F862" s="1091"/>
      <c r="G862" s="1091"/>
    </row>
    <row r="863" spans="1:7" ht="15.75" customHeight="1">
      <c r="A863" s="208"/>
      <c r="B863" s="687"/>
      <c r="D863" s="208"/>
      <c r="E863" s="208"/>
      <c r="F863" s="1091"/>
      <c r="G863" s="1091"/>
    </row>
    <row r="864" spans="1:7" ht="15.75" customHeight="1">
      <c r="A864" s="208"/>
      <c r="B864" s="687"/>
      <c r="D864" s="208"/>
      <c r="E864" s="208"/>
      <c r="F864" s="1091"/>
      <c r="G864" s="1091"/>
    </row>
    <row r="865" spans="1:7" ht="15.75" customHeight="1">
      <c r="A865" s="208"/>
      <c r="B865" s="687"/>
      <c r="D865" s="208"/>
      <c r="E865" s="208"/>
      <c r="F865" s="1091"/>
      <c r="G865" s="1091"/>
    </row>
    <row r="866" spans="1:7" ht="15.75" customHeight="1">
      <c r="A866" s="208"/>
      <c r="B866" s="687"/>
      <c r="D866" s="208"/>
      <c r="E866" s="208"/>
      <c r="F866" s="1091"/>
      <c r="G866" s="1091"/>
    </row>
    <row r="867" spans="1:7" ht="15.75" customHeight="1">
      <c r="A867" s="208"/>
      <c r="B867" s="687"/>
      <c r="D867" s="208"/>
      <c r="E867" s="208"/>
      <c r="F867" s="1091"/>
      <c r="G867" s="1091"/>
    </row>
    <row r="868" spans="1:7" ht="15.75" customHeight="1">
      <c r="A868" s="208"/>
      <c r="B868" s="687"/>
      <c r="D868" s="208"/>
      <c r="E868" s="208"/>
      <c r="F868" s="1091"/>
      <c r="G868" s="1091"/>
    </row>
    <row r="869" spans="1:7" ht="15.75" customHeight="1">
      <c r="A869" s="208"/>
      <c r="B869" s="687"/>
      <c r="D869" s="208"/>
      <c r="E869" s="208"/>
      <c r="F869" s="1091"/>
      <c r="G869" s="1091"/>
    </row>
    <row r="870" spans="1:7" ht="15.75" customHeight="1">
      <c r="A870" s="208"/>
      <c r="B870" s="687"/>
      <c r="D870" s="208"/>
      <c r="E870" s="208"/>
      <c r="F870" s="1091"/>
      <c r="G870" s="1091"/>
    </row>
    <row r="871" spans="1:7" ht="15.75" customHeight="1">
      <c r="A871" s="208"/>
      <c r="B871" s="687"/>
      <c r="D871" s="208"/>
      <c r="E871" s="208"/>
      <c r="F871" s="1091"/>
      <c r="G871" s="1091"/>
    </row>
    <row r="872" spans="1:7" ht="15.75" customHeight="1">
      <c r="A872" s="208"/>
      <c r="B872" s="687"/>
      <c r="D872" s="208"/>
      <c r="E872" s="208"/>
      <c r="F872" s="1091"/>
      <c r="G872" s="1091"/>
    </row>
    <row r="873" spans="1:7" ht="15.75" customHeight="1">
      <c r="A873" s="208"/>
      <c r="B873" s="687"/>
      <c r="D873" s="208"/>
      <c r="E873" s="208"/>
      <c r="F873" s="1091"/>
      <c r="G873" s="1091"/>
    </row>
    <row r="874" spans="1:7" ht="15.75" customHeight="1">
      <c r="A874" s="208"/>
      <c r="B874" s="687"/>
      <c r="D874" s="208"/>
      <c r="E874" s="208"/>
      <c r="F874" s="1091"/>
      <c r="G874" s="1091"/>
    </row>
    <row r="875" spans="1:7" ht="15.75" customHeight="1">
      <c r="A875" s="208"/>
      <c r="B875" s="687"/>
      <c r="D875" s="208"/>
      <c r="E875" s="208"/>
      <c r="F875" s="1091"/>
      <c r="G875" s="1091"/>
    </row>
    <row r="876" spans="1:7" ht="15.75" customHeight="1">
      <c r="A876" s="208"/>
      <c r="B876" s="687"/>
      <c r="D876" s="208"/>
      <c r="E876" s="208"/>
      <c r="F876" s="1091"/>
      <c r="G876" s="1091"/>
    </row>
    <row r="877" spans="1:7" ht="15.75" customHeight="1">
      <c r="A877" s="208"/>
      <c r="B877" s="687"/>
      <c r="D877" s="208"/>
      <c r="E877" s="208"/>
      <c r="F877" s="1091"/>
      <c r="G877" s="1091"/>
    </row>
    <row r="878" spans="1:7" ht="15.75" customHeight="1">
      <c r="A878" s="208"/>
      <c r="B878" s="687"/>
      <c r="D878" s="208"/>
      <c r="E878" s="208"/>
      <c r="F878" s="1091"/>
      <c r="G878" s="1091"/>
    </row>
    <row r="879" spans="1:7" ht="15.75" customHeight="1">
      <c r="A879" s="208"/>
      <c r="B879" s="687"/>
      <c r="D879" s="208"/>
      <c r="E879" s="208"/>
      <c r="F879" s="1091"/>
      <c r="G879" s="1091"/>
    </row>
    <row r="880" spans="1:7" ht="15.75" customHeight="1">
      <c r="A880" s="208"/>
      <c r="B880" s="687"/>
      <c r="D880" s="208"/>
      <c r="E880" s="208"/>
      <c r="F880" s="1091"/>
      <c r="G880" s="1091"/>
    </row>
    <row r="881" spans="1:7" ht="15.75" customHeight="1">
      <c r="A881" s="208"/>
      <c r="B881" s="687"/>
      <c r="D881" s="208"/>
      <c r="E881" s="208"/>
      <c r="F881" s="1091"/>
      <c r="G881" s="1091"/>
    </row>
    <row r="882" spans="1:7" ht="15.75" customHeight="1">
      <c r="A882" s="208"/>
      <c r="B882" s="687"/>
      <c r="D882" s="208"/>
      <c r="E882" s="208"/>
      <c r="F882" s="1091"/>
      <c r="G882" s="1091"/>
    </row>
    <row r="883" spans="1:7" ht="15.75" customHeight="1">
      <c r="A883" s="208"/>
      <c r="B883" s="687"/>
      <c r="D883" s="208"/>
      <c r="E883" s="208"/>
      <c r="F883" s="1091"/>
      <c r="G883" s="1091"/>
    </row>
    <row r="884" spans="1:7" ht="15.75" customHeight="1">
      <c r="A884" s="208"/>
      <c r="B884" s="687"/>
      <c r="D884" s="208"/>
      <c r="E884" s="208"/>
      <c r="F884" s="1091"/>
      <c r="G884" s="1091"/>
    </row>
    <row r="885" spans="1:7" ht="15.75" customHeight="1">
      <c r="A885" s="208"/>
      <c r="B885" s="687"/>
      <c r="D885" s="208"/>
      <c r="E885" s="208"/>
      <c r="F885" s="1091"/>
      <c r="G885" s="1091"/>
    </row>
    <row r="886" spans="1:7" ht="15.75" customHeight="1">
      <c r="A886" s="208"/>
      <c r="B886" s="687"/>
      <c r="D886" s="208"/>
      <c r="E886" s="208"/>
      <c r="F886" s="1091"/>
      <c r="G886" s="1091"/>
    </row>
    <row r="887" spans="1:7" ht="15.75" customHeight="1">
      <c r="A887" s="208"/>
      <c r="B887" s="687"/>
      <c r="D887" s="208"/>
      <c r="E887" s="208"/>
      <c r="F887" s="1091"/>
      <c r="G887" s="1091"/>
    </row>
    <row r="888" spans="1:7" ht="15.75" customHeight="1">
      <c r="A888" s="208"/>
      <c r="B888" s="687"/>
      <c r="D888" s="208"/>
      <c r="E888" s="208"/>
      <c r="F888" s="1091"/>
      <c r="G888" s="1091"/>
    </row>
    <row r="889" spans="1:7" ht="15.75" customHeight="1">
      <c r="A889" s="208"/>
      <c r="B889" s="687"/>
      <c r="D889" s="208"/>
      <c r="E889" s="208"/>
      <c r="F889" s="1091"/>
      <c r="G889" s="1091"/>
    </row>
    <row r="890" spans="1:7" ht="15.75" customHeight="1">
      <c r="A890" s="208"/>
      <c r="B890" s="687"/>
      <c r="D890" s="208"/>
      <c r="E890" s="208"/>
      <c r="F890" s="1091"/>
      <c r="G890" s="1091"/>
    </row>
    <row r="891" spans="1:7" ht="15.75" customHeight="1">
      <c r="A891" s="208"/>
      <c r="B891" s="687"/>
      <c r="D891" s="208"/>
      <c r="E891" s="208"/>
      <c r="F891" s="1091"/>
      <c r="G891" s="1091"/>
    </row>
    <row r="892" spans="1:7" ht="15.75" customHeight="1">
      <c r="A892" s="208"/>
      <c r="B892" s="687"/>
      <c r="D892" s="208"/>
      <c r="E892" s="208"/>
      <c r="F892" s="1091"/>
      <c r="G892" s="1091"/>
    </row>
    <row r="893" spans="1:7" ht="15.75" customHeight="1">
      <c r="A893" s="208"/>
      <c r="B893" s="687"/>
      <c r="D893" s="208"/>
      <c r="E893" s="208"/>
      <c r="F893" s="1091"/>
      <c r="G893" s="1091"/>
    </row>
    <row r="894" spans="1:7" ht="15.75" customHeight="1">
      <c r="A894" s="208"/>
      <c r="B894" s="687"/>
      <c r="D894" s="208"/>
      <c r="E894" s="208"/>
      <c r="F894" s="1091"/>
      <c r="G894" s="1091"/>
    </row>
    <row r="895" spans="1:7" ht="15.75" customHeight="1">
      <c r="A895" s="208"/>
      <c r="B895" s="687"/>
      <c r="D895" s="208"/>
      <c r="E895" s="208"/>
      <c r="F895" s="1091"/>
      <c r="G895" s="1091"/>
    </row>
    <row r="896" spans="1:7" ht="15.75" customHeight="1">
      <c r="A896" s="208"/>
      <c r="B896" s="687"/>
      <c r="D896" s="208"/>
      <c r="E896" s="208"/>
      <c r="F896" s="1091"/>
      <c r="G896" s="1091"/>
    </row>
    <row r="897" spans="1:7" ht="15.75" customHeight="1">
      <c r="A897" s="208"/>
      <c r="B897" s="687"/>
      <c r="D897" s="208"/>
      <c r="E897" s="208"/>
      <c r="F897" s="1091"/>
      <c r="G897" s="1091"/>
    </row>
    <row r="898" spans="1:7" ht="15.75" customHeight="1">
      <c r="A898" s="208"/>
      <c r="B898" s="687"/>
      <c r="D898" s="208"/>
      <c r="E898" s="208"/>
      <c r="F898" s="1091"/>
      <c r="G898" s="1091"/>
    </row>
    <row r="899" spans="1:7" ht="15.75" customHeight="1">
      <c r="A899" s="208"/>
      <c r="B899" s="687"/>
      <c r="D899" s="208"/>
      <c r="E899" s="208"/>
      <c r="F899" s="1091"/>
      <c r="G899" s="1091"/>
    </row>
    <row r="900" spans="1:7" ht="15.75" customHeight="1">
      <c r="A900" s="208"/>
      <c r="B900" s="687"/>
      <c r="D900" s="208"/>
      <c r="E900" s="208"/>
      <c r="F900" s="1091"/>
      <c r="G900" s="1091"/>
    </row>
    <row r="901" spans="1:7" ht="15.75" customHeight="1">
      <c r="A901" s="208"/>
      <c r="B901" s="687"/>
      <c r="D901" s="208"/>
      <c r="E901" s="208"/>
      <c r="F901" s="1091"/>
      <c r="G901" s="1091"/>
    </row>
    <row r="902" spans="1:7" ht="15.75" customHeight="1">
      <c r="A902" s="208"/>
      <c r="B902" s="687"/>
      <c r="D902" s="208"/>
      <c r="E902" s="208"/>
      <c r="F902" s="1091"/>
      <c r="G902" s="1091"/>
    </row>
    <row r="903" spans="1:7" ht="15.75" customHeight="1">
      <c r="A903" s="208"/>
      <c r="B903" s="687"/>
      <c r="D903" s="208"/>
      <c r="E903" s="208"/>
      <c r="F903" s="1091"/>
      <c r="G903" s="1091"/>
    </row>
    <row r="904" spans="1:7" ht="15.75" customHeight="1">
      <c r="A904" s="208"/>
      <c r="B904" s="687"/>
      <c r="D904" s="208"/>
      <c r="E904" s="208"/>
      <c r="F904" s="1091"/>
      <c r="G904" s="1091"/>
    </row>
    <row r="905" spans="1:7" ht="15.75" customHeight="1">
      <c r="A905" s="208"/>
      <c r="B905" s="687"/>
      <c r="D905" s="208"/>
      <c r="E905" s="208"/>
      <c r="F905" s="1091"/>
      <c r="G905" s="1091"/>
    </row>
    <row r="906" spans="1:7" ht="15.75" customHeight="1">
      <c r="A906" s="208"/>
      <c r="B906" s="687"/>
      <c r="D906" s="208"/>
      <c r="E906" s="208"/>
      <c r="F906" s="1091"/>
      <c r="G906" s="1091"/>
    </row>
    <row r="907" spans="1:7" ht="15.75" customHeight="1">
      <c r="A907" s="208"/>
      <c r="B907" s="687"/>
      <c r="D907" s="208"/>
      <c r="E907" s="208"/>
      <c r="F907" s="1091"/>
      <c r="G907" s="1091"/>
    </row>
    <row r="908" spans="1:7" ht="15.75" customHeight="1">
      <c r="A908" s="208"/>
      <c r="B908" s="687"/>
      <c r="D908" s="208"/>
      <c r="E908" s="208"/>
      <c r="F908" s="1091"/>
      <c r="G908" s="1091"/>
    </row>
    <row r="909" spans="1:7" ht="15.75" customHeight="1">
      <c r="A909" s="208"/>
      <c r="B909" s="687"/>
      <c r="D909" s="208"/>
      <c r="E909" s="208"/>
      <c r="F909" s="1091"/>
      <c r="G909" s="1091"/>
    </row>
    <row r="910" spans="1:7" ht="15.75" customHeight="1">
      <c r="A910" s="208"/>
      <c r="B910" s="687"/>
      <c r="D910" s="208"/>
      <c r="E910" s="208"/>
      <c r="F910" s="1091"/>
      <c r="G910" s="1091"/>
    </row>
    <row r="911" spans="1:7" ht="15.75" customHeight="1">
      <c r="A911" s="208"/>
      <c r="B911" s="687"/>
      <c r="D911" s="208"/>
      <c r="E911" s="208"/>
      <c r="F911" s="1091"/>
      <c r="G911" s="1091"/>
    </row>
    <row r="912" spans="1:7" ht="15.75" customHeight="1">
      <c r="A912" s="208"/>
      <c r="B912" s="687"/>
      <c r="D912" s="208"/>
      <c r="E912" s="208"/>
      <c r="F912" s="1091"/>
      <c r="G912" s="1091"/>
    </row>
    <row r="913" spans="1:7" ht="15.75" customHeight="1">
      <c r="A913" s="208"/>
      <c r="B913" s="687"/>
      <c r="D913" s="208"/>
      <c r="E913" s="208"/>
      <c r="F913" s="1091"/>
      <c r="G913" s="1091"/>
    </row>
    <row r="914" spans="1:7" ht="15.75" customHeight="1">
      <c r="A914" s="208"/>
      <c r="B914" s="687"/>
      <c r="D914" s="208"/>
      <c r="E914" s="208"/>
      <c r="F914" s="1091"/>
      <c r="G914" s="1091"/>
    </row>
    <row r="915" spans="1:7" ht="15.75" customHeight="1">
      <c r="A915" s="208"/>
      <c r="B915" s="687"/>
      <c r="D915" s="208"/>
      <c r="E915" s="208"/>
      <c r="F915" s="1091"/>
      <c r="G915" s="1091"/>
    </row>
    <row r="916" spans="1:7" ht="15.75" customHeight="1">
      <c r="A916" s="208"/>
      <c r="B916" s="687"/>
      <c r="D916" s="208"/>
      <c r="E916" s="208"/>
      <c r="F916" s="1091"/>
      <c r="G916" s="1091"/>
    </row>
    <row r="917" spans="1:7" ht="15.75" customHeight="1">
      <c r="A917" s="208"/>
      <c r="B917" s="687"/>
      <c r="D917" s="208"/>
      <c r="E917" s="208"/>
      <c r="F917" s="1091"/>
      <c r="G917" s="1091"/>
    </row>
    <row r="918" spans="1:7" ht="15.75" customHeight="1">
      <c r="A918" s="208"/>
      <c r="B918" s="687"/>
      <c r="D918" s="208"/>
      <c r="E918" s="208"/>
      <c r="F918" s="1091"/>
      <c r="G918" s="1091"/>
    </row>
    <row r="919" spans="1:7" ht="15.75" customHeight="1">
      <c r="A919" s="208"/>
      <c r="B919" s="687"/>
      <c r="D919" s="208"/>
      <c r="E919" s="208"/>
      <c r="F919" s="1091"/>
      <c r="G919" s="1091"/>
    </row>
    <row r="920" spans="1:7" ht="15.75" customHeight="1">
      <c r="A920" s="208"/>
      <c r="B920" s="687"/>
      <c r="D920" s="208"/>
      <c r="E920" s="208"/>
      <c r="F920" s="1091"/>
      <c r="G920" s="1091"/>
    </row>
    <row r="921" spans="1:7" ht="15.75" customHeight="1">
      <c r="A921" s="208"/>
      <c r="B921" s="687"/>
      <c r="D921" s="208"/>
      <c r="E921" s="208"/>
      <c r="F921" s="1091"/>
      <c r="G921" s="1091"/>
    </row>
    <row r="922" spans="1:7" ht="15.75" customHeight="1">
      <c r="A922" s="208"/>
      <c r="B922" s="687"/>
      <c r="D922" s="208"/>
      <c r="E922" s="208"/>
      <c r="F922" s="1091"/>
      <c r="G922" s="1091"/>
    </row>
    <row r="923" spans="1:7" ht="15.75" customHeight="1">
      <c r="A923" s="208"/>
      <c r="B923" s="687"/>
      <c r="D923" s="208"/>
      <c r="E923" s="208"/>
      <c r="F923" s="1091"/>
      <c r="G923" s="1091"/>
    </row>
    <row r="924" spans="1:7" ht="15.75" customHeight="1">
      <c r="A924" s="208"/>
      <c r="B924" s="687"/>
      <c r="D924" s="208"/>
      <c r="E924" s="208"/>
      <c r="F924" s="1091"/>
      <c r="G924" s="1091"/>
    </row>
    <row r="925" spans="1:7" ht="15.75" customHeight="1">
      <c r="A925" s="208"/>
      <c r="B925" s="687"/>
      <c r="D925" s="208"/>
      <c r="E925" s="208"/>
      <c r="F925" s="1091"/>
      <c r="G925" s="1091"/>
    </row>
    <row r="926" spans="1:7" ht="15.75" customHeight="1">
      <c r="A926" s="208"/>
      <c r="B926" s="687"/>
      <c r="D926" s="208"/>
      <c r="E926" s="208"/>
      <c r="F926" s="1091"/>
      <c r="G926" s="1091"/>
    </row>
    <row r="927" spans="1:7" ht="15.75" customHeight="1">
      <c r="A927" s="208"/>
      <c r="B927" s="687"/>
      <c r="D927" s="208"/>
      <c r="E927" s="208"/>
      <c r="F927" s="1091"/>
      <c r="G927" s="1091"/>
    </row>
    <row r="928" spans="1:7" ht="15.75" customHeight="1">
      <c r="A928" s="208"/>
      <c r="B928" s="687"/>
      <c r="D928" s="208"/>
      <c r="E928" s="208"/>
      <c r="F928" s="1091"/>
      <c r="G928" s="1091"/>
    </row>
    <row r="929" spans="1:7" ht="15.75" customHeight="1">
      <c r="A929" s="208"/>
      <c r="B929" s="687"/>
      <c r="D929" s="208"/>
      <c r="E929" s="208"/>
      <c r="F929" s="1091"/>
      <c r="G929" s="1091"/>
    </row>
    <row r="930" spans="1:7" ht="15.75" customHeight="1">
      <c r="A930" s="208"/>
      <c r="B930" s="687"/>
      <c r="D930" s="208"/>
      <c r="E930" s="208"/>
      <c r="F930" s="1091"/>
      <c r="G930" s="1091"/>
    </row>
    <row r="931" spans="1:7" ht="15.75" customHeight="1">
      <c r="A931" s="208"/>
      <c r="B931" s="687"/>
      <c r="D931" s="208"/>
      <c r="E931" s="208"/>
      <c r="F931" s="1091"/>
      <c r="G931" s="1091"/>
    </row>
    <row r="932" spans="1:7" ht="15.75" customHeight="1">
      <c r="A932" s="208"/>
      <c r="B932" s="687"/>
      <c r="D932" s="208"/>
      <c r="E932" s="208"/>
      <c r="F932" s="1091"/>
      <c r="G932" s="1091"/>
    </row>
    <row r="933" spans="1:7" ht="15.75" customHeight="1">
      <c r="A933" s="208"/>
      <c r="B933" s="687"/>
      <c r="D933" s="208"/>
      <c r="E933" s="208"/>
      <c r="F933" s="1091"/>
      <c r="G933" s="1091"/>
    </row>
    <row r="934" spans="1:7" ht="15.75" customHeight="1">
      <c r="A934" s="208"/>
      <c r="B934" s="687"/>
      <c r="D934" s="208"/>
      <c r="E934" s="208"/>
      <c r="F934" s="1091"/>
      <c r="G934" s="1091"/>
    </row>
    <row r="935" spans="1:7" ht="15.75" customHeight="1">
      <c r="A935" s="208"/>
      <c r="B935" s="687"/>
      <c r="D935" s="208"/>
      <c r="E935" s="208"/>
      <c r="F935" s="1091"/>
      <c r="G935" s="1091"/>
    </row>
    <row r="936" spans="1:7" ht="15.75" customHeight="1">
      <c r="A936" s="208"/>
      <c r="B936" s="687"/>
      <c r="D936" s="208"/>
      <c r="E936" s="208"/>
      <c r="F936" s="1091"/>
      <c r="G936" s="1091"/>
    </row>
    <row r="937" spans="1:7" ht="15.75" customHeight="1">
      <c r="A937" s="208"/>
      <c r="B937" s="687"/>
      <c r="D937" s="208"/>
      <c r="E937" s="208"/>
      <c r="F937" s="1091"/>
      <c r="G937" s="1091"/>
    </row>
    <row r="938" spans="1:7" ht="15.75" customHeight="1">
      <c r="A938" s="208"/>
      <c r="B938" s="687"/>
      <c r="D938" s="208"/>
      <c r="E938" s="208"/>
      <c r="F938" s="1091"/>
      <c r="G938" s="1091"/>
    </row>
    <row r="939" spans="1:7" ht="15.75" customHeight="1">
      <c r="A939" s="208"/>
      <c r="B939" s="687"/>
      <c r="D939" s="208"/>
      <c r="E939" s="208"/>
      <c r="F939" s="1091"/>
      <c r="G939" s="1091"/>
    </row>
    <row r="940" spans="1:7" ht="15.75" customHeight="1">
      <c r="A940" s="208"/>
      <c r="B940" s="687"/>
      <c r="D940" s="208"/>
      <c r="E940" s="208"/>
      <c r="F940" s="1091"/>
      <c r="G940" s="1091"/>
    </row>
    <row r="941" spans="1:7" ht="15.75" customHeight="1">
      <c r="A941" s="208"/>
      <c r="B941" s="687"/>
      <c r="D941" s="208"/>
      <c r="E941" s="208"/>
      <c r="F941" s="1091"/>
      <c r="G941" s="1091"/>
    </row>
    <row r="942" spans="1:7" ht="15.75" customHeight="1">
      <c r="A942" s="208"/>
      <c r="B942" s="687"/>
      <c r="D942" s="208"/>
      <c r="E942" s="208"/>
      <c r="F942" s="1091"/>
      <c r="G942" s="1091"/>
    </row>
    <row r="943" spans="1:7" ht="15.75" customHeight="1">
      <c r="A943" s="208"/>
      <c r="B943" s="687"/>
      <c r="D943" s="208"/>
      <c r="E943" s="208"/>
      <c r="F943" s="1091"/>
      <c r="G943" s="1091"/>
    </row>
    <row r="944" spans="1:7" ht="15.75" customHeight="1">
      <c r="A944" s="208"/>
      <c r="B944" s="687"/>
      <c r="D944" s="208"/>
      <c r="E944" s="208"/>
      <c r="F944" s="1091"/>
      <c r="G944" s="1091"/>
    </row>
    <row r="945" spans="1:7" ht="15.75" customHeight="1">
      <c r="A945" s="208"/>
      <c r="B945" s="687"/>
      <c r="D945" s="208"/>
      <c r="E945" s="208"/>
      <c r="F945" s="1091"/>
      <c r="G945" s="1091"/>
    </row>
    <row r="946" spans="1:7" ht="15.75" customHeight="1">
      <c r="A946" s="208"/>
      <c r="B946" s="687"/>
      <c r="D946" s="208"/>
      <c r="E946" s="208"/>
      <c r="F946" s="1091"/>
      <c r="G946" s="1091"/>
    </row>
    <row r="947" spans="1:7" ht="15.75" customHeight="1">
      <c r="A947" s="208"/>
      <c r="B947" s="687"/>
      <c r="D947" s="208"/>
      <c r="E947" s="208"/>
      <c r="F947" s="1091"/>
      <c r="G947" s="1091"/>
    </row>
    <row r="948" spans="1:7" ht="15.75" customHeight="1">
      <c r="A948" s="208"/>
      <c r="B948" s="687"/>
      <c r="D948" s="208"/>
      <c r="E948" s="208"/>
      <c r="F948" s="1091"/>
      <c r="G948" s="1091"/>
    </row>
    <row r="949" spans="1:7" ht="15.75" customHeight="1">
      <c r="A949" s="208"/>
      <c r="B949" s="687"/>
      <c r="D949" s="208"/>
      <c r="E949" s="208"/>
      <c r="F949" s="1091"/>
      <c r="G949" s="1091"/>
    </row>
    <row r="950" spans="1:7" ht="15.75" customHeight="1">
      <c r="A950" s="208"/>
      <c r="B950" s="687"/>
      <c r="D950" s="208"/>
      <c r="E950" s="208"/>
      <c r="F950" s="1091"/>
      <c r="G950" s="1091"/>
    </row>
    <row r="951" spans="1:7" ht="15.75" customHeight="1">
      <c r="A951" s="208"/>
      <c r="B951" s="687"/>
      <c r="D951" s="208"/>
      <c r="E951" s="208"/>
      <c r="F951" s="1091"/>
      <c r="G951" s="1091"/>
    </row>
    <row r="952" spans="1:7" ht="15.75" customHeight="1">
      <c r="A952" s="208"/>
      <c r="B952" s="687"/>
      <c r="D952" s="208"/>
      <c r="E952" s="208"/>
      <c r="F952" s="1091"/>
      <c r="G952" s="1091"/>
    </row>
    <row r="953" spans="1:7" ht="15.75" customHeight="1">
      <c r="A953" s="208"/>
      <c r="B953" s="687"/>
      <c r="D953" s="208"/>
      <c r="E953" s="208"/>
      <c r="F953" s="1091"/>
      <c r="G953" s="1091"/>
    </row>
    <row r="954" spans="1:7" ht="15.75" customHeight="1">
      <c r="A954" s="208"/>
      <c r="B954" s="687"/>
      <c r="D954" s="208"/>
      <c r="E954" s="208"/>
      <c r="F954" s="1091"/>
      <c r="G954" s="1091"/>
    </row>
    <row r="955" spans="1:7" ht="15.75" customHeight="1">
      <c r="A955" s="208"/>
      <c r="B955" s="687"/>
      <c r="D955" s="208"/>
      <c r="E955" s="208"/>
      <c r="F955" s="1091"/>
      <c r="G955" s="1091"/>
    </row>
    <row r="956" spans="1:7" ht="15.75" customHeight="1">
      <c r="A956" s="208"/>
      <c r="B956" s="687"/>
      <c r="D956" s="208"/>
      <c r="E956" s="208"/>
      <c r="F956" s="1091"/>
      <c r="G956" s="1091"/>
    </row>
    <row r="957" spans="1:7" ht="15.75" customHeight="1">
      <c r="A957" s="208"/>
      <c r="B957" s="687"/>
      <c r="D957" s="208"/>
      <c r="E957" s="208"/>
      <c r="F957" s="1091"/>
      <c r="G957" s="1091"/>
    </row>
    <row r="958" spans="1:7" ht="15.75" customHeight="1">
      <c r="A958" s="208"/>
      <c r="B958" s="687"/>
      <c r="D958" s="208"/>
      <c r="E958" s="208"/>
      <c r="F958" s="1091"/>
      <c r="G958" s="1091"/>
    </row>
    <row r="959" spans="1:7" ht="15.75" customHeight="1">
      <c r="A959" s="208"/>
      <c r="B959" s="687"/>
      <c r="D959" s="208"/>
      <c r="E959" s="208"/>
      <c r="F959" s="1091"/>
      <c r="G959" s="1091"/>
    </row>
    <row r="960" spans="1:7" ht="15.75" customHeight="1">
      <c r="A960" s="208"/>
      <c r="B960" s="687"/>
      <c r="D960" s="208"/>
      <c r="E960" s="208"/>
      <c r="F960" s="1091"/>
      <c r="G960" s="1091"/>
    </row>
    <row r="961" spans="1:7" ht="15.75" customHeight="1">
      <c r="A961" s="208"/>
      <c r="B961" s="687"/>
      <c r="D961" s="208"/>
      <c r="E961" s="208"/>
      <c r="F961" s="1091"/>
      <c r="G961" s="1091"/>
    </row>
    <row r="962" spans="1:7" ht="15.75" customHeight="1">
      <c r="A962" s="208"/>
      <c r="B962" s="687"/>
      <c r="D962" s="208"/>
      <c r="E962" s="208"/>
      <c r="F962" s="1091"/>
      <c r="G962" s="1091"/>
    </row>
    <row r="963" spans="1:7" ht="15.75" customHeight="1">
      <c r="A963" s="208"/>
      <c r="B963" s="687"/>
      <c r="D963" s="208"/>
      <c r="E963" s="208"/>
      <c r="F963" s="1091"/>
      <c r="G963" s="1091"/>
    </row>
    <row r="964" spans="1:7" ht="15.75" customHeight="1">
      <c r="A964" s="208"/>
      <c r="B964" s="687"/>
      <c r="D964" s="208"/>
      <c r="E964" s="208"/>
      <c r="F964" s="1091"/>
      <c r="G964" s="1091"/>
    </row>
    <row r="965" spans="1:7" ht="15.75" customHeight="1">
      <c r="A965" s="208"/>
      <c r="B965" s="687"/>
      <c r="D965" s="208"/>
      <c r="E965" s="208"/>
      <c r="F965" s="1091"/>
      <c r="G965" s="1091"/>
    </row>
    <row r="966" spans="1:7" ht="15.75" customHeight="1">
      <c r="A966" s="208"/>
      <c r="B966" s="687"/>
      <c r="D966" s="208"/>
      <c r="E966" s="208"/>
      <c r="F966" s="1091"/>
      <c r="G966" s="1091"/>
    </row>
    <row r="967" spans="1:7" ht="15.75" customHeight="1">
      <c r="A967" s="208"/>
      <c r="B967" s="687"/>
      <c r="D967" s="208"/>
      <c r="E967" s="208"/>
      <c r="F967" s="1091"/>
      <c r="G967" s="1091"/>
    </row>
    <row r="968" spans="1:7" ht="15.75" customHeight="1">
      <c r="A968" s="208"/>
      <c r="B968" s="687"/>
      <c r="D968" s="208"/>
      <c r="E968" s="208"/>
      <c r="F968" s="1091"/>
      <c r="G968" s="1091"/>
    </row>
    <row r="969" spans="1:7" ht="15.75" customHeight="1">
      <c r="A969" s="208"/>
      <c r="B969" s="687"/>
      <c r="D969" s="208"/>
      <c r="E969" s="208"/>
      <c r="F969" s="1091"/>
      <c r="G969" s="1091"/>
    </row>
    <row r="970" spans="1:7" ht="15.75" customHeight="1">
      <c r="A970" s="208"/>
      <c r="B970" s="687"/>
      <c r="D970" s="208"/>
      <c r="E970" s="208"/>
      <c r="F970" s="1091"/>
      <c r="G970" s="1091"/>
    </row>
    <row r="971" spans="1:7" ht="15.75" customHeight="1">
      <c r="A971" s="208"/>
      <c r="B971" s="687"/>
      <c r="D971" s="208"/>
      <c r="E971" s="208"/>
      <c r="F971" s="1091"/>
      <c r="G971" s="1091"/>
    </row>
    <row r="972" spans="1:7" ht="15.75" customHeight="1">
      <c r="A972" s="208"/>
      <c r="B972" s="687"/>
      <c r="D972" s="208"/>
      <c r="E972" s="208"/>
      <c r="F972" s="1091"/>
      <c r="G972" s="1091"/>
    </row>
    <row r="973" spans="1:7" ht="15.75" customHeight="1">
      <c r="A973" s="208"/>
      <c r="B973" s="687"/>
      <c r="D973" s="208"/>
      <c r="E973" s="208"/>
      <c r="F973" s="1091"/>
      <c r="G973" s="1091"/>
    </row>
    <row r="974" spans="1:7" ht="15.75" customHeight="1">
      <c r="A974" s="208"/>
      <c r="B974" s="687"/>
      <c r="D974" s="208"/>
      <c r="E974" s="208"/>
      <c r="F974" s="1091"/>
      <c r="G974" s="1091"/>
    </row>
    <row r="975" spans="1:7" ht="15.75" customHeight="1">
      <c r="A975" s="208"/>
      <c r="B975" s="687"/>
      <c r="D975" s="208"/>
      <c r="E975" s="208"/>
      <c r="F975" s="1091"/>
      <c r="G975" s="1091"/>
    </row>
    <row r="976" spans="1:7" ht="15.75" customHeight="1">
      <c r="A976" s="208"/>
      <c r="B976" s="687"/>
      <c r="D976" s="208"/>
      <c r="E976" s="208"/>
      <c r="F976" s="1091"/>
      <c r="G976" s="1091"/>
    </row>
    <row r="977" spans="1:7" ht="15.75" customHeight="1">
      <c r="A977" s="208"/>
      <c r="B977" s="687"/>
      <c r="D977" s="208"/>
      <c r="E977" s="208"/>
      <c r="F977" s="1091"/>
      <c r="G977" s="1091"/>
    </row>
    <row r="978" spans="1:7" ht="15.75" customHeight="1">
      <c r="A978" s="208"/>
      <c r="B978" s="687"/>
      <c r="D978" s="208"/>
      <c r="E978" s="208"/>
      <c r="F978" s="1091"/>
      <c r="G978" s="1091"/>
    </row>
    <row r="979" spans="1:7" ht="15.75" customHeight="1">
      <c r="A979" s="208"/>
      <c r="B979" s="687"/>
      <c r="D979" s="208"/>
      <c r="E979" s="208"/>
      <c r="F979" s="1091"/>
      <c r="G979" s="1091"/>
    </row>
    <row r="980" spans="1:7" ht="15.75" customHeight="1">
      <c r="A980" s="208"/>
      <c r="B980" s="687"/>
      <c r="D980" s="208"/>
      <c r="E980" s="208"/>
      <c r="F980" s="1091"/>
      <c r="G980" s="1091"/>
    </row>
    <row r="981" spans="1:7" ht="15.75" customHeight="1">
      <c r="A981" s="208"/>
      <c r="B981" s="687"/>
      <c r="D981" s="208"/>
      <c r="E981" s="208"/>
      <c r="F981" s="1091"/>
      <c r="G981" s="1091"/>
    </row>
    <row r="982" spans="1:7" ht="15.75" customHeight="1">
      <c r="A982" s="208"/>
      <c r="B982" s="687"/>
      <c r="D982" s="208"/>
      <c r="E982" s="208"/>
      <c r="F982" s="1091"/>
      <c r="G982" s="1091"/>
    </row>
    <row r="983" spans="1:7" ht="15.75" customHeight="1">
      <c r="A983" s="208"/>
      <c r="B983" s="687"/>
      <c r="D983" s="208"/>
      <c r="E983" s="208"/>
      <c r="F983" s="1091"/>
      <c r="G983" s="1091"/>
    </row>
    <row r="984" spans="1:7" ht="15.75" customHeight="1">
      <c r="A984" s="208"/>
      <c r="B984" s="687"/>
      <c r="D984" s="208"/>
      <c r="E984" s="208"/>
      <c r="F984" s="1091"/>
      <c r="G984" s="1091"/>
    </row>
    <row r="985" spans="1:7" ht="15.75" customHeight="1">
      <c r="A985" s="208"/>
      <c r="B985" s="687"/>
      <c r="D985" s="208"/>
      <c r="E985" s="208"/>
      <c r="F985" s="1091"/>
      <c r="G985" s="1091"/>
    </row>
    <row r="986" spans="1:7" ht="15.75" customHeight="1">
      <c r="A986" s="208"/>
      <c r="B986" s="687"/>
      <c r="D986" s="208"/>
      <c r="E986" s="208"/>
      <c r="F986" s="1091"/>
      <c r="G986" s="1091"/>
    </row>
    <row r="987" spans="1:7" ht="15.75" customHeight="1">
      <c r="A987" s="208"/>
      <c r="B987" s="687"/>
      <c r="D987" s="208"/>
      <c r="E987" s="208"/>
      <c r="F987" s="1091"/>
      <c r="G987" s="1091"/>
    </row>
    <row r="988" spans="1:7" ht="15.75" customHeight="1">
      <c r="A988" s="208"/>
      <c r="B988" s="687"/>
      <c r="D988" s="208"/>
      <c r="E988" s="208"/>
      <c r="F988" s="1091"/>
      <c r="G988" s="1091"/>
    </row>
    <row r="989" spans="1:7" ht="15.75" customHeight="1">
      <c r="A989" s="208"/>
      <c r="B989" s="687"/>
      <c r="D989" s="208"/>
      <c r="E989" s="208"/>
      <c r="F989" s="1091"/>
      <c r="G989" s="1091"/>
    </row>
    <row r="990" spans="1:7" ht="15.75" customHeight="1">
      <c r="A990" s="208"/>
      <c r="B990" s="687"/>
      <c r="D990" s="208"/>
      <c r="E990" s="208"/>
      <c r="F990" s="1091"/>
      <c r="G990" s="1091"/>
    </row>
    <row r="991" spans="1:7" ht="15.75" customHeight="1">
      <c r="A991" s="208"/>
      <c r="B991" s="687"/>
      <c r="D991" s="208"/>
      <c r="E991" s="208"/>
      <c r="F991" s="1091"/>
      <c r="G991" s="1091"/>
    </row>
    <row r="992" spans="1:7" ht="15.75" customHeight="1">
      <c r="A992" s="208"/>
      <c r="B992" s="687"/>
      <c r="D992" s="208"/>
      <c r="E992" s="208"/>
      <c r="F992" s="1091"/>
      <c r="G992" s="1091"/>
    </row>
    <row r="993" spans="1:7" ht="15.75" customHeight="1">
      <c r="A993" s="208"/>
      <c r="B993" s="687"/>
      <c r="D993" s="208"/>
      <c r="E993" s="208"/>
      <c r="F993" s="1091"/>
      <c r="G993" s="1091"/>
    </row>
    <row r="994" spans="1:7" ht="15.75" customHeight="1">
      <c r="A994" s="208"/>
      <c r="B994" s="687"/>
      <c r="D994" s="208"/>
      <c r="E994" s="208"/>
      <c r="F994" s="1091"/>
      <c r="G994" s="1091"/>
    </row>
    <row r="995" spans="1:7" ht="15.75" customHeight="1">
      <c r="A995" s="208"/>
      <c r="B995" s="687"/>
      <c r="D995" s="208"/>
      <c r="E995" s="208"/>
      <c r="F995" s="1091"/>
      <c r="G995" s="1091"/>
    </row>
    <row r="996" spans="1:7" ht="15.75" customHeight="1">
      <c r="A996" s="208"/>
      <c r="B996" s="687"/>
      <c r="D996" s="208"/>
      <c r="E996" s="208"/>
      <c r="F996" s="1091"/>
      <c r="G996" s="1091"/>
    </row>
    <row r="997" spans="1:7" ht="15.75" customHeight="1">
      <c r="A997" s="208"/>
      <c r="B997" s="687"/>
      <c r="D997" s="208"/>
      <c r="E997" s="208"/>
      <c r="F997" s="1091"/>
      <c r="G997" s="1091"/>
    </row>
    <row r="998" spans="1:7" ht="15.75" customHeight="1">
      <c r="A998" s="208"/>
      <c r="B998" s="687"/>
      <c r="D998" s="208"/>
      <c r="E998" s="208"/>
      <c r="F998" s="1091"/>
      <c r="G998" s="1091"/>
    </row>
  </sheetData>
  <mergeCells count="1">
    <mergeCell ref="A1:F1"/>
  </mergeCells>
  <pageMargins left="0.7" right="0.7" top="0.75" bottom="0.75" header="0" footer="0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E1000"/>
  <sheetViews>
    <sheetView topLeftCell="A64" workbookViewId="0"/>
  </sheetViews>
  <sheetFormatPr defaultColWidth="14.42578125" defaultRowHeight="15" customHeight="1"/>
  <cols>
    <col min="1" max="1" width="5.85546875" customWidth="1"/>
    <col min="2" max="2" width="40.5703125" customWidth="1"/>
    <col min="3" max="3" width="14.5703125" customWidth="1"/>
    <col min="4" max="4" width="21.28515625" customWidth="1"/>
    <col min="5" max="5" width="19.42578125" customWidth="1"/>
    <col min="6" max="26" width="10" customWidth="1"/>
  </cols>
  <sheetData>
    <row r="2" spans="1:5">
      <c r="A2" s="967" t="s">
        <v>2453</v>
      </c>
      <c r="B2" s="968"/>
      <c r="C2" s="968"/>
      <c r="D2" s="968"/>
      <c r="E2" s="969"/>
    </row>
    <row r="3" spans="1:5">
      <c r="A3" s="970" t="s">
        <v>2454</v>
      </c>
      <c r="B3" s="968"/>
      <c r="C3" s="968"/>
      <c r="D3" s="968"/>
      <c r="E3" s="969"/>
    </row>
    <row r="4" spans="1:5" ht="15.75">
      <c r="A4" s="717"/>
      <c r="B4" s="718"/>
      <c r="C4" s="718"/>
      <c r="D4" s="718"/>
      <c r="E4" s="718"/>
    </row>
    <row r="5" spans="1:5" ht="15.75">
      <c r="A5" s="719" t="s">
        <v>657</v>
      </c>
      <c r="B5" s="720" t="s">
        <v>2455</v>
      </c>
      <c r="C5" s="720" t="s">
        <v>8</v>
      </c>
      <c r="D5" s="720" t="s">
        <v>661</v>
      </c>
      <c r="E5" s="720" t="s">
        <v>2456</v>
      </c>
    </row>
    <row r="6" spans="1:5">
      <c r="A6" s="650">
        <v>1</v>
      </c>
      <c r="B6" s="721" t="s">
        <v>2457</v>
      </c>
      <c r="C6" s="650">
        <v>3</v>
      </c>
      <c r="D6" s="722">
        <v>1987000</v>
      </c>
      <c r="E6" s="723">
        <f t="shared" ref="E6:E68" si="0">SUM(D6*C6)</f>
        <v>5961000</v>
      </c>
    </row>
    <row r="7" spans="1:5">
      <c r="A7" s="650">
        <v>2</v>
      </c>
      <c r="B7" s="721" t="s">
        <v>2458</v>
      </c>
      <c r="C7" s="650">
        <v>1</v>
      </c>
      <c r="D7" s="722">
        <v>1520000</v>
      </c>
      <c r="E7" s="723">
        <f t="shared" si="0"/>
        <v>1520000</v>
      </c>
    </row>
    <row r="8" spans="1:5">
      <c r="A8" s="650">
        <v>3</v>
      </c>
      <c r="B8" s="721" t="s">
        <v>2459</v>
      </c>
      <c r="C8" s="650">
        <v>1</v>
      </c>
      <c r="D8" s="722">
        <v>5940000</v>
      </c>
      <c r="E8" s="723">
        <f t="shared" si="0"/>
        <v>5940000</v>
      </c>
    </row>
    <row r="9" spans="1:5">
      <c r="A9" s="650">
        <v>4</v>
      </c>
      <c r="B9" s="721" t="s">
        <v>2452</v>
      </c>
      <c r="C9" s="650">
        <v>2</v>
      </c>
      <c r="D9" s="722">
        <v>791000</v>
      </c>
      <c r="E9" s="723">
        <f t="shared" si="0"/>
        <v>1582000</v>
      </c>
    </row>
    <row r="10" spans="1:5">
      <c r="A10" s="650">
        <v>5</v>
      </c>
      <c r="B10" s="721" t="s">
        <v>2460</v>
      </c>
      <c r="C10" s="650">
        <v>1</v>
      </c>
      <c r="D10" s="722">
        <v>3500000</v>
      </c>
      <c r="E10" s="723">
        <f t="shared" si="0"/>
        <v>3500000</v>
      </c>
    </row>
    <row r="11" spans="1:5">
      <c r="A11" s="650">
        <v>6</v>
      </c>
      <c r="B11" s="721" t="s">
        <v>2461</v>
      </c>
      <c r="C11" s="650">
        <v>28</v>
      </c>
      <c r="D11" s="722">
        <v>625000</v>
      </c>
      <c r="E11" s="723">
        <f t="shared" si="0"/>
        <v>17500000</v>
      </c>
    </row>
    <row r="12" spans="1:5">
      <c r="A12" s="650">
        <v>7</v>
      </c>
      <c r="B12" s="721" t="s">
        <v>1490</v>
      </c>
      <c r="C12" s="650">
        <v>3</v>
      </c>
      <c r="D12" s="722">
        <v>632000</v>
      </c>
      <c r="E12" s="723">
        <f t="shared" si="0"/>
        <v>1896000</v>
      </c>
    </row>
    <row r="13" spans="1:5">
      <c r="A13" s="650">
        <v>8</v>
      </c>
      <c r="B13" s="721" t="s">
        <v>2462</v>
      </c>
      <c r="C13" s="650">
        <v>1</v>
      </c>
      <c r="D13" s="722">
        <v>1624000</v>
      </c>
      <c r="E13" s="723">
        <f t="shared" si="0"/>
        <v>1624000</v>
      </c>
    </row>
    <row r="14" spans="1:5">
      <c r="A14" s="650">
        <v>9</v>
      </c>
      <c r="B14" s="721" t="s">
        <v>2463</v>
      </c>
      <c r="C14" s="650">
        <v>1</v>
      </c>
      <c r="D14" s="722">
        <v>6050000</v>
      </c>
      <c r="E14" s="723">
        <f t="shared" si="0"/>
        <v>6050000</v>
      </c>
    </row>
    <row r="15" spans="1:5">
      <c r="A15" s="650">
        <v>10</v>
      </c>
      <c r="B15" s="721" t="s">
        <v>2464</v>
      </c>
      <c r="C15" s="650">
        <v>1</v>
      </c>
      <c r="D15" s="722">
        <v>622000</v>
      </c>
      <c r="E15" s="723">
        <f t="shared" si="0"/>
        <v>622000</v>
      </c>
    </row>
    <row r="16" spans="1:5">
      <c r="A16" s="650">
        <v>11</v>
      </c>
      <c r="B16" s="721" t="s">
        <v>2465</v>
      </c>
      <c r="C16" s="724">
        <v>15</v>
      </c>
      <c r="D16" s="722">
        <v>377000</v>
      </c>
      <c r="E16" s="723">
        <f t="shared" si="0"/>
        <v>5655000</v>
      </c>
    </row>
    <row r="17" spans="1:5">
      <c r="A17" s="650">
        <v>12</v>
      </c>
      <c r="B17" s="721" t="s">
        <v>2466</v>
      </c>
      <c r="C17" s="650">
        <v>1</v>
      </c>
      <c r="D17" s="722">
        <v>509000</v>
      </c>
      <c r="E17" s="723">
        <f t="shared" si="0"/>
        <v>509000</v>
      </c>
    </row>
    <row r="18" spans="1:5">
      <c r="A18" s="650">
        <v>13</v>
      </c>
      <c r="B18" s="721" t="s">
        <v>2467</v>
      </c>
      <c r="C18" s="650">
        <v>2</v>
      </c>
      <c r="D18" s="722">
        <v>382000</v>
      </c>
      <c r="E18" s="723">
        <f t="shared" si="0"/>
        <v>764000</v>
      </c>
    </row>
    <row r="19" spans="1:5">
      <c r="A19" s="650">
        <v>14</v>
      </c>
      <c r="B19" s="721" t="s">
        <v>2468</v>
      </c>
      <c r="C19" s="650">
        <v>1</v>
      </c>
      <c r="D19" s="722">
        <v>598000</v>
      </c>
      <c r="E19" s="723">
        <f t="shared" si="0"/>
        <v>598000</v>
      </c>
    </row>
    <row r="20" spans="1:5">
      <c r="A20" s="650">
        <v>15</v>
      </c>
      <c r="B20" s="721" t="s">
        <v>2469</v>
      </c>
      <c r="C20" s="650">
        <v>1</v>
      </c>
      <c r="D20" s="722">
        <v>436000</v>
      </c>
      <c r="E20" s="723">
        <f t="shared" si="0"/>
        <v>436000</v>
      </c>
    </row>
    <row r="21" spans="1:5" ht="15.75" customHeight="1">
      <c r="A21" s="650">
        <v>16</v>
      </c>
      <c r="B21" s="649" t="s">
        <v>2470</v>
      </c>
      <c r="C21" s="650">
        <v>1</v>
      </c>
      <c r="D21" s="722">
        <v>1509000</v>
      </c>
      <c r="E21" s="723">
        <f t="shared" si="0"/>
        <v>1509000</v>
      </c>
    </row>
    <row r="22" spans="1:5" ht="15.75" customHeight="1">
      <c r="A22" s="650">
        <v>17</v>
      </c>
      <c r="B22" s="721" t="s">
        <v>2471</v>
      </c>
      <c r="C22" s="650">
        <v>1</v>
      </c>
      <c r="D22" s="722">
        <v>479000</v>
      </c>
      <c r="E22" s="723">
        <f t="shared" si="0"/>
        <v>479000</v>
      </c>
    </row>
    <row r="23" spans="1:5" ht="15.75" customHeight="1">
      <c r="A23" s="650">
        <v>18</v>
      </c>
      <c r="B23" s="721" t="s">
        <v>2472</v>
      </c>
      <c r="C23" s="650">
        <v>2</v>
      </c>
      <c r="D23" s="722">
        <v>586000</v>
      </c>
      <c r="E23" s="723">
        <f t="shared" si="0"/>
        <v>1172000</v>
      </c>
    </row>
    <row r="24" spans="1:5" ht="15.75" customHeight="1">
      <c r="A24" s="650">
        <v>19</v>
      </c>
      <c r="B24" s="721" t="s">
        <v>2473</v>
      </c>
      <c r="C24" s="650">
        <v>1</v>
      </c>
      <c r="D24" s="722">
        <v>454000</v>
      </c>
      <c r="E24" s="723">
        <f t="shared" si="0"/>
        <v>454000</v>
      </c>
    </row>
    <row r="25" spans="1:5" ht="15.75" customHeight="1">
      <c r="A25" s="650">
        <v>20</v>
      </c>
      <c r="B25" s="721" t="s">
        <v>2474</v>
      </c>
      <c r="C25" s="650">
        <v>6</v>
      </c>
      <c r="D25" s="722">
        <v>402000</v>
      </c>
      <c r="E25" s="723">
        <f t="shared" si="0"/>
        <v>2412000</v>
      </c>
    </row>
    <row r="26" spans="1:5" ht="15.75" customHeight="1">
      <c r="A26" s="650">
        <v>21</v>
      </c>
      <c r="B26" s="721" t="s">
        <v>2475</v>
      </c>
      <c r="C26" s="650">
        <v>2</v>
      </c>
      <c r="D26" s="722">
        <v>480000</v>
      </c>
      <c r="E26" s="723">
        <f t="shared" si="0"/>
        <v>960000</v>
      </c>
    </row>
    <row r="27" spans="1:5" ht="15.75" customHeight="1">
      <c r="A27" s="650">
        <v>22</v>
      </c>
      <c r="B27" s="721" t="s">
        <v>2476</v>
      </c>
      <c r="C27" s="650">
        <v>3</v>
      </c>
      <c r="D27" s="722">
        <v>895000</v>
      </c>
      <c r="E27" s="723">
        <f t="shared" si="0"/>
        <v>2685000</v>
      </c>
    </row>
    <row r="28" spans="1:5" ht="15.75" customHeight="1">
      <c r="A28" s="650">
        <v>23</v>
      </c>
      <c r="B28" s="721" t="s">
        <v>2477</v>
      </c>
      <c r="C28" s="650">
        <v>4</v>
      </c>
      <c r="D28" s="722">
        <v>645000</v>
      </c>
      <c r="E28" s="723">
        <f t="shared" si="0"/>
        <v>2580000</v>
      </c>
    </row>
    <row r="29" spans="1:5" ht="15.75" customHeight="1">
      <c r="A29" s="650">
        <v>24</v>
      </c>
      <c r="B29" s="721" t="s">
        <v>2478</v>
      </c>
      <c r="C29" s="650">
        <v>4</v>
      </c>
      <c r="D29" s="722">
        <v>478000</v>
      </c>
      <c r="E29" s="723">
        <f t="shared" si="0"/>
        <v>1912000</v>
      </c>
    </row>
    <row r="30" spans="1:5" ht="15.75" customHeight="1">
      <c r="A30" s="650">
        <v>25</v>
      </c>
      <c r="B30" s="721" t="s">
        <v>2479</v>
      </c>
      <c r="C30" s="650">
        <v>60</v>
      </c>
      <c r="D30" s="722">
        <v>451000</v>
      </c>
      <c r="E30" s="723">
        <f t="shared" si="0"/>
        <v>27060000</v>
      </c>
    </row>
    <row r="31" spans="1:5" ht="15.75" customHeight="1">
      <c r="A31" s="650">
        <v>26</v>
      </c>
      <c r="B31" s="721" t="s">
        <v>2480</v>
      </c>
      <c r="C31" s="650">
        <v>2</v>
      </c>
      <c r="D31" s="722">
        <v>336000</v>
      </c>
      <c r="E31" s="723">
        <f t="shared" si="0"/>
        <v>672000</v>
      </c>
    </row>
    <row r="32" spans="1:5" ht="15.75" customHeight="1">
      <c r="A32" s="650">
        <v>27</v>
      </c>
      <c r="B32" s="649" t="s">
        <v>2481</v>
      </c>
      <c r="C32" s="650">
        <v>3</v>
      </c>
      <c r="D32" s="722">
        <v>598000</v>
      </c>
      <c r="E32" s="723">
        <f t="shared" si="0"/>
        <v>1794000</v>
      </c>
    </row>
    <row r="33" spans="1:5" ht="15.75" customHeight="1">
      <c r="A33" s="650">
        <v>28</v>
      </c>
      <c r="B33" s="721" t="s">
        <v>2482</v>
      </c>
      <c r="C33" s="650">
        <v>1</v>
      </c>
      <c r="D33" s="722">
        <v>692000</v>
      </c>
      <c r="E33" s="723">
        <f t="shared" si="0"/>
        <v>692000</v>
      </c>
    </row>
    <row r="34" spans="1:5" ht="15.75" customHeight="1">
      <c r="A34" s="650">
        <v>29</v>
      </c>
      <c r="B34" s="721" t="s">
        <v>2483</v>
      </c>
      <c r="C34" s="650">
        <v>1</v>
      </c>
      <c r="D34" s="722">
        <v>632000</v>
      </c>
      <c r="E34" s="723">
        <f t="shared" si="0"/>
        <v>632000</v>
      </c>
    </row>
    <row r="35" spans="1:5" ht="15.75" customHeight="1">
      <c r="A35" s="650">
        <v>30</v>
      </c>
      <c r="B35" s="721" t="s">
        <v>2484</v>
      </c>
      <c r="C35" s="650">
        <v>4</v>
      </c>
      <c r="D35" s="722">
        <v>658000</v>
      </c>
      <c r="E35" s="723">
        <f t="shared" si="0"/>
        <v>2632000</v>
      </c>
    </row>
    <row r="36" spans="1:5" ht="15.75" customHeight="1">
      <c r="A36" s="650">
        <v>31</v>
      </c>
      <c r="B36" s="721" t="s">
        <v>2485</v>
      </c>
      <c r="C36" s="650">
        <v>6</v>
      </c>
      <c r="D36" s="722">
        <v>399000</v>
      </c>
      <c r="E36" s="723">
        <f t="shared" si="0"/>
        <v>2394000</v>
      </c>
    </row>
    <row r="37" spans="1:5" ht="15.75" customHeight="1">
      <c r="A37" s="650">
        <v>32</v>
      </c>
      <c r="B37" s="721" t="s">
        <v>2486</v>
      </c>
      <c r="C37" s="650">
        <v>13</v>
      </c>
      <c r="D37" s="722">
        <v>601000</v>
      </c>
      <c r="E37" s="723">
        <f t="shared" si="0"/>
        <v>7813000</v>
      </c>
    </row>
    <row r="38" spans="1:5" ht="15.75" customHeight="1">
      <c r="A38" s="650">
        <v>33</v>
      </c>
      <c r="B38" s="721" t="s">
        <v>2487</v>
      </c>
      <c r="C38" s="650">
        <v>6</v>
      </c>
      <c r="D38" s="722">
        <v>6050000</v>
      </c>
      <c r="E38" s="723">
        <f t="shared" si="0"/>
        <v>36300000</v>
      </c>
    </row>
    <row r="39" spans="1:5" ht="15.75" customHeight="1">
      <c r="A39" s="650">
        <v>34</v>
      </c>
      <c r="B39" s="721" t="s">
        <v>2488</v>
      </c>
      <c r="C39" s="650">
        <v>3</v>
      </c>
      <c r="D39" s="722">
        <v>432000</v>
      </c>
      <c r="E39" s="723">
        <f t="shared" si="0"/>
        <v>1296000</v>
      </c>
    </row>
    <row r="40" spans="1:5" ht="15.75" customHeight="1">
      <c r="A40" s="650">
        <v>35</v>
      </c>
      <c r="B40" s="721" t="s">
        <v>2489</v>
      </c>
      <c r="C40" s="650">
        <v>8</v>
      </c>
      <c r="D40" s="722">
        <v>408000</v>
      </c>
      <c r="E40" s="723">
        <f t="shared" si="0"/>
        <v>3264000</v>
      </c>
    </row>
    <row r="41" spans="1:5" ht="15.75" customHeight="1">
      <c r="A41" s="650">
        <v>36</v>
      </c>
      <c r="B41" s="721" t="s">
        <v>2490</v>
      </c>
      <c r="C41" s="650">
        <v>1</v>
      </c>
      <c r="D41" s="722">
        <v>385000</v>
      </c>
      <c r="E41" s="723">
        <f t="shared" si="0"/>
        <v>385000</v>
      </c>
    </row>
    <row r="42" spans="1:5" ht="15.75" customHeight="1">
      <c r="A42" s="650">
        <v>37</v>
      </c>
      <c r="B42" s="721" t="s">
        <v>2491</v>
      </c>
      <c r="C42" s="650">
        <v>1</v>
      </c>
      <c r="D42" s="722">
        <v>645000</v>
      </c>
      <c r="E42" s="723">
        <f t="shared" si="0"/>
        <v>645000</v>
      </c>
    </row>
    <row r="43" spans="1:5" ht="15.75" customHeight="1">
      <c r="A43" s="650">
        <v>38</v>
      </c>
      <c r="B43" s="721" t="s">
        <v>2492</v>
      </c>
      <c r="C43" s="650">
        <v>9</v>
      </c>
      <c r="D43" s="722">
        <v>428000</v>
      </c>
      <c r="E43" s="723">
        <f t="shared" si="0"/>
        <v>3852000</v>
      </c>
    </row>
    <row r="44" spans="1:5" ht="15.75" customHeight="1">
      <c r="A44" s="650">
        <v>39</v>
      </c>
      <c r="B44" s="721" t="s">
        <v>2493</v>
      </c>
      <c r="C44" s="650">
        <v>12</v>
      </c>
      <c r="D44" s="722">
        <v>732000</v>
      </c>
      <c r="E44" s="723">
        <f t="shared" si="0"/>
        <v>8784000</v>
      </c>
    </row>
    <row r="45" spans="1:5" ht="15.75" customHeight="1">
      <c r="A45" s="650">
        <v>40</v>
      </c>
      <c r="B45" s="721" t="s">
        <v>2494</v>
      </c>
      <c r="C45" s="650">
        <v>1</v>
      </c>
      <c r="D45" s="722">
        <v>403000</v>
      </c>
      <c r="E45" s="723">
        <f t="shared" si="0"/>
        <v>403000</v>
      </c>
    </row>
    <row r="46" spans="1:5" ht="15.75" customHeight="1">
      <c r="A46" s="650">
        <v>41</v>
      </c>
      <c r="B46" s="725" t="s">
        <v>2495</v>
      </c>
      <c r="C46" s="645">
        <v>16</v>
      </c>
      <c r="D46" s="723">
        <v>379000</v>
      </c>
      <c r="E46" s="723">
        <f t="shared" si="0"/>
        <v>6064000</v>
      </c>
    </row>
    <row r="47" spans="1:5" ht="15.75" customHeight="1">
      <c r="A47" s="650">
        <v>42</v>
      </c>
      <c r="B47" s="725" t="s">
        <v>2496</v>
      </c>
      <c r="C47" s="645">
        <v>1</v>
      </c>
      <c r="D47" s="723">
        <v>3500000</v>
      </c>
      <c r="E47" s="723">
        <f t="shared" si="0"/>
        <v>3500000</v>
      </c>
    </row>
    <row r="48" spans="1:5" ht="15.75" customHeight="1">
      <c r="A48" s="650">
        <v>43</v>
      </c>
      <c r="B48" s="721" t="s">
        <v>1475</v>
      </c>
      <c r="C48" s="650">
        <v>3</v>
      </c>
      <c r="D48" s="722">
        <v>477000</v>
      </c>
      <c r="E48" s="723">
        <f t="shared" si="0"/>
        <v>1431000</v>
      </c>
    </row>
    <row r="49" spans="1:5" ht="15.75" customHeight="1">
      <c r="A49" s="650">
        <v>44</v>
      </c>
      <c r="B49" s="721" t="s">
        <v>2497</v>
      </c>
      <c r="C49" s="650">
        <v>12</v>
      </c>
      <c r="D49" s="722">
        <v>424000</v>
      </c>
      <c r="E49" s="723">
        <f t="shared" si="0"/>
        <v>5088000</v>
      </c>
    </row>
    <row r="50" spans="1:5" ht="15.75" customHeight="1">
      <c r="A50" s="650">
        <v>45</v>
      </c>
      <c r="B50" s="721" t="s">
        <v>2498</v>
      </c>
      <c r="C50" s="650">
        <v>5</v>
      </c>
      <c r="D50" s="722">
        <v>424000</v>
      </c>
      <c r="E50" s="723">
        <f t="shared" si="0"/>
        <v>2120000</v>
      </c>
    </row>
    <row r="51" spans="1:5" ht="15.75" customHeight="1">
      <c r="A51" s="650">
        <v>46</v>
      </c>
      <c r="B51" s="721" t="s">
        <v>1481</v>
      </c>
      <c r="C51" s="650">
        <v>1</v>
      </c>
      <c r="D51" s="722">
        <v>1675000</v>
      </c>
      <c r="E51" s="723">
        <f t="shared" si="0"/>
        <v>1675000</v>
      </c>
    </row>
    <row r="52" spans="1:5" ht="15.75" customHeight="1">
      <c r="A52" s="650">
        <v>47</v>
      </c>
      <c r="B52" s="721" t="s">
        <v>2499</v>
      </c>
      <c r="C52" s="650">
        <v>1</v>
      </c>
      <c r="D52" s="722">
        <v>408000</v>
      </c>
      <c r="E52" s="723">
        <f t="shared" si="0"/>
        <v>408000</v>
      </c>
    </row>
    <row r="53" spans="1:5" ht="15.75" customHeight="1">
      <c r="A53" s="650">
        <v>48</v>
      </c>
      <c r="B53" s="721" t="s">
        <v>2500</v>
      </c>
      <c r="C53" s="650">
        <v>1</v>
      </c>
      <c r="D53" s="722">
        <v>609000</v>
      </c>
      <c r="E53" s="723">
        <f t="shared" si="0"/>
        <v>609000</v>
      </c>
    </row>
    <row r="54" spans="1:5" ht="15.75" customHeight="1">
      <c r="A54" s="650">
        <v>49</v>
      </c>
      <c r="B54" s="725" t="s">
        <v>2501</v>
      </c>
      <c r="C54" s="645">
        <v>8</v>
      </c>
      <c r="D54" s="723">
        <v>250000</v>
      </c>
      <c r="E54" s="723">
        <f t="shared" si="0"/>
        <v>2000000</v>
      </c>
    </row>
    <row r="55" spans="1:5" ht="15.75" customHeight="1">
      <c r="A55" s="650">
        <v>50</v>
      </c>
      <c r="B55" s="725" t="s">
        <v>2502</v>
      </c>
      <c r="C55" s="645">
        <v>1</v>
      </c>
      <c r="D55" s="723">
        <v>493000</v>
      </c>
      <c r="E55" s="723">
        <f t="shared" si="0"/>
        <v>493000</v>
      </c>
    </row>
    <row r="56" spans="1:5" ht="15.75" customHeight="1">
      <c r="A56" s="650">
        <v>51</v>
      </c>
      <c r="B56" s="725" t="s">
        <v>2503</v>
      </c>
      <c r="C56" s="645">
        <v>1</v>
      </c>
      <c r="D56" s="723">
        <v>698000</v>
      </c>
      <c r="E56" s="723">
        <f t="shared" si="0"/>
        <v>698000</v>
      </c>
    </row>
    <row r="57" spans="1:5" ht="15.75" customHeight="1">
      <c r="A57" s="650">
        <v>52</v>
      </c>
      <c r="B57" s="721" t="s">
        <v>2504</v>
      </c>
      <c r="C57" s="650">
        <v>12</v>
      </c>
      <c r="D57" s="722">
        <v>336000</v>
      </c>
      <c r="E57" s="723">
        <f t="shared" si="0"/>
        <v>4032000</v>
      </c>
    </row>
    <row r="58" spans="1:5" ht="15.75" customHeight="1">
      <c r="A58" s="650">
        <v>53</v>
      </c>
      <c r="B58" s="721" t="s">
        <v>2505</v>
      </c>
      <c r="C58" s="650">
        <v>12</v>
      </c>
      <c r="D58" s="722">
        <v>336000</v>
      </c>
      <c r="E58" s="723">
        <f t="shared" si="0"/>
        <v>4032000</v>
      </c>
    </row>
    <row r="59" spans="1:5" ht="15.75" customHeight="1">
      <c r="A59" s="650">
        <v>54</v>
      </c>
      <c r="B59" s="721" t="s">
        <v>2506</v>
      </c>
      <c r="C59" s="650">
        <v>1</v>
      </c>
      <c r="D59" s="722">
        <v>701000</v>
      </c>
      <c r="E59" s="723">
        <f t="shared" si="0"/>
        <v>701000</v>
      </c>
    </row>
    <row r="60" spans="1:5" ht="15.75" customHeight="1">
      <c r="A60" s="650">
        <v>55</v>
      </c>
      <c r="B60" s="721" t="s">
        <v>2507</v>
      </c>
      <c r="C60" s="650">
        <v>22</v>
      </c>
      <c r="D60" s="722">
        <v>601000</v>
      </c>
      <c r="E60" s="723">
        <f t="shared" si="0"/>
        <v>13222000</v>
      </c>
    </row>
    <row r="61" spans="1:5" ht="15.75" customHeight="1">
      <c r="A61" s="650">
        <v>56</v>
      </c>
      <c r="B61" s="721" t="s">
        <v>2508</v>
      </c>
      <c r="C61" s="650">
        <v>12</v>
      </c>
      <c r="D61" s="722">
        <v>399000</v>
      </c>
      <c r="E61" s="723">
        <f t="shared" si="0"/>
        <v>4788000</v>
      </c>
    </row>
    <row r="62" spans="1:5" ht="15.75" customHeight="1">
      <c r="A62" s="650">
        <v>57</v>
      </c>
      <c r="B62" s="721" t="s">
        <v>2509</v>
      </c>
      <c r="C62" s="650">
        <v>12</v>
      </c>
      <c r="D62" s="722">
        <v>577000</v>
      </c>
      <c r="E62" s="723">
        <f t="shared" si="0"/>
        <v>6924000</v>
      </c>
    </row>
    <row r="63" spans="1:5" ht="15.75" customHeight="1">
      <c r="A63" s="650">
        <v>58</v>
      </c>
      <c r="B63" s="721" t="s">
        <v>2510</v>
      </c>
      <c r="C63" s="650">
        <v>3</v>
      </c>
      <c r="D63" s="722">
        <v>457000</v>
      </c>
      <c r="E63" s="723">
        <f t="shared" si="0"/>
        <v>1371000</v>
      </c>
    </row>
    <row r="64" spans="1:5" ht="15.75" customHeight="1">
      <c r="A64" s="650">
        <v>59</v>
      </c>
      <c r="B64" s="649" t="s">
        <v>2511</v>
      </c>
      <c r="C64" s="650">
        <v>7</v>
      </c>
      <c r="D64" s="722">
        <v>418000</v>
      </c>
      <c r="E64" s="723">
        <f t="shared" si="0"/>
        <v>2926000</v>
      </c>
    </row>
    <row r="65" spans="1:5" ht="15.75" customHeight="1">
      <c r="A65" s="650">
        <v>60</v>
      </c>
      <c r="B65" s="649" t="s">
        <v>2512</v>
      </c>
      <c r="C65" s="650">
        <v>5</v>
      </c>
      <c r="D65" s="722">
        <v>592000</v>
      </c>
      <c r="E65" s="723">
        <f t="shared" si="0"/>
        <v>2960000</v>
      </c>
    </row>
    <row r="66" spans="1:5" ht="15.75" customHeight="1">
      <c r="A66" s="650">
        <v>61</v>
      </c>
      <c r="B66" s="649" t="s">
        <v>2513</v>
      </c>
      <c r="C66" s="650">
        <v>1</v>
      </c>
      <c r="D66" s="722">
        <v>720000</v>
      </c>
      <c r="E66" s="723">
        <f t="shared" si="0"/>
        <v>720000</v>
      </c>
    </row>
    <row r="67" spans="1:5" ht="15.75" customHeight="1">
      <c r="A67" s="650">
        <v>62</v>
      </c>
      <c r="B67" s="649" t="s">
        <v>2514</v>
      </c>
      <c r="C67" s="650">
        <v>6</v>
      </c>
      <c r="D67" s="722">
        <v>756000</v>
      </c>
      <c r="E67" s="723">
        <f t="shared" si="0"/>
        <v>4536000</v>
      </c>
    </row>
    <row r="68" spans="1:5" ht="15.75" customHeight="1">
      <c r="A68" s="650">
        <v>63</v>
      </c>
      <c r="B68" s="649" t="s">
        <v>2515</v>
      </c>
      <c r="C68" s="650">
        <v>1</v>
      </c>
      <c r="D68" s="722">
        <v>1815000</v>
      </c>
      <c r="E68" s="723">
        <f t="shared" si="0"/>
        <v>1815000</v>
      </c>
    </row>
    <row r="69" spans="1:5" ht="15.75" customHeight="1">
      <c r="A69" s="971" t="s">
        <v>2516</v>
      </c>
      <c r="B69" s="889"/>
      <c r="C69" s="726">
        <f>SUM(C6:C68)</f>
        <v>361</v>
      </c>
      <c r="D69" s="9"/>
      <c r="E69" s="727">
        <f>SUM(E6:E68)</f>
        <v>239051000</v>
      </c>
    </row>
    <row r="70" spans="1:5" ht="15.75" customHeight="1">
      <c r="A70" s="972" t="s">
        <v>2517</v>
      </c>
      <c r="B70" s="888"/>
      <c r="C70" s="888"/>
      <c r="D70" s="888"/>
      <c r="E70" s="889"/>
    </row>
    <row r="71" spans="1:5" ht="15.75" customHeight="1">
      <c r="A71" s="649">
        <v>1</v>
      </c>
      <c r="B71" s="649" t="s">
        <v>2518</v>
      </c>
      <c r="C71" s="649"/>
      <c r="D71" s="649"/>
      <c r="E71" s="728">
        <v>8000000</v>
      </c>
    </row>
    <row r="72" spans="1:5" ht="15.75" customHeight="1">
      <c r="A72" s="649">
        <v>2</v>
      </c>
      <c r="B72" s="649" t="s">
        <v>2519</v>
      </c>
      <c r="C72" s="650"/>
      <c r="D72" s="650"/>
      <c r="E72" s="728">
        <v>5000000</v>
      </c>
    </row>
    <row r="73" spans="1:5" ht="15.75" customHeight="1">
      <c r="A73" s="649"/>
      <c r="B73" s="649"/>
      <c r="C73" s="649"/>
      <c r="D73" s="649"/>
      <c r="E73" s="729">
        <f>SUM(E71:E72)</f>
        <v>13000000</v>
      </c>
    </row>
    <row r="74" spans="1:5" ht="15.75" customHeight="1">
      <c r="A74" s="971" t="s">
        <v>2520</v>
      </c>
      <c r="B74" s="889"/>
      <c r="C74" s="730"/>
      <c r="D74" s="730"/>
      <c r="E74" s="731">
        <f>SUM(E69+E73)</f>
        <v>252051000</v>
      </c>
    </row>
    <row r="75" spans="1:5" ht="15.75" customHeight="1">
      <c r="A75" s="3"/>
      <c r="B75" s="5"/>
      <c r="C75" s="5"/>
      <c r="D75" s="5"/>
      <c r="E75" s="5"/>
    </row>
    <row r="76" spans="1:5" ht="15.75" customHeight="1">
      <c r="B76" s="509"/>
      <c r="C76" s="509"/>
      <c r="D76" s="509"/>
      <c r="E76" s="509"/>
    </row>
    <row r="77" spans="1:5" ht="15.75" customHeight="1">
      <c r="B77" s="509"/>
      <c r="C77" s="509"/>
      <c r="D77" s="509"/>
      <c r="E77" s="509"/>
    </row>
    <row r="78" spans="1:5" ht="15.75" customHeight="1">
      <c r="B78" s="509"/>
      <c r="C78" s="509"/>
      <c r="D78" s="509"/>
      <c r="E78" s="509"/>
    </row>
    <row r="79" spans="1:5" ht="15.75" customHeight="1">
      <c r="B79" s="509"/>
      <c r="C79" s="509"/>
      <c r="D79" s="509"/>
      <c r="E79" s="509"/>
    </row>
    <row r="80" spans="1:5" ht="15.75" customHeight="1">
      <c r="B80" s="509"/>
      <c r="C80" s="509"/>
      <c r="D80" s="509"/>
      <c r="E80" s="509"/>
    </row>
    <row r="81" spans="2:5" ht="15.75" customHeight="1">
      <c r="B81" s="509"/>
      <c r="C81" s="509"/>
      <c r="D81" s="509"/>
      <c r="E81" s="509"/>
    </row>
    <row r="82" spans="2:5" ht="15.75" customHeight="1">
      <c r="B82" s="509"/>
      <c r="C82" s="509"/>
      <c r="D82" s="509"/>
      <c r="E82" s="509"/>
    </row>
    <row r="83" spans="2:5" ht="15.75" customHeight="1">
      <c r="B83" s="509"/>
      <c r="C83" s="509"/>
      <c r="D83" s="509"/>
      <c r="E83" s="509"/>
    </row>
    <row r="84" spans="2:5" ht="15.75" customHeight="1">
      <c r="B84" s="509"/>
      <c r="C84" s="509"/>
      <c r="D84" s="509"/>
      <c r="E84" s="509"/>
    </row>
    <row r="85" spans="2:5" ht="15.75" customHeight="1">
      <c r="B85" s="509"/>
      <c r="C85" s="509"/>
      <c r="D85" s="509"/>
      <c r="E85" s="509"/>
    </row>
    <row r="86" spans="2:5" ht="15.75" customHeight="1">
      <c r="B86" s="509"/>
      <c r="C86" s="509"/>
      <c r="D86" s="509"/>
      <c r="E86" s="509"/>
    </row>
    <row r="87" spans="2:5" ht="15.75" customHeight="1">
      <c r="B87" s="509"/>
      <c r="C87" s="509"/>
      <c r="D87" s="509"/>
      <c r="E87" s="509"/>
    </row>
    <row r="88" spans="2:5" ht="15.75" customHeight="1">
      <c r="B88" s="509"/>
      <c r="C88" s="509"/>
      <c r="D88" s="509"/>
      <c r="E88" s="509"/>
    </row>
    <row r="89" spans="2:5" ht="15.75" customHeight="1">
      <c r="B89" s="509"/>
      <c r="C89" s="509"/>
      <c r="D89" s="509"/>
      <c r="E89" s="509"/>
    </row>
    <row r="90" spans="2:5" ht="15.75" customHeight="1">
      <c r="B90" s="509"/>
      <c r="C90" s="509"/>
      <c r="D90" s="509"/>
      <c r="E90" s="509"/>
    </row>
    <row r="91" spans="2:5" ht="15.75" customHeight="1">
      <c r="B91" s="509"/>
      <c r="C91" s="509"/>
      <c r="D91" s="509"/>
      <c r="E91" s="509"/>
    </row>
    <row r="92" spans="2:5" ht="15.75" customHeight="1">
      <c r="B92" s="509"/>
      <c r="C92" s="509"/>
      <c r="D92" s="509"/>
      <c r="E92" s="509"/>
    </row>
    <row r="93" spans="2:5" ht="15.75" customHeight="1">
      <c r="B93" s="509"/>
      <c r="C93" s="509"/>
      <c r="D93" s="509"/>
      <c r="E93" s="509"/>
    </row>
    <row r="94" spans="2:5" ht="15.75" customHeight="1">
      <c r="B94" s="509"/>
      <c r="C94" s="509"/>
      <c r="D94" s="509"/>
      <c r="E94" s="509"/>
    </row>
    <row r="95" spans="2:5" ht="15.75" customHeight="1">
      <c r="B95" s="509"/>
      <c r="C95" s="509"/>
      <c r="D95" s="509"/>
      <c r="E95" s="509"/>
    </row>
    <row r="96" spans="2:5" ht="15.75" customHeight="1">
      <c r="B96" s="509"/>
      <c r="C96" s="509"/>
      <c r="D96" s="509"/>
      <c r="E96" s="509"/>
    </row>
    <row r="97" spans="2:5" ht="15.75" customHeight="1">
      <c r="B97" s="509"/>
      <c r="C97" s="509"/>
      <c r="D97" s="509"/>
      <c r="E97" s="509"/>
    </row>
    <row r="98" spans="2:5" ht="15.75" customHeight="1">
      <c r="B98" s="509"/>
      <c r="C98" s="509"/>
      <c r="D98" s="509"/>
      <c r="E98" s="509"/>
    </row>
    <row r="99" spans="2:5" ht="15.75" customHeight="1">
      <c r="B99" s="509"/>
      <c r="C99" s="509"/>
      <c r="D99" s="509"/>
      <c r="E99" s="509"/>
    </row>
    <row r="100" spans="2:5" ht="15.75" customHeight="1">
      <c r="B100" s="509"/>
      <c r="C100" s="509"/>
      <c r="D100" s="509"/>
      <c r="E100" s="509"/>
    </row>
    <row r="101" spans="2:5" ht="15.75" customHeight="1">
      <c r="B101" s="509"/>
      <c r="C101" s="509"/>
      <c r="D101" s="509"/>
      <c r="E101" s="509"/>
    </row>
    <row r="102" spans="2:5" ht="15.75" customHeight="1">
      <c r="B102" s="509"/>
      <c r="C102" s="509"/>
      <c r="D102" s="509"/>
      <c r="E102" s="509"/>
    </row>
    <row r="103" spans="2:5" ht="15.75" customHeight="1">
      <c r="B103" s="509"/>
      <c r="C103" s="509"/>
      <c r="D103" s="509"/>
      <c r="E103" s="509"/>
    </row>
    <row r="104" spans="2:5" ht="15.75" customHeight="1">
      <c r="B104" s="509"/>
      <c r="C104" s="509"/>
      <c r="D104" s="509"/>
      <c r="E104" s="509"/>
    </row>
    <row r="105" spans="2:5" ht="15.75" customHeight="1">
      <c r="B105" s="509"/>
      <c r="C105" s="509"/>
      <c r="D105" s="509"/>
      <c r="E105" s="509"/>
    </row>
    <row r="106" spans="2:5" ht="15.75" customHeight="1">
      <c r="B106" s="509"/>
      <c r="C106" s="509"/>
      <c r="D106" s="509"/>
      <c r="E106" s="509"/>
    </row>
    <row r="107" spans="2:5" ht="15.75" customHeight="1">
      <c r="B107" s="509"/>
      <c r="C107" s="509"/>
      <c r="D107" s="509"/>
      <c r="E107" s="509"/>
    </row>
    <row r="108" spans="2:5" ht="15.75" customHeight="1">
      <c r="B108" s="509"/>
      <c r="C108" s="509"/>
      <c r="D108" s="509"/>
      <c r="E108" s="509"/>
    </row>
    <row r="109" spans="2:5" ht="15.75" customHeight="1">
      <c r="B109" s="509"/>
      <c r="C109" s="509"/>
      <c r="D109" s="509"/>
      <c r="E109" s="509"/>
    </row>
    <row r="110" spans="2:5" ht="15.75" customHeight="1">
      <c r="B110" s="509"/>
      <c r="C110" s="509"/>
      <c r="D110" s="509"/>
      <c r="E110" s="509"/>
    </row>
    <row r="111" spans="2:5" ht="15.75" customHeight="1">
      <c r="B111" s="509"/>
      <c r="C111" s="509"/>
      <c r="D111" s="509"/>
      <c r="E111" s="509"/>
    </row>
    <row r="112" spans="2:5" ht="15.75" customHeight="1">
      <c r="B112" s="509"/>
      <c r="C112" s="509"/>
      <c r="D112" s="509"/>
      <c r="E112" s="509"/>
    </row>
    <row r="113" spans="2:5" ht="15.75" customHeight="1">
      <c r="B113" s="509"/>
      <c r="C113" s="509"/>
      <c r="D113" s="509"/>
      <c r="E113" s="509"/>
    </row>
    <row r="114" spans="2:5" ht="15.75" customHeight="1">
      <c r="B114" s="509"/>
      <c r="C114" s="509"/>
      <c r="D114" s="509"/>
      <c r="E114" s="509"/>
    </row>
    <row r="115" spans="2:5" ht="15.75" customHeight="1">
      <c r="B115" s="509"/>
      <c r="C115" s="509"/>
      <c r="D115" s="509"/>
      <c r="E115" s="509"/>
    </row>
    <row r="116" spans="2:5" ht="15.75" customHeight="1">
      <c r="B116" s="509"/>
      <c r="C116" s="509"/>
      <c r="D116" s="509"/>
      <c r="E116" s="509"/>
    </row>
    <row r="117" spans="2:5" ht="15.75" customHeight="1">
      <c r="B117" s="509"/>
      <c r="C117" s="509"/>
      <c r="D117" s="509"/>
      <c r="E117" s="509"/>
    </row>
    <row r="118" spans="2:5" ht="15.75" customHeight="1">
      <c r="B118" s="509"/>
      <c r="C118" s="509"/>
      <c r="D118" s="509"/>
      <c r="E118" s="509"/>
    </row>
    <row r="119" spans="2:5" ht="15.75" customHeight="1">
      <c r="B119" s="509"/>
      <c r="C119" s="509"/>
      <c r="D119" s="509"/>
      <c r="E119" s="509"/>
    </row>
    <row r="120" spans="2:5" ht="15.75" customHeight="1">
      <c r="B120" s="509"/>
      <c r="C120" s="509"/>
      <c r="D120" s="509"/>
      <c r="E120" s="509"/>
    </row>
    <row r="121" spans="2:5" ht="15.75" customHeight="1">
      <c r="B121" s="509"/>
      <c r="C121" s="509"/>
      <c r="D121" s="509"/>
      <c r="E121" s="509"/>
    </row>
    <row r="122" spans="2:5" ht="15.75" customHeight="1">
      <c r="B122" s="509"/>
      <c r="C122" s="509"/>
      <c r="D122" s="509"/>
      <c r="E122" s="509"/>
    </row>
    <row r="123" spans="2:5" ht="15.75" customHeight="1">
      <c r="B123" s="509"/>
      <c r="C123" s="509"/>
      <c r="D123" s="509"/>
      <c r="E123" s="509"/>
    </row>
    <row r="124" spans="2:5" ht="15.75" customHeight="1">
      <c r="B124" s="509"/>
      <c r="C124" s="509"/>
      <c r="D124" s="509"/>
      <c r="E124" s="509"/>
    </row>
    <row r="125" spans="2:5" ht="15.75" customHeight="1">
      <c r="B125" s="509"/>
      <c r="C125" s="509"/>
      <c r="D125" s="509"/>
      <c r="E125" s="509"/>
    </row>
    <row r="126" spans="2:5" ht="15.75" customHeight="1">
      <c r="B126" s="509"/>
      <c r="C126" s="509"/>
      <c r="D126" s="509"/>
      <c r="E126" s="509"/>
    </row>
    <row r="127" spans="2:5" ht="15.75" customHeight="1">
      <c r="B127" s="509"/>
      <c r="C127" s="509"/>
      <c r="D127" s="509"/>
      <c r="E127" s="509"/>
    </row>
    <row r="128" spans="2:5" ht="15.75" customHeight="1">
      <c r="B128" s="509"/>
      <c r="C128" s="509"/>
      <c r="D128" s="509"/>
      <c r="E128" s="509"/>
    </row>
    <row r="129" spans="2:5" ht="15.75" customHeight="1">
      <c r="B129" s="509"/>
      <c r="C129" s="509"/>
      <c r="D129" s="509"/>
      <c r="E129" s="509"/>
    </row>
    <row r="130" spans="2:5" ht="15.75" customHeight="1">
      <c r="B130" s="509"/>
      <c r="C130" s="509"/>
      <c r="D130" s="509"/>
      <c r="E130" s="509"/>
    </row>
    <row r="131" spans="2:5" ht="15.75" customHeight="1">
      <c r="B131" s="509"/>
      <c r="C131" s="509"/>
      <c r="D131" s="509"/>
      <c r="E131" s="509"/>
    </row>
    <row r="132" spans="2:5" ht="15.75" customHeight="1">
      <c r="B132" s="509"/>
      <c r="C132" s="509"/>
      <c r="D132" s="509"/>
      <c r="E132" s="509"/>
    </row>
    <row r="133" spans="2:5" ht="15.75" customHeight="1">
      <c r="B133" s="509"/>
      <c r="C133" s="509"/>
      <c r="D133" s="509"/>
      <c r="E133" s="509"/>
    </row>
    <row r="134" spans="2:5" ht="15.75" customHeight="1">
      <c r="B134" s="509"/>
      <c r="C134" s="509"/>
      <c r="D134" s="509"/>
      <c r="E134" s="509"/>
    </row>
    <row r="135" spans="2:5" ht="15.75" customHeight="1">
      <c r="B135" s="509"/>
      <c r="C135" s="509"/>
      <c r="D135" s="509"/>
      <c r="E135" s="509"/>
    </row>
    <row r="136" spans="2:5" ht="15.75" customHeight="1">
      <c r="B136" s="509"/>
      <c r="C136" s="509"/>
      <c r="D136" s="509"/>
      <c r="E136" s="509"/>
    </row>
    <row r="137" spans="2:5" ht="15.75" customHeight="1">
      <c r="B137" s="509"/>
      <c r="C137" s="509"/>
      <c r="D137" s="509"/>
      <c r="E137" s="509"/>
    </row>
    <row r="138" spans="2:5" ht="15.75" customHeight="1">
      <c r="B138" s="509"/>
      <c r="C138" s="509"/>
      <c r="D138" s="509"/>
      <c r="E138" s="509"/>
    </row>
    <row r="139" spans="2:5" ht="15.75" customHeight="1">
      <c r="B139" s="509"/>
      <c r="C139" s="509"/>
      <c r="D139" s="509"/>
      <c r="E139" s="509"/>
    </row>
    <row r="140" spans="2:5" ht="15.75" customHeight="1">
      <c r="B140" s="509"/>
      <c r="C140" s="509"/>
      <c r="D140" s="509"/>
      <c r="E140" s="509"/>
    </row>
    <row r="141" spans="2:5" ht="15.75" customHeight="1">
      <c r="B141" s="509"/>
      <c r="C141" s="509"/>
      <c r="D141" s="509"/>
      <c r="E141" s="509"/>
    </row>
    <row r="142" spans="2:5" ht="15.75" customHeight="1">
      <c r="B142" s="509"/>
      <c r="C142" s="509"/>
      <c r="D142" s="509"/>
      <c r="E142" s="509"/>
    </row>
    <row r="143" spans="2:5" ht="15.75" customHeight="1">
      <c r="B143" s="509"/>
      <c r="C143" s="509"/>
      <c r="D143" s="509"/>
      <c r="E143" s="509"/>
    </row>
    <row r="144" spans="2:5" ht="15.75" customHeight="1">
      <c r="B144" s="509"/>
      <c r="C144" s="509"/>
      <c r="D144" s="509"/>
      <c r="E144" s="509"/>
    </row>
    <row r="145" spans="2:5" ht="15.75" customHeight="1">
      <c r="B145" s="509"/>
      <c r="C145" s="509"/>
      <c r="D145" s="509"/>
      <c r="E145" s="509"/>
    </row>
    <row r="146" spans="2:5" ht="15.75" customHeight="1">
      <c r="B146" s="509"/>
      <c r="C146" s="509"/>
      <c r="D146" s="509"/>
      <c r="E146" s="509"/>
    </row>
    <row r="147" spans="2:5" ht="15.75" customHeight="1">
      <c r="B147" s="509"/>
      <c r="C147" s="509"/>
      <c r="D147" s="509"/>
      <c r="E147" s="509"/>
    </row>
    <row r="148" spans="2:5" ht="15.75" customHeight="1">
      <c r="B148" s="509"/>
      <c r="C148" s="509"/>
      <c r="D148" s="509"/>
      <c r="E148" s="509"/>
    </row>
    <row r="149" spans="2:5" ht="15.75" customHeight="1">
      <c r="B149" s="509"/>
      <c r="C149" s="509"/>
      <c r="D149" s="509"/>
      <c r="E149" s="509"/>
    </row>
    <row r="150" spans="2:5" ht="15.75" customHeight="1">
      <c r="B150" s="509"/>
      <c r="C150" s="509"/>
      <c r="D150" s="509"/>
      <c r="E150" s="509"/>
    </row>
    <row r="151" spans="2:5" ht="15.75" customHeight="1">
      <c r="B151" s="509"/>
      <c r="C151" s="509"/>
      <c r="D151" s="509"/>
      <c r="E151" s="509"/>
    </row>
    <row r="152" spans="2:5" ht="15.75" customHeight="1">
      <c r="B152" s="509"/>
      <c r="C152" s="509"/>
      <c r="D152" s="509"/>
      <c r="E152" s="509"/>
    </row>
    <row r="153" spans="2:5" ht="15.75" customHeight="1">
      <c r="B153" s="509"/>
      <c r="C153" s="509"/>
      <c r="D153" s="509"/>
      <c r="E153" s="509"/>
    </row>
    <row r="154" spans="2:5" ht="15.75" customHeight="1">
      <c r="B154" s="509"/>
      <c r="C154" s="509"/>
      <c r="D154" s="509"/>
      <c r="E154" s="509"/>
    </row>
    <row r="155" spans="2:5" ht="15.75" customHeight="1">
      <c r="B155" s="509"/>
      <c r="C155" s="509"/>
      <c r="D155" s="509"/>
      <c r="E155" s="509"/>
    </row>
    <row r="156" spans="2:5" ht="15.75" customHeight="1">
      <c r="B156" s="509"/>
      <c r="C156" s="509"/>
      <c r="D156" s="509"/>
      <c r="E156" s="509"/>
    </row>
    <row r="157" spans="2:5" ht="15.75" customHeight="1">
      <c r="B157" s="509"/>
      <c r="C157" s="509"/>
      <c r="D157" s="509"/>
      <c r="E157" s="509"/>
    </row>
    <row r="158" spans="2:5" ht="15.75" customHeight="1">
      <c r="B158" s="509"/>
      <c r="C158" s="509"/>
      <c r="D158" s="509"/>
      <c r="E158" s="509"/>
    </row>
    <row r="159" spans="2:5" ht="15.75" customHeight="1">
      <c r="B159" s="509"/>
      <c r="C159" s="509"/>
      <c r="D159" s="509"/>
      <c r="E159" s="509"/>
    </row>
    <row r="160" spans="2:5" ht="15.75" customHeight="1">
      <c r="B160" s="509"/>
      <c r="C160" s="509"/>
      <c r="D160" s="509"/>
      <c r="E160" s="509"/>
    </row>
    <row r="161" spans="2:5" ht="15.75" customHeight="1">
      <c r="B161" s="509"/>
      <c r="C161" s="509"/>
      <c r="D161" s="509"/>
      <c r="E161" s="509"/>
    </row>
    <row r="162" spans="2:5" ht="15.75" customHeight="1">
      <c r="B162" s="509"/>
      <c r="C162" s="509"/>
      <c r="D162" s="509"/>
      <c r="E162" s="509"/>
    </row>
    <row r="163" spans="2:5" ht="15.75" customHeight="1">
      <c r="B163" s="509"/>
      <c r="C163" s="509"/>
      <c r="D163" s="509"/>
      <c r="E163" s="509"/>
    </row>
    <row r="164" spans="2:5" ht="15.75" customHeight="1">
      <c r="B164" s="509"/>
      <c r="C164" s="509"/>
      <c r="D164" s="509"/>
      <c r="E164" s="509"/>
    </row>
    <row r="165" spans="2:5" ht="15.75" customHeight="1">
      <c r="B165" s="509"/>
      <c r="C165" s="509"/>
      <c r="D165" s="509"/>
      <c r="E165" s="509"/>
    </row>
    <row r="166" spans="2:5" ht="15.75" customHeight="1">
      <c r="B166" s="509"/>
      <c r="C166" s="509"/>
      <c r="D166" s="509"/>
      <c r="E166" s="509"/>
    </row>
    <row r="167" spans="2:5" ht="15.75" customHeight="1">
      <c r="B167" s="509"/>
      <c r="C167" s="509"/>
      <c r="D167" s="509"/>
      <c r="E167" s="509"/>
    </row>
    <row r="168" spans="2:5" ht="15.75" customHeight="1">
      <c r="B168" s="509"/>
      <c r="C168" s="509"/>
      <c r="D168" s="509"/>
      <c r="E168" s="509"/>
    </row>
    <row r="169" spans="2:5" ht="15.75" customHeight="1">
      <c r="B169" s="509"/>
      <c r="C169" s="509"/>
      <c r="D169" s="509"/>
      <c r="E169" s="509"/>
    </row>
    <row r="170" spans="2:5" ht="15.75" customHeight="1">
      <c r="B170" s="509"/>
      <c r="C170" s="509"/>
      <c r="D170" s="509"/>
      <c r="E170" s="509"/>
    </row>
    <row r="171" spans="2:5" ht="15.75" customHeight="1">
      <c r="B171" s="509"/>
      <c r="C171" s="509"/>
      <c r="D171" s="509"/>
      <c r="E171" s="509"/>
    </row>
    <row r="172" spans="2:5" ht="15.75" customHeight="1">
      <c r="B172" s="509"/>
      <c r="C172" s="509"/>
      <c r="D172" s="509"/>
      <c r="E172" s="509"/>
    </row>
    <row r="173" spans="2:5" ht="15.75" customHeight="1">
      <c r="B173" s="509"/>
      <c r="C173" s="509"/>
      <c r="D173" s="509"/>
      <c r="E173" s="509"/>
    </row>
    <row r="174" spans="2:5" ht="15.75" customHeight="1">
      <c r="B174" s="509"/>
      <c r="C174" s="509"/>
      <c r="D174" s="509"/>
      <c r="E174" s="509"/>
    </row>
    <row r="175" spans="2:5" ht="15.75" customHeight="1">
      <c r="B175" s="509"/>
      <c r="C175" s="509"/>
      <c r="D175" s="509"/>
      <c r="E175" s="509"/>
    </row>
    <row r="176" spans="2:5" ht="15.75" customHeight="1">
      <c r="B176" s="509"/>
      <c r="C176" s="509"/>
      <c r="D176" s="509"/>
      <c r="E176" s="509"/>
    </row>
    <row r="177" spans="2:5" ht="15.75" customHeight="1">
      <c r="B177" s="509"/>
      <c r="C177" s="509"/>
      <c r="D177" s="509"/>
      <c r="E177" s="509"/>
    </row>
    <row r="178" spans="2:5" ht="15.75" customHeight="1">
      <c r="B178" s="509"/>
      <c r="C178" s="509"/>
      <c r="D178" s="509"/>
      <c r="E178" s="509"/>
    </row>
    <row r="179" spans="2:5" ht="15.75" customHeight="1">
      <c r="B179" s="509"/>
      <c r="C179" s="509"/>
      <c r="D179" s="509"/>
      <c r="E179" s="509"/>
    </row>
    <row r="180" spans="2:5" ht="15.75" customHeight="1">
      <c r="B180" s="509"/>
      <c r="C180" s="509"/>
      <c r="D180" s="509"/>
      <c r="E180" s="509"/>
    </row>
    <row r="181" spans="2:5" ht="15.75" customHeight="1">
      <c r="B181" s="509"/>
      <c r="C181" s="509"/>
      <c r="D181" s="509"/>
      <c r="E181" s="509"/>
    </row>
    <row r="182" spans="2:5" ht="15.75" customHeight="1">
      <c r="B182" s="509"/>
      <c r="C182" s="509"/>
      <c r="D182" s="509"/>
      <c r="E182" s="509"/>
    </row>
    <row r="183" spans="2:5" ht="15.75" customHeight="1">
      <c r="B183" s="509"/>
      <c r="C183" s="509"/>
      <c r="D183" s="509"/>
      <c r="E183" s="509"/>
    </row>
    <row r="184" spans="2:5" ht="15.75" customHeight="1">
      <c r="B184" s="509"/>
      <c r="C184" s="509"/>
      <c r="D184" s="509"/>
      <c r="E184" s="509"/>
    </row>
    <row r="185" spans="2:5" ht="15.75" customHeight="1">
      <c r="B185" s="509"/>
      <c r="C185" s="509"/>
      <c r="D185" s="509"/>
      <c r="E185" s="509"/>
    </row>
    <row r="186" spans="2:5" ht="15.75" customHeight="1">
      <c r="B186" s="509"/>
      <c r="C186" s="509"/>
      <c r="D186" s="509"/>
      <c r="E186" s="509"/>
    </row>
    <row r="187" spans="2:5" ht="15.75" customHeight="1">
      <c r="B187" s="509"/>
      <c r="C187" s="509"/>
      <c r="D187" s="509"/>
      <c r="E187" s="509"/>
    </row>
    <row r="188" spans="2:5" ht="15.75" customHeight="1">
      <c r="B188" s="509"/>
      <c r="C188" s="509"/>
      <c r="D188" s="509"/>
      <c r="E188" s="509"/>
    </row>
    <row r="189" spans="2:5" ht="15.75" customHeight="1">
      <c r="B189" s="509"/>
      <c r="C189" s="509"/>
      <c r="D189" s="509"/>
      <c r="E189" s="509"/>
    </row>
    <row r="190" spans="2:5" ht="15.75" customHeight="1">
      <c r="B190" s="509"/>
      <c r="C190" s="509"/>
      <c r="D190" s="509"/>
      <c r="E190" s="509"/>
    </row>
    <row r="191" spans="2:5" ht="15.75" customHeight="1">
      <c r="B191" s="509"/>
      <c r="C191" s="509"/>
      <c r="D191" s="509"/>
      <c r="E191" s="509"/>
    </row>
    <row r="192" spans="2:5" ht="15.75" customHeight="1">
      <c r="B192" s="509"/>
      <c r="C192" s="509"/>
      <c r="D192" s="509"/>
      <c r="E192" s="509"/>
    </row>
    <row r="193" spans="2:5" ht="15.75" customHeight="1">
      <c r="B193" s="509"/>
      <c r="C193" s="509"/>
      <c r="D193" s="509"/>
      <c r="E193" s="509"/>
    </row>
    <row r="194" spans="2:5" ht="15.75" customHeight="1">
      <c r="B194" s="509"/>
      <c r="C194" s="509"/>
      <c r="D194" s="509"/>
      <c r="E194" s="509"/>
    </row>
    <row r="195" spans="2:5" ht="15.75" customHeight="1">
      <c r="B195" s="509"/>
      <c r="C195" s="509"/>
      <c r="D195" s="509"/>
      <c r="E195" s="509"/>
    </row>
    <row r="196" spans="2:5" ht="15.75" customHeight="1">
      <c r="B196" s="509"/>
      <c r="C196" s="509"/>
      <c r="D196" s="509"/>
      <c r="E196" s="509"/>
    </row>
    <row r="197" spans="2:5" ht="15.75" customHeight="1">
      <c r="B197" s="509"/>
      <c r="C197" s="509"/>
      <c r="D197" s="509"/>
      <c r="E197" s="509"/>
    </row>
    <row r="198" spans="2:5" ht="15.75" customHeight="1">
      <c r="B198" s="509"/>
      <c r="C198" s="509"/>
      <c r="D198" s="509"/>
      <c r="E198" s="509"/>
    </row>
    <row r="199" spans="2:5" ht="15.75" customHeight="1">
      <c r="B199" s="509"/>
      <c r="C199" s="509"/>
      <c r="D199" s="509"/>
      <c r="E199" s="509"/>
    </row>
    <row r="200" spans="2:5" ht="15.75" customHeight="1">
      <c r="B200" s="509"/>
      <c r="C200" s="509"/>
      <c r="D200" s="509"/>
      <c r="E200" s="509"/>
    </row>
    <row r="201" spans="2:5" ht="15.75" customHeight="1">
      <c r="B201" s="509"/>
      <c r="C201" s="509"/>
      <c r="D201" s="509"/>
      <c r="E201" s="509"/>
    </row>
    <row r="202" spans="2:5" ht="15.75" customHeight="1">
      <c r="B202" s="509"/>
      <c r="C202" s="509"/>
      <c r="D202" s="509"/>
      <c r="E202" s="509"/>
    </row>
    <row r="203" spans="2:5" ht="15.75" customHeight="1">
      <c r="B203" s="509"/>
      <c r="C203" s="509"/>
      <c r="D203" s="509"/>
      <c r="E203" s="509"/>
    </row>
    <row r="204" spans="2:5" ht="15.75" customHeight="1">
      <c r="B204" s="509"/>
      <c r="C204" s="509"/>
      <c r="D204" s="509"/>
      <c r="E204" s="509"/>
    </row>
    <row r="205" spans="2:5" ht="15.75" customHeight="1">
      <c r="B205" s="509"/>
      <c r="C205" s="509"/>
      <c r="D205" s="509"/>
      <c r="E205" s="509"/>
    </row>
    <row r="206" spans="2:5" ht="15.75" customHeight="1">
      <c r="B206" s="509"/>
      <c r="C206" s="509"/>
      <c r="D206" s="509"/>
      <c r="E206" s="509"/>
    </row>
    <row r="207" spans="2:5" ht="15.75" customHeight="1">
      <c r="B207" s="509"/>
      <c r="C207" s="509"/>
      <c r="D207" s="509"/>
      <c r="E207" s="509"/>
    </row>
    <row r="208" spans="2:5" ht="15.75" customHeight="1">
      <c r="B208" s="509"/>
      <c r="C208" s="509"/>
      <c r="D208" s="509"/>
      <c r="E208" s="509"/>
    </row>
    <row r="209" spans="2:5" ht="15.75" customHeight="1">
      <c r="B209" s="509"/>
      <c r="C209" s="509"/>
      <c r="D209" s="509"/>
      <c r="E209" s="509"/>
    </row>
    <row r="210" spans="2:5" ht="15.75" customHeight="1">
      <c r="B210" s="509"/>
      <c r="C210" s="509"/>
      <c r="D210" s="509"/>
      <c r="E210" s="509"/>
    </row>
    <row r="211" spans="2:5" ht="15.75" customHeight="1">
      <c r="B211" s="509"/>
      <c r="C211" s="509"/>
      <c r="D211" s="509"/>
      <c r="E211" s="509"/>
    </row>
    <row r="212" spans="2:5" ht="15.75" customHeight="1">
      <c r="B212" s="509"/>
      <c r="C212" s="509"/>
      <c r="D212" s="509"/>
      <c r="E212" s="509"/>
    </row>
    <row r="213" spans="2:5" ht="15.75" customHeight="1">
      <c r="B213" s="509"/>
      <c r="C213" s="509"/>
      <c r="D213" s="509"/>
      <c r="E213" s="509"/>
    </row>
    <row r="214" spans="2:5" ht="15.75" customHeight="1">
      <c r="B214" s="509"/>
      <c r="C214" s="509"/>
      <c r="D214" s="509"/>
      <c r="E214" s="509"/>
    </row>
    <row r="215" spans="2:5" ht="15.75" customHeight="1">
      <c r="B215" s="509"/>
      <c r="C215" s="509"/>
      <c r="D215" s="509"/>
      <c r="E215" s="509"/>
    </row>
    <row r="216" spans="2:5" ht="15.75" customHeight="1">
      <c r="B216" s="509"/>
      <c r="C216" s="509"/>
      <c r="D216" s="509"/>
      <c r="E216" s="509"/>
    </row>
    <row r="217" spans="2:5" ht="15.75" customHeight="1">
      <c r="B217" s="509"/>
      <c r="C217" s="509"/>
      <c r="D217" s="509"/>
      <c r="E217" s="509"/>
    </row>
    <row r="218" spans="2:5" ht="15.75" customHeight="1">
      <c r="B218" s="509"/>
      <c r="C218" s="509"/>
      <c r="D218" s="509"/>
      <c r="E218" s="509"/>
    </row>
    <row r="219" spans="2:5" ht="15.75" customHeight="1">
      <c r="B219" s="509"/>
      <c r="C219" s="509"/>
      <c r="D219" s="509"/>
      <c r="E219" s="509"/>
    </row>
    <row r="220" spans="2:5" ht="15.75" customHeight="1">
      <c r="B220" s="509"/>
      <c r="C220" s="509"/>
      <c r="D220" s="509"/>
      <c r="E220" s="509"/>
    </row>
    <row r="221" spans="2:5" ht="15.75" customHeight="1">
      <c r="B221" s="509"/>
      <c r="C221" s="509"/>
      <c r="D221" s="509"/>
      <c r="E221" s="509"/>
    </row>
    <row r="222" spans="2:5" ht="15.75" customHeight="1">
      <c r="B222" s="509"/>
      <c r="C222" s="509"/>
      <c r="D222" s="509"/>
      <c r="E222" s="509"/>
    </row>
    <row r="223" spans="2:5" ht="15.75" customHeight="1">
      <c r="B223" s="509"/>
      <c r="C223" s="509"/>
      <c r="D223" s="509"/>
      <c r="E223" s="509"/>
    </row>
    <row r="224" spans="2:5" ht="15.75" customHeight="1">
      <c r="B224" s="509"/>
      <c r="C224" s="509"/>
      <c r="D224" s="509"/>
      <c r="E224" s="509"/>
    </row>
    <row r="225" spans="2:5" ht="15.75" customHeight="1">
      <c r="B225" s="509"/>
      <c r="C225" s="509"/>
      <c r="D225" s="509"/>
      <c r="E225" s="509"/>
    </row>
    <row r="226" spans="2:5" ht="15.75" customHeight="1">
      <c r="B226" s="509"/>
      <c r="C226" s="509"/>
      <c r="D226" s="509"/>
      <c r="E226" s="509"/>
    </row>
    <row r="227" spans="2:5" ht="15.75" customHeight="1">
      <c r="B227" s="509"/>
      <c r="C227" s="509"/>
      <c r="D227" s="509"/>
      <c r="E227" s="509"/>
    </row>
    <row r="228" spans="2:5" ht="15.75" customHeight="1">
      <c r="B228" s="509"/>
      <c r="C228" s="509"/>
      <c r="D228" s="509"/>
      <c r="E228" s="509"/>
    </row>
    <row r="229" spans="2:5" ht="15.75" customHeight="1">
      <c r="B229" s="509"/>
      <c r="C229" s="509"/>
      <c r="D229" s="509"/>
      <c r="E229" s="509"/>
    </row>
    <row r="230" spans="2:5" ht="15.75" customHeight="1">
      <c r="B230" s="509"/>
      <c r="C230" s="509"/>
      <c r="D230" s="509"/>
      <c r="E230" s="509"/>
    </row>
    <row r="231" spans="2:5" ht="15.75" customHeight="1">
      <c r="B231" s="509"/>
      <c r="C231" s="509"/>
      <c r="D231" s="509"/>
      <c r="E231" s="509"/>
    </row>
    <row r="232" spans="2:5" ht="15.75" customHeight="1">
      <c r="B232" s="509"/>
      <c r="C232" s="509"/>
      <c r="D232" s="509"/>
      <c r="E232" s="509"/>
    </row>
    <row r="233" spans="2:5" ht="15.75" customHeight="1">
      <c r="B233" s="509"/>
      <c r="C233" s="509"/>
      <c r="D233" s="509"/>
      <c r="E233" s="509"/>
    </row>
    <row r="234" spans="2:5" ht="15.75" customHeight="1">
      <c r="B234" s="509"/>
      <c r="C234" s="509"/>
      <c r="D234" s="509"/>
      <c r="E234" s="509"/>
    </row>
    <row r="235" spans="2:5" ht="15.75" customHeight="1">
      <c r="B235" s="509"/>
      <c r="C235" s="509"/>
      <c r="D235" s="509"/>
      <c r="E235" s="509"/>
    </row>
    <row r="236" spans="2:5" ht="15.75" customHeight="1">
      <c r="B236" s="509"/>
      <c r="C236" s="509"/>
      <c r="D236" s="509"/>
      <c r="E236" s="509"/>
    </row>
    <row r="237" spans="2:5" ht="15.75" customHeight="1">
      <c r="B237" s="509"/>
      <c r="C237" s="509"/>
      <c r="D237" s="509"/>
      <c r="E237" s="509"/>
    </row>
    <row r="238" spans="2:5" ht="15.75" customHeight="1">
      <c r="B238" s="509"/>
      <c r="C238" s="509"/>
      <c r="D238" s="509"/>
      <c r="E238" s="509"/>
    </row>
    <row r="239" spans="2:5" ht="15.75" customHeight="1">
      <c r="B239" s="509"/>
      <c r="C239" s="509"/>
      <c r="D239" s="509"/>
      <c r="E239" s="509"/>
    </row>
    <row r="240" spans="2:5" ht="15.75" customHeight="1">
      <c r="B240" s="509"/>
      <c r="C240" s="509"/>
      <c r="D240" s="509"/>
      <c r="E240" s="509"/>
    </row>
    <row r="241" spans="2:5" ht="15.75" customHeight="1">
      <c r="B241" s="509"/>
      <c r="C241" s="509"/>
      <c r="D241" s="509"/>
      <c r="E241" s="509"/>
    </row>
    <row r="242" spans="2:5" ht="15.75" customHeight="1">
      <c r="B242" s="509"/>
      <c r="C242" s="509"/>
      <c r="D242" s="509"/>
      <c r="E242" s="509"/>
    </row>
    <row r="243" spans="2:5" ht="15.75" customHeight="1">
      <c r="B243" s="509"/>
      <c r="C243" s="509"/>
      <c r="D243" s="509"/>
      <c r="E243" s="509"/>
    </row>
    <row r="244" spans="2:5" ht="15.75" customHeight="1">
      <c r="B244" s="509"/>
      <c r="C244" s="509"/>
      <c r="D244" s="509"/>
      <c r="E244" s="509"/>
    </row>
    <row r="245" spans="2:5" ht="15.75" customHeight="1">
      <c r="B245" s="509"/>
      <c r="C245" s="509"/>
      <c r="D245" s="509"/>
      <c r="E245" s="509"/>
    </row>
    <row r="246" spans="2:5" ht="15.75" customHeight="1">
      <c r="B246" s="509"/>
      <c r="C246" s="509"/>
      <c r="D246" s="509"/>
      <c r="E246" s="509"/>
    </row>
    <row r="247" spans="2:5" ht="15.75" customHeight="1">
      <c r="B247" s="509"/>
      <c r="C247" s="509"/>
      <c r="D247" s="509"/>
      <c r="E247" s="509"/>
    </row>
    <row r="248" spans="2:5" ht="15.75" customHeight="1">
      <c r="B248" s="509"/>
      <c r="C248" s="509"/>
      <c r="D248" s="509"/>
      <c r="E248" s="509"/>
    </row>
    <row r="249" spans="2:5" ht="15.75" customHeight="1">
      <c r="B249" s="509"/>
      <c r="C249" s="509"/>
      <c r="D249" s="509"/>
      <c r="E249" s="509"/>
    </row>
    <row r="250" spans="2:5" ht="15.75" customHeight="1">
      <c r="B250" s="509"/>
      <c r="C250" s="509"/>
      <c r="D250" s="509"/>
      <c r="E250" s="509"/>
    </row>
    <row r="251" spans="2:5" ht="15.75" customHeight="1">
      <c r="B251" s="509"/>
      <c r="C251" s="509"/>
      <c r="D251" s="509"/>
      <c r="E251" s="509"/>
    </row>
    <row r="252" spans="2:5" ht="15.75" customHeight="1">
      <c r="B252" s="509"/>
      <c r="C252" s="509"/>
      <c r="D252" s="509"/>
      <c r="E252" s="509"/>
    </row>
    <row r="253" spans="2:5" ht="15.75" customHeight="1">
      <c r="B253" s="509"/>
      <c r="C253" s="509"/>
      <c r="D253" s="509"/>
      <c r="E253" s="509"/>
    </row>
    <row r="254" spans="2:5" ht="15.75" customHeight="1">
      <c r="B254" s="509"/>
      <c r="C254" s="509"/>
      <c r="D254" s="509"/>
      <c r="E254" s="509"/>
    </row>
    <row r="255" spans="2:5" ht="15.75" customHeight="1">
      <c r="B255" s="509"/>
      <c r="C255" s="509"/>
      <c r="D255" s="509"/>
      <c r="E255" s="509"/>
    </row>
    <row r="256" spans="2:5" ht="15.75" customHeight="1">
      <c r="B256" s="509"/>
      <c r="C256" s="509"/>
      <c r="D256" s="509"/>
      <c r="E256" s="509"/>
    </row>
    <row r="257" spans="2:5" ht="15.75" customHeight="1">
      <c r="B257" s="509"/>
      <c r="C257" s="509"/>
      <c r="D257" s="509"/>
      <c r="E257" s="509"/>
    </row>
    <row r="258" spans="2:5" ht="15.75" customHeight="1">
      <c r="B258" s="509"/>
      <c r="C258" s="509"/>
      <c r="D258" s="509"/>
      <c r="E258" s="509"/>
    </row>
    <row r="259" spans="2:5" ht="15.75" customHeight="1">
      <c r="B259" s="509"/>
      <c r="C259" s="509"/>
      <c r="D259" s="509"/>
      <c r="E259" s="509"/>
    </row>
    <row r="260" spans="2:5" ht="15.75" customHeight="1">
      <c r="B260" s="509"/>
      <c r="C260" s="509"/>
      <c r="D260" s="509"/>
      <c r="E260" s="509"/>
    </row>
    <row r="261" spans="2:5" ht="15.75" customHeight="1">
      <c r="B261" s="509"/>
      <c r="C261" s="509"/>
      <c r="D261" s="509"/>
      <c r="E261" s="509"/>
    </row>
    <row r="262" spans="2:5" ht="15.75" customHeight="1">
      <c r="B262" s="509"/>
      <c r="C262" s="509"/>
      <c r="D262" s="509"/>
      <c r="E262" s="509"/>
    </row>
    <row r="263" spans="2:5" ht="15.75" customHeight="1">
      <c r="B263" s="509"/>
      <c r="C263" s="509"/>
      <c r="D263" s="509"/>
      <c r="E263" s="509"/>
    </row>
    <row r="264" spans="2:5" ht="15.75" customHeight="1">
      <c r="B264" s="509"/>
      <c r="C264" s="509"/>
      <c r="D264" s="509"/>
      <c r="E264" s="509"/>
    </row>
    <row r="265" spans="2:5" ht="15.75" customHeight="1">
      <c r="B265" s="509"/>
      <c r="C265" s="509"/>
      <c r="D265" s="509"/>
      <c r="E265" s="509"/>
    </row>
    <row r="266" spans="2:5" ht="15.75" customHeight="1">
      <c r="B266" s="509"/>
      <c r="C266" s="509"/>
      <c r="D266" s="509"/>
      <c r="E266" s="509"/>
    </row>
    <row r="267" spans="2:5" ht="15.75" customHeight="1">
      <c r="B267" s="509"/>
      <c r="C267" s="509"/>
      <c r="D267" s="509"/>
      <c r="E267" s="509"/>
    </row>
    <row r="268" spans="2:5" ht="15.75" customHeight="1">
      <c r="B268" s="509"/>
      <c r="C268" s="509"/>
      <c r="D268" s="509"/>
      <c r="E268" s="509"/>
    </row>
    <row r="269" spans="2:5" ht="15.75" customHeight="1">
      <c r="B269" s="509"/>
      <c r="C269" s="509"/>
      <c r="D269" s="509"/>
      <c r="E269" s="509"/>
    </row>
    <row r="270" spans="2:5" ht="15.75" customHeight="1">
      <c r="B270" s="509"/>
      <c r="C270" s="509"/>
      <c r="D270" s="509"/>
      <c r="E270" s="509"/>
    </row>
    <row r="271" spans="2:5" ht="15.75" customHeight="1">
      <c r="B271" s="509"/>
      <c r="C271" s="509"/>
      <c r="D271" s="509"/>
      <c r="E271" s="509"/>
    </row>
    <row r="272" spans="2:5" ht="15.75" customHeight="1">
      <c r="B272" s="509"/>
      <c r="C272" s="509"/>
      <c r="D272" s="509"/>
      <c r="E272" s="509"/>
    </row>
    <row r="273" spans="2:5" ht="15.75" customHeight="1">
      <c r="B273" s="509"/>
      <c r="C273" s="509"/>
      <c r="D273" s="509"/>
      <c r="E273" s="509"/>
    </row>
    <row r="274" spans="2:5" ht="15.75" customHeight="1">
      <c r="B274" s="509"/>
      <c r="C274" s="509"/>
      <c r="D274" s="509"/>
      <c r="E274" s="509"/>
    </row>
    <row r="275" spans="2:5" ht="15.75" customHeight="1">
      <c r="B275" s="509"/>
      <c r="C275" s="509"/>
      <c r="D275" s="509"/>
      <c r="E275" s="509"/>
    </row>
    <row r="276" spans="2:5" ht="15.75" customHeight="1">
      <c r="B276" s="509"/>
      <c r="C276" s="509"/>
      <c r="D276" s="509"/>
      <c r="E276" s="509"/>
    </row>
    <row r="277" spans="2:5" ht="15.75" customHeight="1">
      <c r="B277" s="509"/>
      <c r="C277" s="509"/>
      <c r="D277" s="509"/>
      <c r="E277" s="509"/>
    </row>
    <row r="278" spans="2:5" ht="15.75" customHeight="1">
      <c r="B278" s="509"/>
      <c r="C278" s="509"/>
      <c r="D278" s="509"/>
      <c r="E278" s="509"/>
    </row>
    <row r="279" spans="2:5" ht="15.75" customHeight="1">
      <c r="B279" s="509"/>
      <c r="C279" s="509"/>
      <c r="D279" s="509"/>
      <c r="E279" s="509"/>
    </row>
    <row r="280" spans="2:5" ht="15.75" customHeight="1">
      <c r="B280" s="509"/>
      <c r="C280" s="509"/>
      <c r="D280" s="509"/>
      <c r="E280" s="509"/>
    </row>
    <row r="281" spans="2:5" ht="15.75" customHeight="1">
      <c r="B281" s="509"/>
      <c r="C281" s="509"/>
      <c r="D281" s="509"/>
      <c r="E281" s="509"/>
    </row>
    <row r="282" spans="2:5" ht="15.75" customHeight="1">
      <c r="B282" s="509"/>
      <c r="C282" s="509"/>
      <c r="D282" s="509"/>
      <c r="E282" s="509"/>
    </row>
    <row r="283" spans="2:5" ht="15.75" customHeight="1">
      <c r="B283" s="509"/>
      <c r="C283" s="509"/>
      <c r="D283" s="509"/>
      <c r="E283" s="509"/>
    </row>
    <row r="284" spans="2:5" ht="15.75" customHeight="1">
      <c r="B284" s="509"/>
      <c r="C284" s="509"/>
      <c r="D284" s="509"/>
      <c r="E284" s="509"/>
    </row>
    <row r="285" spans="2:5" ht="15.75" customHeight="1">
      <c r="B285" s="509"/>
      <c r="C285" s="509"/>
      <c r="D285" s="509"/>
      <c r="E285" s="509"/>
    </row>
    <row r="286" spans="2:5" ht="15.75" customHeight="1">
      <c r="B286" s="509"/>
      <c r="C286" s="509"/>
      <c r="D286" s="509"/>
      <c r="E286" s="509"/>
    </row>
    <row r="287" spans="2:5" ht="15.75" customHeight="1">
      <c r="B287" s="509"/>
      <c r="C287" s="509"/>
      <c r="D287" s="509"/>
      <c r="E287" s="509"/>
    </row>
    <row r="288" spans="2:5" ht="15.75" customHeight="1">
      <c r="B288" s="509"/>
      <c r="C288" s="509"/>
      <c r="D288" s="509"/>
      <c r="E288" s="509"/>
    </row>
    <row r="289" spans="2:5" ht="15.75" customHeight="1">
      <c r="B289" s="509"/>
      <c r="C289" s="509"/>
      <c r="D289" s="509"/>
      <c r="E289" s="509"/>
    </row>
    <row r="290" spans="2:5" ht="15.75" customHeight="1">
      <c r="B290" s="509"/>
      <c r="C290" s="509"/>
      <c r="D290" s="509"/>
      <c r="E290" s="509"/>
    </row>
    <row r="291" spans="2:5" ht="15.75" customHeight="1">
      <c r="B291" s="509"/>
      <c r="C291" s="509"/>
      <c r="D291" s="509"/>
      <c r="E291" s="509"/>
    </row>
    <row r="292" spans="2:5" ht="15.75" customHeight="1">
      <c r="B292" s="509"/>
      <c r="C292" s="509"/>
      <c r="D292" s="509"/>
      <c r="E292" s="509"/>
    </row>
    <row r="293" spans="2:5" ht="15.75" customHeight="1">
      <c r="B293" s="509"/>
      <c r="C293" s="509"/>
      <c r="D293" s="509"/>
      <c r="E293" s="509"/>
    </row>
    <row r="294" spans="2:5" ht="15.75" customHeight="1">
      <c r="B294" s="509"/>
      <c r="C294" s="509"/>
      <c r="D294" s="509"/>
      <c r="E294" s="509"/>
    </row>
    <row r="295" spans="2:5" ht="15.75" customHeight="1">
      <c r="B295" s="509"/>
      <c r="C295" s="509"/>
      <c r="D295" s="509"/>
      <c r="E295" s="509"/>
    </row>
    <row r="296" spans="2:5" ht="15.75" customHeight="1">
      <c r="B296" s="509"/>
      <c r="C296" s="509"/>
      <c r="D296" s="509"/>
      <c r="E296" s="509"/>
    </row>
    <row r="297" spans="2:5" ht="15.75" customHeight="1">
      <c r="B297" s="509"/>
      <c r="C297" s="509"/>
      <c r="D297" s="509"/>
      <c r="E297" s="509"/>
    </row>
    <row r="298" spans="2:5" ht="15.75" customHeight="1">
      <c r="B298" s="509"/>
      <c r="C298" s="509"/>
      <c r="D298" s="509"/>
      <c r="E298" s="509"/>
    </row>
    <row r="299" spans="2:5" ht="15.75" customHeight="1">
      <c r="B299" s="509"/>
      <c r="C299" s="509"/>
      <c r="D299" s="509"/>
      <c r="E299" s="509"/>
    </row>
    <row r="300" spans="2:5" ht="15.75" customHeight="1">
      <c r="B300" s="509"/>
      <c r="C300" s="509"/>
      <c r="D300" s="509"/>
      <c r="E300" s="509"/>
    </row>
    <row r="301" spans="2:5" ht="15.75" customHeight="1">
      <c r="B301" s="509"/>
      <c r="C301" s="509"/>
      <c r="D301" s="509"/>
      <c r="E301" s="509"/>
    </row>
    <row r="302" spans="2:5" ht="15.75" customHeight="1">
      <c r="B302" s="509"/>
      <c r="C302" s="509"/>
      <c r="D302" s="509"/>
      <c r="E302" s="509"/>
    </row>
    <row r="303" spans="2:5" ht="15.75" customHeight="1">
      <c r="B303" s="509"/>
      <c r="C303" s="509"/>
      <c r="D303" s="509"/>
      <c r="E303" s="509"/>
    </row>
    <row r="304" spans="2:5" ht="15.75" customHeight="1">
      <c r="B304" s="509"/>
      <c r="C304" s="509"/>
      <c r="D304" s="509"/>
      <c r="E304" s="509"/>
    </row>
    <row r="305" spans="2:5" ht="15.75" customHeight="1">
      <c r="B305" s="509"/>
      <c r="C305" s="509"/>
      <c r="D305" s="509"/>
      <c r="E305" s="509"/>
    </row>
    <row r="306" spans="2:5" ht="15.75" customHeight="1">
      <c r="B306" s="509"/>
      <c r="C306" s="509"/>
      <c r="D306" s="509"/>
      <c r="E306" s="509"/>
    </row>
    <row r="307" spans="2:5" ht="15.75" customHeight="1">
      <c r="B307" s="509"/>
      <c r="C307" s="509"/>
      <c r="D307" s="509"/>
      <c r="E307" s="509"/>
    </row>
    <row r="308" spans="2:5" ht="15.75" customHeight="1">
      <c r="B308" s="509"/>
      <c r="C308" s="509"/>
      <c r="D308" s="509"/>
      <c r="E308" s="509"/>
    </row>
    <row r="309" spans="2:5" ht="15.75" customHeight="1">
      <c r="B309" s="509"/>
      <c r="C309" s="509"/>
      <c r="D309" s="509"/>
      <c r="E309" s="509"/>
    </row>
    <row r="310" spans="2:5" ht="15.75" customHeight="1">
      <c r="B310" s="509"/>
      <c r="C310" s="509"/>
      <c r="D310" s="509"/>
      <c r="E310" s="509"/>
    </row>
    <row r="311" spans="2:5" ht="15.75" customHeight="1">
      <c r="B311" s="509"/>
      <c r="C311" s="509"/>
      <c r="D311" s="509"/>
      <c r="E311" s="509"/>
    </row>
    <row r="312" spans="2:5" ht="15.75" customHeight="1">
      <c r="B312" s="509"/>
      <c r="C312" s="509"/>
      <c r="D312" s="509"/>
      <c r="E312" s="509"/>
    </row>
    <row r="313" spans="2:5" ht="15.75" customHeight="1">
      <c r="B313" s="509"/>
      <c r="C313" s="509"/>
      <c r="D313" s="509"/>
      <c r="E313" s="509"/>
    </row>
    <row r="314" spans="2:5" ht="15.75" customHeight="1">
      <c r="B314" s="509"/>
      <c r="C314" s="509"/>
      <c r="D314" s="509"/>
      <c r="E314" s="509"/>
    </row>
    <row r="315" spans="2:5" ht="15.75" customHeight="1">
      <c r="B315" s="509"/>
      <c r="C315" s="509"/>
      <c r="D315" s="509"/>
      <c r="E315" s="509"/>
    </row>
    <row r="316" spans="2:5" ht="15.75" customHeight="1">
      <c r="B316" s="509"/>
      <c r="C316" s="509"/>
      <c r="D316" s="509"/>
      <c r="E316" s="509"/>
    </row>
    <row r="317" spans="2:5" ht="15.75" customHeight="1">
      <c r="B317" s="509"/>
      <c r="C317" s="509"/>
      <c r="D317" s="509"/>
      <c r="E317" s="509"/>
    </row>
    <row r="318" spans="2:5" ht="15.75" customHeight="1">
      <c r="B318" s="509"/>
      <c r="C318" s="509"/>
      <c r="D318" s="509"/>
      <c r="E318" s="509"/>
    </row>
    <row r="319" spans="2:5" ht="15.75" customHeight="1">
      <c r="B319" s="509"/>
      <c r="C319" s="509"/>
      <c r="D319" s="509"/>
      <c r="E319" s="509"/>
    </row>
    <row r="320" spans="2:5" ht="15.75" customHeight="1">
      <c r="B320" s="509"/>
      <c r="C320" s="509"/>
      <c r="D320" s="509"/>
      <c r="E320" s="509"/>
    </row>
    <row r="321" spans="2:5" ht="15.75" customHeight="1">
      <c r="B321" s="509"/>
      <c r="C321" s="509"/>
      <c r="D321" s="509"/>
      <c r="E321" s="509"/>
    </row>
    <row r="322" spans="2:5" ht="15.75" customHeight="1">
      <c r="B322" s="509"/>
      <c r="C322" s="509"/>
      <c r="D322" s="509"/>
      <c r="E322" s="509"/>
    </row>
    <row r="323" spans="2:5" ht="15.75" customHeight="1">
      <c r="B323" s="509"/>
      <c r="C323" s="509"/>
      <c r="D323" s="509"/>
      <c r="E323" s="509"/>
    </row>
    <row r="324" spans="2:5" ht="15.75" customHeight="1">
      <c r="B324" s="509"/>
      <c r="C324" s="509"/>
      <c r="D324" s="509"/>
      <c r="E324" s="509"/>
    </row>
    <row r="325" spans="2:5" ht="15.75" customHeight="1">
      <c r="B325" s="509"/>
      <c r="C325" s="509"/>
      <c r="D325" s="509"/>
      <c r="E325" s="509"/>
    </row>
    <row r="326" spans="2:5" ht="15.75" customHeight="1">
      <c r="B326" s="509"/>
      <c r="C326" s="509"/>
      <c r="D326" s="509"/>
      <c r="E326" s="509"/>
    </row>
    <row r="327" spans="2:5" ht="15.75" customHeight="1">
      <c r="B327" s="509"/>
      <c r="C327" s="509"/>
      <c r="D327" s="509"/>
      <c r="E327" s="509"/>
    </row>
    <row r="328" spans="2:5" ht="15.75" customHeight="1">
      <c r="B328" s="509"/>
      <c r="C328" s="509"/>
      <c r="D328" s="509"/>
      <c r="E328" s="509"/>
    </row>
    <row r="329" spans="2:5" ht="15.75" customHeight="1">
      <c r="B329" s="509"/>
      <c r="C329" s="509"/>
      <c r="D329" s="509"/>
      <c r="E329" s="509"/>
    </row>
    <row r="330" spans="2:5" ht="15.75" customHeight="1">
      <c r="B330" s="509"/>
      <c r="C330" s="509"/>
      <c r="D330" s="509"/>
      <c r="E330" s="509"/>
    </row>
    <row r="331" spans="2:5" ht="15.75" customHeight="1">
      <c r="B331" s="509"/>
      <c r="C331" s="509"/>
      <c r="D331" s="509"/>
      <c r="E331" s="509"/>
    </row>
    <row r="332" spans="2:5" ht="15.75" customHeight="1">
      <c r="B332" s="509"/>
      <c r="C332" s="509"/>
      <c r="D332" s="509"/>
      <c r="E332" s="509"/>
    </row>
    <row r="333" spans="2:5" ht="15.75" customHeight="1">
      <c r="B333" s="509"/>
      <c r="C333" s="509"/>
      <c r="D333" s="509"/>
      <c r="E333" s="509"/>
    </row>
    <row r="334" spans="2:5" ht="15.75" customHeight="1">
      <c r="B334" s="509"/>
      <c r="C334" s="509"/>
      <c r="D334" s="509"/>
      <c r="E334" s="509"/>
    </row>
    <row r="335" spans="2:5" ht="15.75" customHeight="1">
      <c r="B335" s="509"/>
      <c r="C335" s="509"/>
      <c r="D335" s="509"/>
      <c r="E335" s="509"/>
    </row>
    <row r="336" spans="2:5" ht="15.75" customHeight="1">
      <c r="B336" s="509"/>
      <c r="C336" s="509"/>
      <c r="D336" s="509"/>
      <c r="E336" s="509"/>
    </row>
    <row r="337" spans="2:5" ht="15.75" customHeight="1">
      <c r="B337" s="509"/>
      <c r="C337" s="509"/>
      <c r="D337" s="509"/>
      <c r="E337" s="509"/>
    </row>
    <row r="338" spans="2:5" ht="15.75" customHeight="1">
      <c r="B338" s="509"/>
      <c r="C338" s="509"/>
      <c r="D338" s="509"/>
      <c r="E338" s="509"/>
    </row>
    <row r="339" spans="2:5" ht="15.75" customHeight="1">
      <c r="B339" s="509"/>
      <c r="C339" s="509"/>
      <c r="D339" s="509"/>
      <c r="E339" s="509"/>
    </row>
    <row r="340" spans="2:5" ht="15.75" customHeight="1">
      <c r="B340" s="509"/>
      <c r="C340" s="509"/>
      <c r="D340" s="509"/>
      <c r="E340" s="509"/>
    </row>
    <row r="341" spans="2:5" ht="15.75" customHeight="1">
      <c r="B341" s="509"/>
      <c r="C341" s="509"/>
      <c r="D341" s="509"/>
      <c r="E341" s="509"/>
    </row>
    <row r="342" spans="2:5" ht="15.75" customHeight="1">
      <c r="B342" s="509"/>
      <c r="C342" s="509"/>
      <c r="D342" s="509"/>
      <c r="E342" s="509"/>
    </row>
    <row r="343" spans="2:5" ht="15.75" customHeight="1">
      <c r="B343" s="509"/>
      <c r="C343" s="509"/>
      <c r="D343" s="509"/>
      <c r="E343" s="509"/>
    </row>
    <row r="344" spans="2:5" ht="15.75" customHeight="1">
      <c r="B344" s="509"/>
      <c r="C344" s="509"/>
      <c r="D344" s="509"/>
      <c r="E344" s="509"/>
    </row>
    <row r="345" spans="2:5" ht="15.75" customHeight="1">
      <c r="B345" s="509"/>
      <c r="C345" s="509"/>
      <c r="D345" s="509"/>
      <c r="E345" s="509"/>
    </row>
    <row r="346" spans="2:5" ht="15.75" customHeight="1">
      <c r="B346" s="509"/>
      <c r="C346" s="509"/>
      <c r="D346" s="509"/>
      <c r="E346" s="509"/>
    </row>
    <row r="347" spans="2:5" ht="15.75" customHeight="1">
      <c r="B347" s="509"/>
      <c r="C347" s="509"/>
      <c r="D347" s="509"/>
      <c r="E347" s="509"/>
    </row>
    <row r="348" spans="2:5" ht="15.75" customHeight="1">
      <c r="B348" s="509"/>
      <c r="C348" s="509"/>
      <c r="D348" s="509"/>
      <c r="E348" s="509"/>
    </row>
    <row r="349" spans="2:5" ht="15.75" customHeight="1">
      <c r="B349" s="509"/>
      <c r="C349" s="509"/>
      <c r="D349" s="509"/>
      <c r="E349" s="509"/>
    </row>
    <row r="350" spans="2:5" ht="15.75" customHeight="1">
      <c r="B350" s="509"/>
      <c r="C350" s="509"/>
      <c r="D350" s="509"/>
      <c r="E350" s="509"/>
    </row>
    <row r="351" spans="2:5" ht="15.75" customHeight="1">
      <c r="B351" s="509"/>
      <c r="C351" s="509"/>
      <c r="D351" s="509"/>
      <c r="E351" s="509"/>
    </row>
    <row r="352" spans="2:5" ht="15.75" customHeight="1">
      <c r="B352" s="509"/>
      <c r="C352" s="509"/>
      <c r="D352" s="509"/>
      <c r="E352" s="509"/>
    </row>
    <row r="353" spans="2:5" ht="15.75" customHeight="1">
      <c r="B353" s="509"/>
      <c r="C353" s="509"/>
      <c r="D353" s="509"/>
      <c r="E353" s="509"/>
    </row>
    <row r="354" spans="2:5" ht="15.75" customHeight="1">
      <c r="B354" s="509"/>
      <c r="C354" s="509"/>
      <c r="D354" s="509"/>
      <c r="E354" s="509"/>
    </row>
    <row r="355" spans="2:5" ht="15.75" customHeight="1">
      <c r="B355" s="509"/>
      <c r="C355" s="509"/>
      <c r="D355" s="509"/>
      <c r="E355" s="509"/>
    </row>
    <row r="356" spans="2:5" ht="15.75" customHeight="1">
      <c r="B356" s="509"/>
      <c r="C356" s="509"/>
      <c r="D356" s="509"/>
      <c r="E356" s="509"/>
    </row>
    <row r="357" spans="2:5" ht="15.75" customHeight="1">
      <c r="B357" s="509"/>
      <c r="C357" s="509"/>
      <c r="D357" s="509"/>
      <c r="E357" s="509"/>
    </row>
    <row r="358" spans="2:5" ht="15.75" customHeight="1">
      <c r="B358" s="509"/>
      <c r="C358" s="509"/>
      <c r="D358" s="509"/>
      <c r="E358" s="509"/>
    </row>
    <row r="359" spans="2:5" ht="15.75" customHeight="1">
      <c r="B359" s="509"/>
      <c r="C359" s="509"/>
      <c r="D359" s="509"/>
      <c r="E359" s="509"/>
    </row>
    <row r="360" spans="2:5" ht="15.75" customHeight="1">
      <c r="B360" s="509"/>
      <c r="C360" s="509"/>
      <c r="D360" s="509"/>
      <c r="E360" s="509"/>
    </row>
    <row r="361" spans="2:5" ht="15.75" customHeight="1">
      <c r="B361" s="509"/>
      <c r="C361" s="509"/>
      <c r="D361" s="509"/>
      <c r="E361" s="509"/>
    </row>
    <row r="362" spans="2:5" ht="15.75" customHeight="1">
      <c r="B362" s="509"/>
      <c r="C362" s="509"/>
      <c r="D362" s="509"/>
      <c r="E362" s="509"/>
    </row>
    <row r="363" spans="2:5" ht="15.75" customHeight="1">
      <c r="B363" s="509"/>
      <c r="C363" s="509"/>
      <c r="D363" s="509"/>
      <c r="E363" s="509"/>
    </row>
    <row r="364" spans="2:5" ht="15.75" customHeight="1">
      <c r="B364" s="509"/>
      <c r="C364" s="509"/>
      <c r="D364" s="509"/>
      <c r="E364" s="509"/>
    </row>
    <row r="365" spans="2:5" ht="15.75" customHeight="1">
      <c r="B365" s="509"/>
      <c r="C365" s="509"/>
      <c r="D365" s="509"/>
      <c r="E365" s="509"/>
    </row>
    <row r="366" spans="2:5" ht="15.75" customHeight="1">
      <c r="B366" s="509"/>
      <c r="C366" s="509"/>
      <c r="D366" s="509"/>
      <c r="E366" s="509"/>
    </row>
    <row r="367" spans="2:5" ht="15.75" customHeight="1">
      <c r="B367" s="509"/>
      <c r="C367" s="509"/>
      <c r="D367" s="509"/>
      <c r="E367" s="509"/>
    </row>
    <row r="368" spans="2:5" ht="15.75" customHeight="1">
      <c r="B368" s="509"/>
      <c r="C368" s="509"/>
      <c r="D368" s="509"/>
      <c r="E368" s="509"/>
    </row>
    <row r="369" spans="2:5" ht="15.75" customHeight="1">
      <c r="B369" s="509"/>
      <c r="C369" s="509"/>
      <c r="D369" s="509"/>
      <c r="E369" s="509"/>
    </row>
    <row r="370" spans="2:5" ht="15.75" customHeight="1">
      <c r="B370" s="509"/>
      <c r="C370" s="509"/>
      <c r="D370" s="509"/>
      <c r="E370" s="509"/>
    </row>
    <row r="371" spans="2:5" ht="15.75" customHeight="1">
      <c r="B371" s="509"/>
      <c r="C371" s="509"/>
      <c r="D371" s="509"/>
      <c r="E371" s="509"/>
    </row>
    <row r="372" spans="2:5" ht="15.75" customHeight="1">
      <c r="B372" s="509"/>
      <c r="C372" s="509"/>
      <c r="D372" s="509"/>
      <c r="E372" s="509"/>
    </row>
    <row r="373" spans="2:5" ht="15.75" customHeight="1">
      <c r="B373" s="509"/>
      <c r="C373" s="509"/>
      <c r="D373" s="509"/>
      <c r="E373" s="509"/>
    </row>
    <row r="374" spans="2:5" ht="15.75" customHeight="1">
      <c r="B374" s="509"/>
      <c r="C374" s="509"/>
      <c r="D374" s="509"/>
      <c r="E374" s="509"/>
    </row>
    <row r="375" spans="2:5" ht="15.75" customHeight="1">
      <c r="B375" s="509"/>
      <c r="C375" s="509"/>
      <c r="D375" s="509"/>
      <c r="E375" s="509"/>
    </row>
    <row r="376" spans="2:5" ht="15.75" customHeight="1">
      <c r="B376" s="509"/>
      <c r="C376" s="509"/>
      <c r="D376" s="509"/>
      <c r="E376" s="509"/>
    </row>
    <row r="377" spans="2:5" ht="15.75" customHeight="1">
      <c r="B377" s="509"/>
      <c r="C377" s="509"/>
      <c r="D377" s="509"/>
      <c r="E377" s="509"/>
    </row>
    <row r="378" spans="2:5" ht="15.75" customHeight="1">
      <c r="B378" s="509"/>
      <c r="C378" s="509"/>
      <c r="D378" s="509"/>
      <c r="E378" s="509"/>
    </row>
    <row r="379" spans="2:5" ht="15.75" customHeight="1">
      <c r="B379" s="509"/>
      <c r="C379" s="509"/>
      <c r="D379" s="509"/>
      <c r="E379" s="509"/>
    </row>
    <row r="380" spans="2:5" ht="15.75" customHeight="1">
      <c r="B380" s="509"/>
      <c r="C380" s="509"/>
      <c r="D380" s="509"/>
      <c r="E380" s="509"/>
    </row>
    <row r="381" spans="2:5" ht="15.75" customHeight="1">
      <c r="B381" s="509"/>
      <c r="C381" s="509"/>
      <c r="D381" s="509"/>
      <c r="E381" s="509"/>
    </row>
    <row r="382" spans="2:5" ht="15.75" customHeight="1">
      <c r="B382" s="509"/>
      <c r="C382" s="509"/>
      <c r="D382" s="509"/>
      <c r="E382" s="509"/>
    </row>
    <row r="383" spans="2:5" ht="15.75" customHeight="1">
      <c r="B383" s="509"/>
      <c r="C383" s="509"/>
      <c r="D383" s="509"/>
      <c r="E383" s="509"/>
    </row>
    <row r="384" spans="2:5" ht="15.75" customHeight="1">
      <c r="B384" s="509"/>
      <c r="C384" s="509"/>
      <c r="D384" s="509"/>
      <c r="E384" s="509"/>
    </row>
    <row r="385" spans="2:5" ht="15.75" customHeight="1">
      <c r="B385" s="509"/>
      <c r="C385" s="509"/>
      <c r="D385" s="509"/>
      <c r="E385" s="509"/>
    </row>
    <row r="386" spans="2:5" ht="15.75" customHeight="1">
      <c r="B386" s="509"/>
      <c r="C386" s="509"/>
      <c r="D386" s="509"/>
      <c r="E386" s="509"/>
    </row>
    <row r="387" spans="2:5" ht="15.75" customHeight="1">
      <c r="B387" s="509"/>
      <c r="C387" s="509"/>
      <c r="D387" s="509"/>
      <c r="E387" s="509"/>
    </row>
    <row r="388" spans="2:5" ht="15.75" customHeight="1">
      <c r="B388" s="509"/>
      <c r="C388" s="509"/>
      <c r="D388" s="509"/>
      <c r="E388" s="509"/>
    </row>
    <row r="389" spans="2:5" ht="15.75" customHeight="1">
      <c r="B389" s="509"/>
      <c r="C389" s="509"/>
      <c r="D389" s="509"/>
      <c r="E389" s="509"/>
    </row>
    <row r="390" spans="2:5" ht="15.75" customHeight="1">
      <c r="B390" s="509"/>
      <c r="C390" s="509"/>
      <c r="D390" s="509"/>
      <c r="E390" s="509"/>
    </row>
    <row r="391" spans="2:5" ht="15.75" customHeight="1">
      <c r="B391" s="509"/>
      <c r="C391" s="509"/>
      <c r="D391" s="509"/>
      <c r="E391" s="509"/>
    </row>
    <row r="392" spans="2:5" ht="15.75" customHeight="1">
      <c r="B392" s="509"/>
      <c r="C392" s="509"/>
      <c r="D392" s="509"/>
      <c r="E392" s="509"/>
    </row>
    <row r="393" spans="2:5" ht="15.75" customHeight="1">
      <c r="B393" s="509"/>
      <c r="C393" s="509"/>
      <c r="D393" s="509"/>
      <c r="E393" s="509"/>
    </row>
    <row r="394" spans="2:5" ht="15.75" customHeight="1">
      <c r="B394" s="509"/>
      <c r="C394" s="509"/>
      <c r="D394" s="509"/>
      <c r="E394" s="509"/>
    </row>
    <row r="395" spans="2:5" ht="15.75" customHeight="1">
      <c r="B395" s="509"/>
      <c r="C395" s="509"/>
      <c r="D395" s="509"/>
      <c r="E395" s="509"/>
    </row>
    <row r="396" spans="2:5" ht="15.75" customHeight="1">
      <c r="B396" s="509"/>
      <c r="C396" s="509"/>
      <c r="D396" s="509"/>
      <c r="E396" s="509"/>
    </row>
    <row r="397" spans="2:5" ht="15.75" customHeight="1">
      <c r="B397" s="509"/>
      <c r="C397" s="509"/>
      <c r="D397" s="509"/>
      <c r="E397" s="509"/>
    </row>
    <row r="398" spans="2:5" ht="15.75" customHeight="1">
      <c r="B398" s="509"/>
      <c r="C398" s="509"/>
      <c r="D398" s="509"/>
      <c r="E398" s="509"/>
    </row>
    <row r="399" spans="2:5" ht="15.75" customHeight="1">
      <c r="B399" s="509"/>
      <c r="C399" s="509"/>
      <c r="D399" s="509"/>
      <c r="E399" s="509"/>
    </row>
    <row r="400" spans="2:5" ht="15.75" customHeight="1">
      <c r="B400" s="509"/>
      <c r="C400" s="509"/>
      <c r="D400" s="509"/>
      <c r="E400" s="509"/>
    </row>
    <row r="401" spans="2:5" ht="15.75" customHeight="1">
      <c r="B401" s="509"/>
      <c r="C401" s="509"/>
      <c r="D401" s="509"/>
      <c r="E401" s="509"/>
    </row>
    <row r="402" spans="2:5" ht="15.75" customHeight="1">
      <c r="B402" s="509"/>
      <c r="C402" s="509"/>
      <c r="D402" s="509"/>
      <c r="E402" s="509"/>
    </row>
    <row r="403" spans="2:5" ht="15.75" customHeight="1">
      <c r="B403" s="509"/>
      <c r="C403" s="509"/>
      <c r="D403" s="509"/>
      <c r="E403" s="509"/>
    </row>
    <row r="404" spans="2:5" ht="15.75" customHeight="1">
      <c r="B404" s="509"/>
      <c r="C404" s="509"/>
      <c r="D404" s="509"/>
      <c r="E404" s="509"/>
    </row>
    <row r="405" spans="2:5" ht="15.75" customHeight="1">
      <c r="B405" s="509"/>
      <c r="C405" s="509"/>
      <c r="D405" s="509"/>
      <c r="E405" s="509"/>
    </row>
    <row r="406" spans="2:5" ht="15.75" customHeight="1">
      <c r="B406" s="509"/>
      <c r="C406" s="509"/>
      <c r="D406" s="509"/>
      <c r="E406" s="509"/>
    </row>
    <row r="407" spans="2:5" ht="15.75" customHeight="1">
      <c r="B407" s="509"/>
      <c r="C407" s="509"/>
      <c r="D407" s="509"/>
      <c r="E407" s="509"/>
    </row>
    <row r="408" spans="2:5" ht="15.75" customHeight="1">
      <c r="B408" s="509"/>
      <c r="C408" s="509"/>
      <c r="D408" s="509"/>
      <c r="E408" s="509"/>
    </row>
    <row r="409" spans="2:5" ht="15.75" customHeight="1">
      <c r="B409" s="509"/>
      <c r="C409" s="509"/>
      <c r="D409" s="509"/>
      <c r="E409" s="509"/>
    </row>
    <row r="410" spans="2:5" ht="15.75" customHeight="1">
      <c r="B410" s="509"/>
      <c r="C410" s="509"/>
      <c r="D410" s="509"/>
      <c r="E410" s="509"/>
    </row>
    <row r="411" spans="2:5" ht="15.75" customHeight="1">
      <c r="B411" s="509"/>
      <c r="C411" s="509"/>
      <c r="D411" s="509"/>
      <c r="E411" s="509"/>
    </row>
    <row r="412" spans="2:5" ht="15.75" customHeight="1">
      <c r="B412" s="509"/>
      <c r="C412" s="509"/>
      <c r="D412" s="509"/>
      <c r="E412" s="509"/>
    </row>
    <row r="413" spans="2:5" ht="15.75" customHeight="1">
      <c r="B413" s="509"/>
      <c r="C413" s="509"/>
      <c r="D413" s="509"/>
      <c r="E413" s="509"/>
    </row>
    <row r="414" spans="2:5" ht="15.75" customHeight="1">
      <c r="B414" s="509"/>
      <c r="C414" s="509"/>
      <c r="D414" s="509"/>
      <c r="E414" s="509"/>
    </row>
    <row r="415" spans="2:5" ht="15.75" customHeight="1">
      <c r="B415" s="509"/>
      <c r="C415" s="509"/>
      <c r="D415" s="509"/>
      <c r="E415" s="509"/>
    </row>
    <row r="416" spans="2:5" ht="15.75" customHeight="1">
      <c r="B416" s="509"/>
      <c r="C416" s="509"/>
      <c r="D416" s="509"/>
      <c r="E416" s="509"/>
    </row>
    <row r="417" spans="2:5" ht="15.75" customHeight="1">
      <c r="B417" s="509"/>
      <c r="C417" s="509"/>
      <c r="D417" s="509"/>
      <c r="E417" s="509"/>
    </row>
    <row r="418" spans="2:5" ht="15.75" customHeight="1">
      <c r="B418" s="509"/>
      <c r="C418" s="509"/>
      <c r="D418" s="509"/>
      <c r="E418" s="509"/>
    </row>
    <row r="419" spans="2:5" ht="15.75" customHeight="1">
      <c r="B419" s="509"/>
      <c r="C419" s="509"/>
      <c r="D419" s="509"/>
      <c r="E419" s="509"/>
    </row>
    <row r="420" spans="2:5" ht="15.75" customHeight="1">
      <c r="B420" s="509"/>
      <c r="C420" s="509"/>
      <c r="D420" s="509"/>
      <c r="E420" s="509"/>
    </row>
    <row r="421" spans="2:5" ht="15.75" customHeight="1">
      <c r="B421" s="509"/>
      <c r="C421" s="509"/>
      <c r="D421" s="509"/>
      <c r="E421" s="509"/>
    </row>
    <row r="422" spans="2:5" ht="15.75" customHeight="1">
      <c r="B422" s="509"/>
      <c r="C422" s="509"/>
      <c r="D422" s="509"/>
      <c r="E422" s="509"/>
    </row>
    <row r="423" spans="2:5" ht="15.75" customHeight="1">
      <c r="B423" s="509"/>
      <c r="C423" s="509"/>
      <c r="D423" s="509"/>
      <c r="E423" s="509"/>
    </row>
    <row r="424" spans="2:5" ht="15.75" customHeight="1">
      <c r="B424" s="509"/>
      <c r="C424" s="509"/>
      <c r="D424" s="509"/>
      <c r="E424" s="509"/>
    </row>
    <row r="425" spans="2:5" ht="15.75" customHeight="1">
      <c r="B425" s="509"/>
      <c r="C425" s="509"/>
      <c r="D425" s="509"/>
      <c r="E425" s="509"/>
    </row>
    <row r="426" spans="2:5" ht="15.75" customHeight="1">
      <c r="B426" s="509"/>
      <c r="C426" s="509"/>
      <c r="D426" s="509"/>
      <c r="E426" s="509"/>
    </row>
    <row r="427" spans="2:5" ht="15.75" customHeight="1">
      <c r="B427" s="509"/>
      <c r="C427" s="509"/>
      <c r="D427" s="509"/>
      <c r="E427" s="509"/>
    </row>
    <row r="428" spans="2:5" ht="15.75" customHeight="1">
      <c r="B428" s="509"/>
      <c r="C428" s="509"/>
      <c r="D428" s="509"/>
      <c r="E428" s="509"/>
    </row>
    <row r="429" spans="2:5" ht="15.75" customHeight="1">
      <c r="B429" s="509"/>
      <c r="C429" s="509"/>
      <c r="D429" s="509"/>
      <c r="E429" s="509"/>
    </row>
    <row r="430" spans="2:5" ht="15.75" customHeight="1">
      <c r="B430" s="509"/>
      <c r="C430" s="509"/>
      <c r="D430" s="509"/>
      <c r="E430" s="509"/>
    </row>
    <row r="431" spans="2:5" ht="15.75" customHeight="1">
      <c r="B431" s="509"/>
      <c r="C431" s="509"/>
      <c r="D431" s="509"/>
      <c r="E431" s="509"/>
    </row>
    <row r="432" spans="2:5" ht="15.75" customHeight="1">
      <c r="B432" s="509"/>
      <c r="C432" s="509"/>
      <c r="D432" s="509"/>
      <c r="E432" s="509"/>
    </row>
    <row r="433" spans="2:5" ht="15.75" customHeight="1">
      <c r="B433" s="509"/>
      <c r="C433" s="509"/>
      <c r="D433" s="509"/>
      <c r="E433" s="509"/>
    </row>
    <row r="434" spans="2:5" ht="15.75" customHeight="1">
      <c r="B434" s="509"/>
      <c r="C434" s="509"/>
      <c r="D434" s="509"/>
      <c r="E434" s="509"/>
    </row>
    <row r="435" spans="2:5" ht="15.75" customHeight="1">
      <c r="B435" s="509"/>
      <c r="C435" s="509"/>
      <c r="D435" s="509"/>
      <c r="E435" s="509"/>
    </row>
    <row r="436" spans="2:5" ht="15.75" customHeight="1">
      <c r="B436" s="509"/>
      <c r="C436" s="509"/>
      <c r="D436" s="509"/>
      <c r="E436" s="509"/>
    </row>
    <row r="437" spans="2:5" ht="15.75" customHeight="1">
      <c r="B437" s="509"/>
      <c r="C437" s="509"/>
      <c r="D437" s="509"/>
      <c r="E437" s="509"/>
    </row>
    <row r="438" spans="2:5" ht="15.75" customHeight="1">
      <c r="B438" s="509"/>
      <c r="C438" s="509"/>
      <c r="D438" s="509"/>
      <c r="E438" s="509"/>
    </row>
    <row r="439" spans="2:5" ht="15.75" customHeight="1">
      <c r="B439" s="509"/>
      <c r="C439" s="509"/>
      <c r="D439" s="509"/>
      <c r="E439" s="509"/>
    </row>
    <row r="440" spans="2:5" ht="15.75" customHeight="1">
      <c r="B440" s="509"/>
      <c r="C440" s="509"/>
      <c r="D440" s="509"/>
      <c r="E440" s="509"/>
    </row>
    <row r="441" spans="2:5" ht="15.75" customHeight="1">
      <c r="B441" s="509"/>
      <c r="C441" s="509"/>
      <c r="D441" s="509"/>
      <c r="E441" s="509"/>
    </row>
    <row r="442" spans="2:5" ht="15.75" customHeight="1">
      <c r="B442" s="509"/>
      <c r="C442" s="509"/>
      <c r="D442" s="509"/>
      <c r="E442" s="509"/>
    </row>
    <row r="443" spans="2:5" ht="15.75" customHeight="1">
      <c r="B443" s="509"/>
      <c r="C443" s="509"/>
      <c r="D443" s="509"/>
      <c r="E443" s="509"/>
    </row>
    <row r="444" spans="2:5" ht="15.75" customHeight="1">
      <c r="B444" s="509"/>
      <c r="C444" s="509"/>
      <c r="D444" s="509"/>
      <c r="E444" s="509"/>
    </row>
    <row r="445" spans="2:5" ht="15.75" customHeight="1">
      <c r="B445" s="509"/>
      <c r="C445" s="509"/>
      <c r="D445" s="509"/>
      <c r="E445" s="509"/>
    </row>
    <row r="446" spans="2:5" ht="15.75" customHeight="1">
      <c r="B446" s="509"/>
      <c r="C446" s="509"/>
      <c r="D446" s="509"/>
      <c r="E446" s="509"/>
    </row>
    <row r="447" spans="2:5" ht="15.75" customHeight="1">
      <c r="B447" s="509"/>
      <c r="C447" s="509"/>
      <c r="D447" s="509"/>
      <c r="E447" s="509"/>
    </row>
    <row r="448" spans="2:5" ht="15.75" customHeight="1">
      <c r="B448" s="509"/>
      <c r="C448" s="509"/>
      <c r="D448" s="509"/>
      <c r="E448" s="509"/>
    </row>
    <row r="449" spans="2:5" ht="15.75" customHeight="1">
      <c r="B449" s="509"/>
      <c r="C449" s="509"/>
      <c r="D449" s="509"/>
      <c r="E449" s="509"/>
    </row>
    <row r="450" spans="2:5" ht="15.75" customHeight="1">
      <c r="B450" s="509"/>
      <c r="C450" s="509"/>
      <c r="D450" s="509"/>
      <c r="E450" s="509"/>
    </row>
    <row r="451" spans="2:5" ht="15.75" customHeight="1">
      <c r="B451" s="509"/>
      <c r="C451" s="509"/>
      <c r="D451" s="509"/>
      <c r="E451" s="509"/>
    </row>
    <row r="452" spans="2:5" ht="15.75" customHeight="1">
      <c r="B452" s="509"/>
      <c r="C452" s="509"/>
      <c r="D452" s="509"/>
      <c r="E452" s="509"/>
    </row>
    <row r="453" spans="2:5" ht="15.75" customHeight="1">
      <c r="B453" s="509"/>
      <c r="C453" s="509"/>
      <c r="D453" s="509"/>
      <c r="E453" s="509"/>
    </row>
    <row r="454" spans="2:5" ht="15.75" customHeight="1">
      <c r="B454" s="509"/>
      <c r="C454" s="509"/>
      <c r="D454" s="509"/>
      <c r="E454" s="509"/>
    </row>
    <row r="455" spans="2:5" ht="15.75" customHeight="1">
      <c r="B455" s="509"/>
      <c r="C455" s="509"/>
      <c r="D455" s="509"/>
      <c r="E455" s="509"/>
    </row>
    <row r="456" spans="2:5" ht="15.75" customHeight="1">
      <c r="B456" s="509"/>
      <c r="C456" s="509"/>
      <c r="D456" s="509"/>
      <c r="E456" s="509"/>
    </row>
    <row r="457" spans="2:5" ht="15.75" customHeight="1">
      <c r="B457" s="509"/>
      <c r="C457" s="509"/>
      <c r="D457" s="509"/>
      <c r="E457" s="509"/>
    </row>
    <row r="458" spans="2:5" ht="15.75" customHeight="1">
      <c r="B458" s="509"/>
      <c r="C458" s="509"/>
      <c r="D458" s="509"/>
      <c r="E458" s="509"/>
    </row>
    <row r="459" spans="2:5" ht="15.75" customHeight="1">
      <c r="B459" s="509"/>
      <c r="C459" s="509"/>
      <c r="D459" s="509"/>
      <c r="E459" s="509"/>
    </row>
    <row r="460" spans="2:5" ht="15.75" customHeight="1">
      <c r="B460" s="509"/>
      <c r="C460" s="509"/>
      <c r="D460" s="509"/>
      <c r="E460" s="509"/>
    </row>
    <row r="461" spans="2:5" ht="15.75" customHeight="1">
      <c r="B461" s="509"/>
      <c r="C461" s="509"/>
      <c r="D461" s="509"/>
      <c r="E461" s="509"/>
    </row>
    <row r="462" spans="2:5" ht="15.75" customHeight="1">
      <c r="B462" s="509"/>
      <c r="C462" s="509"/>
      <c r="D462" s="509"/>
      <c r="E462" s="509"/>
    </row>
    <row r="463" spans="2:5" ht="15.75" customHeight="1">
      <c r="B463" s="509"/>
      <c r="C463" s="509"/>
      <c r="D463" s="509"/>
      <c r="E463" s="509"/>
    </row>
    <row r="464" spans="2:5" ht="15.75" customHeight="1">
      <c r="B464" s="509"/>
      <c r="C464" s="509"/>
      <c r="D464" s="509"/>
      <c r="E464" s="509"/>
    </row>
    <row r="465" spans="2:5" ht="15.75" customHeight="1">
      <c r="B465" s="509"/>
      <c r="C465" s="509"/>
      <c r="D465" s="509"/>
      <c r="E465" s="509"/>
    </row>
    <row r="466" spans="2:5" ht="15.75" customHeight="1">
      <c r="B466" s="509"/>
      <c r="C466" s="509"/>
      <c r="D466" s="509"/>
      <c r="E466" s="509"/>
    </row>
    <row r="467" spans="2:5" ht="15.75" customHeight="1">
      <c r="B467" s="509"/>
      <c r="C467" s="509"/>
      <c r="D467" s="509"/>
      <c r="E467" s="509"/>
    </row>
    <row r="468" spans="2:5" ht="15.75" customHeight="1">
      <c r="B468" s="509"/>
      <c r="C468" s="509"/>
      <c r="D468" s="509"/>
      <c r="E468" s="509"/>
    </row>
    <row r="469" spans="2:5" ht="15.75" customHeight="1">
      <c r="B469" s="509"/>
      <c r="C469" s="509"/>
      <c r="D469" s="509"/>
      <c r="E469" s="509"/>
    </row>
    <row r="470" spans="2:5" ht="15.75" customHeight="1">
      <c r="B470" s="509"/>
      <c r="C470" s="509"/>
      <c r="D470" s="509"/>
      <c r="E470" s="509"/>
    </row>
    <row r="471" spans="2:5" ht="15.75" customHeight="1">
      <c r="B471" s="509"/>
      <c r="C471" s="509"/>
      <c r="D471" s="509"/>
      <c r="E471" s="509"/>
    </row>
    <row r="472" spans="2:5" ht="15.75" customHeight="1">
      <c r="B472" s="509"/>
      <c r="C472" s="509"/>
      <c r="D472" s="509"/>
      <c r="E472" s="509"/>
    </row>
    <row r="473" spans="2:5" ht="15.75" customHeight="1">
      <c r="B473" s="509"/>
      <c r="C473" s="509"/>
      <c r="D473" s="509"/>
      <c r="E473" s="509"/>
    </row>
    <row r="474" spans="2:5" ht="15.75" customHeight="1">
      <c r="B474" s="509"/>
      <c r="C474" s="509"/>
      <c r="D474" s="509"/>
      <c r="E474" s="509"/>
    </row>
    <row r="475" spans="2:5" ht="15.75" customHeight="1">
      <c r="B475" s="509"/>
      <c r="C475" s="509"/>
      <c r="D475" s="509"/>
      <c r="E475" s="509"/>
    </row>
    <row r="476" spans="2:5" ht="15.75" customHeight="1">
      <c r="B476" s="509"/>
      <c r="C476" s="509"/>
      <c r="D476" s="509"/>
      <c r="E476" s="509"/>
    </row>
    <row r="477" spans="2:5" ht="15.75" customHeight="1">
      <c r="B477" s="509"/>
      <c r="C477" s="509"/>
      <c r="D477" s="509"/>
      <c r="E477" s="509"/>
    </row>
    <row r="478" spans="2:5" ht="15.75" customHeight="1">
      <c r="B478" s="509"/>
      <c r="C478" s="509"/>
      <c r="D478" s="509"/>
      <c r="E478" s="509"/>
    </row>
    <row r="479" spans="2:5" ht="15.75" customHeight="1">
      <c r="B479" s="509"/>
      <c r="C479" s="509"/>
      <c r="D479" s="509"/>
      <c r="E479" s="509"/>
    </row>
    <row r="480" spans="2:5" ht="15.75" customHeight="1">
      <c r="B480" s="509"/>
      <c r="C480" s="509"/>
      <c r="D480" s="509"/>
      <c r="E480" s="509"/>
    </row>
    <row r="481" spans="2:5" ht="15.75" customHeight="1">
      <c r="B481" s="509"/>
      <c r="C481" s="509"/>
      <c r="D481" s="509"/>
      <c r="E481" s="509"/>
    </row>
    <row r="482" spans="2:5" ht="15.75" customHeight="1">
      <c r="B482" s="509"/>
      <c r="C482" s="509"/>
      <c r="D482" s="509"/>
      <c r="E482" s="509"/>
    </row>
    <row r="483" spans="2:5" ht="15.75" customHeight="1">
      <c r="B483" s="509"/>
      <c r="C483" s="509"/>
      <c r="D483" s="509"/>
      <c r="E483" s="509"/>
    </row>
    <row r="484" spans="2:5" ht="15.75" customHeight="1">
      <c r="B484" s="509"/>
      <c r="C484" s="509"/>
      <c r="D484" s="509"/>
      <c r="E484" s="509"/>
    </row>
    <row r="485" spans="2:5" ht="15.75" customHeight="1">
      <c r="B485" s="509"/>
      <c r="C485" s="509"/>
      <c r="D485" s="509"/>
      <c r="E485" s="509"/>
    </row>
    <row r="486" spans="2:5" ht="15.75" customHeight="1">
      <c r="B486" s="509"/>
      <c r="C486" s="509"/>
      <c r="D486" s="509"/>
      <c r="E486" s="509"/>
    </row>
    <row r="487" spans="2:5" ht="15.75" customHeight="1">
      <c r="B487" s="509"/>
      <c r="C487" s="509"/>
      <c r="D487" s="509"/>
      <c r="E487" s="509"/>
    </row>
    <row r="488" spans="2:5" ht="15.75" customHeight="1">
      <c r="B488" s="509"/>
      <c r="C488" s="509"/>
      <c r="D488" s="509"/>
      <c r="E488" s="509"/>
    </row>
    <row r="489" spans="2:5" ht="15.75" customHeight="1">
      <c r="B489" s="509"/>
      <c r="C489" s="509"/>
      <c r="D489" s="509"/>
      <c r="E489" s="509"/>
    </row>
    <row r="490" spans="2:5" ht="15.75" customHeight="1">
      <c r="B490" s="509"/>
      <c r="C490" s="509"/>
      <c r="D490" s="509"/>
      <c r="E490" s="509"/>
    </row>
    <row r="491" spans="2:5" ht="15.75" customHeight="1">
      <c r="B491" s="509"/>
      <c r="C491" s="509"/>
      <c r="D491" s="509"/>
      <c r="E491" s="509"/>
    </row>
    <row r="492" spans="2:5" ht="15.75" customHeight="1">
      <c r="B492" s="509"/>
      <c r="C492" s="509"/>
      <c r="D492" s="509"/>
      <c r="E492" s="509"/>
    </row>
    <row r="493" spans="2:5" ht="15.75" customHeight="1">
      <c r="B493" s="509"/>
      <c r="C493" s="509"/>
      <c r="D493" s="509"/>
      <c r="E493" s="509"/>
    </row>
    <row r="494" spans="2:5" ht="15.75" customHeight="1">
      <c r="B494" s="509"/>
      <c r="C494" s="509"/>
      <c r="D494" s="509"/>
      <c r="E494" s="509"/>
    </row>
    <row r="495" spans="2:5" ht="15.75" customHeight="1">
      <c r="B495" s="509"/>
      <c r="C495" s="509"/>
      <c r="D495" s="509"/>
      <c r="E495" s="509"/>
    </row>
    <row r="496" spans="2:5" ht="15.75" customHeight="1">
      <c r="B496" s="509"/>
      <c r="C496" s="509"/>
      <c r="D496" s="509"/>
      <c r="E496" s="509"/>
    </row>
    <row r="497" spans="2:5" ht="15.75" customHeight="1">
      <c r="B497" s="509"/>
      <c r="C497" s="509"/>
      <c r="D497" s="509"/>
      <c r="E497" s="509"/>
    </row>
    <row r="498" spans="2:5" ht="15.75" customHeight="1">
      <c r="B498" s="509"/>
      <c r="C498" s="509"/>
      <c r="D498" s="509"/>
      <c r="E498" s="509"/>
    </row>
    <row r="499" spans="2:5" ht="15.75" customHeight="1">
      <c r="B499" s="509"/>
      <c r="C499" s="509"/>
      <c r="D499" s="509"/>
      <c r="E499" s="509"/>
    </row>
    <row r="500" spans="2:5" ht="15.75" customHeight="1">
      <c r="B500" s="509"/>
      <c r="C500" s="509"/>
      <c r="D500" s="509"/>
      <c r="E500" s="509"/>
    </row>
    <row r="501" spans="2:5" ht="15.75" customHeight="1">
      <c r="B501" s="509"/>
      <c r="C501" s="509"/>
      <c r="D501" s="509"/>
      <c r="E501" s="509"/>
    </row>
    <row r="502" spans="2:5" ht="15.75" customHeight="1">
      <c r="B502" s="509"/>
      <c r="C502" s="509"/>
      <c r="D502" s="509"/>
      <c r="E502" s="509"/>
    </row>
    <row r="503" spans="2:5" ht="15.75" customHeight="1">
      <c r="B503" s="509"/>
      <c r="C503" s="509"/>
      <c r="D503" s="509"/>
      <c r="E503" s="509"/>
    </row>
    <row r="504" spans="2:5" ht="15.75" customHeight="1">
      <c r="B504" s="509"/>
      <c r="C504" s="509"/>
      <c r="D504" s="509"/>
      <c r="E504" s="509"/>
    </row>
    <row r="505" spans="2:5" ht="15.75" customHeight="1">
      <c r="B505" s="509"/>
      <c r="C505" s="509"/>
      <c r="D505" s="509"/>
      <c r="E505" s="509"/>
    </row>
    <row r="506" spans="2:5" ht="15.75" customHeight="1">
      <c r="B506" s="509"/>
      <c r="C506" s="509"/>
      <c r="D506" s="509"/>
      <c r="E506" s="509"/>
    </row>
    <row r="507" spans="2:5" ht="15.75" customHeight="1">
      <c r="B507" s="509"/>
      <c r="C507" s="509"/>
      <c r="D507" s="509"/>
      <c r="E507" s="509"/>
    </row>
    <row r="508" spans="2:5" ht="15.75" customHeight="1">
      <c r="B508" s="509"/>
      <c r="C508" s="509"/>
      <c r="D508" s="509"/>
      <c r="E508" s="509"/>
    </row>
    <row r="509" spans="2:5" ht="15.75" customHeight="1">
      <c r="B509" s="509"/>
      <c r="C509" s="509"/>
      <c r="D509" s="509"/>
      <c r="E509" s="509"/>
    </row>
    <row r="510" spans="2:5" ht="15.75" customHeight="1">
      <c r="B510" s="509"/>
      <c r="C510" s="509"/>
      <c r="D510" s="509"/>
      <c r="E510" s="509"/>
    </row>
    <row r="511" spans="2:5" ht="15.75" customHeight="1">
      <c r="B511" s="509"/>
      <c r="C511" s="509"/>
      <c r="D511" s="509"/>
      <c r="E511" s="509"/>
    </row>
    <row r="512" spans="2:5" ht="15.75" customHeight="1">
      <c r="B512" s="509"/>
      <c r="C512" s="509"/>
      <c r="D512" s="509"/>
      <c r="E512" s="509"/>
    </row>
    <row r="513" spans="2:5" ht="15.75" customHeight="1">
      <c r="B513" s="509"/>
      <c r="C513" s="509"/>
      <c r="D513" s="509"/>
      <c r="E513" s="509"/>
    </row>
    <row r="514" spans="2:5" ht="15.75" customHeight="1">
      <c r="B514" s="509"/>
      <c r="C514" s="509"/>
      <c r="D514" s="509"/>
      <c r="E514" s="509"/>
    </row>
    <row r="515" spans="2:5" ht="15.75" customHeight="1">
      <c r="B515" s="509"/>
      <c r="C515" s="509"/>
      <c r="D515" s="509"/>
      <c r="E515" s="509"/>
    </row>
    <row r="516" spans="2:5" ht="15.75" customHeight="1">
      <c r="B516" s="509"/>
      <c r="C516" s="509"/>
      <c r="D516" s="509"/>
      <c r="E516" s="509"/>
    </row>
    <row r="517" spans="2:5" ht="15.75" customHeight="1">
      <c r="B517" s="509"/>
      <c r="C517" s="509"/>
      <c r="D517" s="509"/>
      <c r="E517" s="509"/>
    </row>
    <row r="518" spans="2:5" ht="15.75" customHeight="1">
      <c r="B518" s="509"/>
      <c r="C518" s="509"/>
      <c r="D518" s="509"/>
      <c r="E518" s="509"/>
    </row>
    <row r="519" spans="2:5" ht="15.75" customHeight="1">
      <c r="B519" s="509"/>
      <c r="C519" s="509"/>
      <c r="D519" s="509"/>
      <c r="E519" s="509"/>
    </row>
    <row r="520" spans="2:5" ht="15.75" customHeight="1">
      <c r="B520" s="509"/>
      <c r="C520" s="509"/>
      <c r="D520" s="509"/>
      <c r="E520" s="509"/>
    </row>
    <row r="521" spans="2:5" ht="15.75" customHeight="1">
      <c r="B521" s="509"/>
      <c r="C521" s="509"/>
      <c r="D521" s="509"/>
      <c r="E521" s="509"/>
    </row>
    <row r="522" spans="2:5" ht="15.75" customHeight="1">
      <c r="B522" s="509"/>
      <c r="C522" s="509"/>
      <c r="D522" s="509"/>
      <c r="E522" s="509"/>
    </row>
    <row r="523" spans="2:5" ht="15.75" customHeight="1">
      <c r="B523" s="509"/>
      <c r="C523" s="509"/>
      <c r="D523" s="509"/>
      <c r="E523" s="509"/>
    </row>
    <row r="524" spans="2:5" ht="15.75" customHeight="1">
      <c r="B524" s="509"/>
      <c r="C524" s="509"/>
      <c r="D524" s="509"/>
      <c r="E524" s="509"/>
    </row>
    <row r="525" spans="2:5" ht="15.75" customHeight="1">
      <c r="B525" s="509"/>
      <c r="C525" s="509"/>
      <c r="D525" s="509"/>
      <c r="E525" s="509"/>
    </row>
    <row r="526" spans="2:5" ht="15.75" customHeight="1">
      <c r="B526" s="509"/>
      <c r="C526" s="509"/>
      <c r="D526" s="509"/>
      <c r="E526" s="509"/>
    </row>
    <row r="527" spans="2:5" ht="15.75" customHeight="1">
      <c r="B527" s="509"/>
      <c r="C527" s="509"/>
      <c r="D527" s="509"/>
      <c r="E527" s="509"/>
    </row>
    <row r="528" spans="2:5" ht="15.75" customHeight="1">
      <c r="B528" s="509"/>
      <c r="C528" s="509"/>
      <c r="D528" s="509"/>
      <c r="E528" s="509"/>
    </row>
    <row r="529" spans="2:5" ht="15.75" customHeight="1">
      <c r="B529" s="509"/>
      <c r="C529" s="509"/>
      <c r="D529" s="509"/>
      <c r="E529" s="509"/>
    </row>
    <row r="530" spans="2:5" ht="15.75" customHeight="1">
      <c r="B530" s="509"/>
      <c r="C530" s="509"/>
      <c r="D530" s="509"/>
      <c r="E530" s="509"/>
    </row>
    <row r="531" spans="2:5" ht="15.75" customHeight="1">
      <c r="B531" s="509"/>
      <c r="C531" s="509"/>
      <c r="D531" s="509"/>
      <c r="E531" s="509"/>
    </row>
    <row r="532" spans="2:5" ht="15.75" customHeight="1">
      <c r="B532" s="509"/>
      <c r="C532" s="509"/>
      <c r="D532" s="509"/>
      <c r="E532" s="509"/>
    </row>
    <row r="533" spans="2:5" ht="15.75" customHeight="1">
      <c r="B533" s="509"/>
      <c r="C533" s="509"/>
      <c r="D533" s="509"/>
      <c r="E533" s="509"/>
    </row>
    <row r="534" spans="2:5" ht="15.75" customHeight="1">
      <c r="B534" s="509"/>
      <c r="C534" s="509"/>
      <c r="D534" s="509"/>
      <c r="E534" s="509"/>
    </row>
    <row r="535" spans="2:5" ht="15.75" customHeight="1">
      <c r="B535" s="509"/>
      <c r="C535" s="509"/>
      <c r="D535" s="509"/>
      <c r="E535" s="509"/>
    </row>
    <row r="536" spans="2:5" ht="15.75" customHeight="1">
      <c r="B536" s="509"/>
      <c r="C536" s="509"/>
      <c r="D536" s="509"/>
      <c r="E536" s="509"/>
    </row>
    <row r="537" spans="2:5" ht="15.75" customHeight="1">
      <c r="B537" s="509"/>
      <c r="C537" s="509"/>
      <c r="D537" s="509"/>
      <c r="E537" s="509"/>
    </row>
    <row r="538" spans="2:5" ht="15.75" customHeight="1">
      <c r="B538" s="509"/>
      <c r="C538" s="509"/>
      <c r="D538" s="509"/>
      <c r="E538" s="509"/>
    </row>
    <row r="539" spans="2:5" ht="15.75" customHeight="1">
      <c r="B539" s="509"/>
      <c r="C539" s="509"/>
      <c r="D539" s="509"/>
      <c r="E539" s="509"/>
    </row>
    <row r="540" spans="2:5" ht="15.75" customHeight="1">
      <c r="B540" s="509"/>
      <c r="C540" s="509"/>
      <c r="D540" s="509"/>
      <c r="E540" s="509"/>
    </row>
    <row r="541" spans="2:5" ht="15.75" customHeight="1">
      <c r="B541" s="509"/>
      <c r="C541" s="509"/>
      <c r="D541" s="509"/>
      <c r="E541" s="509"/>
    </row>
    <row r="542" spans="2:5" ht="15.75" customHeight="1">
      <c r="B542" s="509"/>
      <c r="C542" s="509"/>
      <c r="D542" s="509"/>
      <c r="E542" s="509"/>
    </row>
    <row r="543" spans="2:5" ht="15.75" customHeight="1">
      <c r="B543" s="509"/>
      <c r="C543" s="509"/>
      <c r="D543" s="509"/>
      <c r="E543" s="509"/>
    </row>
    <row r="544" spans="2:5" ht="15.75" customHeight="1">
      <c r="B544" s="509"/>
      <c r="C544" s="509"/>
      <c r="D544" s="509"/>
      <c r="E544" s="509"/>
    </row>
    <row r="545" spans="2:5" ht="15.75" customHeight="1">
      <c r="B545" s="509"/>
      <c r="C545" s="509"/>
      <c r="D545" s="509"/>
      <c r="E545" s="509"/>
    </row>
    <row r="546" spans="2:5" ht="15.75" customHeight="1">
      <c r="B546" s="509"/>
      <c r="C546" s="509"/>
      <c r="D546" s="509"/>
      <c r="E546" s="509"/>
    </row>
    <row r="547" spans="2:5" ht="15.75" customHeight="1">
      <c r="B547" s="509"/>
      <c r="C547" s="509"/>
      <c r="D547" s="509"/>
      <c r="E547" s="509"/>
    </row>
    <row r="548" spans="2:5" ht="15.75" customHeight="1">
      <c r="B548" s="509"/>
      <c r="C548" s="509"/>
      <c r="D548" s="509"/>
      <c r="E548" s="509"/>
    </row>
    <row r="549" spans="2:5" ht="15.75" customHeight="1">
      <c r="B549" s="509"/>
      <c r="C549" s="509"/>
      <c r="D549" s="509"/>
      <c r="E549" s="509"/>
    </row>
    <row r="550" spans="2:5" ht="15.75" customHeight="1">
      <c r="B550" s="509"/>
      <c r="C550" s="509"/>
      <c r="D550" s="509"/>
      <c r="E550" s="509"/>
    </row>
    <row r="551" spans="2:5" ht="15.75" customHeight="1">
      <c r="B551" s="509"/>
      <c r="C551" s="509"/>
      <c r="D551" s="509"/>
      <c r="E551" s="509"/>
    </row>
    <row r="552" spans="2:5" ht="15.75" customHeight="1">
      <c r="B552" s="509"/>
      <c r="C552" s="509"/>
      <c r="D552" s="509"/>
      <c r="E552" s="509"/>
    </row>
    <row r="553" spans="2:5" ht="15.75" customHeight="1">
      <c r="B553" s="509"/>
      <c r="C553" s="509"/>
      <c r="D553" s="509"/>
      <c r="E553" s="509"/>
    </row>
    <row r="554" spans="2:5" ht="15.75" customHeight="1">
      <c r="B554" s="509"/>
      <c r="C554" s="509"/>
      <c r="D554" s="509"/>
      <c r="E554" s="509"/>
    </row>
    <row r="555" spans="2:5" ht="15.75" customHeight="1">
      <c r="B555" s="509"/>
      <c r="C555" s="509"/>
      <c r="D555" s="509"/>
      <c r="E555" s="509"/>
    </row>
    <row r="556" spans="2:5" ht="15.75" customHeight="1">
      <c r="B556" s="509"/>
      <c r="C556" s="509"/>
      <c r="D556" s="509"/>
      <c r="E556" s="509"/>
    </row>
    <row r="557" spans="2:5" ht="15.75" customHeight="1">
      <c r="B557" s="509"/>
      <c r="C557" s="509"/>
      <c r="D557" s="509"/>
      <c r="E557" s="509"/>
    </row>
    <row r="558" spans="2:5" ht="15.75" customHeight="1">
      <c r="B558" s="509"/>
      <c r="C558" s="509"/>
      <c r="D558" s="509"/>
      <c r="E558" s="509"/>
    </row>
    <row r="559" spans="2:5" ht="15.75" customHeight="1">
      <c r="B559" s="509"/>
      <c r="C559" s="509"/>
      <c r="D559" s="509"/>
      <c r="E559" s="509"/>
    </row>
    <row r="560" spans="2:5" ht="15.75" customHeight="1">
      <c r="B560" s="509"/>
      <c r="C560" s="509"/>
      <c r="D560" s="509"/>
      <c r="E560" s="509"/>
    </row>
    <row r="561" spans="2:5" ht="15.75" customHeight="1">
      <c r="B561" s="509"/>
      <c r="C561" s="509"/>
      <c r="D561" s="509"/>
      <c r="E561" s="509"/>
    </row>
    <row r="562" spans="2:5" ht="15.75" customHeight="1">
      <c r="B562" s="509"/>
      <c r="C562" s="509"/>
      <c r="D562" s="509"/>
      <c r="E562" s="509"/>
    </row>
    <row r="563" spans="2:5" ht="15.75" customHeight="1">
      <c r="B563" s="509"/>
      <c r="C563" s="509"/>
      <c r="D563" s="509"/>
      <c r="E563" s="509"/>
    </row>
    <row r="564" spans="2:5" ht="15.75" customHeight="1">
      <c r="B564" s="509"/>
      <c r="C564" s="509"/>
      <c r="D564" s="509"/>
      <c r="E564" s="509"/>
    </row>
    <row r="565" spans="2:5" ht="15.75" customHeight="1">
      <c r="B565" s="509"/>
      <c r="C565" s="509"/>
      <c r="D565" s="509"/>
      <c r="E565" s="509"/>
    </row>
    <row r="566" spans="2:5" ht="15.75" customHeight="1">
      <c r="B566" s="509"/>
      <c r="C566" s="509"/>
      <c r="D566" s="509"/>
      <c r="E566" s="509"/>
    </row>
    <row r="567" spans="2:5" ht="15.75" customHeight="1">
      <c r="B567" s="509"/>
      <c r="C567" s="509"/>
      <c r="D567" s="509"/>
      <c r="E567" s="509"/>
    </row>
    <row r="568" spans="2:5" ht="15.75" customHeight="1">
      <c r="B568" s="509"/>
      <c r="C568" s="509"/>
      <c r="D568" s="509"/>
      <c r="E568" s="509"/>
    </row>
    <row r="569" spans="2:5" ht="15.75" customHeight="1">
      <c r="B569" s="509"/>
      <c r="C569" s="509"/>
      <c r="D569" s="509"/>
      <c r="E569" s="509"/>
    </row>
    <row r="570" spans="2:5" ht="15.75" customHeight="1">
      <c r="B570" s="509"/>
      <c r="C570" s="509"/>
      <c r="D570" s="509"/>
      <c r="E570" s="509"/>
    </row>
    <row r="571" spans="2:5" ht="15.75" customHeight="1">
      <c r="B571" s="509"/>
      <c r="C571" s="509"/>
      <c r="D571" s="509"/>
      <c r="E571" s="509"/>
    </row>
    <row r="572" spans="2:5" ht="15.75" customHeight="1">
      <c r="B572" s="509"/>
      <c r="C572" s="509"/>
      <c r="D572" s="509"/>
      <c r="E572" s="509"/>
    </row>
    <row r="573" spans="2:5" ht="15.75" customHeight="1">
      <c r="B573" s="509"/>
      <c r="C573" s="509"/>
      <c r="D573" s="509"/>
      <c r="E573" s="509"/>
    </row>
    <row r="574" spans="2:5" ht="15.75" customHeight="1">
      <c r="B574" s="509"/>
      <c r="C574" s="509"/>
      <c r="D574" s="509"/>
      <c r="E574" s="509"/>
    </row>
    <row r="575" spans="2:5" ht="15.75" customHeight="1">
      <c r="B575" s="509"/>
      <c r="C575" s="509"/>
      <c r="D575" s="509"/>
      <c r="E575" s="509"/>
    </row>
    <row r="576" spans="2:5" ht="15.75" customHeight="1">
      <c r="B576" s="509"/>
      <c r="C576" s="509"/>
      <c r="D576" s="509"/>
      <c r="E576" s="509"/>
    </row>
    <row r="577" spans="2:5" ht="15.75" customHeight="1">
      <c r="B577" s="509"/>
      <c r="C577" s="509"/>
      <c r="D577" s="509"/>
      <c r="E577" s="509"/>
    </row>
    <row r="578" spans="2:5" ht="15.75" customHeight="1">
      <c r="B578" s="509"/>
      <c r="C578" s="509"/>
      <c r="D578" s="509"/>
      <c r="E578" s="509"/>
    </row>
    <row r="579" spans="2:5" ht="15.75" customHeight="1">
      <c r="B579" s="509"/>
      <c r="C579" s="509"/>
      <c r="D579" s="509"/>
      <c r="E579" s="509"/>
    </row>
    <row r="580" spans="2:5" ht="15.75" customHeight="1">
      <c r="B580" s="509"/>
      <c r="C580" s="509"/>
      <c r="D580" s="509"/>
      <c r="E580" s="509"/>
    </row>
    <row r="581" spans="2:5" ht="15.75" customHeight="1">
      <c r="B581" s="509"/>
      <c r="C581" s="509"/>
      <c r="D581" s="509"/>
      <c r="E581" s="509"/>
    </row>
    <row r="582" spans="2:5" ht="15.75" customHeight="1">
      <c r="B582" s="509"/>
      <c r="C582" s="509"/>
      <c r="D582" s="509"/>
      <c r="E582" s="509"/>
    </row>
    <row r="583" spans="2:5" ht="15.75" customHeight="1">
      <c r="B583" s="509"/>
      <c r="C583" s="509"/>
      <c r="D583" s="509"/>
      <c r="E583" s="509"/>
    </row>
    <row r="584" spans="2:5" ht="15.75" customHeight="1">
      <c r="B584" s="509"/>
      <c r="C584" s="509"/>
      <c r="D584" s="509"/>
      <c r="E584" s="509"/>
    </row>
    <row r="585" spans="2:5" ht="15.75" customHeight="1">
      <c r="B585" s="509"/>
      <c r="C585" s="509"/>
      <c r="D585" s="509"/>
      <c r="E585" s="509"/>
    </row>
    <row r="586" spans="2:5" ht="15.75" customHeight="1">
      <c r="B586" s="509"/>
      <c r="C586" s="509"/>
      <c r="D586" s="509"/>
      <c r="E586" s="509"/>
    </row>
    <row r="587" spans="2:5" ht="15.75" customHeight="1">
      <c r="B587" s="509"/>
      <c r="C587" s="509"/>
      <c r="D587" s="509"/>
      <c r="E587" s="509"/>
    </row>
    <row r="588" spans="2:5" ht="15.75" customHeight="1">
      <c r="B588" s="509"/>
      <c r="C588" s="509"/>
      <c r="D588" s="509"/>
      <c r="E588" s="509"/>
    </row>
    <row r="589" spans="2:5" ht="15.75" customHeight="1">
      <c r="B589" s="509"/>
      <c r="C589" s="509"/>
      <c r="D589" s="509"/>
      <c r="E589" s="509"/>
    </row>
    <row r="590" spans="2:5" ht="15.75" customHeight="1">
      <c r="B590" s="509"/>
      <c r="C590" s="509"/>
      <c r="D590" s="509"/>
      <c r="E590" s="509"/>
    </row>
    <row r="591" spans="2:5" ht="15.75" customHeight="1">
      <c r="B591" s="509"/>
      <c r="C591" s="509"/>
      <c r="D591" s="509"/>
      <c r="E591" s="509"/>
    </row>
    <row r="592" spans="2:5" ht="15.75" customHeight="1">
      <c r="B592" s="509"/>
      <c r="C592" s="509"/>
      <c r="D592" s="509"/>
      <c r="E592" s="509"/>
    </row>
    <row r="593" spans="2:5" ht="15.75" customHeight="1">
      <c r="B593" s="509"/>
      <c r="C593" s="509"/>
      <c r="D593" s="509"/>
      <c r="E593" s="509"/>
    </row>
    <row r="594" spans="2:5" ht="15.75" customHeight="1">
      <c r="B594" s="509"/>
      <c r="C594" s="509"/>
      <c r="D594" s="509"/>
      <c r="E594" s="509"/>
    </row>
    <row r="595" spans="2:5" ht="15.75" customHeight="1">
      <c r="B595" s="509"/>
      <c r="C595" s="509"/>
      <c r="D595" s="509"/>
      <c r="E595" s="509"/>
    </row>
    <row r="596" spans="2:5" ht="15.75" customHeight="1">
      <c r="B596" s="509"/>
      <c r="C596" s="509"/>
      <c r="D596" s="509"/>
      <c r="E596" s="509"/>
    </row>
    <row r="597" spans="2:5" ht="15.75" customHeight="1">
      <c r="B597" s="509"/>
      <c r="C597" s="509"/>
      <c r="D597" s="509"/>
      <c r="E597" s="509"/>
    </row>
    <row r="598" spans="2:5" ht="15.75" customHeight="1">
      <c r="B598" s="509"/>
      <c r="C598" s="509"/>
      <c r="D598" s="509"/>
      <c r="E598" s="509"/>
    </row>
    <row r="599" spans="2:5" ht="15.75" customHeight="1">
      <c r="B599" s="509"/>
      <c r="C599" s="509"/>
      <c r="D599" s="509"/>
      <c r="E599" s="509"/>
    </row>
    <row r="600" spans="2:5" ht="15.75" customHeight="1">
      <c r="B600" s="509"/>
      <c r="C600" s="509"/>
      <c r="D600" s="509"/>
      <c r="E600" s="509"/>
    </row>
    <row r="601" spans="2:5" ht="15.75" customHeight="1">
      <c r="B601" s="509"/>
      <c r="C601" s="509"/>
      <c r="D601" s="509"/>
      <c r="E601" s="509"/>
    </row>
    <row r="602" spans="2:5" ht="15.75" customHeight="1">
      <c r="B602" s="509"/>
      <c r="C602" s="509"/>
      <c r="D602" s="509"/>
      <c r="E602" s="509"/>
    </row>
    <row r="603" spans="2:5" ht="15.75" customHeight="1">
      <c r="B603" s="509"/>
      <c r="C603" s="509"/>
      <c r="D603" s="509"/>
      <c r="E603" s="509"/>
    </row>
    <row r="604" spans="2:5" ht="15.75" customHeight="1">
      <c r="B604" s="509"/>
      <c r="C604" s="509"/>
      <c r="D604" s="509"/>
      <c r="E604" s="509"/>
    </row>
    <row r="605" spans="2:5" ht="15.75" customHeight="1">
      <c r="B605" s="509"/>
      <c r="C605" s="509"/>
      <c r="D605" s="509"/>
      <c r="E605" s="509"/>
    </row>
    <row r="606" spans="2:5" ht="15.75" customHeight="1">
      <c r="B606" s="509"/>
      <c r="C606" s="509"/>
      <c r="D606" s="509"/>
      <c r="E606" s="509"/>
    </row>
    <row r="607" spans="2:5" ht="15.75" customHeight="1">
      <c r="B607" s="509"/>
      <c r="C607" s="509"/>
      <c r="D607" s="509"/>
      <c r="E607" s="509"/>
    </row>
    <row r="608" spans="2:5" ht="15.75" customHeight="1">
      <c r="B608" s="509"/>
      <c r="C608" s="509"/>
      <c r="D608" s="509"/>
      <c r="E608" s="509"/>
    </row>
    <row r="609" spans="2:5" ht="15.75" customHeight="1">
      <c r="B609" s="509"/>
      <c r="C609" s="509"/>
      <c r="D609" s="509"/>
      <c r="E609" s="509"/>
    </row>
    <row r="610" spans="2:5" ht="15.75" customHeight="1">
      <c r="B610" s="509"/>
      <c r="C610" s="509"/>
      <c r="D610" s="509"/>
      <c r="E610" s="509"/>
    </row>
    <row r="611" spans="2:5" ht="15.75" customHeight="1">
      <c r="B611" s="509"/>
      <c r="C611" s="509"/>
      <c r="D611" s="509"/>
      <c r="E611" s="509"/>
    </row>
    <row r="612" spans="2:5" ht="15.75" customHeight="1">
      <c r="B612" s="509"/>
      <c r="C612" s="509"/>
      <c r="D612" s="509"/>
      <c r="E612" s="509"/>
    </row>
    <row r="613" spans="2:5" ht="15.75" customHeight="1">
      <c r="B613" s="509"/>
      <c r="C613" s="509"/>
      <c r="D613" s="509"/>
      <c r="E613" s="509"/>
    </row>
    <row r="614" spans="2:5" ht="15.75" customHeight="1">
      <c r="B614" s="509"/>
      <c r="C614" s="509"/>
      <c r="D614" s="509"/>
      <c r="E614" s="509"/>
    </row>
    <row r="615" spans="2:5" ht="15.75" customHeight="1">
      <c r="B615" s="509"/>
      <c r="C615" s="509"/>
      <c r="D615" s="509"/>
      <c r="E615" s="509"/>
    </row>
    <row r="616" spans="2:5" ht="15.75" customHeight="1">
      <c r="B616" s="509"/>
      <c r="C616" s="509"/>
      <c r="D616" s="509"/>
      <c r="E616" s="509"/>
    </row>
    <row r="617" spans="2:5" ht="15.75" customHeight="1">
      <c r="B617" s="509"/>
      <c r="C617" s="509"/>
      <c r="D617" s="509"/>
      <c r="E617" s="509"/>
    </row>
    <row r="618" spans="2:5" ht="15.75" customHeight="1">
      <c r="B618" s="509"/>
      <c r="C618" s="509"/>
      <c r="D618" s="509"/>
      <c r="E618" s="509"/>
    </row>
    <row r="619" spans="2:5" ht="15.75" customHeight="1">
      <c r="B619" s="509"/>
      <c r="C619" s="509"/>
      <c r="D619" s="509"/>
      <c r="E619" s="509"/>
    </row>
    <row r="620" spans="2:5" ht="15.75" customHeight="1">
      <c r="B620" s="509"/>
      <c r="C620" s="509"/>
      <c r="D620" s="509"/>
      <c r="E620" s="509"/>
    </row>
    <row r="621" spans="2:5" ht="15.75" customHeight="1">
      <c r="B621" s="509"/>
      <c r="C621" s="509"/>
      <c r="D621" s="509"/>
      <c r="E621" s="509"/>
    </row>
    <row r="622" spans="2:5" ht="15.75" customHeight="1">
      <c r="B622" s="509"/>
      <c r="C622" s="509"/>
      <c r="D622" s="509"/>
      <c r="E622" s="509"/>
    </row>
    <row r="623" spans="2:5" ht="15.75" customHeight="1">
      <c r="B623" s="509"/>
      <c r="C623" s="509"/>
      <c r="D623" s="509"/>
      <c r="E623" s="509"/>
    </row>
    <row r="624" spans="2:5" ht="15.75" customHeight="1">
      <c r="B624" s="509"/>
      <c r="C624" s="509"/>
      <c r="D624" s="509"/>
      <c r="E624" s="509"/>
    </row>
    <row r="625" spans="2:5" ht="15.75" customHeight="1">
      <c r="B625" s="509"/>
      <c r="C625" s="509"/>
      <c r="D625" s="509"/>
      <c r="E625" s="509"/>
    </row>
    <row r="626" spans="2:5" ht="15.75" customHeight="1">
      <c r="B626" s="509"/>
      <c r="C626" s="509"/>
      <c r="D626" s="509"/>
      <c r="E626" s="509"/>
    </row>
    <row r="627" spans="2:5" ht="15.75" customHeight="1">
      <c r="B627" s="509"/>
      <c r="C627" s="509"/>
      <c r="D627" s="509"/>
      <c r="E627" s="509"/>
    </row>
    <row r="628" spans="2:5" ht="15.75" customHeight="1">
      <c r="B628" s="509"/>
      <c r="C628" s="509"/>
      <c r="D628" s="509"/>
      <c r="E628" s="509"/>
    </row>
    <row r="629" spans="2:5" ht="15.75" customHeight="1">
      <c r="B629" s="509"/>
      <c r="C629" s="509"/>
      <c r="D629" s="509"/>
      <c r="E629" s="509"/>
    </row>
    <row r="630" spans="2:5" ht="15.75" customHeight="1">
      <c r="B630" s="509"/>
      <c r="C630" s="509"/>
      <c r="D630" s="509"/>
      <c r="E630" s="509"/>
    </row>
    <row r="631" spans="2:5" ht="15.75" customHeight="1">
      <c r="B631" s="509"/>
      <c r="C631" s="509"/>
      <c r="D631" s="509"/>
      <c r="E631" s="509"/>
    </row>
    <row r="632" spans="2:5" ht="15.75" customHeight="1">
      <c r="B632" s="509"/>
      <c r="C632" s="509"/>
      <c r="D632" s="509"/>
      <c r="E632" s="509"/>
    </row>
    <row r="633" spans="2:5" ht="15.75" customHeight="1">
      <c r="B633" s="509"/>
      <c r="C633" s="509"/>
      <c r="D633" s="509"/>
      <c r="E633" s="509"/>
    </row>
    <row r="634" spans="2:5" ht="15.75" customHeight="1">
      <c r="B634" s="509"/>
      <c r="C634" s="509"/>
      <c r="D634" s="509"/>
      <c r="E634" s="509"/>
    </row>
    <row r="635" spans="2:5" ht="15.75" customHeight="1">
      <c r="B635" s="509"/>
      <c r="C635" s="509"/>
      <c r="D635" s="509"/>
      <c r="E635" s="509"/>
    </row>
    <row r="636" spans="2:5" ht="15.75" customHeight="1">
      <c r="B636" s="509"/>
      <c r="C636" s="509"/>
      <c r="D636" s="509"/>
      <c r="E636" s="509"/>
    </row>
    <row r="637" spans="2:5" ht="15.75" customHeight="1">
      <c r="B637" s="509"/>
      <c r="C637" s="509"/>
      <c r="D637" s="509"/>
      <c r="E637" s="509"/>
    </row>
    <row r="638" spans="2:5" ht="15.75" customHeight="1">
      <c r="B638" s="509"/>
      <c r="C638" s="509"/>
      <c r="D638" s="509"/>
      <c r="E638" s="509"/>
    </row>
    <row r="639" spans="2:5" ht="15.75" customHeight="1">
      <c r="B639" s="509"/>
      <c r="C639" s="509"/>
      <c r="D639" s="509"/>
      <c r="E639" s="509"/>
    </row>
    <row r="640" spans="2:5" ht="15.75" customHeight="1">
      <c r="B640" s="509"/>
      <c r="C640" s="509"/>
      <c r="D640" s="509"/>
      <c r="E640" s="509"/>
    </row>
    <row r="641" spans="2:5" ht="15.75" customHeight="1">
      <c r="B641" s="509"/>
      <c r="C641" s="509"/>
      <c r="D641" s="509"/>
      <c r="E641" s="509"/>
    </row>
    <row r="642" spans="2:5" ht="15.75" customHeight="1">
      <c r="B642" s="509"/>
      <c r="C642" s="509"/>
      <c r="D642" s="509"/>
      <c r="E642" s="509"/>
    </row>
    <row r="643" spans="2:5" ht="15.75" customHeight="1">
      <c r="B643" s="509"/>
      <c r="C643" s="509"/>
      <c r="D643" s="509"/>
      <c r="E643" s="509"/>
    </row>
    <row r="644" spans="2:5" ht="15.75" customHeight="1">
      <c r="B644" s="509"/>
      <c r="C644" s="509"/>
      <c r="D644" s="509"/>
      <c r="E644" s="509"/>
    </row>
    <row r="645" spans="2:5" ht="15.75" customHeight="1">
      <c r="B645" s="509"/>
      <c r="C645" s="509"/>
      <c r="D645" s="509"/>
      <c r="E645" s="509"/>
    </row>
    <row r="646" spans="2:5" ht="15.75" customHeight="1">
      <c r="B646" s="509"/>
      <c r="C646" s="509"/>
      <c r="D646" s="509"/>
      <c r="E646" s="509"/>
    </row>
    <row r="647" spans="2:5" ht="15.75" customHeight="1">
      <c r="B647" s="509"/>
      <c r="C647" s="509"/>
      <c r="D647" s="509"/>
      <c r="E647" s="509"/>
    </row>
    <row r="648" spans="2:5" ht="15.75" customHeight="1">
      <c r="B648" s="509"/>
      <c r="C648" s="509"/>
      <c r="D648" s="509"/>
      <c r="E648" s="509"/>
    </row>
    <row r="649" spans="2:5" ht="15.75" customHeight="1">
      <c r="B649" s="509"/>
      <c r="C649" s="509"/>
      <c r="D649" s="509"/>
      <c r="E649" s="509"/>
    </row>
    <row r="650" spans="2:5" ht="15.75" customHeight="1">
      <c r="B650" s="509"/>
      <c r="C650" s="509"/>
      <c r="D650" s="509"/>
      <c r="E650" s="509"/>
    </row>
    <row r="651" spans="2:5" ht="15.75" customHeight="1">
      <c r="B651" s="509"/>
      <c r="C651" s="509"/>
      <c r="D651" s="509"/>
      <c r="E651" s="509"/>
    </row>
    <row r="652" spans="2:5" ht="15.75" customHeight="1">
      <c r="B652" s="509"/>
      <c r="C652" s="509"/>
      <c r="D652" s="509"/>
      <c r="E652" s="509"/>
    </row>
    <row r="653" spans="2:5" ht="15.75" customHeight="1">
      <c r="B653" s="509"/>
      <c r="C653" s="509"/>
      <c r="D653" s="509"/>
      <c r="E653" s="509"/>
    </row>
    <row r="654" spans="2:5" ht="15.75" customHeight="1">
      <c r="B654" s="509"/>
      <c r="C654" s="509"/>
      <c r="D654" s="509"/>
      <c r="E654" s="509"/>
    </row>
    <row r="655" spans="2:5" ht="15.75" customHeight="1">
      <c r="B655" s="509"/>
      <c r="C655" s="509"/>
      <c r="D655" s="509"/>
      <c r="E655" s="509"/>
    </row>
    <row r="656" spans="2:5" ht="15.75" customHeight="1">
      <c r="B656" s="509"/>
      <c r="C656" s="509"/>
      <c r="D656" s="509"/>
      <c r="E656" s="509"/>
    </row>
    <row r="657" spans="2:5" ht="15.75" customHeight="1">
      <c r="B657" s="509"/>
      <c r="C657" s="509"/>
      <c r="D657" s="509"/>
      <c r="E657" s="509"/>
    </row>
    <row r="658" spans="2:5" ht="15.75" customHeight="1">
      <c r="B658" s="509"/>
      <c r="C658" s="509"/>
      <c r="D658" s="509"/>
      <c r="E658" s="509"/>
    </row>
    <row r="659" spans="2:5" ht="15.75" customHeight="1">
      <c r="B659" s="509"/>
      <c r="C659" s="509"/>
      <c r="D659" s="509"/>
      <c r="E659" s="509"/>
    </row>
    <row r="660" spans="2:5" ht="15.75" customHeight="1">
      <c r="B660" s="509"/>
      <c r="C660" s="509"/>
      <c r="D660" s="509"/>
      <c r="E660" s="509"/>
    </row>
    <row r="661" spans="2:5" ht="15.75" customHeight="1">
      <c r="B661" s="509"/>
      <c r="C661" s="509"/>
      <c r="D661" s="509"/>
      <c r="E661" s="509"/>
    </row>
    <row r="662" spans="2:5" ht="15.75" customHeight="1">
      <c r="B662" s="509"/>
      <c r="C662" s="509"/>
      <c r="D662" s="509"/>
      <c r="E662" s="509"/>
    </row>
    <row r="663" spans="2:5" ht="15.75" customHeight="1">
      <c r="B663" s="509"/>
      <c r="C663" s="509"/>
      <c r="D663" s="509"/>
      <c r="E663" s="509"/>
    </row>
    <row r="664" spans="2:5" ht="15.75" customHeight="1">
      <c r="B664" s="509"/>
      <c r="C664" s="509"/>
      <c r="D664" s="509"/>
      <c r="E664" s="509"/>
    </row>
    <row r="665" spans="2:5" ht="15.75" customHeight="1">
      <c r="B665" s="509"/>
      <c r="C665" s="509"/>
      <c r="D665" s="509"/>
      <c r="E665" s="509"/>
    </row>
    <row r="666" spans="2:5" ht="15.75" customHeight="1">
      <c r="B666" s="509"/>
      <c r="C666" s="509"/>
      <c r="D666" s="509"/>
      <c r="E666" s="509"/>
    </row>
    <row r="667" spans="2:5" ht="15.75" customHeight="1">
      <c r="B667" s="509"/>
      <c r="C667" s="509"/>
      <c r="D667" s="509"/>
      <c r="E667" s="509"/>
    </row>
    <row r="668" spans="2:5" ht="15.75" customHeight="1">
      <c r="B668" s="509"/>
      <c r="C668" s="509"/>
      <c r="D668" s="509"/>
      <c r="E668" s="509"/>
    </row>
    <row r="669" spans="2:5" ht="15.75" customHeight="1">
      <c r="B669" s="509"/>
      <c r="C669" s="509"/>
      <c r="D669" s="509"/>
      <c r="E669" s="509"/>
    </row>
    <row r="670" spans="2:5" ht="15.75" customHeight="1">
      <c r="B670" s="509"/>
      <c r="C670" s="509"/>
      <c r="D670" s="509"/>
      <c r="E670" s="509"/>
    </row>
    <row r="671" spans="2:5" ht="15.75" customHeight="1">
      <c r="B671" s="509"/>
      <c r="C671" s="509"/>
      <c r="D671" s="509"/>
      <c r="E671" s="509"/>
    </row>
    <row r="672" spans="2:5" ht="15.75" customHeight="1">
      <c r="B672" s="509"/>
      <c r="C672" s="509"/>
      <c r="D672" s="509"/>
      <c r="E672" s="509"/>
    </row>
    <row r="673" spans="2:5" ht="15.75" customHeight="1">
      <c r="B673" s="509"/>
      <c r="C673" s="509"/>
      <c r="D673" s="509"/>
      <c r="E673" s="509"/>
    </row>
    <row r="674" spans="2:5" ht="15.75" customHeight="1">
      <c r="B674" s="509"/>
      <c r="C674" s="509"/>
      <c r="D674" s="509"/>
      <c r="E674" s="509"/>
    </row>
    <row r="675" spans="2:5" ht="15.75" customHeight="1">
      <c r="B675" s="509"/>
      <c r="C675" s="509"/>
      <c r="D675" s="509"/>
      <c r="E675" s="509"/>
    </row>
    <row r="676" spans="2:5" ht="15.75" customHeight="1">
      <c r="B676" s="509"/>
      <c r="C676" s="509"/>
      <c r="D676" s="509"/>
      <c r="E676" s="509"/>
    </row>
    <row r="677" spans="2:5" ht="15.75" customHeight="1">
      <c r="B677" s="509"/>
      <c r="C677" s="509"/>
      <c r="D677" s="509"/>
      <c r="E677" s="509"/>
    </row>
    <row r="678" spans="2:5" ht="15.75" customHeight="1">
      <c r="B678" s="509"/>
      <c r="C678" s="509"/>
      <c r="D678" s="509"/>
      <c r="E678" s="509"/>
    </row>
    <row r="679" spans="2:5" ht="15.75" customHeight="1">
      <c r="B679" s="509"/>
      <c r="C679" s="509"/>
      <c r="D679" s="509"/>
      <c r="E679" s="509"/>
    </row>
    <row r="680" spans="2:5" ht="15.75" customHeight="1">
      <c r="B680" s="509"/>
      <c r="C680" s="509"/>
      <c r="D680" s="509"/>
      <c r="E680" s="509"/>
    </row>
    <row r="681" spans="2:5" ht="15.75" customHeight="1">
      <c r="B681" s="509"/>
      <c r="C681" s="509"/>
      <c r="D681" s="509"/>
      <c r="E681" s="509"/>
    </row>
    <row r="682" spans="2:5" ht="15.75" customHeight="1">
      <c r="B682" s="509"/>
      <c r="C682" s="509"/>
      <c r="D682" s="509"/>
      <c r="E682" s="509"/>
    </row>
    <row r="683" spans="2:5" ht="15.75" customHeight="1">
      <c r="B683" s="509"/>
      <c r="C683" s="509"/>
      <c r="D683" s="509"/>
      <c r="E683" s="509"/>
    </row>
    <row r="684" spans="2:5" ht="15.75" customHeight="1">
      <c r="B684" s="509"/>
      <c r="C684" s="509"/>
      <c r="D684" s="509"/>
      <c r="E684" s="509"/>
    </row>
    <row r="685" spans="2:5" ht="15.75" customHeight="1">
      <c r="B685" s="509"/>
      <c r="C685" s="509"/>
      <c r="D685" s="509"/>
      <c r="E685" s="509"/>
    </row>
    <row r="686" spans="2:5" ht="15.75" customHeight="1">
      <c r="B686" s="509"/>
      <c r="C686" s="509"/>
      <c r="D686" s="509"/>
      <c r="E686" s="509"/>
    </row>
    <row r="687" spans="2:5" ht="15.75" customHeight="1">
      <c r="B687" s="509"/>
      <c r="C687" s="509"/>
      <c r="D687" s="509"/>
      <c r="E687" s="509"/>
    </row>
    <row r="688" spans="2:5" ht="15.75" customHeight="1">
      <c r="B688" s="509"/>
      <c r="C688" s="509"/>
      <c r="D688" s="509"/>
      <c r="E688" s="509"/>
    </row>
    <row r="689" spans="2:5" ht="15.75" customHeight="1">
      <c r="B689" s="509"/>
      <c r="C689" s="509"/>
      <c r="D689" s="509"/>
      <c r="E689" s="509"/>
    </row>
    <row r="690" spans="2:5" ht="15.75" customHeight="1">
      <c r="B690" s="509"/>
      <c r="C690" s="509"/>
      <c r="D690" s="509"/>
      <c r="E690" s="509"/>
    </row>
    <row r="691" spans="2:5" ht="15.75" customHeight="1">
      <c r="B691" s="509"/>
      <c r="C691" s="509"/>
      <c r="D691" s="509"/>
      <c r="E691" s="509"/>
    </row>
    <row r="692" spans="2:5" ht="15.75" customHeight="1">
      <c r="B692" s="509"/>
      <c r="C692" s="509"/>
      <c r="D692" s="509"/>
      <c r="E692" s="509"/>
    </row>
    <row r="693" spans="2:5" ht="15.75" customHeight="1">
      <c r="B693" s="509"/>
      <c r="C693" s="509"/>
      <c r="D693" s="509"/>
      <c r="E693" s="509"/>
    </row>
    <row r="694" spans="2:5" ht="15.75" customHeight="1">
      <c r="B694" s="509"/>
      <c r="C694" s="509"/>
      <c r="D694" s="509"/>
      <c r="E694" s="509"/>
    </row>
    <row r="695" spans="2:5" ht="15.75" customHeight="1">
      <c r="B695" s="509"/>
      <c r="C695" s="509"/>
      <c r="D695" s="509"/>
      <c r="E695" s="509"/>
    </row>
    <row r="696" spans="2:5" ht="15.75" customHeight="1">
      <c r="B696" s="509"/>
      <c r="C696" s="509"/>
      <c r="D696" s="509"/>
      <c r="E696" s="509"/>
    </row>
    <row r="697" spans="2:5" ht="15.75" customHeight="1">
      <c r="B697" s="509"/>
      <c r="C697" s="509"/>
      <c r="D697" s="509"/>
      <c r="E697" s="509"/>
    </row>
    <row r="698" spans="2:5" ht="15.75" customHeight="1">
      <c r="B698" s="509"/>
      <c r="C698" s="509"/>
      <c r="D698" s="509"/>
      <c r="E698" s="509"/>
    </row>
    <row r="699" spans="2:5" ht="15.75" customHeight="1">
      <c r="B699" s="509"/>
      <c r="C699" s="509"/>
      <c r="D699" s="509"/>
      <c r="E699" s="509"/>
    </row>
    <row r="700" spans="2:5" ht="15.75" customHeight="1">
      <c r="B700" s="509"/>
      <c r="C700" s="509"/>
      <c r="D700" s="509"/>
      <c r="E700" s="509"/>
    </row>
    <row r="701" spans="2:5" ht="15.75" customHeight="1">
      <c r="B701" s="509"/>
      <c r="C701" s="509"/>
      <c r="D701" s="509"/>
      <c r="E701" s="509"/>
    </row>
    <row r="702" spans="2:5" ht="15.75" customHeight="1">
      <c r="B702" s="509"/>
      <c r="C702" s="509"/>
      <c r="D702" s="509"/>
      <c r="E702" s="509"/>
    </row>
    <row r="703" spans="2:5" ht="15.75" customHeight="1">
      <c r="B703" s="509"/>
      <c r="C703" s="509"/>
      <c r="D703" s="509"/>
      <c r="E703" s="509"/>
    </row>
    <row r="704" spans="2:5" ht="15.75" customHeight="1">
      <c r="B704" s="509"/>
      <c r="C704" s="509"/>
      <c r="D704" s="509"/>
      <c r="E704" s="509"/>
    </row>
    <row r="705" spans="2:5" ht="15.75" customHeight="1">
      <c r="B705" s="509"/>
      <c r="C705" s="509"/>
      <c r="D705" s="509"/>
      <c r="E705" s="509"/>
    </row>
    <row r="706" spans="2:5" ht="15.75" customHeight="1">
      <c r="B706" s="509"/>
      <c r="C706" s="509"/>
      <c r="D706" s="509"/>
      <c r="E706" s="509"/>
    </row>
    <row r="707" spans="2:5" ht="15.75" customHeight="1">
      <c r="B707" s="509"/>
      <c r="C707" s="509"/>
      <c r="D707" s="509"/>
      <c r="E707" s="509"/>
    </row>
    <row r="708" spans="2:5" ht="15.75" customHeight="1">
      <c r="B708" s="509"/>
      <c r="C708" s="509"/>
      <c r="D708" s="509"/>
      <c r="E708" s="509"/>
    </row>
    <row r="709" spans="2:5" ht="15.75" customHeight="1">
      <c r="B709" s="509"/>
      <c r="C709" s="509"/>
      <c r="D709" s="509"/>
      <c r="E709" s="509"/>
    </row>
    <row r="710" spans="2:5" ht="15.75" customHeight="1">
      <c r="B710" s="509"/>
      <c r="C710" s="509"/>
      <c r="D710" s="509"/>
      <c r="E710" s="509"/>
    </row>
    <row r="711" spans="2:5" ht="15.75" customHeight="1">
      <c r="B711" s="509"/>
      <c r="C711" s="509"/>
      <c r="D711" s="509"/>
      <c r="E711" s="509"/>
    </row>
    <row r="712" spans="2:5" ht="15.75" customHeight="1">
      <c r="B712" s="509"/>
      <c r="C712" s="509"/>
      <c r="D712" s="509"/>
      <c r="E712" s="509"/>
    </row>
    <row r="713" spans="2:5" ht="15.75" customHeight="1">
      <c r="B713" s="509"/>
      <c r="C713" s="509"/>
      <c r="D713" s="509"/>
      <c r="E713" s="509"/>
    </row>
    <row r="714" spans="2:5" ht="15.75" customHeight="1">
      <c r="B714" s="509"/>
      <c r="C714" s="509"/>
      <c r="D714" s="509"/>
      <c r="E714" s="509"/>
    </row>
    <row r="715" spans="2:5" ht="15.75" customHeight="1">
      <c r="B715" s="509"/>
      <c r="C715" s="509"/>
      <c r="D715" s="509"/>
      <c r="E715" s="509"/>
    </row>
    <row r="716" spans="2:5" ht="15.75" customHeight="1">
      <c r="B716" s="509"/>
      <c r="C716" s="509"/>
      <c r="D716" s="509"/>
      <c r="E716" s="509"/>
    </row>
    <row r="717" spans="2:5" ht="15.75" customHeight="1">
      <c r="B717" s="509"/>
      <c r="C717" s="509"/>
      <c r="D717" s="509"/>
      <c r="E717" s="509"/>
    </row>
    <row r="718" spans="2:5" ht="15.75" customHeight="1">
      <c r="B718" s="509"/>
      <c r="C718" s="509"/>
      <c r="D718" s="509"/>
      <c r="E718" s="509"/>
    </row>
    <row r="719" spans="2:5" ht="15.75" customHeight="1">
      <c r="B719" s="509"/>
      <c r="C719" s="509"/>
      <c r="D719" s="509"/>
      <c r="E719" s="509"/>
    </row>
    <row r="720" spans="2:5" ht="15.75" customHeight="1">
      <c r="B720" s="509"/>
      <c r="C720" s="509"/>
      <c r="D720" s="509"/>
      <c r="E720" s="509"/>
    </row>
    <row r="721" spans="2:5" ht="15.75" customHeight="1">
      <c r="B721" s="509"/>
      <c r="C721" s="509"/>
      <c r="D721" s="509"/>
      <c r="E721" s="509"/>
    </row>
    <row r="722" spans="2:5" ht="15.75" customHeight="1">
      <c r="B722" s="509"/>
      <c r="C722" s="509"/>
      <c r="D722" s="509"/>
      <c r="E722" s="509"/>
    </row>
    <row r="723" spans="2:5" ht="15.75" customHeight="1">
      <c r="B723" s="509"/>
      <c r="C723" s="509"/>
      <c r="D723" s="509"/>
      <c r="E723" s="509"/>
    </row>
    <row r="724" spans="2:5" ht="15.75" customHeight="1">
      <c r="B724" s="509"/>
      <c r="C724" s="509"/>
      <c r="D724" s="509"/>
      <c r="E724" s="509"/>
    </row>
    <row r="725" spans="2:5" ht="15.75" customHeight="1">
      <c r="B725" s="509"/>
      <c r="C725" s="509"/>
      <c r="D725" s="509"/>
      <c r="E725" s="509"/>
    </row>
    <row r="726" spans="2:5" ht="15.75" customHeight="1">
      <c r="B726" s="509"/>
      <c r="C726" s="509"/>
      <c r="D726" s="509"/>
      <c r="E726" s="509"/>
    </row>
    <row r="727" spans="2:5" ht="15.75" customHeight="1">
      <c r="B727" s="509"/>
      <c r="C727" s="509"/>
      <c r="D727" s="509"/>
      <c r="E727" s="509"/>
    </row>
    <row r="728" spans="2:5" ht="15.75" customHeight="1">
      <c r="B728" s="509"/>
      <c r="C728" s="509"/>
      <c r="D728" s="509"/>
      <c r="E728" s="509"/>
    </row>
    <row r="729" spans="2:5" ht="15.75" customHeight="1">
      <c r="B729" s="509"/>
      <c r="C729" s="509"/>
      <c r="D729" s="509"/>
      <c r="E729" s="509"/>
    </row>
    <row r="730" spans="2:5" ht="15.75" customHeight="1">
      <c r="B730" s="509"/>
      <c r="C730" s="509"/>
      <c r="D730" s="509"/>
      <c r="E730" s="509"/>
    </row>
    <row r="731" spans="2:5" ht="15.75" customHeight="1">
      <c r="B731" s="509"/>
      <c r="C731" s="509"/>
      <c r="D731" s="509"/>
      <c r="E731" s="509"/>
    </row>
    <row r="732" spans="2:5" ht="15.75" customHeight="1">
      <c r="B732" s="509"/>
      <c r="C732" s="509"/>
      <c r="D732" s="509"/>
      <c r="E732" s="509"/>
    </row>
    <row r="733" spans="2:5" ht="15.75" customHeight="1">
      <c r="B733" s="509"/>
      <c r="C733" s="509"/>
      <c r="D733" s="509"/>
      <c r="E733" s="509"/>
    </row>
    <row r="734" spans="2:5" ht="15.75" customHeight="1">
      <c r="B734" s="509"/>
      <c r="C734" s="509"/>
      <c r="D734" s="509"/>
      <c r="E734" s="509"/>
    </row>
    <row r="735" spans="2:5" ht="15.75" customHeight="1">
      <c r="B735" s="509"/>
      <c r="C735" s="509"/>
      <c r="D735" s="509"/>
      <c r="E735" s="509"/>
    </row>
    <row r="736" spans="2:5" ht="15.75" customHeight="1">
      <c r="B736" s="509"/>
      <c r="C736" s="509"/>
      <c r="D736" s="509"/>
      <c r="E736" s="509"/>
    </row>
    <row r="737" spans="2:5" ht="15.75" customHeight="1">
      <c r="B737" s="509"/>
      <c r="C737" s="509"/>
      <c r="D737" s="509"/>
      <c r="E737" s="509"/>
    </row>
    <row r="738" spans="2:5" ht="15.75" customHeight="1">
      <c r="B738" s="509"/>
      <c r="C738" s="509"/>
      <c r="D738" s="509"/>
      <c r="E738" s="509"/>
    </row>
    <row r="739" spans="2:5" ht="15.75" customHeight="1">
      <c r="B739" s="509"/>
      <c r="C739" s="509"/>
      <c r="D739" s="509"/>
      <c r="E739" s="509"/>
    </row>
    <row r="740" spans="2:5" ht="15.75" customHeight="1">
      <c r="B740" s="509"/>
      <c r="C740" s="509"/>
      <c r="D740" s="509"/>
      <c r="E740" s="509"/>
    </row>
    <row r="741" spans="2:5" ht="15.75" customHeight="1">
      <c r="B741" s="509"/>
      <c r="C741" s="509"/>
      <c r="D741" s="509"/>
      <c r="E741" s="509"/>
    </row>
    <row r="742" spans="2:5" ht="15.75" customHeight="1">
      <c r="B742" s="509"/>
      <c r="C742" s="509"/>
      <c r="D742" s="509"/>
      <c r="E742" s="509"/>
    </row>
    <row r="743" spans="2:5" ht="15.75" customHeight="1">
      <c r="B743" s="509"/>
      <c r="C743" s="509"/>
      <c r="D743" s="509"/>
      <c r="E743" s="509"/>
    </row>
    <row r="744" spans="2:5" ht="15.75" customHeight="1">
      <c r="B744" s="509"/>
      <c r="C744" s="509"/>
      <c r="D744" s="509"/>
      <c r="E744" s="509"/>
    </row>
    <row r="745" spans="2:5" ht="15.75" customHeight="1">
      <c r="B745" s="509"/>
      <c r="C745" s="509"/>
      <c r="D745" s="509"/>
      <c r="E745" s="509"/>
    </row>
    <row r="746" spans="2:5" ht="15.75" customHeight="1">
      <c r="B746" s="509"/>
      <c r="C746" s="509"/>
      <c r="D746" s="509"/>
      <c r="E746" s="509"/>
    </row>
    <row r="747" spans="2:5" ht="15.75" customHeight="1">
      <c r="B747" s="509"/>
      <c r="C747" s="509"/>
      <c r="D747" s="509"/>
      <c r="E747" s="509"/>
    </row>
    <row r="748" spans="2:5" ht="15.75" customHeight="1">
      <c r="B748" s="509"/>
      <c r="C748" s="509"/>
      <c r="D748" s="509"/>
      <c r="E748" s="509"/>
    </row>
    <row r="749" spans="2:5" ht="15.75" customHeight="1">
      <c r="B749" s="509"/>
      <c r="C749" s="509"/>
      <c r="D749" s="509"/>
      <c r="E749" s="509"/>
    </row>
    <row r="750" spans="2:5" ht="15.75" customHeight="1">
      <c r="B750" s="509"/>
      <c r="C750" s="509"/>
      <c r="D750" s="509"/>
      <c r="E750" s="509"/>
    </row>
    <row r="751" spans="2:5" ht="15.75" customHeight="1">
      <c r="B751" s="509"/>
      <c r="C751" s="509"/>
      <c r="D751" s="509"/>
      <c r="E751" s="509"/>
    </row>
    <row r="752" spans="2:5" ht="15.75" customHeight="1">
      <c r="B752" s="509"/>
      <c r="C752" s="509"/>
      <c r="D752" s="509"/>
      <c r="E752" s="509"/>
    </row>
    <row r="753" spans="2:5" ht="15.75" customHeight="1">
      <c r="B753" s="509"/>
      <c r="C753" s="509"/>
      <c r="D753" s="509"/>
      <c r="E753" s="509"/>
    </row>
    <row r="754" spans="2:5" ht="15.75" customHeight="1">
      <c r="B754" s="509"/>
      <c r="C754" s="509"/>
      <c r="D754" s="509"/>
      <c r="E754" s="509"/>
    </row>
    <row r="755" spans="2:5" ht="15.75" customHeight="1">
      <c r="B755" s="509"/>
      <c r="C755" s="509"/>
      <c r="D755" s="509"/>
      <c r="E755" s="509"/>
    </row>
    <row r="756" spans="2:5" ht="15.75" customHeight="1">
      <c r="B756" s="509"/>
      <c r="C756" s="509"/>
      <c r="D756" s="509"/>
      <c r="E756" s="509"/>
    </row>
    <row r="757" spans="2:5" ht="15.75" customHeight="1">
      <c r="B757" s="509"/>
      <c r="C757" s="509"/>
      <c r="D757" s="509"/>
      <c r="E757" s="509"/>
    </row>
    <row r="758" spans="2:5" ht="15.75" customHeight="1">
      <c r="B758" s="509"/>
      <c r="C758" s="509"/>
      <c r="D758" s="509"/>
      <c r="E758" s="509"/>
    </row>
    <row r="759" spans="2:5" ht="15.75" customHeight="1">
      <c r="B759" s="509"/>
      <c r="C759" s="509"/>
      <c r="D759" s="509"/>
      <c r="E759" s="509"/>
    </row>
    <row r="760" spans="2:5" ht="15.75" customHeight="1">
      <c r="B760" s="509"/>
      <c r="C760" s="509"/>
      <c r="D760" s="509"/>
      <c r="E760" s="509"/>
    </row>
    <row r="761" spans="2:5" ht="15.75" customHeight="1">
      <c r="B761" s="509"/>
      <c r="C761" s="509"/>
      <c r="D761" s="509"/>
      <c r="E761" s="509"/>
    </row>
    <row r="762" spans="2:5" ht="15.75" customHeight="1">
      <c r="B762" s="509"/>
      <c r="C762" s="509"/>
      <c r="D762" s="509"/>
      <c r="E762" s="509"/>
    </row>
    <row r="763" spans="2:5" ht="15.75" customHeight="1">
      <c r="B763" s="509"/>
      <c r="C763" s="509"/>
      <c r="D763" s="509"/>
      <c r="E763" s="509"/>
    </row>
    <row r="764" spans="2:5" ht="15.75" customHeight="1">
      <c r="B764" s="509"/>
      <c r="C764" s="509"/>
      <c r="D764" s="509"/>
      <c r="E764" s="509"/>
    </row>
    <row r="765" spans="2:5" ht="15.75" customHeight="1">
      <c r="B765" s="509"/>
      <c r="C765" s="509"/>
      <c r="D765" s="509"/>
      <c r="E765" s="509"/>
    </row>
    <row r="766" spans="2:5" ht="15.75" customHeight="1">
      <c r="B766" s="509"/>
      <c r="C766" s="509"/>
      <c r="D766" s="509"/>
      <c r="E766" s="509"/>
    </row>
    <row r="767" spans="2:5" ht="15.75" customHeight="1">
      <c r="B767" s="509"/>
      <c r="C767" s="509"/>
      <c r="D767" s="509"/>
      <c r="E767" s="509"/>
    </row>
    <row r="768" spans="2:5" ht="15.75" customHeight="1">
      <c r="B768" s="509"/>
      <c r="C768" s="509"/>
      <c r="D768" s="509"/>
      <c r="E768" s="509"/>
    </row>
    <row r="769" spans="2:5" ht="15.75" customHeight="1">
      <c r="B769" s="509"/>
      <c r="C769" s="509"/>
      <c r="D769" s="509"/>
      <c r="E769" s="509"/>
    </row>
    <row r="770" spans="2:5" ht="15.75" customHeight="1">
      <c r="B770" s="509"/>
      <c r="C770" s="509"/>
      <c r="D770" s="509"/>
      <c r="E770" s="509"/>
    </row>
    <row r="771" spans="2:5" ht="15.75" customHeight="1">
      <c r="B771" s="509"/>
      <c r="C771" s="509"/>
      <c r="D771" s="509"/>
      <c r="E771" s="509"/>
    </row>
    <row r="772" spans="2:5" ht="15.75" customHeight="1">
      <c r="B772" s="509"/>
      <c r="C772" s="509"/>
      <c r="D772" s="509"/>
      <c r="E772" s="509"/>
    </row>
    <row r="773" spans="2:5" ht="15.75" customHeight="1">
      <c r="B773" s="509"/>
      <c r="C773" s="509"/>
      <c r="D773" s="509"/>
      <c r="E773" s="509"/>
    </row>
    <row r="774" spans="2:5" ht="15.75" customHeight="1">
      <c r="B774" s="509"/>
      <c r="C774" s="509"/>
      <c r="D774" s="509"/>
      <c r="E774" s="509"/>
    </row>
    <row r="775" spans="2:5" ht="15.75" customHeight="1">
      <c r="B775" s="509"/>
      <c r="C775" s="509"/>
      <c r="D775" s="509"/>
      <c r="E775" s="509"/>
    </row>
    <row r="776" spans="2:5" ht="15.75" customHeight="1">
      <c r="B776" s="509"/>
      <c r="C776" s="509"/>
      <c r="D776" s="509"/>
      <c r="E776" s="509"/>
    </row>
    <row r="777" spans="2:5" ht="15.75" customHeight="1">
      <c r="B777" s="509"/>
      <c r="C777" s="509"/>
      <c r="D777" s="509"/>
      <c r="E777" s="509"/>
    </row>
    <row r="778" spans="2:5" ht="15.75" customHeight="1">
      <c r="B778" s="509"/>
      <c r="C778" s="509"/>
      <c r="D778" s="509"/>
      <c r="E778" s="509"/>
    </row>
    <row r="779" spans="2:5" ht="15.75" customHeight="1">
      <c r="B779" s="509"/>
      <c r="C779" s="509"/>
      <c r="D779" s="509"/>
      <c r="E779" s="509"/>
    </row>
    <row r="780" spans="2:5" ht="15.75" customHeight="1">
      <c r="B780" s="509"/>
      <c r="C780" s="509"/>
      <c r="D780" s="509"/>
      <c r="E780" s="509"/>
    </row>
    <row r="781" spans="2:5" ht="15.75" customHeight="1">
      <c r="B781" s="509"/>
      <c r="C781" s="509"/>
      <c r="D781" s="509"/>
      <c r="E781" s="509"/>
    </row>
    <row r="782" spans="2:5" ht="15.75" customHeight="1">
      <c r="B782" s="509"/>
      <c r="C782" s="509"/>
      <c r="D782" s="509"/>
      <c r="E782" s="509"/>
    </row>
    <row r="783" spans="2:5" ht="15.75" customHeight="1">
      <c r="B783" s="509"/>
      <c r="C783" s="509"/>
      <c r="D783" s="509"/>
      <c r="E783" s="509"/>
    </row>
    <row r="784" spans="2:5" ht="15.75" customHeight="1">
      <c r="B784" s="509"/>
      <c r="C784" s="509"/>
      <c r="D784" s="509"/>
      <c r="E784" s="509"/>
    </row>
    <row r="785" spans="2:5" ht="15.75" customHeight="1">
      <c r="B785" s="509"/>
      <c r="C785" s="509"/>
      <c r="D785" s="509"/>
      <c r="E785" s="509"/>
    </row>
    <row r="786" spans="2:5" ht="15.75" customHeight="1">
      <c r="B786" s="509"/>
      <c r="C786" s="509"/>
      <c r="D786" s="509"/>
      <c r="E786" s="509"/>
    </row>
    <row r="787" spans="2:5" ht="15.75" customHeight="1">
      <c r="B787" s="509"/>
      <c r="C787" s="509"/>
      <c r="D787" s="509"/>
      <c r="E787" s="509"/>
    </row>
    <row r="788" spans="2:5" ht="15.75" customHeight="1">
      <c r="B788" s="509"/>
      <c r="C788" s="509"/>
      <c r="D788" s="509"/>
      <c r="E788" s="509"/>
    </row>
    <row r="789" spans="2:5" ht="15.75" customHeight="1">
      <c r="B789" s="509"/>
      <c r="C789" s="509"/>
      <c r="D789" s="509"/>
      <c r="E789" s="509"/>
    </row>
    <row r="790" spans="2:5" ht="15.75" customHeight="1">
      <c r="B790" s="509"/>
      <c r="C790" s="509"/>
      <c r="D790" s="509"/>
      <c r="E790" s="509"/>
    </row>
    <row r="791" spans="2:5" ht="15.75" customHeight="1">
      <c r="B791" s="509"/>
      <c r="C791" s="509"/>
      <c r="D791" s="509"/>
      <c r="E791" s="509"/>
    </row>
    <row r="792" spans="2:5" ht="15.75" customHeight="1">
      <c r="B792" s="509"/>
      <c r="C792" s="509"/>
      <c r="D792" s="509"/>
      <c r="E792" s="509"/>
    </row>
    <row r="793" spans="2:5" ht="15.75" customHeight="1">
      <c r="B793" s="509"/>
      <c r="C793" s="509"/>
      <c r="D793" s="509"/>
      <c r="E793" s="509"/>
    </row>
    <row r="794" spans="2:5" ht="15.75" customHeight="1">
      <c r="B794" s="509"/>
      <c r="C794" s="509"/>
      <c r="D794" s="509"/>
      <c r="E794" s="509"/>
    </row>
    <row r="795" spans="2:5" ht="15.75" customHeight="1">
      <c r="B795" s="509"/>
      <c r="C795" s="509"/>
      <c r="D795" s="509"/>
      <c r="E795" s="509"/>
    </row>
    <row r="796" spans="2:5" ht="15.75" customHeight="1">
      <c r="B796" s="509"/>
      <c r="C796" s="509"/>
      <c r="D796" s="509"/>
      <c r="E796" s="509"/>
    </row>
    <row r="797" spans="2:5" ht="15.75" customHeight="1">
      <c r="B797" s="509"/>
      <c r="C797" s="509"/>
      <c r="D797" s="509"/>
      <c r="E797" s="509"/>
    </row>
    <row r="798" spans="2:5" ht="15.75" customHeight="1">
      <c r="B798" s="509"/>
      <c r="C798" s="509"/>
      <c r="D798" s="509"/>
      <c r="E798" s="509"/>
    </row>
    <row r="799" spans="2:5" ht="15.75" customHeight="1">
      <c r="B799" s="509"/>
      <c r="C799" s="509"/>
      <c r="D799" s="509"/>
      <c r="E799" s="509"/>
    </row>
    <row r="800" spans="2:5" ht="15.75" customHeight="1">
      <c r="B800" s="509"/>
      <c r="C800" s="509"/>
      <c r="D800" s="509"/>
      <c r="E800" s="509"/>
    </row>
    <row r="801" spans="2:5" ht="15.75" customHeight="1">
      <c r="B801" s="509"/>
      <c r="C801" s="509"/>
      <c r="D801" s="509"/>
      <c r="E801" s="509"/>
    </row>
    <row r="802" spans="2:5" ht="15.75" customHeight="1">
      <c r="B802" s="509"/>
      <c r="C802" s="509"/>
      <c r="D802" s="509"/>
      <c r="E802" s="509"/>
    </row>
    <row r="803" spans="2:5" ht="15.75" customHeight="1">
      <c r="B803" s="509"/>
      <c r="C803" s="509"/>
      <c r="D803" s="509"/>
      <c r="E803" s="509"/>
    </row>
    <row r="804" spans="2:5" ht="15.75" customHeight="1">
      <c r="B804" s="509"/>
      <c r="C804" s="509"/>
      <c r="D804" s="509"/>
      <c r="E804" s="509"/>
    </row>
    <row r="805" spans="2:5" ht="15.75" customHeight="1">
      <c r="B805" s="509"/>
      <c r="C805" s="509"/>
      <c r="D805" s="509"/>
      <c r="E805" s="509"/>
    </row>
    <row r="806" spans="2:5" ht="15.75" customHeight="1">
      <c r="B806" s="509"/>
      <c r="C806" s="509"/>
      <c r="D806" s="509"/>
      <c r="E806" s="509"/>
    </row>
    <row r="807" spans="2:5" ht="15.75" customHeight="1">
      <c r="B807" s="509"/>
      <c r="C807" s="509"/>
      <c r="D807" s="509"/>
      <c r="E807" s="509"/>
    </row>
    <row r="808" spans="2:5" ht="15.75" customHeight="1">
      <c r="B808" s="509"/>
      <c r="C808" s="509"/>
      <c r="D808" s="509"/>
      <c r="E808" s="509"/>
    </row>
    <row r="809" spans="2:5" ht="15.75" customHeight="1">
      <c r="B809" s="509"/>
      <c r="C809" s="509"/>
      <c r="D809" s="509"/>
      <c r="E809" s="509"/>
    </row>
    <row r="810" spans="2:5" ht="15.75" customHeight="1">
      <c r="B810" s="509"/>
      <c r="C810" s="509"/>
      <c r="D810" s="509"/>
      <c r="E810" s="509"/>
    </row>
    <row r="811" spans="2:5" ht="15.75" customHeight="1">
      <c r="B811" s="509"/>
      <c r="C811" s="509"/>
      <c r="D811" s="509"/>
      <c r="E811" s="509"/>
    </row>
    <row r="812" spans="2:5" ht="15.75" customHeight="1">
      <c r="B812" s="509"/>
      <c r="C812" s="509"/>
      <c r="D812" s="509"/>
      <c r="E812" s="509"/>
    </row>
    <row r="813" spans="2:5" ht="15.75" customHeight="1">
      <c r="B813" s="509"/>
      <c r="C813" s="509"/>
      <c r="D813" s="509"/>
      <c r="E813" s="509"/>
    </row>
    <row r="814" spans="2:5" ht="15.75" customHeight="1">
      <c r="B814" s="509"/>
      <c r="C814" s="509"/>
      <c r="D814" s="509"/>
      <c r="E814" s="509"/>
    </row>
    <row r="815" spans="2:5" ht="15.75" customHeight="1">
      <c r="B815" s="509"/>
      <c r="C815" s="509"/>
      <c r="D815" s="509"/>
      <c r="E815" s="509"/>
    </row>
    <row r="816" spans="2:5" ht="15.75" customHeight="1">
      <c r="B816" s="509"/>
      <c r="C816" s="509"/>
      <c r="D816" s="509"/>
      <c r="E816" s="509"/>
    </row>
    <row r="817" spans="2:5" ht="15.75" customHeight="1">
      <c r="B817" s="509"/>
      <c r="C817" s="509"/>
      <c r="D817" s="509"/>
      <c r="E817" s="509"/>
    </row>
    <row r="818" spans="2:5" ht="15.75" customHeight="1">
      <c r="B818" s="509"/>
      <c r="C818" s="509"/>
      <c r="D818" s="509"/>
      <c r="E818" s="509"/>
    </row>
    <row r="819" spans="2:5" ht="15.75" customHeight="1">
      <c r="B819" s="509"/>
      <c r="C819" s="509"/>
      <c r="D819" s="509"/>
      <c r="E819" s="509"/>
    </row>
    <row r="820" spans="2:5" ht="15.75" customHeight="1">
      <c r="B820" s="509"/>
      <c r="C820" s="509"/>
      <c r="D820" s="509"/>
      <c r="E820" s="509"/>
    </row>
    <row r="821" spans="2:5" ht="15.75" customHeight="1">
      <c r="B821" s="509"/>
      <c r="C821" s="509"/>
      <c r="D821" s="509"/>
      <c r="E821" s="509"/>
    </row>
    <row r="822" spans="2:5" ht="15.75" customHeight="1">
      <c r="B822" s="509"/>
      <c r="C822" s="509"/>
      <c r="D822" s="509"/>
      <c r="E822" s="509"/>
    </row>
    <row r="823" spans="2:5" ht="15.75" customHeight="1">
      <c r="B823" s="509"/>
      <c r="C823" s="509"/>
      <c r="D823" s="509"/>
      <c r="E823" s="509"/>
    </row>
    <row r="824" spans="2:5" ht="15.75" customHeight="1">
      <c r="B824" s="509"/>
      <c r="C824" s="509"/>
      <c r="D824" s="509"/>
      <c r="E824" s="509"/>
    </row>
    <row r="825" spans="2:5" ht="15.75" customHeight="1">
      <c r="B825" s="509"/>
      <c r="C825" s="509"/>
      <c r="D825" s="509"/>
      <c r="E825" s="509"/>
    </row>
    <row r="826" spans="2:5" ht="15.75" customHeight="1">
      <c r="B826" s="509"/>
      <c r="C826" s="509"/>
      <c r="D826" s="509"/>
      <c r="E826" s="509"/>
    </row>
    <row r="827" spans="2:5" ht="15.75" customHeight="1">
      <c r="B827" s="509"/>
      <c r="C827" s="509"/>
      <c r="D827" s="509"/>
      <c r="E827" s="509"/>
    </row>
    <row r="828" spans="2:5" ht="15.75" customHeight="1">
      <c r="B828" s="509"/>
      <c r="C828" s="509"/>
      <c r="D828" s="509"/>
      <c r="E828" s="509"/>
    </row>
    <row r="829" spans="2:5" ht="15.75" customHeight="1">
      <c r="B829" s="509"/>
      <c r="C829" s="509"/>
      <c r="D829" s="509"/>
      <c r="E829" s="509"/>
    </row>
    <row r="830" spans="2:5" ht="15.75" customHeight="1">
      <c r="B830" s="509"/>
      <c r="C830" s="509"/>
      <c r="D830" s="509"/>
      <c r="E830" s="509"/>
    </row>
    <row r="831" spans="2:5" ht="15.75" customHeight="1">
      <c r="B831" s="509"/>
      <c r="C831" s="509"/>
      <c r="D831" s="509"/>
      <c r="E831" s="509"/>
    </row>
    <row r="832" spans="2:5" ht="15.75" customHeight="1">
      <c r="B832" s="509"/>
      <c r="C832" s="509"/>
      <c r="D832" s="509"/>
      <c r="E832" s="509"/>
    </row>
    <row r="833" spans="2:5" ht="15.75" customHeight="1">
      <c r="B833" s="509"/>
      <c r="C833" s="509"/>
      <c r="D833" s="509"/>
      <c r="E833" s="509"/>
    </row>
    <row r="834" spans="2:5" ht="15.75" customHeight="1">
      <c r="B834" s="509"/>
      <c r="C834" s="509"/>
      <c r="D834" s="509"/>
      <c r="E834" s="509"/>
    </row>
    <row r="835" spans="2:5" ht="15.75" customHeight="1">
      <c r="B835" s="509"/>
      <c r="C835" s="509"/>
      <c r="D835" s="509"/>
      <c r="E835" s="509"/>
    </row>
    <row r="836" spans="2:5" ht="15.75" customHeight="1">
      <c r="B836" s="509"/>
      <c r="C836" s="509"/>
      <c r="D836" s="509"/>
      <c r="E836" s="509"/>
    </row>
    <row r="837" spans="2:5" ht="15.75" customHeight="1">
      <c r="B837" s="509"/>
      <c r="C837" s="509"/>
      <c r="D837" s="509"/>
      <c r="E837" s="509"/>
    </row>
    <row r="838" spans="2:5" ht="15.75" customHeight="1">
      <c r="B838" s="509"/>
      <c r="C838" s="509"/>
      <c r="D838" s="509"/>
      <c r="E838" s="509"/>
    </row>
    <row r="839" spans="2:5" ht="15.75" customHeight="1">
      <c r="B839" s="509"/>
      <c r="C839" s="509"/>
      <c r="D839" s="509"/>
      <c r="E839" s="509"/>
    </row>
    <row r="840" spans="2:5" ht="15.75" customHeight="1">
      <c r="B840" s="509"/>
      <c r="C840" s="509"/>
      <c r="D840" s="509"/>
      <c r="E840" s="509"/>
    </row>
    <row r="841" spans="2:5" ht="15.75" customHeight="1">
      <c r="B841" s="509"/>
      <c r="C841" s="509"/>
      <c r="D841" s="509"/>
      <c r="E841" s="509"/>
    </row>
    <row r="842" spans="2:5" ht="15.75" customHeight="1">
      <c r="B842" s="509"/>
      <c r="C842" s="509"/>
      <c r="D842" s="509"/>
      <c r="E842" s="509"/>
    </row>
    <row r="843" spans="2:5" ht="15.75" customHeight="1">
      <c r="B843" s="509"/>
      <c r="C843" s="509"/>
      <c r="D843" s="509"/>
      <c r="E843" s="509"/>
    </row>
    <row r="844" spans="2:5" ht="15.75" customHeight="1">
      <c r="B844" s="509"/>
      <c r="C844" s="509"/>
      <c r="D844" s="509"/>
      <c r="E844" s="509"/>
    </row>
    <row r="845" spans="2:5" ht="15.75" customHeight="1">
      <c r="B845" s="509"/>
      <c r="C845" s="509"/>
      <c r="D845" s="509"/>
      <c r="E845" s="509"/>
    </row>
    <row r="846" spans="2:5" ht="15.75" customHeight="1">
      <c r="B846" s="509"/>
      <c r="C846" s="509"/>
      <c r="D846" s="509"/>
      <c r="E846" s="509"/>
    </row>
    <row r="847" spans="2:5" ht="15.75" customHeight="1">
      <c r="B847" s="509"/>
      <c r="C847" s="509"/>
      <c r="D847" s="509"/>
      <c r="E847" s="509"/>
    </row>
    <row r="848" spans="2:5" ht="15.75" customHeight="1">
      <c r="B848" s="509"/>
      <c r="C848" s="509"/>
      <c r="D848" s="509"/>
      <c r="E848" s="509"/>
    </row>
    <row r="849" spans="2:5" ht="15.75" customHeight="1">
      <c r="B849" s="509"/>
      <c r="C849" s="509"/>
      <c r="D849" s="509"/>
      <c r="E849" s="509"/>
    </row>
    <row r="850" spans="2:5" ht="15.75" customHeight="1">
      <c r="B850" s="509"/>
      <c r="C850" s="509"/>
      <c r="D850" s="509"/>
      <c r="E850" s="509"/>
    </row>
    <row r="851" spans="2:5" ht="15.75" customHeight="1">
      <c r="B851" s="509"/>
      <c r="C851" s="509"/>
      <c r="D851" s="509"/>
      <c r="E851" s="509"/>
    </row>
    <row r="852" spans="2:5" ht="15.75" customHeight="1">
      <c r="B852" s="509"/>
      <c r="C852" s="509"/>
      <c r="D852" s="509"/>
      <c r="E852" s="509"/>
    </row>
    <row r="853" spans="2:5" ht="15.75" customHeight="1">
      <c r="B853" s="509"/>
      <c r="C853" s="509"/>
      <c r="D853" s="509"/>
      <c r="E853" s="509"/>
    </row>
    <row r="854" spans="2:5" ht="15.75" customHeight="1">
      <c r="B854" s="509"/>
      <c r="C854" s="509"/>
      <c r="D854" s="509"/>
      <c r="E854" s="509"/>
    </row>
    <row r="855" spans="2:5" ht="15.75" customHeight="1">
      <c r="B855" s="509"/>
      <c r="C855" s="509"/>
      <c r="D855" s="509"/>
      <c r="E855" s="509"/>
    </row>
    <row r="856" spans="2:5" ht="15.75" customHeight="1">
      <c r="B856" s="509"/>
      <c r="C856" s="509"/>
      <c r="D856" s="509"/>
      <c r="E856" s="509"/>
    </row>
    <row r="857" spans="2:5" ht="15.75" customHeight="1">
      <c r="B857" s="509"/>
      <c r="C857" s="509"/>
      <c r="D857" s="509"/>
      <c r="E857" s="509"/>
    </row>
    <row r="858" spans="2:5" ht="15.75" customHeight="1">
      <c r="B858" s="509"/>
      <c r="C858" s="509"/>
      <c r="D858" s="509"/>
      <c r="E858" s="509"/>
    </row>
    <row r="859" spans="2:5" ht="15.75" customHeight="1">
      <c r="B859" s="509"/>
      <c r="C859" s="509"/>
      <c r="D859" s="509"/>
      <c r="E859" s="509"/>
    </row>
    <row r="860" spans="2:5" ht="15.75" customHeight="1">
      <c r="B860" s="509"/>
      <c r="C860" s="509"/>
      <c r="D860" s="509"/>
      <c r="E860" s="509"/>
    </row>
    <row r="861" spans="2:5" ht="15.75" customHeight="1">
      <c r="B861" s="509"/>
      <c r="C861" s="509"/>
      <c r="D861" s="509"/>
      <c r="E861" s="509"/>
    </row>
    <row r="862" spans="2:5" ht="15.75" customHeight="1">
      <c r="B862" s="509"/>
      <c r="C862" s="509"/>
      <c r="D862" s="509"/>
      <c r="E862" s="509"/>
    </row>
    <row r="863" spans="2:5" ht="15.75" customHeight="1">
      <c r="B863" s="509"/>
      <c r="C863" s="509"/>
      <c r="D863" s="509"/>
      <c r="E863" s="509"/>
    </row>
    <row r="864" spans="2:5" ht="15.75" customHeight="1">
      <c r="B864" s="509"/>
      <c r="C864" s="509"/>
      <c r="D864" s="509"/>
      <c r="E864" s="509"/>
    </row>
    <row r="865" spans="2:5" ht="15.75" customHeight="1">
      <c r="B865" s="509"/>
      <c r="C865" s="509"/>
      <c r="D865" s="509"/>
      <c r="E865" s="509"/>
    </row>
    <row r="866" spans="2:5" ht="15.75" customHeight="1">
      <c r="B866" s="509"/>
      <c r="C866" s="509"/>
      <c r="D866" s="509"/>
      <c r="E866" s="509"/>
    </row>
    <row r="867" spans="2:5" ht="15.75" customHeight="1">
      <c r="B867" s="509"/>
      <c r="C867" s="509"/>
      <c r="D867" s="509"/>
      <c r="E867" s="509"/>
    </row>
    <row r="868" spans="2:5" ht="15.75" customHeight="1">
      <c r="B868" s="509"/>
      <c r="C868" s="509"/>
      <c r="D868" s="509"/>
      <c r="E868" s="509"/>
    </row>
    <row r="869" spans="2:5" ht="15.75" customHeight="1">
      <c r="B869" s="509"/>
      <c r="C869" s="509"/>
      <c r="D869" s="509"/>
      <c r="E869" s="509"/>
    </row>
    <row r="870" spans="2:5" ht="15.75" customHeight="1">
      <c r="B870" s="509"/>
      <c r="C870" s="509"/>
      <c r="D870" s="509"/>
      <c r="E870" s="509"/>
    </row>
    <row r="871" spans="2:5" ht="15.75" customHeight="1">
      <c r="B871" s="509"/>
      <c r="C871" s="509"/>
      <c r="D871" s="509"/>
      <c r="E871" s="509"/>
    </row>
    <row r="872" spans="2:5" ht="15.75" customHeight="1">
      <c r="B872" s="509"/>
      <c r="C872" s="509"/>
      <c r="D872" s="509"/>
      <c r="E872" s="509"/>
    </row>
    <row r="873" spans="2:5" ht="15.75" customHeight="1">
      <c r="B873" s="509"/>
      <c r="C873" s="509"/>
      <c r="D873" s="509"/>
      <c r="E873" s="509"/>
    </row>
    <row r="874" spans="2:5" ht="15.75" customHeight="1">
      <c r="B874" s="509"/>
      <c r="C874" s="509"/>
      <c r="D874" s="509"/>
      <c r="E874" s="509"/>
    </row>
    <row r="875" spans="2:5" ht="15.75" customHeight="1">
      <c r="B875" s="509"/>
      <c r="C875" s="509"/>
      <c r="D875" s="509"/>
      <c r="E875" s="509"/>
    </row>
    <row r="876" spans="2:5" ht="15.75" customHeight="1">
      <c r="B876" s="509"/>
      <c r="C876" s="509"/>
      <c r="D876" s="509"/>
      <c r="E876" s="509"/>
    </row>
    <row r="877" spans="2:5" ht="15.75" customHeight="1">
      <c r="B877" s="509"/>
      <c r="C877" s="509"/>
      <c r="D877" s="509"/>
      <c r="E877" s="509"/>
    </row>
    <row r="878" spans="2:5" ht="15.75" customHeight="1">
      <c r="B878" s="509"/>
      <c r="C878" s="509"/>
      <c r="D878" s="509"/>
      <c r="E878" s="509"/>
    </row>
    <row r="879" spans="2:5" ht="15.75" customHeight="1">
      <c r="B879" s="509"/>
      <c r="C879" s="509"/>
      <c r="D879" s="509"/>
      <c r="E879" s="509"/>
    </row>
    <row r="880" spans="2:5" ht="15.75" customHeight="1">
      <c r="B880" s="509"/>
      <c r="C880" s="509"/>
      <c r="D880" s="509"/>
      <c r="E880" s="509"/>
    </row>
    <row r="881" spans="2:5" ht="15.75" customHeight="1">
      <c r="B881" s="509"/>
      <c r="C881" s="509"/>
      <c r="D881" s="509"/>
      <c r="E881" s="509"/>
    </row>
    <row r="882" spans="2:5" ht="15.75" customHeight="1">
      <c r="B882" s="509"/>
      <c r="C882" s="509"/>
      <c r="D882" s="509"/>
      <c r="E882" s="509"/>
    </row>
    <row r="883" spans="2:5" ht="15.75" customHeight="1">
      <c r="B883" s="509"/>
      <c r="C883" s="509"/>
      <c r="D883" s="509"/>
      <c r="E883" s="509"/>
    </row>
    <row r="884" spans="2:5" ht="15.75" customHeight="1">
      <c r="B884" s="509"/>
      <c r="C884" s="509"/>
      <c r="D884" s="509"/>
      <c r="E884" s="509"/>
    </row>
    <row r="885" spans="2:5" ht="15.75" customHeight="1">
      <c r="B885" s="509"/>
      <c r="C885" s="509"/>
      <c r="D885" s="509"/>
      <c r="E885" s="509"/>
    </row>
    <row r="886" spans="2:5" ht="15.75" customHeight="1">
      <c r="B886" s="509"/>
      <c r="C886" s="509"/>
      <c r="D886" s="509"/>
      <c r="E886" s="509"/>
    </row>
    <row r="887" spans="2:5" ht="15.75" customHeight="1">
      <c r="B887" s="509"/>
      <c r="C887" s="509"/>
      <c r="D887" s="509"/>
      <c r="E887" s="509"/>
    </row>
    <row r="888" spans="2:5" ht="15.75" customHeight="1">
      <c r="B888" s="509"/>
      <c r="C888" s="509"/>
      <c r="D888" s="509"/>
      <c r="E888" s="509"/>
    </row>
    <row r="889" spans="2:5" ht="15.75" customHeight="1">
      <c r="B889" s="509"/>
      <c r="C889" s="509"/>
      <c r="D889" s="509"/>
      <c r="E889" s="509"/>
    </row>
    <row r="890" spans="2:5" ht="15.75" customHeight="1">
      <c r="B890" s="509"/>
      <c r="C890" s="509"/>
      <c r="D890" s="509"/>
      <c r="E890" s="509"/>
    </row>
    <row r="891" spans="2:5" ht="15.75" customHeight="1">
      <c r="B891" s="509"/>
      <c r="C891" s="509"/>
      <c r="D891" s="509"/>
      <c r="E891" s="509"/>
    </row>
    <row r="892" spans="2:5" ht="15.75" customHeight="1">
      <c r="B892" s="509"/>
      <c r="C892" s="509"/>
      <c r="D892" s="509"/>
      <c r="E892" s="509"/>
    </row>
    <row r="893" spans="2:5" ht="15.75" customHeight="1">
      <c r="B893" s="509"/>
      <c r="C893" s="509"/>
      <c r="D893" s="509"/>
      <c r="E893" s="509"/>
    </row>
    <row r="894" spans="2:5" ht="15.75" customHeight="1">
      <c r="B894" s="509"/>
      <c r="C894" s="509"/>
      <c r="D894" s="509"/>
      <c r="E894" s="509"/>
    </row>
    <row r="895" spans="2:5" ht="15.75" customHeight="1">
      <c r="B895" s="509"/>
      <c r="C895" s="509"/>
      <c r="D895" s="509"/>
      <c r="E895" s="509"/>
    </row>
    <row r="896" spans="2:5" ht="15.75" customHeight="1">
      <c r="B896" s="509"/>
      <c r="C896" s="509"/>
      <c r="D896" s="509"/>
      <c r="E896" s="509"/>
    </row>
    <row r="897" spans="2:5" ht="15.75" customHeight="1">
      <c r="B897" s="509"/>
      <c r="C897" s="509"/>
      <c r="D897" s="509"/>
      <c r="E897" s="509"/>
    </row>
    <row r="898" spans="2:5" ht="15.75" customHeight="1">
      <c r="B898" s="509"/>
      <c r="C898" s="509"/>
      <c r="D898" s="509"/>
      <c r="E898" s="509"/>
    </row>
    <row r="899" spans="2:5" ht="15.75" customHeight="1">
      <c r="B899" s="509"/>
      <c r="C899" s="509"/>
      <c r="D899" s="509"/>
      <c r="E899" s="509"/>
    </row>
    <row r="900" spans="2:5" ht="15.75" customHeight="1">
      <c r="B900" s="509"/>
      <c r="C900" s="509"/>
      <c r="D900" s="509"/>
      <c r="E900" s="509"/>
    </row>
    <row r="901" spans="2:5" ht="15.75" customHeight="1">
      <c r="B901" s="509"/>
      <c r="C901" s="509"/>
      <c r="D901" s="509"/>
      <c r="E901" s="509"/>
    </row>
    <row r="902" spans="2:5" ht="15.75" customHeight="1">
      <c r="B902" s="509"/>
      <c r="C902" s="509"/>
      <c r="D902" s="509"/>
      <c r="E902" s="509"/>
    </row>
    <row r="903" spans="2:5" ht="15.75" customHeight="1">
      <c r="B903" s="509"/>
      <c r="C903" s="509"/>
      <c r="D903" s="509"/>
      <c r="E903" s="509"/>
    </row>
    <row r="904" spans="2:5" ht="15.75" customHeight="1">
      <c r="B904" s="509"/>
      <c r="C904" s="509"/>
      <c r="D904" s="509"/>
      <c r="E904" s="509"/>
    </row>
    <row r="905" spans="2:5" ht="15.75" customHeight="1">
      <c r="B905" s="509"/>
      <c r="C905" s="509"/>
      <c r="D905" s="509"/>
      <c r="E905" s="509"/>
    </row>
    <row r="906" spans="2:5" ht="15.75" customHeight="1">
      <c r="B906" s="509"/>
      <c r="C906" s="509"/>
      <c r="D906" s="509"/>
      <c r="E906" s="509"/>
    </row>
    <row r="907" spans="2:5" ht="15.75" customHeight="1">
      <c r="B907" s="509"/>
      <c r="C907" s="509"/>
      <c r="D907" s="509"/>
      <c r="E907" s="509"/>
    </row>
    <row r="908" spans="2:5" ht="15.75" customHeight="1">
      <c r="B908" s="509"/>
      <c r="C908" s="509"/>
      <c r="D908" s="509"/>
      <c r="E908" s="509"/>
    </row>
    <row r="909" spans="2:5" ht="15.75" customHeight="1">
      <c r="B909" s="509"/>
      <c r="C909" s="509"/>
      <c r="D909" s="509"/>
      <c r="E909" s="509"/>
    </row>
    <row r="910" spans="2:5" ht="15.75" customHeight="1">
      <c r="B910" s="509"/>
      <c r="C910" s="509"/>
      <c r="D910" s="509"/>
      <c r="E910" s="509"/>
    </row>
    <row r="911" spans="2:5" ht="15.75" customHeight="1">
      <c r="B911" s="509"/>
      <c r="C911" s="509"/>
      <c r="D911" s="509"/>
      <c r="E911" s="509"/>
    </row>
    <row r="912" spans="2:5" ht="15.75" customHeight="1">
      <c r="B912" s="509"/>
      <c r="C912" s="509"/>
      <c r="D912" s="509"/>
      <c r="E912" s="509"/>
    </row>
    <row r="913" spans="2:5" ht="15.75" customHeight="1">
      <c r="B913" s="509"/>
      <c r="C913" s="509"/>
      <c r="D913" s="509"/>
      <c r="E913" s="509"/>
    </row>
    <row r="914" spans="2:5" ht="15.75" customHeight="1">
      <c r="B914" s="509"/>
      <c r="C914" s="509"/>
      <c r="D914" s="509"/>
      <c r="E914" s="509"/>
    </row>
    <row r="915" spans="2:5" ht="15.75" customHeight="1">
      <c r="B915" s="509"/>
      <c r="C915" s="509"/>
      <c r="D915" s="509"/>
      <c r="E915" s="509"/>
    </row>
    <row r="916" spans="2:5" ht="15.75" customHeight="1">
      <c r="B916" s="509"/>
      <c r="C916" s="509"/>
      <c r="D916" s="509"/>
      <c r="E916" s="509"/>
    </row>
    <row r="917" spans="2:5" ht="15.75" customHeight="1">
      <c r="B917" s="509"/>
      <c r="C917" s="509"/>
      <c r="D917" s="509"/>
      <c r="E917" s="509"/>
    </row>
    <row r="918" spans="2:5" ht="15.75" customHeight="1">
      <c r="B918" s="509"/>
      <c r="C918" s="509"/>
      <c r="D918" s="509"/>
      <c r="E918" s="509"/>
    </row>
    <row r="919" spans="2:5" ht="15.75" customHeight="1">
      <c r="B919" s="509"/>
      <c r="C919" s="509"/>
      <c r="D919" s="509"/>
      <c r="E919" s="509"/>
    </row>
    <row r="920" spans="2:5" ht="15.75" customHeight="1">
      <c r="B920" s="509"/>
      <c r="C920" s="509"/>
      <c r="D920" s="509"/>
      <c r="E920" s="509"/>
    </row>
    <row r="921" spans="2:5" ht="15.75" customHeight="1">
      <c r="B921" s="509"/>
      <c r="C921" s="509"/>
      <c r="D921" s="509"/>
      <c r="E921" s="509"/>
    </row>
    <row r="922" spans="2:5" ht="15.75" customHeight="1">
      <c r="B922" s="509"/>
      <c r="C922" s="509"/>
      <c r="D922" s="509"/>
      <c r="E922" s="509"/>
    </row>
    <row r="923" spans="2:5" ht="15.75" customHeight="1">
      <c r="B923" s="509"/>
      <c r="C923" s="509"/>
      <c r="D923" s="509"/>
      <c r="E923" s="509"/>
    </row>
    <row r="924" spans="2:5" ht="15.75" customHeight="1">
      <c r="B924" s="509"/>
      <c r="C924" s="509"/>
      <c r="D924" s="509"/>
      <c r="E924" s="509"/>
    </row>
    <row r="925" spans="2:5" ht="15.75" customHeight="1">
      <c r="B925" s="509"/>
      <c r="C925" s="509"/>
      <c r="D925" s="509"/>
      <c r="E925" s="509"/>
    </row>
    <row r="926" spans="2:5" ht="15.75" customHeight="1">
      <c r="B926" s="509"/>
      <c r="C926" s="509"/>
      <c r="D926" s="509"/>
      <c r="E926" s="509"/>
    </row>
    <row r="927" spans="2:5" ht="15.75" customHeight="1">
      <c r="B927" s="509"/>
      <c r="C927" s="509"/>
      <c r="D927" s="509"/>
      <c r="E927" s="509"/>
    </row>
    <row r="928" spans="2:5" ht="15.75" customHeight="1">
      <c r="B928" s="509"/>
      <c r="C928" s="509"/>
      <c r="D928" s="509"/>
      <c r="E928" s="509"/>
    </row>
    <row r="929" spans="2:5" ht="15.75" customHeight="1">
      <c r="B929" s="509"/>
      <c r="C929" s="509"/>
      <c r="D929" s="509"/>
      <c r="E929" s="509"/>
    </row>
    <row r="930" spans="2:5" ht="15.75" customHeight="1">
      <c r="B930" s="509"/>
      <c r="C930" s="509"/>
      <c r="D930" s="509"/>
      <c r="E930" s="509"/>
    </row>
    <row r="931" spans="2:5" ht="15.75" customHeight="1">
      <c r="B931" s="509"/>
      <c r="C931" s="509"/>
      <c r="D931" s="509"/>
      <c r="E931" s="509"/>
    </row>
    <row r="932" spans="2:5" ht="15.75" customHeight="1">
      <c r="B932" s="509"/>
      <c r="C932" s="509"/>
      <c r="D932" s="509"/>
      <c r="E932" s="509"/>
    </row>
    <row r="933" spans="2:5" ht="15.75" customHeight="1">
      <c r="B933" s="509"/>
      <c r="C933" s="509"/>
      <c r="D933" s="509"/>
      <c r="E933" s="509"/>
    </row>
    <row r="934" spans="2:5" ht="15.75" customHeight="1">
      <c r="B934" s="509"/>
      <c r="C934" s="509"/>
      <c r="D934" s="509"/>
      <c r="E934" s="509"/>
    </row>
    <row r="935" spans="2:5" ht="15.75" customHeight="1">
      <c r="B935" s="509"/>
      <c r="C935" s="509"/>
      <c r="D935" s="509"/>
      <c r="E935" s="509"/>
    </row>
    <row r="936" spans="2:5" ht="15.75" customHeight="1">
      <c r="B936" s="509"/>
      <c r="C936" s="509"/>
      <c r="D936" s="509"/>
      <c r="E936" s="509"/>
    </row>
    <row r="937" spans="2:5" ht="15.75" customHeight="1">
      <c r="B937" s="509"/>
      <c r="C937" s="509"/>
      <c r="D937" s="509"/>
      <c r="E937" s="509"/>
    </row>
    <row r="938" spans="2:5" ht="15.75" customHeight="1">
      <c r="B938" s="509"/>
      <c r="C938" s="509"/>
      <c r="D938" s="509"/>
      <c r="E938" s="509"/>
    </row>
    <row r="939" spans="2:5" ht="15.75" customHeight="1">
      <c r="B939" s="509"/>
      <c r="C939" s="509"/>
      <c r="D939" s="509"/>
      <c r="E939" s="509"/>
    </row>
    <row r="940" spans="2:5" ht="15.75" customHeight="1">
      <c r="B940" s="509"/>
      <c r="C940" s="509"/>
      <c r="D940" s="509"/>
      <c r="E940" s="509"/>
    </row>
    <row r="941" spans="2:5" ht="15.75" customHeight="1">
      <c r="B941" s="509"/>
      <c r="C941" s="509"/>
      <c r="D941" s="509"/>
      <c r="E941" s="509"/>
    </row>
    <row r="942" spans="2:5" ht="15.75" customHeight="1">
      <c r="B942" s="509"/>
      <c r="C942" s="509"/>
      <c r="D942" s="509"/>
      <c r="E942" s="509"/>
    </row>
    <row r="943" spans="2:5" ht="15.75" customHeight="1">
      <c r="B943" s="509"/>
      <c r="C943" s="509"/>
      <c r="D943" s="509"/>
      <c r="E943" s="509"/>
    </row>
    <row r="944" spans="2:5" ht="15.75" customHeight="1">
      <c r="B944" s="509"/>
      <c r="C944" s="509"/>
      <c r="D944" s="509"/>
      <c r="E944" s="509"/>
    </row>
    <row r="945" spans="2:5" ht="15.75" customHeight="1">
      <c r="B945" s="509"/>
      <c r="C945" s="509"/>
      <c r="D945" s="509"/>
      <c r="E945" s="509"/>
    </row>
    <row r="946" spans="2:5" ht="15.75" customHeight="1">
      <c r="B946" s="509"/>
      <c r="C946" s="509"/>
      <c r="D946" s="509"/>
      <c r="E946" s="509"/>
    </row>
    <row r="947" spans="2:5" ht="15.75" customHeight="1">
      <c r="B947" s="509"/>
      <c r="C947" s="509"/>
      <c r="D947" s="509"/>
      <c r="E947" s="509"/>
    </row>
    <row r="948" spans="2:5" ht="15.75" customHeight="1">
      <c r="B948" s="509"/>
      <c r="C948" s="509"/>
      <c r="D948" s="509"/>
      <c r="E948" s="509"/>
    </row>
    <row r="949" spans="2:5" ht="15.75" customHeight="1">
      <c r="B949" s="509"/>
      <c r="C949" s="509"/>
      <c r="D949" s="509"/>
      <c r="E949" s="509"/>
    </row>
    <row r="950" spans="2:5" ht="15.75" customHeight="1">
      <c r="B950" s="509"/>
      <c r="C950" s="509"/>
      <c r="D950" s="509"/>
      <c r="E950" s="509"/>
    </row>
    <row r="951" spans="2:5" ht="15.75" customHeight="1">
      <c r="B951" s="509"/>
      <c r="C951" s="509"/>
      <c r="D951" s="509"/>
      <c r="E951" s="509"/>
    </row>
    <row r="952" spans="2:5" ht="15.75" customHeight="1">
      <c r="B952" s="509"/>
      <c r="C952" s="509"/>
      <c r="D952" s="509"/>
      <c r="E952" s="509"/>
    </row>
    <row r="953" spans="2:5" ht="15.75" customHeight="1">
      <c r="B953" s="509"/>
      <c r="C953" s="509"/>
      <c r="D953" s="509"/>
      <c r="E953" s="509"/>
    </row>
    <row r="954" spans="2:5" ht="15.75" customHeight="1">
      <c r="B954" s="509"/>
      <c r="C954" s="509"/>
      <c r="D954" s="509"/>
      <c r="E954" s="509"/>
    </row>
    <row r="955" spans="2:5" ht="15.75" customHeight="1">
      <c r="B955" s="509"/>
      <c r="C955" s="509"/>
      <c r="D955" s="509"/>
      <c r="E955" s="509"/>
    </row>
    <row r="956" spans="2:5" ht="15.75" customHeight="1">
      <c r="B956" s="509"/>
      <c r="C956" s="509"/>
      <c r="D956" s="509"/>
      <c r="E956" s="509"/>
    </row>
    <row r="957" spans="2:5" ht="15.75" customHeight="1">
      <c r="B957" s="509"/>
      <c r="C957" s="509"/>
      <c r="D957" s="509"/>
      <c r="E957" s="509"/>
    </row>
    <row r="958" spans="2:5" ht="15.75" customHeight="1">
      <c r="B958" s="509"/>
      <c r="C958" s="509"/>
      <c r="D958" s="509"/>
      <c r="E958" s="509"/>
    </row>
    <row r="959" spans="2:5" ht="15.75" customHeight="1">
      <c r="B959" s="509"/>
      <c r="C959" s="509"/>
      <c r="D959" s="509"/>
      <c r="E959" s="509"/>
    </row>
    <row r="960" spans="2:5" ht="15.75" customHeight="1">
      <c r="B960" s="509"/>
      <c r="C960" s="509"/>
      <c r="D960" s="509"/>
      <c r="E960" s="509"/>
    </row>
    <row r="961" spans="2:5" ht="15.75" customHeight="1">
      <c r="B961" s="509"/>
      <c r="C961" s="509"/>
      <c r="D961" s="509"/>
      <c r="E961" s="509"/>
    </row>
    <row r="962" spans="2:5" ht="15.75" customHeight="1">
      <c r="B962" s="509"/>
      <c r="C962" s="509"/>
      <c r="D962" s="509"/>
      <c r="E962" s="509"/>
    </row>
    <row r="963" spans="2:5" ht="15.75" customHeight="1">
      <c r="B963" s="509"/>
      <c r="C963" s="509"/>
      <c r="D963" s="509"/>
      <c r="E963" s="509"/>
    </row>
    <row r="964" spans="2:5" ht="15.75" customHeight="1">
      <c r="B964" s="509"/>
      <c r="C964" s="509"/>
      <c r="D964" s="509"/>
      <c r="E964" s="509"/>
    </row>
    <row r="965" spans="2:5" ht="15.75" customHeight="1">
      <c r="B965" s="509"/>
      <c r="C965" s="509"/>
      <c r="D965" s="509"/>
      <c r="E965" s="509"/>
    </row>
    <row r="966" spans="2:5" ht="15.75" customHeight="1">
      <c r="B966" s="509"/>
      <c r="C966" s="509"/>
      <c r="D966" s="509"/>
      <c r="E966" s="509"/>
    </row>
    <row r="967" spans="2:5" ht="15.75" customHeight="1">
      <c r="B967" s="509"/>
      <c r="C967" s="509"/>
      <c r="D967" s="509"/>
      <c r="E967" s="509"/>
    </row>
    <row r="968" spans="2:5" ht="15.75" customHeight="1">
      <c r="B968" s="509"/>
      <c r="C968" s="509"/>
      <c r="D968" s="509"/>
      <c r="E968" s="509"/>
    </row>
    <row r="969" spans="2:5" ht="15.75" customHeight="1">
      <c r="B969" s="509"/>
      <c r="C969" s="509"/>
      <c r="D969" s="509"/>
      <c r="E969" s="509"/>
    </row>
    <row r="970" spans="2:5" ht="15.75" customHeight="1">
      <c r="B970" s="509"/>
      <c r="C970" s="509"/>
      <c r="D970" s="509"/>
      <c r="E970" s="509"/>
    </row>
    <row r="971" spans="2:5" ht="15.75" customHeight="1">
      <c r="B971" s="509"/>
      <c r="C971" s="509"/>
      <c r="D971" s="509"/>
      <c r="E971" s="509"/>
    </row>
    <row r="972" spans="2:5" ht="15.75" customHeight="1">
      <c r="B972" s="509"/>
      <c r="C972" s="509"/>
      <c r="D972" s="509"/>
      <c r="E972" s="509"/>
    </row>
    <row r="973" spans="2:5" ht="15.75" customHeight="1">
      <c r="B973" s="509"/>
      <c r="C973" s="509"/>
      <c r="D973" s="509"/>
      <c r="E973" s="509"/>
    </row>
    <row r="974" spans="2:5" ht="15.75" customHeight="1">
      <c r="B974" s="509"/>
      <c r="C974" s="509"/>
      <c r="D974" s="509"/>
      <c r="E974" s="509"/>
    </row>
    <row r="975" spans="2:5" ht="15.75" customHeight="1">
      <c r="B975" s="509"/>
      <c r="C975" s="509"/>
      <c r="D975" s="509"/>
      <c r="E975" s="509"/>
    </row>
    <row r="976" spans="2:5" ht="15.75" customHeight="1">
      <c r="B976" s="509"/>
      <c r="C976" s="509"/>
      <c r="D976" s="509"/>
      <c r="E976" s="509"/>
    </row>
    <row r="977" spans="2:5" ht="15.75" customHeight="1">
      <c r="B977" s="509"/>
      <c r="C977" s="509"/>
      <c r="D977" s="509"/>
      <c r="E977" s="509"/>
    </row>
    <row r="978" spans="2:5" ht="15.75" customHeight="1">
      <c r="B978" s="509"/>
      <c r="C978" s="509"/>
      <c r="D978" s="509"/>
      <c r="E978" s="509"/>
    </row>
    <row r="979" spans="2:5" ht="15.75" customHeight="1">
      <c r="B979" s="509"/>
      <c r="C979" s="509"/>
      <c r="D979" s="509"/>
      <c r="E979" s="509"/>
    </row>
    <row r="980" spans="2:5" ht="15.75" customHeight="1">
      <c r="B980" s="509"/>
      <c r="C980" s="509"/>
      <c r="D980" s="509"/>
      <c r="E980" s="509"/>
    </row>
    <row r="981" spans="2:5" ht="15.75" customHeight="1">
      <c r="B981" s="509"/>
      <c r="C981" s="509"/>
      <c r="D981" s="509"/>
      <c r="E981" s="509"/>
    </row>
    <row r="982" spans="2:5" ht="15.75" customHeight="1">
      <c r="B982" s="509"/>
      <c r="C982" s="509"/>
      <c r="D982" s="509"/>
      <c r="E982" s="509"/>
    </row>
    <row r="983" spans="2:5" ht="15.75" customHeight="1">
      <c r="B983" s="509"/>
      <c r="C983" s="509"/>
      <c r="D983" s="509"/>
      <c r="E983" s="509"/>
    </row>
    <row r="984" spans="2:5" ht="15.75" customHeight="1">
      <c r="B984" s="509"/>
      <c r="C984" s="509"/>
      <c r="D984" s="509"/>
      <c r="E984" s="509"/>
    </row>
    <row r="985" spans="2:5" ht="15.75" customHeight="1">
      <c r="B985" s="509"/>
      <c r="C985" s="509"/>
      <c r="D985" s="509"/>
      <c r="E985" s="509"/>
    </row>
    <row r="986" spans="2:5" ht="15.75" customHeight="1">
      <c r="B986" s="509"/>
      <c r="C986" s="509"/>
      <c r="D986" s="509"/>
      <c r="E986" s="509"/>
    </row>
    <row r="987" spans="2:5" ht="15.75" customHeight="1">
      <c r="B987" s="509"/>
      <c r="C987" s="509"/>
      <c r="D987" s="509"/>
      <c r="E987" s="509"/>
    </row>
    <row r="988" spans="2:5" ht="15.75" customHeight="1">
      <c r="B988" s="509"/>
      <c r="C988" s="509"/>
      <c r="D988" s="509"/>
      <c r="E988" s="509"/>
    </row>
    <row r="989" spans="2:5" ht="15.75" customHeight="1">
      <c r="B989" s="509"/>
      <c r="C989" s="509"/>
      <c r="D989" s="509"/>
      <c r="E989" s="509"/>
    </row>
    <row r="990" spans="2:5" ht="15.75" customHeight="1">
      <c r="B990" s="509"/>
      <c r="C990" s="509"/>
      <c r="D990" s="509"/>
      <c r="E990" s="509"/>
    </row>
    <row r="991" spans="2:5" ht="15.75" customHeight="1">
      <c r="B991" s="509"/>
      <c r="C991" s="509"/>
      <c r="D991" s="509"/>
      <c r="E991" s="509"/>
    </row>
    <row r="992" spans="2:5" ht="15.75" customHeight="1">
      <c r="B992" s="509"/>
      <c r="C992" s="509"/>
      <c r="D992" s="509"/>
      <c r="E992" s="509"/>
    </row>
    <row r="993" spans="2:5" ht="15.75" customHeight="1">
      <c r="B993" s="509"/>
      <c r="C993" s="509"/>
      <c r="D993" s="509"/>
      <c r="E993" s="509"/>
    </row>
    <row r="994" spans="2:5" ht="15.75" customHeight="1">
      <c r="B994" s="509"/>
      <c r="C994" s="509"/>
      <c r="D994" s="509"/>
      <c r="E994" s="509"/>
    </row>
    <row r="995" spans="2:5" ht="15.75" customHeight="1">
      <c r="B995" s="509"/>
      <c r="C995" s="509"/>
      <c r="D995" s="509"/>
      <c r="E995" s="509"/>
    </row>
    <row r="996" spans="2:5" ht="15.75" customHeight="1">
      <c r="B996" s="509"/>
      <c r="C996" s="509"/>
      <c r="D996" s="509"/>
      <c r="E996" s="509"/>
    </row>
    <row r="997" spans="2:5" ht="15.75" customHeight="1">
      <c r="B997" s="509"/>
      <c r="C997" s="509"/>
      <c r="D997" s="509"/>
      <c r="E997" s="509"/>
    </row>
    <row r="998" spans="2:5" ht="15.75" customHeight="1">
      <c r="B998" s="509"/>
      <c r="C998" s="509"/>
      <c r="D998" s="509"/>
      <c r="E998" s="509"/>
    </row>
    <row r="999" spans="2:5" ht="15.75" customHeight="1">
      <c r="B999" s="509"/>
      <c r="C999" s="509"/>
      <c r="D999" s="509"/>
      <c r="E999" s="509"/>
    </row>
    <row r="1000" spans="2:5" ht="15.75" customHeight="1">
      <c r="B1000" s="509"/>
      <c r="C1000" s="509"/>
      <c r="D1000" s="509"/>
      <c r="E1000" s="509"/>
    </row>
  </sheetData>
  <mergeCells count="5">
    <mergeCell ref="A2:E2"/>
    <mergeCell ref="A3:E3"/>
    <mergeCell ref="A69:B69"/>
    <mergeCell ref="A70:E70"/>
    <mergeCell ref="A74:B74"/>
  </mergeCells>
  <pageMargins left="0.7" right="0.7" top="0.75" bottom="0.75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Z1051"/>
  <sheetViews>
    <sheetView topLeftCell="A313" workbookViewId="0">
      <selection activeCell="F329" sqref="F329"/>
    </sheetView>
  </sheetViews>
  <sheetFormatPr defaultColWidth="14.42578125" defaultRowHeight="15" customHeight="1"/>
  <cols>
    <col min="1" max="1" width="8.7109375" customWidth="1"/>
    <col min="2" max="2" width="22.140625" style="1259" customWidth="1"/>
    <col min="3" max="3" width="45" customWidth="1"/>
    <col min="4" max="4" width="8.85546875" customWidth="1"/>
    <col min="5" max="5" width="17.42578125" customWidth="1"/>
    <col min="6" max="6" width="18.42578125" customWidth="1"/>
    <col min="7" max="7" width="26.42578125" style="1055" customWidth="1"/>
    <col min="8" max="8" width="24.5703125" style="1055" customWidth="1"/>
    <col min="9" max="9" width="66.28515625" customWidth="1"/>
    <col min="10" max="10" width="19.42578125" customWidth="1"/>
    <col min="11" max="26" width="8.7109375" customWidth="1"/>
  </cols>
  <sheetData>
    <row r="1" spans="1:10">
      <c r="C1" s="687"/>
      <c r="F1" s="208"/>
      <c r="J1" s="687"/>
    </row>
    <row r="2" spans="1:10" ht="15" customHeight="1">
      <c r="A2" s="732" t="s">
        <v>2521</v>
      </c>
      <c r="B2" s="733"/>
      <c r="C2" s="733"/>
      <c r="F2" s="208"/>
      <c r="J2" s="687"/>
    </row>
    <row r="3" spans="1:10" ht="15" customHeight="1">
      <c r="A3" s="732"/>
      <c r="B3" s="733"/>
      <c r="C3" s="733"/>
      <c r="F3" s="208"/>
      <c r="J3" s="687"/>
    </row>
    <row r="4" spans="1:10" s="1287" customFormat="1" ht="15" customHeight="1">
      <c r="A4" s="1298" t="s">
        <v>657</v>
      </c>
      <c r="B4" s="1398" t="s">
        <v>658</v>
      </c>
      <c r="C4" s="1292" t="s">
        <v>659</v>
      </c>
      <c r="D4" s="1293" t="s">
        <v>660</v>
      </c>
      <c r="E4" s="1294"/>
      <c r="F4" s="1295"/>
      <c r="G4" s="1296" t="s">
        <v>661</v>
      </c>
      <c r="H4" s="1296" t="s">
        <v>662</v>
      </c>
      <c r="I4" s="1297" t="s">
        <v>663</v>
      </c>
      <c r="J4" s="1291" t="s">
        <v>664</v>
      </c>
    </row>
    <row r="5" spans="1:10" ht="15" customHeight="1">
      <c r="A5" s="1299">
        <v>1</v>
      </c>
      <c r="B5" s="1300" t="s">
        <v>697</v>
      </c>
      <c r="C5" s="737" t="s">
        <v>2522</v>
      </c>
      <c r="D5" s="299">
        <v>3</v>
      </c>
      <c r="E5" s="299">
        <v>4</v>
      </c>
      <c r="F5" s="299">
        <v>1</v>
      </c>
      <c r="G5" s="1266">
        <v>50000000</v>
      </c>
      <c r="H5" s="1262">
        <f t="shared" ref="H5:H6" si="0">G5*F5</f>
        <v>50000000</v>
      </c>
      <c r="I5" s="738" t="s">
        <v>2523</v>
      </c>
      <c r="J5" s="713" t="s">
        <v>753</v>
      </c>
    </row>
    <row r="6" spans="1:10" ht="15" customHeight="1">
      <c r="A6" s="1299">
        <v>2</v>
      </c>
      <c r="B6" s="1300" t="s">
        <v>697</v>
      </c>
      <c r="C6" s="737" t="s">
        <v>2524</v>
      </c>
      <c r="D6" s="299">
        <v>1</v>
      </c>
      <c r="E6" s="299">
        <v>2</v>
      </c>
      <c r="F6" s="299">
        <v>1</v>
      </c>
      <c r="G6" s="1266">
        <v>150000000</v>
      </c>
      <c r="H6" s="1262">
        <f t="shared" si="0"/>
        <v>150000000</v>
      </c>
      <c r="I6" s="150" t="s">
        <v>1234</v>
      </c>
      <c r="J6" s="9" t="s">
        <v>700</v>
      </c>
    </row>
    <row r="7" spans="1:10" ht="15" customHeight="1">
      <c r="A7" s="1299">
        <v>3</v>
      </c>
      <c r="B7" s="1301" t="s">
        <v>651</v>
      </c>
      <c r="C7" s="739" t="s">
        <v>2525</v>
      </c>
      <c r="D7" s="630"/>
      <c r="E7" s="630"/>
      <c r="F7" s="740">
        <v>1</v>
      </c>
      <c r="G7" s="1269">
        <v>9500000</v>
      </c>
      <c r="H7" s="1269">
        <f t="shared" ref="H7:H9" si="1">SUM(G7*F7)</f>
        <v>9500000</v>
      </c>
      <c r="I7" s="33" t="s">
        <v>2526</v>
      </c>
      <c r="J7" s="741" t="s">
        <v>696</v>
      </c>
    </row>
    <row r="8" spans="1:10" ht="15" customHeight="1">
      <c r="A8" s="1299">
        <v>4</v>
      </c>
      <c r="B8" s="1302" t="s">
        <v>651</v>
      </c>
      <c r="C8" s="742" t="s">
        <v>2527</v>
      </c>
      <c r="D8" s="630"/>
      <c r="E8" s="630"/>
      <c r="F8" s="743">
        <v>1</v>
      </c>
      <c r="G8" s="1270">
        <v>9000000</v>
      </c>
      <c r="H8" s="1270">
        <f t="shared" si="1"/>
        <v>9000000</v>
      </c>
      <c r="I8" s="745" t="s">
        <v>2452</v>
      </c>
      <c r="J8" s="746" t="s">
        <v>696</v>
      </c>
    </row>
    <row r="9" spans="1:10" ht="15" customHeight="1">
      <c r="A9" s="1299">
        <v>5</v>
      </c>
      <c r="B9" s="1301" t="s">
        <v>651</v>
      </c>
      <c r="C9" s="739" t="s">
        <v>1494</v>
      </c>
      <c r="D9" s="630"/>
      <c r="E9" s="630"/>
      <c r="F9" s="740">
        <v>4</v>
      </c>
      <c r="G9" s="1269">
        <v>2200000</v>
      </c>
      <c r="H9" s="1269">
        <f t="shared" si="1"/>
        <v>8800000</v>
      </c>
      <c r="I9" s="33" t="s">
        <v>1473</v>
      </c>
      <c r="J9" s="741" t="s">
        <v>696</v>
      </c>
    </row>
    <row r="10" spans="1:10" ht="15" customHeight="1">
      <c r="A10" s="1299">
        <v>6</v>
      </c>
      <c r="B10" s="1300" t="s">
        <v>2528</v>
      </c>
      <c r="C10" s="686" t="s">
        <v>2529</v>
      </c>
      <c r="D10" s="302">
        <v>1</v>
      </c>
      <c r="E10" s="302">
        <v>1</v>
      </c>
      <c r="F10" s="302">
        <v>1</v>
      </c>
      <c r="G10" s="1262">
        <v>118000000</v>
      </c>
      <c r="H10" s="1262">
        <f>G10*F10</f>
        <v>118000000</v>
      </c>
      <c r="I10" s="150" t="s">
        <v>2530</v>
      </c>
      <c r="J10" s="9" t="s">
        <v>671</v>
      </c>
    </row>
    <row r="11" spans="1:10" ht="15" customHeight="1">
      <c r="A11" s="1299">
        <v>7</v>
      </c>
      <c r="B11" s="1303" t="s">
        <v>668</v>
      </c>
      <c r="C11" s="711" t="s">
        <v>2531</v>
      </c>
      <c r="D11" s="298">
        <v>1</v>
      </c>
      <c r="E11" s="298">
        <v>2</v>
      </c>
      <c r="F11" s="298">
        <v>2</v>
      </c>
      <c r="G11" s="1267">
        <v>45000000</v>
      </c>
      <c r="H11" s="1271">
        <f>F11*G11</f>
        <v>90000000</v>
      </c>
      <c r="I11" s="747" t="s">
        <v>2532</v>
      </c>
      <c r="J11" s="172" t="s">
        <v>671</v>
      </c>
    </row>
    <row r="12" spans="1:10" ht="15" customHeight="1">
      <c r="A12" s="1299">
        <v>8</v>
      </c>
      <c r="B12" s="1300" t="s">
        <v>672</v>
      </c>
      <c r="C12" s="737" t="s">
        <v>2533</v>
      </c>
      <c r="D12" s="304">
        <v>2</v>
      </c>
      <c r="E12" s="304">
        <v>1</v>
      </c>
      <c r="F12" s="304">
        <v>1</v>
      </c>
      <c r="G12" s="1272">
        <v>40000000</v>
      </c>
      <c r="H12" s="1268">
        <f t="shared" ref="H12:H14" si="2">G12*F12</f>
        <v>40000000</v>
      </c>
      <c r="I12" s="748" t="s">
        <v>2534</v>
      </c>
      <c r="J12" s="9" t="s">
        <v>671</v>
      </c>
    </row>
    <row r="13" spans="1:10" ht="15" customHeight="1">
      <c r="A13" s="1299">
        <v>9</v>
      </c>
      <c r="B13" s="1304" t="s">
        <v>788</v>
      </c>
      <c r="C13" s="750" t="s">
        <v>2535</v>
      </c>
      <c r="D13" s="618">
        <v>6</v>
      </c>
      <c r="E13" s="302">
        <v>8</v>
      </c>
      <c r="F13" s="618">
        <v>1</v>
      </c>
      <c r="G13" s="1273">
        <v>20000000</v>
      </c>
      <c r="H13" s="1268">
        <f t="shared" si="2"/>
        <v>20000000</v>
      </c>
      <c r="I13" s="749" t="s">
        <v>1017</v>
      </c>
      <c r="J13" s="751" t="s">
        <v>2066</v>
      </c>
    </row>
    <row r="14" spans="1:10" ht="15" customHeight="1">
      <c r="A14" s="1299">
        <v>10</v>
      </c>
      <c r="B14" s="1300" t="s">
        <v>672</v>
      </c>
      <c r="C14" s="737" t="s">
        <v>2536</v>
      </c>
      <c r="D14" s="304">
        <v>1</v>
      </c>
      <c r="E14" s="304">
        <v>1</v>
      </c>
      <c r="F14" s="304">
        <v>1</v>
      </c>
      <c r="G14" s="1272">
        <v>15000000</v>
      </c>
      <c r="H14" s="1274">
        <f t="shared" si="2"/>
        <v>15000000</v>
      </c>
      <c r="I14" s="748" t="s">
        <v>2534</v>
      </c>
      <c r="J14" s="9" t="s">
        <v>671</v>
      </c>
    </row>
    <row r="15" spans="1:10" ht="15" customHeight="1">
      <c r="A15" s="1299">
        <v>11</v>
      </c>
      <c r="B15" s="1305" t="s">
        <v>686</v>
      </c>
      <c r="C15" s="612" t="s">
        <v>2537</v>
      </c>
      <c r="D15" s="302"/>
      <c r="E15" s="302">
        <v>1</v>
      </c>
      <c r="F15" s="302">
        <v>1</v>
      </c>
      <c r="G15" s="1265">
        <v>15000000</v>
      </c>
      <c r="H15" s="1265">
        <f>F15*G15</f>
        <v>15000000</v>
      </c>
      <c r="I15" s="150"/>
      <c r="J15" s="9"/>
    </row>
    <row r="16" spans="1:10" ht="15" customHeight="1">
      <c r="A16" s="1299">
        <v>12</v>
      </c>
      <c r="B16" s="1300" t="s">
        <v>881</v>
      </c>
      <c r="C16" s="737" t="s">
        <v>1479</v>
      </c>
      <c r="D16" s="299">
        <v>1</v>
      </c>
      <c r="E16" s="299">
        <v>2</v>
      </c>
      <c r="F16" s="299">
        <v>1</v>
      </c>
      <c r="G16" s="1262">
        <v>30000000</v>
      </c>
      <c r="H16" s="1273">
        <v>30000000</v>
      </c>
      <c r="I16" s="150" t="s">
        <v>790</v>
      </c>
      <c r="J16" s="9" t="s">
        <v>671</v>
      </c>
    </row>
    <row r="17" spans="1:10" ht="15" customHeight="1">
      <c r="A17" s="1299">
        <v>13</v>
      </c>
      <c r="B17" s="1301" t="s">
        <v>1071</v>
      </c>
      <c r="C17" s="752" t="s">
        <v>2538</v>
      </c>
      <c r="F17" s="753">
        <v>5</v>
      </c>
      <c r="G17" s="1275">
        <v>2140557</v>
      </c>
      <c r="H17" s="1276">
        <f>SUM(G17*F17)</f>
        <v>10702785</v>
      </c>
      <c r="I17" s="131" t="s">
        <v>1559</v>
      </c>
      <c r="J17" s="9"/>
    </row>
    <row r="18" spans="1:10" ht="15" customHeight="1">
      <c r="A18" s="1299">
        <v>14</v>
      </c>
      <c r="B18" s="1300" t="s">
        <v>686</v>
      </c>
      <c r="C18" s="737" t="s">
        <v>2539</v>
      </c>
      <c r="D18" s="299">
        <v>0</v>
      </c>
      <c r="E18" s="299">
        <v>1</v>
      </c>
      <c r="F18" s="299">
        <v>1</v>
      </c>
      <c r="G18" s="1088">
        <v>25000000</v>
      </c>
      <c r="H18" s="1277">
        <v>25000000</v>
      </c>
      <c r="I18" s="304"/>
      <c r="J18" s="9" t="s">
        <v>671</v>
      </c>
    </row>
    <row r="19" spans="1:10" ht="15" customHeight="1">
      <c r="A19" s="1299">
        <v>15</v>
      </c>
      <c r="B19" s="1300" t="s">
        <v>2528</v>
      </c>
      <c r="C19" s="737" t="s">
        <v>2540</v>
      </c>
      <c r="D19" s="299">
        <v>0</v>
      </c>
      <c r="E19" s="299">
        <v>1</v>
      </c>
      <c r="F19" s="299">
        <v>1</v>
      </c>
      <c r="G19" s="1268">
        <v>20000000</v>
      </c>
      <c r="H19" s="1262">
        <f>G19*F19</f>
        <v>20000000</v>
      </c>
      <c r="I19" s="150" t="s">
        <v>2541</v>
      </c>
      <c r="J19" s="3" t="s">
        <v>671</v>
      </c>
    </row>
    <row r="20" spans="1:10" ht="15" customHeight="1">
      <c r="A20" s="1299">
        <v>16</v>
      </c>
      <c r="B20" s="1302" t="s">
        <v>651</v>
      </c>
      <c r="C20" s="742" t="s">
        <v>2542</v>
      </c>
      <c r="D20" s="630"/>
      <c r="E20" s="630"/>
      <c r="F20" s="743">
        <v>1</v>
      </c>
      <c r="G20" s="1270">
        <v>7000000</v>
      </c>
      <c r="H20" s="1270">
        <f t="shared" ref="H20:H27" si="3">SUM(G20*F20)</f>
        <v>7000000</v>
      </c>
      <c r="I20" s="745" t="s">
        <v>2543</v>
      </c>
      <c r="J20" s="746" t="s">
        <v>690</v>
      </c>
    </row>
    <row r="21" spans="1:10" ht="15" customHeight="1">
      <c r="A21" s="1299">
        <v>17</v>
      </c>
      <c r="B21" s="1301" t="s">
        <v>651</v>
      </c>
      <c r="C21" s="739" t="s">
        <v>2544</v>
      </c>
      <c r="D21" s="630"/>
      <c r="E21" s="630"/>
      <c r="F21" s="740">
        <v>2</v>
      </c>
      <c r="G21" s="1269">
        <v>3500000</v>
      </c>
      <c r="H21" s="1269">
        <f t="shared" si="3"/>
        <v>7000000</v>
      </c>
      <c r="I21" s="33" t="s">
        <v>2545</v>
      </c>
      <c r="J21" s="741" t="s">
        <v>690</v>
      </c>
    </row>
    <row r="22" spans="1:10" ht="15" customHeight="1">
      <c r="A22" s="1299">
        <v>18</v>
      </c>
      <c r="B22" s="1301" t="s">
        <v>651</v>
      </c>
      <c r="C22" s="739" t="s">
        <v>2546</v>
      </c>
      <c r="D22" s="630"/>
      <c r="E22" s="630"/>
      <c r="F22" s="740">
        <v>1</v>
      </c>
      <c r="G22" s="1269">
        <v>7000000</v>
      </c>
      <c r="H22" s="1269">
        <f t="shared" si="3"/>
        <v>7000000</v>
      </c>
      <c r="I22" s="33" t="s">
        <v>2547</v>
      </c>
      <c r="J22" s="741" t="s">
        <v>671</v>
      </c>
    </row>
    <row r="23" spans="1:10" ht="15" customHeight="1">
      <c r="A23" s="1299">
        <v>19</v>
      </c>
      <c r="B23" s="1301" t="s">
        <v>651</v>
      </c>
      <c r="C23" s="9" t="s">
        <v>2548</v>
      </c>
      <c r="D23" s="630"/>
      <c r="E23" s="630"/>
      <c r="F23" s="619">
        <v>1</v>
      </c>
      <c r="G23" s="1248">
        <v>7000000</v>
      </c>
      <c r="H23" s="1248">
        <f t="shared" si="3"/>
        <v>7000000</v>
      </c>
      <c r="I23" s="33"/>
      <c r="J23" s="741" t="s">
        <v>671</v>
      </c>
    </row>
    <row r="24" spans="1:10" ht="15" customHeight="1">
      <c r="A24" s="1299">
        <v>20</v>
      </c>
      <c r="B24" s="1301" t="s">
        <v>651</v>
      </c>
      <c r="C24" s="754" t="s">
        <v>2549</v>
      </c>
      <c r="D24" s="630"/>
      <c r="E24" s="630"/>
      <c r="F24" s="740">
        <v>2</v>
      </c>
      <c r="G24" s="1276">
        <v>3500000</v>
      </c>
      <c r="H24" s="1269">
        <f t="shared" si="3"/>
        <v>7000000</v>
      </c>
      <c r="I24" s="755" t="s">
        <v>2550</v>
      </c>
      <c r="J24" s="741" t="s">
        <v>696</v>
      </c>
    </row>
    <row r="25" spans="1:10" ht="15" customHeight="1">
      <c r="A25" s="1299">
        <v>21</v>
      </c>
      <c r="B25" s="1301" t="s">
        <v>651</v>
      </c>
      <c r="C25" s="754" t="s">
        <v>2549</v>
      </c>
      <c r="D25" s="630"/>
      <c r="E25" s="630"/>
      <c r="F25" s="756">
        <v>2</v>
      </c>
      <c r="G25" s="1276">
        <v>3500000</v>
      </c>
      <c r="H25" s="1269">
        <f t="shared" si="3"/>
        <v>7000000</v>
      </c>
      <c r="I25" s="755"/>
      <c r="J25" s="741" t="s">
        <v>696</v>
      </c>
    </row>
    <row r="26" spans="1:10" ht="15" customHeight="1">
      <c r="A26" s="1299">
        <v>22</v>
      </c>
      <c r="B26" s="1301" t="s">
        <v>651</v>
      </c>
      <c r="C26" s="757" t="s">
        <v>2551</v>
      </c>
      <c r="D26" s="630"/>
      <c r="E26" s="630"/>
      <c r="F26" s="756">
        <v>2</v>
      </c>
      <c r="G26" s="1276">
        <v>3500000</v>
      </c>
      <c r="H26" s="1269">
        <f t="shared" si="3"/>
        <v>7000000</v>
      </c>
      <c r="I26" s="755" t="s">
        <v>2552</v>
      </c>
      <c r="J26" s="741" t="s">
        <v>696</v>
      </c>
    </row>
    <row r="27" spans="1:10" ht="15" customHeight="1">
      <c r="A27" s="1299">
        <v>23</v>
      </c>
      <c r="B27" s="1301" t="s">
        <v>651</v>
      </c>
      <c r="C27" s="754" t="s">
        <v>2553</v>
      </c>
      <c r="D27" s="630"/>
      <c r="E27" s="630"/>
      <c r="F27" s="756">
        <v>1</v>
      </c>
      <c r="G27" s="1276">
        <v>6900000</v>
      </c>
      <c r="H27" s="1269">
        <f t="shared" si="3"/>
        <v>6900000</v>
      </c>
      <c r="I27" s="33"/>
      <c r="J27" s="741" t="s">
        <v>696</v>
      </c>
    </row>
    <row r="28" spans="1:10" ht="15" customHeight="1">
      <c r="A28" s="1299">
        <v>24</v>
      </c>
      <c r="B28" s="1302" t="s">
        <v>651</v>
      </c>
      <c r="C28" s="758" t="s">
        <v>2554</v>
      </c>
      <c r="D28" s="630"/>
      <c r="E28" s="630"/>
      <c r="F28" s="759">
        <v>1</v>
      </c>
      <c r="G28" s="1278">
        <v>6000000</v>
      </c>
      <c r="H28" s="1278">
        <f>G28*F28</f>
        <v>6000000</v>
      </c>
      <c r="I28" s="760" t="s">
        <v>2555</v>
      </c>
      <c r="J28" s="758" t="s">
        <v>696</v>
      </c>
    </row>
    <row r="29" spans="1:10" ht="15" customHeight="1">
      <c r="A29" s="1299">
        <v>25</v>
      </c>
      <c r="B29" s="1301" t="s">
        <v>651</v>
      </c>
      <c r="C29" s="754" t="s">
        <v>2556</v>
      </c>
      <c r="D29" s="630"/>
      <c r="E29" s="630"/>
      <c r="F29" s="756">
        <v>3</v>
      </c>
      <c r="G29" s="1276">
        <v>2000000</v>
      </c>
      <c r="H29" s="1269">
        <f t="shared" ref="H29:H30" si="4">SUM(G29*F29)</f>
        <v>6000000</v>
      </c>
      <c r="I29" s="33"/>
      <c r="J29" s="741" t="s">
        <v>696</v>
      </c>
    </row>
    <row r="30" spans="1:10" ht="15" customHeight="1">
      <c r="A30" s="1299">
        <v>26</v>
      </c>
      <c r="B30" s="1301" t="s">
        <v>651</v>
      </c>
      <c r="C30" s="9" t="s">
        <v>2557</v>
      </c>
      <c r="D30" s="630"/>
      <c r="E30" s="630"/>
      <c r="F30" s="619">
        <v>2</v>
      </c>
      <c r="G30" s="1248">
        <v>3000000</v>
      </c>
      <c r="H30" s="1248">
        <f t="shared" si="4"/>
        <v>6000000</v>
      </c>
      <c r="I30" s="33" t="s">
        <v>2558</v>
      </c>
      <c r="J30" s="9" t="s">
        <v>696</v>
      </c>
    </row>
    <row r="31" spans="1:10" ht="15" customHeight="1">
      <c r="A31" s="1299">
        <v>27</v>
      </c>
      <c r="B31" s="1300" t="s">
        <v>701</v>
      </c>
      <c r="C31" s="737" t="s">
        <v>2559</v>
      </c>
      <c r="D31" s="299">
        <v>0</v>
      </c>
      <c r="E31" s="299">
        <v>1</v>
      </c>
      <c r="F31" s="299">
        <v>1</v>
      </c>
      <c r="G31" s="1268">
        <v>20000000</v>
      </c>
      <c r="H31" s="1268">
        <v>20000000</v>
      </c>
      <c r="I31" s="737" t="s">
        <v>2560</v>
      </c>
      <c r="J31" s="713" t="s">
        <v>704</v>
      </c>
    </row>
    <row r="32" spans="1:10" ht="15" customHeight="1">
      <c r="A32" s="1299">
        <v>28</v>
      </c>
      <c r="B32" s="1302" t="s">
        <v>651</v>
      </c>
      <c r="C32" s="742" t="s">
        <v>2561</v>
      </c>
      <c r="D32" s="743">
        <v>1</v>
      </c>
      <c r="E32" s="744"/>
      <c r="F32" s="299">
        <v>1</v>
      </c>
      <c r="G32" s="1270">
        <v>29000000</v>
      </c>
      <c r="H32" s="1262">
        <f t="shared" ref="H32:H41" si="5">G32*F32</f>
        <v>29000000</v>
      </c>
      <c r="I32" s="150"/>
      <c r="J32" s="9"/>
    </row>
    <row r="33" spans="1:10" ht="15" customHeight="1">
      <c r="A33" s="1299">
        <v>29</v>
      </c>
      <c r="B33" s="1302" t="s">
        <v>651</v>
      </c>
      <c r="C33" s="742" t="s">
        <v>2562</v>
      </c>
      <c r="D33" s="743">
        <v>1</v>
      </c>
      <c r="E33" s="744"/>
      <c r="F33" s="299">
        <v>1</v>
      </c>
      <c r="G33" s="1270">
        <v>25000000</v>
      </c>
      <c r="H33" s="1262">
        <f t="shared" si="5"/>
        <v>25000000</v>
      </c>
      <c r="I33" s="150"/>
      <c r="J33" s="9"/>
    </row>
    <row r="34" spans="1:10" ht="15" customHeight="1">
      <c r="A34" s="1299">
        <v>30</v>
      </c>
      <c r="B34" s="1302" t="s">
        <v>651</v>
      </c>
      <c r="C34" s="742" t="s">
        <v>2563</v>
      </c>
      <c r="D34" s="743">
        <v>1</v>
      </c>
      <c r="E34" s="744"/>
      <c r="F34" s="299">
        <v>1</v>
      </c>
      <c r="G34" s="1270">
        <v>25000000</v>
      </c>
      <c r="H34" s="1262">
        <f t="shared" si="5"/>
        <v>25000000</v>
      </c>
      <c r="I34" s="150"/>
      <c r="J34" s="9"/>
    </row>
    <row r="35" spans="1:10" ht="15" customHeight="1">
      <c r="A35" s="1299">
        <v>31</v>
      </c>
      <c r="B35" s="1301" t="s">
        <v>651</v>
      </c>
      <c r="C35" s="761" t="s">
        <v>2564</v>
      </c>
      <c r="D35" s="619">
        <v>1</v>
      </c>
      <c r="E35" s="10"/>
      <c r="F35" s="299">
        <v>1</v>
      </c>
      <c r="G35" s="1248">
        <v>20000000</v>
      </c>
      <c r="H35" s="1262">
        <f t="shared" si="5"/>
        <v>20000000</v>
      </c>
      <c r="I35" s="150"/>
      <c r="J35" s="9"/>
    </row>
    <row r="36" spans="1:10" ht="15" customHeight="1">
      <c r="A36" s="1299">
        <v>32</v>
      </c>
      <c r="B36" s="1302" t="s">
        <v>651</v>
      </c>
      <c r="C36" s="742" t="s">
        <v>2565</v>
      </c>
      <c r="D36" s="743">
        <v>1</v>
      </c>
      <c r="E36" s="744"/>
      <c r="F36" s="299">
        <v>1</v>
      </c>
      <c r="G36" s="1270">
        <v>5000000</v>
      </c>
      <c r="H36" s="1262">
        <f t="shared" si="5"/>
        <v>5000000</v>
      </c>
      <c r="I36" s="150"/>
      <c r="J36" s="9"/>
    </row>
    <row r="37" spans="1:10" ht="15" customHeight="1">
      <c r="A37" s="1299">
        <v>33</v>
      </c>
      <c r="B37" s="1302" t="s">
        <v>651</v>
      </c>
      <c r="C37" s="742" t="s">
        <v>2566</v>
      </c>
      <c r="D37" s="743">
        <v>1</v>
      </c>
      <c r="E37" s="744"/>
      <c r="F37" s="299">
        <v>1</v>
      </c>
      <c r="G37" s="1270">
        <v>15000000</v>
      </c>
      <c r="H37" s="1262">
        <f t="shared" si="5"/>
        <v>15000000</v>
      </c>
      <c r="I37" s="150"/>
      <c r="J37" s="9"/>
    </row>
    <row r="38" spans="1:10" ht="15" customHeight="1">
      <c r="A38" s="1299">
        <v>34</v>
      </c>
      <c r="B38" s="1302" t="s">
        <v>651</v>
      </c>
      <c r="C38" s="742" t="s">
        <v>2567</v>
      </c>
      <c r="D38" s="743">
        <v>1</v>
      </c>
      <c r="E38" s="744"/>
      <c r="F38" s="299">
        <v>1</v>
      </c>
      <c r="G38" s="1270">
        <v>15000000</v>
      </c>
      <c r="H38" s="1262">
        <f t="shared" si="5"/>
        <v>15000000</v>
      </c>
      <c r="I38" s="150"/>
      <c r="J38" s="9"/>
    </row>
    <row r="39" spans="1:10" ht="15" customHeight="1">
      <c r="A39" s="1299">
        <v>35</v>
      </c>
      <c r="B39" s="1302" t="s">
        <v>651</v>
      </c>
      <c r="C39" s="742" t="s">
        <v>2568</v>
      </c>
      <c r="D39" s="743">
        <v>1</v>
      </c>
      <c r="E39" s="744"/>
      <c r="F39" s="299">
        <v>1</v>
      </c>
      <c r="G39" s="1270">
        <v>14000000</v>
      </c>
      <c r="H39" s="1262">
        <f t="shared" si="5"/>
        <v>14000000</v>
      </c>
      <c r="I39" s="150"/>
      <c r="J39" s="9"/>
    </row>
    <row r="40" spans="1:10" ht="15" customHeight="1">
      <c r="A40" s="1299">
        <v>36</v>
      </c>
      <c r="B40" s="1302" t="s">
        <v>651</v>
      </c>
      <c r="C40" s="742" t="s">
        <v>2569</v>
      </c>
      <c r="D40" s="743">
        <v>2</v>
      </c>
      <c r="E40" s="744"/>
      <c r="F40" s="299">
        <v>1</v>
      </c>
      <c r="G40" s="1270">
        <v>6000000</v>
      </c>
      <c r="H40" s="1262">
        <f t="shared" si="5"/>
        <v>6000000</v>
      </c>
      <c r="I40" s="150"/>
      <c r="J40" s="9"/>
    </row>
    <row r="41" spans="1:10" ht="15" customHeight="1">
      <c r="A41" s="1299">
        <v>37</v>
      </c>
      <c r="B41" s="1302" t="s">
        <v>651</v>
      </c>
      <c r="C41" s="742" t="s">
        <v>2570</v>
      </c>
      <c r="D41" s="743">
        <v>2</v>
      </c>
      <c r="E41" s="744"/>
      <c r="F41" s="299">
        <v>1</v>
      </c>
      <c r="G41" s="1270">
        <v>5000000</v>
      </c>
      <c r="H41" s="1262">
        <f t="shared" si="5"/>
        <v>5000000</v>
      </c>
      <c r="I41" s="150"/>
      <c r="J41" s="9"/>
    </row>
    <row r="42" spans="1:10" ht="15" customHeight="1">
      <c r="A42" s="1299">
        <v>38</v>
      </c>
      <c r="B42" s="1300" t="s">
        <v>686</v>
      </c>
      <c r="C42" s="737" t="s">
        <v>2571</v>
      </c>
      <c r="D42" s="299">
        <v>2</v>
      </c>
      <c r="E42" s="299">
        <v>6</v>
      </c>
      <c r="F42" s="299">
        <v>1</v>
      </c>
      <c r="G42" s="1088">
        <v>15000000</v>
      </c>
      <c r="H42" s="1088">
        <v>15000000</v>
      </c>
      <c r="I42" s="150"/>
      <c r="J42" s="9" t="s">
        <v>671</v>
      </c>
    </row>
    <row r="43" spans="1:10" ht="15" customHeight="1">
      <c r="A43" s="1299">
        <v>39</v>
      </c>
      <c r="B43" s="1306" t="s">
        <v>788</v>
      </c>
      <c r="C43" s="756" t="s">
        <v>2572</v>
      </c>
      <c r="D43" s="762">
        <v>1</v>
      </c>
      <c r="E43" s="756">
        <v>3</v>
      </c>
      <c r="F43" s="756">
        <v>1</v>
      </c>
      <c r="G43" s="1279">
        <v>2500000</v>
      </c>
      <c r="H43" s="1279">
        <v>2500000</v>
      </c>
      <c r="I43" s="763" t="s">
        <v>2573</v>
      </c>
      <c r="J43" s="764" t="s">
        <v>704</v>
      </c>
    </row>
    <row r="44" spans="1:10" ht="15" customHeight="1">
      <c r="A44" s="1299">
        <v>40</v>
      </c>
      <c r="B44" s="1300" t="s">
        <v>697</v>
      </c>
      <c r="C44" s="737" t="s">
        <v>2574</v>
      </c>
      <c r="D44" s="765">
        <v>3</v>
      </c>
      <c r="E44" s="765">
        <v>13</v>
      </c>
      <c r="F44" s="765">
        <v>2</v>
      </c>
      <c r="G44" s="1280">
        <v>10000000</v>
      </c>
      <c r="H44" s="1262">
        <f>G44*F44</f>
        <v>20000000</v>
      </c>
      <c r="I44" s="766" t="s">
        <v>2575</v>
      </c>
      <c r="J44" s="713" t="s">
        <v>753</v>
      </c>
    </row>
    <row r="45" spans="1:10" ht="15" customHeight="1">
      <c r="A45" s="1299">
        <v>41</v>
      </c>
      <c r="B45" s="1300" t="s">
        <v>686</v>
      </c>
      <c r="C45" s="737" t="s">
        <v>2576</v>
      </c>
      <c r="D45" s="299">
        <v>0</v>
      </c>
      <c r="E45" s="299">
        <v>1</v>
      </c>
      <c r="F45" s="299">
        <v>1</v>
      </c>
      <c r="G45" s="1088">
        <v>10000000</v>
      </c>
      <c r="H45" s="1088">
        <v>10000000</v>
      </c>
      <c r="I45" s="150"/>
      <c r="J45" s="9" t="s">
        <v>671</v>
      </c>
    </row>
    <row r="46" spans="1:10" ht="15" customHeight="1">
      <c r="A46" s="1299">
        <v>42</v>
      </c>
      <c r="B46" s="1300" t="s">
        <v>676</v>
      </c>
      <c r="C46" s="737" t="s">
        <v>2577</v>
      </c>
      <c r="D46" s="299">
        <v>0</v>
      </c>
      <c r="E46" s="299">
        <v>2</v>
      </c>
      <c r="F46" s="299">
        <v>1</v>
      </c>
      <c r="G46" s="1268">
        <v>8500000</v>
      </c>
      <c r="H46" s="1268">
        <f>F46*G46</f>
        <v>8500000</v>
      </c>
      <c r="I46" s="150" t="s">
        <v>2578</v>
      </c>
      <c r="J46" s="9" t="s">
        <v>671</v>
      </c>
    </row>
    <row r="47" spans="1:10" ht="15" customHeight="1">
      <c r="A47" s="1299">
        <v>43</v>
      </c>
      <c r="B47" s="1300" t="s">
        <v>697</v>
      </c>
      <c r="C47" s="737" t="s">
        <v>2579</v>
      </c>
      <c r="D47" s="765">
        <v>1</v>
      </c>
      <c r="E47" s="765">
        <v>2</v>
      </c>
      <c r="F47" s="765">
        <v>1</v>
      </c>
      <c r="G47" s="1280">
        <v>8000000</v>
      </c>
      <c r="H47" s="1262">
        <f t="shared" ref="H47:H49" si="6">G47*F47</f>
        <v>8000000</v>
      </c>
      <c r="I47" s="766" t="s">
        <v>1234</v>
      </c>
      <c r="J47" s="9" t="s">
        <v>700</v>
      </c>
    </row>
    <row r="48" spans="1:10" ht="15" customHeight="1">
      <c r="A48" s="1299">
        <v>44</v>
      </c>
      <c r="B48" s="1300" t="s">
        <v>697</v>
      </c>
      <c r="C48" s="767" t="s">
        <v>2580</v>
      </c>
      <c r="D48" s="619">
        <v>1</v>
      </c>
      <c r="E48" s="619">
        <v>2</v>
      </c>
      <c r="F48" s="619">
        <v>1</v>
      </c>
      <c r="G48" s="1280">
        <v>8000000</v>
      </c>
      <c r="H48" s="1262">
        <f t="shared" si="6"/>
        <v>8000000</v>
      </c>
      <c r="I48" s="766" t="s">
        <v>2575</v>
      </c>
      <c r="J48" s="9" t="s">
        <v>700</v>
      </c>
    </row>
    <row r="49" spans="1:10" ht="15" customHeight="1">
      <c r="A49" s="1299">
        <v>45</v>
      </c>
      <c r="B49" s="1300" t="s">
        <v>672</v>
      </c>
      <c r="C49" s="737" t="s">
        <v>2581</v>
      </c>
      <c r="D49" s="304">
        <v>8</v>
      </c>
      <c r="E49" s="304">
        <v>8</v>
      </c>
      <c r="F49" s="304">
        <v>4</v>
      </c>
      <c r="G49" s="1272">
        <v>6000000</v>
      </c>
      <c r="H49" s="1268">
        <f t="shared" si="6"/>
        <v>24000000</v>
      </c>
      <c r="I49" s="748" t="s">
        <v>2582</v>
      </c>
      <c r="J49" s="9" t="s">
        <v>671</v>
      </c>
    </row>
    <row r="50" spans="1:10" ht="15" customHeight="1">
      <c r="A50" s="1299">
        <v>46</v>
      </c>
      <c r="B50" s="1305" t="s">
        <v>788</v>
      </c>
      <c r="C50" s="686" t="s">
        <v>2583</v>
      </c>
      <c r="D50" s="302">
        <v>2</v>
      </c>
      <c r="E50" s="302">
        <v>3</v>
      </c>
      <c r="F50" s="302">
        <v>2</v>
      </c>
      <c r="G50" s="1262">
        <v>6000000</v>
      </c>
      <c r="H50" s="1262">
        <v>12000000</v>
      </c>
      <c r="I50" s="682" t="s">
        <v>2584</v>
      </c>
      <c r="J50" s="614" t="s">
        <v>671</v>
      </c>
    </row>
    <row r="51" spans="1:10" ht="15" customHeight="1">
      <c r="A51" s="1299">
        <v>47</v>
      </c>
      <c r="B51" s="1300" t="s">
        <v>697</v>
      </c>
      <c r="C51" s="737" t="s">
        <v>2585</v>
      </c>
      <c r="D51" s="299">
        <v>1</v>
      </c>
      <c r="E51" s="299">
        <v>2</v>
      </c>
      <c r="F51" s="299">
        <v>1</v>
      </c>
      <c r="G51" s="1266">
        <v>6000000</v>
      </c>
      <c r="H51" s="1262">
        <f t="shared" ref="H51:H52" si="7">G51*F51</f>
        <v>6000000</v>
      </c>
      <c r="I51" s="738" t="s">
        <v>752</v>
      </c>
      <c r="J51" s="713" t="s">
        <v>753</v>
      </c>
    </row>
    <row r="52" spans="1:10" ht="15" customHeight="1">
      <c r="A52" s="1299">
        <v>48</v>
      </c>
      <c r="B52" s="1300" t="s">
        <v>697</v>
      </c>
      <c r="C52" s="737" t="s">
        <v>2586</v>
      </c>
      <c r="D52" s="765">
        <v>1</v>
      </c>
      <c r="E52" s="765">
        <v>2</v>
      </c>
      <c r="F52" s="765">
        <v>1</v>
      </c>
      <c r="G52" s="1280">
        <v>5000000</v>
      </c>
      <c r="H52" s="1262">
        <f t="shared" si="7"/>
        <v>5000000</v>
      </c>
      <c r="I52" s="766" t="s">
        <v>2575</v>
      </c>
      <c r="J52" s="9" t="s">
        <v>753</v>
      </c>
    </row>
    <row r="53" spans="1:10" ht="15" customHeight="1">
      <c r="A53" s="1299">
        <v>49</v>
      </c>
      <c r="B53" s="1300" t="s">
        <v>701</v>
      </c>
      <c r="C53" s="737" t="s">
        <v>2587</v>
      </c>
      <c r="D53" s="299">
        <v>0</v>
      </c>
      <c r="E53" s="299">
        <v>1</v>
      </c>
      <c r="F53" s="299">
        <v>1</v>
      </c>
      <c r="G53" s="1268">
        <v>3500000</v>
      </c>
      <c r="H53" s="1268">
        <v>3500000</v>
      </c>
      <c r="I53" s="737" t="s">
        <v>2588</v>
      </c>
      <c r="J53" s="713" t="s">
        <v>704</v>
      </c>
    </row>
    <row r="54" spans="1:10" ht="15" customHeight="1">
      <c r="A54" s="1299">
        <v>50</v>
      </c>
      <c r="B54" s="1303" t="s">
        <v>668</v>
      </c>
      <c r="C54" s="711" t="s">
        <v>2589</v>
      </c>
      <c r="D54" s="298">
        <v>1</v>
      </c>
      <c r="E54" s="298">
        <v>2</v>
      </c>
      <c r="F54" s="298">
        <v>1</v>
      </c>
      <c r="G54" s="1281">
        <v>3000000</v>
      </c>
      <c r="H54" s="1271">
        <f t="shared" ref="H54:H55" si="8">F54*G54</f>
        <v>3000000</v>
      </c>
      <c r="I54" s="149" t="s">
        <v>2590</v>
      </c>
      <c r="J54" s="172" t="s">
        <v>671</v>
      </c>
    </row>
    <row r="55" spans="1:10" ht="15" customHeight="1">
      <c r="A55" s="1299">
        <v>51</v>
      </c>
      <c r="B55" s="1303" t="s">
        <v>668</v>
      </c>
      <c r="C55" s="711" t="s">
        <v>2591</v>
      </c>
      <c r="D55" s="298"/>
      <c r="E55" s="298">
        <v>1</v>
      </c>
      <c r="F55" s="298">
        <v>1</v>
      </c>
      <c r="G55" s="1281">
        <v>3000000</v>
      </c>
      <c r="H55" s="1271">
        <f t="shared" si="8"/>
        <v>3000000</v>
      </c>
      <c r="I55" s="149" t="s">
        <v>2592</v>
      </c>
      <c r="J55" s="172" t="s">
        <v>671</v>
      </c>
    </row>
    <row r="56" spans="1:10" ht="15" customHeight="1">
      <c r="A56" s="1299">
        <v>52</v>
      </c>
      <c r="B56" s="1300" t="s">
        <v>697</v>
      </c>
      <c r="C56" s="737" t="s">
        <v>2593</v>
      </c>
      <c r="D56" s="765">
        <v>1</v>
      </c>
      <c r="E56" s="765">
        <v>2</v>
      </c>
      <c r="F56" s="765">
        <v>1</v>
      </c>
      <c r="G56" s="1280">
        <v>3000000</v>
      </c>
      <c r="H56" s="1262">
        <f t="shared" ref="H56:H58" si="9">G56*F56</f>
        <v>3000000</v>
      </c>
      <c r="I56" s="766" t="s">
        <v>1234</v>
      </c>
      <c r="J56" s="713" t="s">
        <v>753</v>
      </c>
    </row>
    <row r="57" spans="1:10" ht="15" customHeight="1">
      <c r="A57" s="1299">
        <v>53</v>
      </c>
      <c r="B57" s="1300" t="s">
        <v>697</v>
      </c>
      <c r="C57" s="737" t="s">
        <v>2594</v>
      </c>
      <c r="D57" s="765">
        <v>1</v>
      </c>
      <c r="E57" s="765">
        <v>2</v>
      </c>
      <c r="F57" s="765">
        <v>1</v>
      </c>
      <c r="G57" s="1280">
        <v>3000000</v>
      </c>
      <c r="H57" s="1262">
        <f t="shared" si="9"/>
        <v>3000000</v>
      </c>
      <c r="I57" s="766" t="s">
        <v>752</v>
      </c>
      <c r="J57" s="9" t="s">
        <v>753</v>
      </c>
    </row>
    <row r="58" spans="1:10" ht="15" customHeight="1">
      <c r="A58" s="1299">
        <v>54</v>
      </c>
      <c r="B58" s="1300" t="s">
        <v>697</v>
      </c>
      <c r="C58" s="768" t="s">
        <v>2595</v>
      </c>
      <c r="D58" s="765">
        <v>0</v>
      </c>
      <c r="E58" s="765">
        <v>0</v>
      </c>
      <c r="F58" s="765">
        <v>1</v>
      </c>
      <c r="G58" s="1280">
        <v>3000000</v>
      </c>
      <c r="H58" s="1262">
        <f t="shared" si="9"/>
        <v>3000000</v>
      </c>
      <c r="I58" s="766" t="s">
        <v>752</v>
      </c>
      <c r="J58" s="9" t="s">
        <v>753</v>
      </c>
    </row>
    <row r="59" spans="1:10" ht="15" customHeight="1">
      <c r="A59" s="1299">
        <v>55</v>
      </c>
      <c r="B59" s="1300" t="s">
        <v>701</v>
      </c>
      <c r="C59" s="737" t="s">
        <v>2596</v>
      </c>
      <c r="D59" s="299">
        <v>0</v>
      </c>
      <c r="E59" s="299">
        <v>1</v>
      </c>
      <c r="F59" s="299">
        <v>1</v>
      </c>
      <c r="G59" s="1268">
        <v>3000000</v>
      </c>
      <c r="H59" s="1268">
        <v>3000000</v>
      </c>
      <c r="I59" s="150" t="s">
        <v>2597</v>
      </c>
      <c r="J59" s="9" t="s">
        <v>671</v>
      </c>
    </row>
    <row r="60" spans="1:10" ht="15" customHeight="1">
      <c r="A60" s="1299">
        <v>56</v>
      </c>
      <c r="B60" s="1300" t="s">
        <v>2598</v>
      </c>
      <c r="C60" s="737" t="s">
        <v>2591</v>
      </c>
      <c r="D60" s="299">
        <v>1</v>
      </c>
      <c r="E60" s="299">
        <v>1</v>
      </c>
      <c r="F60" s="299">
        <v>1</v>
      </c>
      <c r="G60" s="1268">
        <v>2760000</v>
      </c>
      <c r="H60" s="1268">
        <f t="shared" ref="H60:H61" si="10">F60*G60</f>
        <v>2760000</v>
      </c>
      <c r="I60" s="150" t="s">
        <v>2599</v>
      </c>
      <c r="J60" s="9" t="s">
        <v>671</v>
      </c>
    </row>
    <row r="61" spans="1:10" ht="15" customHeight="1">
      <c r="A61" s="1299">
        <v>57</v>
      </c>
      <c r="B61" s="1300" t="s">
        <v>672</v>
      </c>
      <c r="C61" s="737" t="s">
        <v>2600</v>
      </c>
      <c r="D61" s="299">
        <v>3</v>
      </c>
      <c r="E61" s="299">
        <v>4</v>
      </c>
      <c r="F61" s="299">
        <v>1</v>
      </c>
      <c r="G61" s="1268">
        <v>2500000</v>
      </c>
      <c r="H61" s="1268">
        <f t="shared" si="10"/>
        <v>2500000</v>
      </c>
      <c r="I61" s="150"/>
      <c r="J61" s="9" t="s">
        <v>671</v>
      </c>
    </row>
    <row r="62" spans="1:10" ht="15" customHeight="1">
      <c r="A62" s="1299">
        <v>58</v>
      </c>
      <c r="B62" s="1300" t="s">
        <v>672</v>
      </c>
      <c r="C62" s="737" t="s">
        <v>2601</v>
      </c>
      <c r="D62" s="299">
        <v>1</v>
      </c>
      <c r="E62" s="299">
        <v>2</v>
      </c>
      <c r="F62" s="299">
        <v>1</v>
      </c>
      <c r="G62" s="1268">
        <v>2500000</v>
      </c>
      <c r="H62" s="1268">
        <f t="shared" ref="H62:H66" si="11">G62*F62</f>
        <v>2500000</v>
      </c>
      <c r="I62" s="150"/>
      <c r="J62" s="9" t="s">
        <v>671</v>
      </c>
    </row>
    <row r="63" spans="1:10" ht="15" customHeight="1">
      <c r="A63" s="1299">
        <v>59</v>
      </c>
      <c r="B63" s="1300" t="s">
        <v>672</v>
      </c>
      <c r="C63" s="737" t="s">
        <v>2602</v>
      </c>
      <c r="D63" s="299">
        <v>1</v>
      </c>
      <c r="E63" s="299">
        <v>2</v>
      </c>
      <c r="F63" s="299">
        <v>1</v>
      </c>
      <c r="G63" s="1268">
        <v>2500000</v>
      </c>
      <c r="H63" s="1268">
        <f t="shared" si="11"/>
        <v>2500000</v>
      </c>
      <c r="I63" s="150"/>
      <c r="J63" s="9" t="s">
        <v>671</v>
      </c>
    </row>
    <row r="64" spans="1:10" ht="15" customHeight="1">
      <c r="A64" s="1299">
        <v>60</v>
      </c>
      <c r="B64" s="1300" t="s">
        <v>724</v>
      </c>
      <c r="C64" s="686" t="s">
        <v>2603</v>
      </c>
      <c r="D64" s="302">
        <v>1</v>
      </c>
      <c r="E64" s="302">
        <v>2</v>
      </c>
      <c r="F64" s="302">
        <v>1</v>
      </c>
      <c r="G64" s="1282">
        <v>2500000</v>
      </c>
      <c r="H64" s="1262">
        <f t="shared" si="11"/>
        <v>2500000</v>
      </c>
      <c r="I64" s="150" t="s">
        <v>2604</v>
      </c>
      <c r="J64" s="636" t="s">
        <v>671</v>
      </c>
    </row>
    <row r="65" spans="1:10" ht="15" customHeight="1">
      <c r="A65" s="1299">
        <v>61</v>
      </c>
      <c r="B65" s="1300" t="s">
        <v>881</v>
      </c>
      <c r="C65" s="737" t="s">
        <v>2605</v>
      </c>
      <c r="D65" s="299">
        <v>0</v>
      </c>
      <c r="E65" s="299">
        <v>1</v>
      </c>
      <c r="F65" s="299">
        <v>1</v>
      </c>
      <c r="G65" s="1262">
        <v>2500000</v>
      </c>
      <c r="H65" s="1262">
        <f t="shared" si="11"/>
        <v>2500000</v>
      </c>
      <c r="I65" s="150" t="s">
        <v>2606</v>
      </c>
      <c r="J65" s="9" t="s">
        <v>671</v>
      </c>
    </row>
    <row r="66" spans="1:10" ht="15" customHeight="1">
      <c r="A66" s="1299">
        <v>62</v>
      </c>
      <c r="B66" s="1300" t="s">
        <v>881</v>
      </c>
      <c r="C66" s="737" t="s">
        <v>2607</v>
      </c>
      <c r="D66" s="299">
        <v>2</v>
      </c>
      <c r="E66" s="299">
        <v>3</v>
      </c>
      <c r="F66" s="299">
        <v>1</v>
      </c>
      <c r="G66" s="1262">
        <v>2500000</v>
      </c>
      <c r="H66" s="1262">
        <f t="shared" si="11"/>
        <v>2500000</v>
      </c>
      <c r="I66" s="150" t="s">
        <v>790</v>
      </c>
      <c r="J66" s="9" t="s">
        <v>671</v>
      </c>
    </row>
    <row r="67" spans="1:10" ht="15" customHeight="1">
      <c r="A67" s="1299">
        <v>63</v>
      </c>
      <c r="B67" s="1300" t="s">
        <v>686</v>
      </c>
      <c r="C67" s="737" t="s">
        <v>2608</v>
      </c>
      <c r="D67" s="299">
        <v>2</v>
      </c>
      <c r="E67" s="299">
        <v>3</v>
      </c>
      <c r="F67" s="299">
        <v>1</v>
      </c>
      <c r="G67" s="1088">
        <v>2500000</v>
      </c>
      <c r="H67" s="1088">
        <v>2500000</v>
      </c>
      <c r="I67" s="304" t="s">
        <v>2609</v>
      </c>
      <c r="J67" s="9" t="s">
        <v>671</v>
      </c>
    </row>
    <row r="68" spans="1:10" ht="15" customHeight="1">
      <c r="A68" s="1299">
        <v>64</v>
      </c>
      <c r="B68" s="1300" t="s">
        <v>697</v>
      </c>
      <c r="C68" s="686" t="s">
        <v>2610</v>
      </c>
      <c r="D68" s="302">
        <v>2</v>
      </c>
      <c r="E68" s="302">
        <v>5</v>
      </c>
      <c r="F68" s="302">
        <v>1</v>
      </c>
      <c r="G68" s="1283">
        <v>2000000</v>
      </c>
      <c r="H68" s="1262">
        <f t="shared" ref="H68:H69" si="12">G68*F68</f>
        <v>2000000</v>
      </c>
      <c r="I68" s="150" t="s">
        <v>752</v>
      </c>
      <c r="J68" s="9" t="s">
        <v>753</v>
      </c>
    </row>
    <row r="69" spans="1:10" ht="15" customHeight="1">
      <c r="A69" s="1299">
        <v>65</v>
      </c>
      <c r="B69" s="1300" t="s">
        <v>697</v>
      </c>
      <c r="C69" s="737" t="s">
        <v>2611</v>
      </c>
      <c r="D69" s="299">
        <v>3</v>
      </c>
      <c r="E69" s="299">
        <v>6</v>
      </c>
      <c r="F69" s="299">
        <v>1</v>
      </c>
      <c r="G69" s="1266">
        <v>2000000</v>
      </c>
      <c r="H69" s="1262">
        <f t="shared" si="12"/>
        <v>2000000</v>
      </c>
      <c r="I69" s="738" t="s">
        <v>752</v>
      </c>
      <c r="J69" s="713" t="s">
        <v>753</v>
      </c>
    </row>
    <row r="70" spans="1:10" ht="15" customHeight="1">
      <c r="A70" s="1299">
        <v>66</v>
      </c>
      <c r="B70" s="1303" t="s">
        <v>668</v>
      </c>
      <c r="C70" s="711" t="s">
        <v>2612</v>
      </c>
      <c r="D70" s="298">
        <v>2</v>
      </c>
      <c r="E70" s="298">
        <v>3</v>
      </c>
      <c r="F70" s="298">
        <v>1</v>
      </c>
      <c r="G70" s="1267">
        <v>1000000</v>
      </c>
      <c r="H70" s="1271">
        <v>1000000</v>
      </c>
      <c r="I70" s="747" t="s">
        <v>2613</v>
      </c>
      <c r="J70" s="172" t="s">
        <v>671</v>
      </c>
    </row>
    <row r="71" spans="1:10" ht="15" customHeight="1">
      <c r="A71" s="1299">
        <v>67</v>
      </c>
      <c r="B71" s="1300" t="s">
        <v>603</v>
      </c>
      <c r="C71" s="767" t="s">
        <v>2614</v>
      </c>
      <c r="D71" s="9"/>
      <c r="E71" s="1"/>
      <c r="F71" s="299">
        <v>1</v>
      </c>
      <c r="G71" s="1088">
        <v>2000000</v>
      </c>
      <c r="H71" s="1262">
        <f>SUM(G71*F71)</f>
        <v>2000000</v>
      </c>
      <c r="I71" s="748" t="s">
        <v>2615</v>
      </c>
      <c r="J71" s="9" t="s">
        <v>671</v>
      </c>
    </row>
    <row r="72" spans="1:10" ht="15" customHeight="1">
      <c r="A72" s="1299">
        <v>68</v>
      </c>
      <c r="B72" s="1300" t="s">
        <v>672</v>
      </c>
      <c r="C72" s="737" t="s">
        <v>2616</v>
      </c>
      <c r="D72" s="304">
        <v>2</v>
      </c>
      <c r="E72" s="304">
        <v>2</v>
      </c>
      <c r="F72" s="304">
        <v>1</v>
      </c>
      <c r="G72" s="1272">
        <v>2000000</v>
      </c>
      <c r="H72" s="1268">
        <f t="shared" ref="H72:H74" si="13">G72*F72</f>
        <v>2000000</v>
      </c>
      <c r="I72" s="748" t="s">
        <v>2617</v>
      </c>
      <c r="J72" s="9" t="s">
        <v>671</v>
      </c>
    </row>
    <row r="73" spans="1:10" ht="15" customHeight="1">
      <c r="A73" s="1299">
        <v>69</v>
      </c>
      <c r="B73" s="1300" t="s">
        <v>697</v>
      </c>
      <c r="C73" s="737" t="s">
        <v>2618</v>
      </c>
      <c r="D73" s="765">
        <v>0</v>
      </c>
      <c r="E73" s="765">
        <v>1</v>
      </c>
      <c r="F73" s="765">
        <v>1</v>
      </c>
      <c r="G73" s="1280">
        <v>1725000</v>
      </c>
      <c r="H73" s="1262">
        <f t="shared" si="13"/>
        <v>1725000</v>
      </c>
      <c r="I73" s="766" t="s">
        <v>768</v>
      </c>
      <c r="J73" s="713" t="s">
        <v>753</v>
      </c>
    </row>
    <row r="74" spans="1:10" ht="15" customHeight="1">
      <c r="A74" s="1299">
        <v>70</v>
      </c>
      <c r="B74" s="1300" t="s">
        <v>676</v>
      </c>
      <c r="C74" s="737" t="s">
        <v>2619</v>
      </c>
      <c r="D74" s="299">
        <v>0</v>
      </c>
      <c r="E74" s="299">
        <v>1</v>
      </c>
      <c r="F74" s="299">
        <v>1</v>
      </c>
      <c r="G74" s="1268">
        <v>1725000</v>
      </c>
      <c r="H74" s="1268">
        <f t="shared" si="13"/>
        <v>1725000</v>
      </c>
      <c r="I74" s="150" t="s">
        <v>678</v>
      </c>
      <c r="J74" s="9" t="s">
        <v>671</v>
      </c>
    </row>
    <row r="75" spans="1:10" ht="15" customHeight="1">
      <c r="A75" s="1299">
        <v>71</v>
      </c>
      <c r="B75" s="1308" t="s">
        <v>4183</v>
      </c>
      <c r="C75" s="686" t="s">
        <v>2620</v>
      </c>
      <c r="D75" s="302">
        <v>0</v>
      </c>
      <c r="E75" s="302">
        <v>4</v>
      </c>
      <c r="F75" s="302">
        <v>4</v>
      </c>
      <c r="G75" s="1262">
        <v>1500000</v>
      </c>
      <c r="H75" s="1262">
        <v>6000000</v>
      </c>
      <c r="I75" s="150" t="s">
        <v>2621</v>
      </c>
      <c r="J75" s="714" t="s">
        <v>671</v>
      </c>
    </row>
    <row r="76" spans="1:10" ht="15" customHeight="1">
      <c r="A76" s="1299">
        <v>72</v>
      </c>
      <c r="B76" s="1300" t="s">
        <v>697</v>
      </c>
      <c r="C76" s="768" t="s">
        <v>2622</v>
      </c>
      <c r="D76" s="765">
        <v>0</v>
      </c>
      <c r="E76" s="765">
        <v>3</v>
      </c>
      <c r="F76" s="765">
        <v>3</v>
      </c>
      <c r="G76" s="1280">
        <v>1500000</v>
      </c>
      <c r="H76" s="1262">
        <f>G76*F76</f>
        <v>4500000</v>
      </c>
      <c r="I76" s="766" t="s">
        <v>768</v>
      </c>
      <c r="J76" s="713" t="s">
        <v>753</v>
      </c>
    </row>
    <row r="77" spans="1:10" ht="15" customHeight="1">
      <c r="A77" s="1299">
        <v>73</v>
      </c>
      <c r="B77" s="1300" t="s">
        <v>2623</v>
      </c>
      <c r="C77" s="686" t="s">
        <v>2624</v>
      </c>
      <c r="D77" s="302">
        <v>2</v>
      </c>
      <c r="E77" s="302">
        <v>3</v>
      </c>
      <c r="F77" s="302">
        <v>2</v>
      </c>
      <c r="G77" s="1262">
        <v>1500000</v>
      </c>
      <c r="H77" s="1262">
        <f>1500000*2</f>
        <v>3000000</v>
      </c>
      <c r="I77" s="150" t="s">
        <v>2625</v>
      </c>
      <c r="J77" s="32"/>
    </row>
    <row r="78" spans="1:10" ht="15" customHeight="1">
      <c r="A78" s="1299">
        <v>74</v>
      </c>
      <c r="B78" s="1300" t="s">
        <v>697</v>
      </c>
      <c r="C78" s="737" t="s">
        <v>2626</v>
      </c>
      <c r="D78" s="299">
        <v>1</v>
      </c>
      <c r="E78" s="299">
        <v>2</v>
      </c>
      <c r="F78" s="299">
        <v>1</v>
      </c>
      <c r="G78" s="1280">
        <v>1500000</v>
      </c>
      <c r="H78" s="1262">
        <f t="shared" ref="H78:H79" si="14">G78*F78</f>
        <v>1500000</v>
      </c>
      <c r="I78" s="766" t="s">
        <v>752</v>
      </c>
      <c r="J78" s="9" t="s">
        <v>753</v>
      </c>
    </row>
    <row r="79" spans="1:10" ht="15" customHeight="1">
      <c r="A79" s="1299">
        <v>75</v>
      </c>
      <c r="B79" s="1300" t="s">
        <v>668</v>
      </c>
      <c r="C79" s="737" t="s">
        <v>2627</v>
      </c>
      <c r="D79" s="304">
        <v>1</v>
      </c>
      <c r="E79" s="304">
        <v>2</v>
      </c>
      <c r="F79" s="304">
        <v>1</v>
      </c>
      <c r="G79" s="1272">
        <v>1500000</v>
      </c>
      <c r="H79" s="1262">
        <f t="shared" si="14"/>
        <v>1500000</v>
      </c>
      <c r="I79" s="748"/>
      <c r="J79" s="9" t="s">
        <v>671</v>
      </c>
    </row>
    <row r="80" spans="1:10" ht="15" customHeight="1">
      <c r="A80" s="1299">
        <v>76</v>
      </c>
      <c r="B80" s="1300" t="s">
        <v>701</v>
      </c>
      <c r="C80" s="737" t="s">
        <v>2628</v>
      </c>
      <c r="D80" s="299">
        <v>0</v>
      </c>
      <c r="E80" s="299">
        <v>1</v>
      </c>
      <c r="F80" s="299">
        <v>1</v>
      </c>
      <c r="G80" s="1268">
        <v>1500000</v>
      </c>
      <c r="H80" s="1268">
        <v>1500000</v>
      </c>
      <c r="I80" s="147" t="s">
        <v>2629</v>
      </c>
      <c r="J80" s="713" t="s">
        <v>671</v>
      </c>
    </row>
    <row r="81" spans="1:10" ht="15" customHeight="1">
      <c r="A81" s="1299">
        <v>77</v>
      </c>
      <c r="B81" s="1300" t="s">
        <v>686</v>
      </c>
      <c r="C81" s="737" t="s">
        <v>2630</v>
      </c>
      <c r="D81" s="299">
        <v>1</v>
      </c>
      <c r="E81" s="299">
        <v>2</v>
      </c>
      <c r="F81" s="299">
        <v>1</v>
      </c>
      <c r="G81" s="1088">
        <v>1500000</v>
      </c>
      <c r="H81" s="1088">
        <v>1500000</v>
      </c>
      <c r="I81" s="304"/>
      <c r="J81" s="9" t="s">
        <v>671</v>
      </c>
    </row>
    <row r="82" spans="1:10" ht="15" customHeight="1">
      <c r="A82" s="1299">
        <v>78</v>
      </c>
      <c r="B82" s="1300" t="s">
        <v>686</v>
      </c>
      <c r="C82" s="737" t="s">
        <v>2631</v>
      </c>
      <c r="D82" s="299">
        <v>0</v>
      </c>
      <c r="E82" s="299">
        <v>1</v>
      </c>
      <c r="F82" s="299">
        <v>1</v>
      </c>
      <c r="G82" s="1088">
        <v>1500000</v>
      </c>
      <c r="H82" s="1088">
        <v>1500000</v>
      </c>
      <c r="I82" s="304"/>
      <c r="J82" s="9" t="s">
        <v>671</v>
      </c>
    </row>
    <row r="83" spans="1:10" ht="15" customHeight="1">
      <c r="A83" s="1299">
        <v>79</v>
      </c>
      <c r="B83" s="1300" t="s">
        <v>766</v>
      </c>
      <c r="C83" s="304" t="s">
        <v>2632</v>
      </c>
      <c r="D83" s="299"/>
      <c r="E83" s="299">
        <v>1</v>
      </c>
      <c r="F83" s="299">
        <v>1</v>
      </c>
      <c r="G83" s="1088">
        <v>1500000</v>
      </c>
      <c r="H83" s="1088">
        <v>1500000</v>
      </c>
      <c r="I83" s="32"/>
      <c r="J83" s="32"/>
    </row>
    <row r="84" spans="1:10" ht="15" customHeight="1">
      <c r="A84" s="1299">
        <v>80</v>
      </c>
      <c r="B84" s="1300" t="s">
        <v>672</v>
      </c>
      <c r="C84" s="737" t="s">
        <v>2633</v>
      </c>
      <c r="D84" s="304">
        <v>2</v>
      </c>
      <c r="E84" s="304">
        <v>3</v>
      </c>
      <c r="F84" s="304">
        <v>1</v>
      </c>
      <c r="G84" s="1272">
        <v>500000</v>
      </c>
      <c r="H84" s="1268">
        <f>G84*F84</f>
        <v>500000</v>
      </c>
      <c r="I84" s="748"/>
      <c r="J84" s="9" t="s">
        <v>671</v>
      </c>
    </row>
    <row r="85" spans="1:10" ht="15" customHeight="1">
      <c r="A85" s="1299">
        <v>81</v>
      </c>
      <c r="B85" s="1307" t="s">
        <v>775</v>
      </c>
      <c r="C85" s="737" t="s">
        <v>2634</v>
      </c>
      <c r="D85" s="302">
        <v>1</v>
      </c>
      <c r="E85" s="302">
        <v>2</v>
      </c>
      <c r="F85" s="302">
        <v>1</v>
      </c>
      <c r="G85" s="1088">
        <v>1250000</v>
      </c>
      <c r="H85" s="1268">
        <v>1250000</v>
      </c>
      <c r="I85" s="304" t="s">
        <v>818</v>
      </c>
      <c r="J85" s="9" t="s">
        <v>671</v>
      </c>
    </row>
    <row r="86" spans="1:10" ht="15" customHeight="1">
      <c r="A86" s="1299">
        <v>82</v>
      </c>
      <c r="B86" s="1300" t="s">
        <v>697</v>
      </c>
      <c r="C86" s="737" t="s">
        <v>2635</v>
      </c>
      <c r="D86" s="765">
        <v>6</v>
      </c>
      <c r="E86" s="765">
        <v>12</v>
      </c>
      <c r="F86" s="765">
        <v>6</v>
      </c>
      <c r="G86" s="1280">
        <v>1000000</v>
      </c>
      <c r="H86" s="1262">
        <f t="shared" ref="H86:H89" si="15">G86*F86</f>
        <v>6000000</v>
      </c>
      <c r="I86" s="766" t="s">
        <v>2575</v>
      </c>
      <c r="J86" s="9" t="s">
        <v>753</v>
      </c>
    </row>
    <row r="87" spans="1:10" ht="15" customHeight="1">
      <c r="A87" s="1299">
        <v>83</v>
      </c>
      <c r="B87" s="1300" t="s">
        <v>697</v>
      </c>
      <c r="C87" s="737" t="s">
        <v>2636</v>
      </c>
      <c r="D87" s="765">
        <v>3</v>
      </c>
      <c r="E87" s="765">
        <v>5</v>
      </c>
      <c r="F87" s="765">
        <v>2</v>
      </c>
      <c r="G87" s="1284">
        <v>1000000</v>
      </c>
      <c r="H87" s="1262">
        <f t="shared" si="15"/>
        <v>2000000</v>
      </c>
      <c r="I87" s="766" t="s">
        <v>1234</v>
      </c>
      <c r="J87" s="713" t="s">
        <v>753</v>
      </c>
    </row>
    <row r="88" spans="1:10" ht="15" customHeight="1">
      <c r="A88" s="1299">
        <v>84</v>
      </c>
      <c r="B88" s="1300" t="s">
        <v>697</v>
      </c>
      <c r="C88" s="737" t="s">
        <v>2637</v>
      </c>
      <c r="D88" s="765">
        <v>2</v>
      </c>
      <c r="E88" s="765">
        <v>4</v>
      </c>
      <c r="F88" s="765">
        <v>2</v>
      </c>
      <c r="G88" s="1280">
        <v>1000000</v>
      </c>
      <c r="H88" s="1262">
        <f t="shared" si="15"/>
        <v>2000000</v>
      </c>
      <c r="I88" s="766" t="s">
        <v>2575</v>
      </c>
      <c r="J88" s="9" t="s">
        <v>753</v>
      </c>
    </row>
    <row r="89" spans="1:10" ht="15" customHeight="1">
      <c r="A89" s="1299">
        <v>85</v>
      </c>
      <c r="B89" s="1300" t="s">
        <v>697</v>
      </c>
      <c r="C89" s="737" t="s">
        <v>2638</v>
      </c>
      <c r="D89" s="765">
        <v>2</v>
      </c>
      <c r="E89" s="765">
        <v>4</v>
      </c>
      <c r="F89" s="765">
        <v>2</v>
      </c>
      <c r="G89" s="1280">
        <v>1000000</v>
      </c>
      <c r="H89" s="1262">
        <f t="shared" si="15"/>
        <v>2000000</v>
      </c>
      <c r="I89" s="766" t="s">
        <v>2575</v>
      </c>
      <c r="J89" s="9" t="s">
        <v>753</v>
      </c>
    </row>
    <row r="90" spans="1:10" ht="15" customHeight="1">
      <c r="A90" s="1299">
        <v>86</v>
      </c>
      <c r="B90" s="1300" t="s">
        <v>701</v>
      </c>
      <c r="C90" s="737" t="s">
        <v>2639</v>
      </c>
      <c r="D90" s="299">
        <v>4</v>
      </c>
      <c r="E90" s="299">
        <v>6</v>
      </c>
      <c r="F90" s="299">
        <v>2</v>
      </c>
      <c r="G90" s="1268">
        <v>1000000</v>
      </c>
      <c r="H90" s="1268">
        <v>2000000</v>
      </c>
      <c r="I90" s="737" t="s">
        <v>2640</v>
      </c>
      <c r="J90" s="713" t="s">
        <v>671</v>
      </c>
    </row>
    <row r="91" spans="1:10" ht="15" customHeight="1">
      <c r="A91" s="1299">
        <v>87</v>
      </c>
      <c r="B91" s="1300" t="s">
        <v>766</v>
      </c>
      <c r="C91" s="304" t="s">
        <v>2641</v>
      </c>
      <c r="D91" s="299"/>
      <c r="E91" s="299">
        <v>2</v>
      </c>
      <c r="F91" s="299">
        <v>2</v>
      </c>
      <c r="G91" s="1088">
        <v>1000000</v>
      </c>
      <c r="H91" s="1088">
        <v>2000000</v>
      </c>
      <c r="I91" s="32"/>
      <c r="J91" s="32"/>
    </row>
    <row r="92" spans="1:10" ht="15" customHeight="1">
      <c r="A92" s="1299">
        <v>88</v>
      </c>
      <c r="B92" s="1300" t="s">
        <v>856</v>
      </c>
      <c r="C92" s="686" t="s">
        <v>2642</v>
      </c>
      <c r="D92" s="302">
        <v>0</v>
      </c>
      <c r="E92" s="302">
        <v>2</v>
      </c>
      <c r="F92" s="302">
        <v>2</v>
      </c>
      <c r="G92" s="1262">
        <v>1000000</v>
      </c>
      <c r="H92" s="1262">
        <v>1000000</v>
      </c>
      <c r="I92" s="150" t="s">
        <v>717</v>
      </c>
      <c r="J92" s="714" t="s">
        <v>671</v>
      </c>
    </row>
    <row r="93" spans="1:10" ht="15" customHeight="1">
      <c r="A93" s="1299">
        <v>89</v>
      </c>
      <c r="B93" s="1300" t="s">
        <v>686</v>
      </c>
      <c r="C93" s="737" t="s">
        <v>2643</v>
      </c>
      <c r="D93" s="299">
        <v>0</v>
      </c>
      <c r="E93" s="299">
        <v>1</v>
      </c>
      <c r="F93" s="299">
        <v>1</v>
      </c>
      <c r="G93" s="1088">
        <v>1000000</v>
      </c>
      <c r="H93" s="1088">
        <v>1000000</v>
      </c>
      <c r="I93" s="304"/>
      <c r="J93" s="9" t="s">
        <v>671</v>
      </c>
    </row>
    <row r="94" spans="1:10" ht="15" customHeight="1">
      <c r="A94" s="732"/>
      <c r="C94" s="687"/>
      <c r="H94" s="1091">
        <f>SUM(H5:H93)</f>
        <v>1079362785</v>
      </c>
    </row>
    <row r="95" spans="1:10" ht="38.25" customHeight="1">
      <c r="C95" s="687"/>
      <c r="F95" s="208"/>
      <c r="J95" s="687"/>
    </row>
    <row r="96" spans="1:10" ht="59.25" customHeight="1">
      <c r="A96" s="973" t="s">
        <v>2644</v>
      </c>
      <c r="B96" s="890"/>
      <c r="C96" s="769"/>
      <c r="F96" s="208"/>
      <c r="H96" s="1091"/>
      <c r="J96" s="687"/>
    </row>
    <row r="97" spans="1:10" s="1287" customFormat="1" ht="15" customHeight="1">
      <c r="A97" s="1309" t="s">
        <v>4184</v>
      </c>
      <c r="B97" s="1286" t="s">
        <v>940</v>
      </c>
      <c r="C97" s="1286" t="s">
        <v>1439</v>
      </c>
      <c r="F97" s="1288"/>
      <c r="G97" s="1289" t="s">
        <v>2645</v>
      </c>
      <c r="H97" s="1289" t="s">
        <v>7</v>
      </c>
      <c r="J97" s="1290"/>
    </row>
    <row r="98" spans="1:10" s="1153" customFormat="1" ht="18.75" customHeight="1">
      <c r="A98" s="1310">
        <v>1</v>
      </c>
      <c r="B98" s="1352" t="s">
        <v>1161</v>
      </c>
      <c r="C98" s="1312" t="s">
        <v>2646</v>
      </c>
      <c r="D98" s="1313"/>
      <c r="E98" s="1313"/>
      <c r="F98" s="1314">
        <v>375</v>
      </c>
      <c r="G98" s="1315">
        <v>350000</v>
      </c>
      <c r="H98" s="1315">
        <f>G98*F98</f>
        <v>131250000</v>
      </c>
      <c r="I98" s="1316"/>
      <c r="J98" s="1317"/>
    </row>
    <row r="99" spans="1:10" s="1153" customFormat="1" ht="18.75" customHeight="1">
      <c r="A99" s="1310">
        <v>2</v>
      </c>
      <c r="B99" s="1399" t="s">
        <v>1157</v>
      </c>
      <c r="C99" s="1318" t="s">
        <v>2647</v>
      </c>
      <c r="D99" s="1319"/>
      <c r="E99" s="1319"/>
      <c r="F99" s="1320">
        <v>2</v>
      </c>
      <c r="G99" s="1321">
        <v>1000000</v>
      </c>
      <c r="H99" s="1321">
        <v>2000000</v>
      </c>
      <c r="I99" s="1316"/>
      <c r="J99" s="1317"/>
    </row>
    <row r="100" spans="1:10" s="1153" customFormat="1" ht="18.75" customHeight="1">
      <c r="A100" s="1310">
        <v>3</v>
      </c>
      <c r="B100" s="1399" t="s">
        <v>60</v>
      </c>
      <c r="C100" s="1318" t="s">
        <v>2648</v>
      </c>
      <c r="D100" s="1319"/>
      <c r="E100" s="1319"/>
      <c r="F100" s="1320">
        <v>1</v>
      </c>
      <c r="G100" s="1321">
        <v>7000000</v>
      </c>
      <c r="H100" s="1321">
        <v>7000000</v>
      </c>
      <c r="I100" s="1316"/>
      <c r="J100" s="1317"/>
    </row>
    <row r="101" spans="1:10" s="1153" customFormat="1" ht="18.75" customHeight="1">
      <c r="A101" s="1310">
        <v>4</v>
      </c>
      <c r="B101" s="1399" t="s">
        <v>502</v>
      </c>
      <c r="C101" s="1318" t="s">
        <v>2649</v>
      </c>
      <c r="D101" s="1319"/>
      <c r="E101" s="1319"/>
      <c r="F101" s="1320">
        <v>10</v>
      </c>
      <c r="G101" s="1321">
        <v>1500000</v>
      </c>
      <c r="H101" s="1321">
        <v>15000000</v>
      </c>
      <c r="I101" s="1316"/>
      <c r="J101" s="1317"/>
    </row>
    <row r="102" spans="1:10" s="1153" customFormat="1" ht="18.75" customHeight="1">
      <c r="A102" s="1310">
        <v>5</v>
      </c>
      <c r="B102" s="1400" t="s">
        <v>1071</v>
      </c>
      <c r="C102" s="1322" t="s">
        <v>2650</v>
      </c>
      <c r="F102" s="1314">
        <v>5</v>
      </c>
      <c r="G102" s="1315">
        <v>3500000</v>
      </c>
      <c r="H102" s="1315">
        <f>SUM(G102*F102)</f>
        <v>17500000</v>
      </c>
      <c r="I102" s="1323" t="s">
        <v>2651</v>
      </c>
      <c r="J102" s="1317"/>
    </row>
    <row r="103" spans="1:10" s="1153" customFormat="1" ht="18.75" customHeight="1">
      <c r="A103" s="1310">
        <v>6</v>
      </c>
      <c r="B103" s="1352" t="s">
        <v>2652</v>
      </c>
      <c r="C103" s="1312" t="s">
        <v>2653</v>
      </c>
      <c r="D103" s="1313"/>
      <c r="E103" s="1313"/>
      <c r="F103" s="1314"/>
      <c r="G103" s="1315"/>
      <c r="H103" s="1315">
        <v>100000000</v>
      </c>
      <c r="I103" s="1316"/>
      <c r="J103" s="1317"/>
    </row>
    <row r="104" spans="1:10" s="1153" customFormat="1" ht="18.75" customHeight="1">
      <c r="A104" s="1310">
        <v>7</v>
      </c>
      <c r="B104" s="1317" t="s">
        <v>1043</v>
      </c>
      <c r="C104" s="1316" t="s">
        <v>2654</v>
      </c>
      <c r="D104" s="1324">
        <v>0</v>
      </c>
      <c r="E104" s="1313">
        <v>6</v>
      </c>
      <c r="F104" s="1313">
        <v>6</v>
      </c>
      <c r="G104" s="1325">
        <v>1000000</v>
      </c>
      <c r="H104" s="1325">
        <v>6000000</v>
      </c>
      <c r="I104" s="1316" t="s">
        <v>2655</v>
      </c>
      <c r="J104" s="1317" t="s">
        <v>704</v>
      </c>
    </row>
    <row r="105" spans="1:10" s="1153" customFormat="1" ht="18.75" customHeight="1">
      <c r="A105" s="1310">
        <v>8</v>
      </c>
      <c r="B105" s="1400" t="s">
        <v>1163</v>
      </c>
      <c r="C105" s="1326" t="s">
        <v>2656</v>
      </c>
      <c r="D105" s="1319"/>
      <c r="E105" s="1319"/>
      <c r="F105" s="1313">
        <v>1</v>
      </c>
      <c r="G105" s="1327">
        <v>7000000</v>
      </c>
      <c r="H105" s="1327">
        <f>G105*F105</f>
        <v>7000000</v>
      </c>
      <c r="I105" s="1316" t="s">
        <v>2657</v>
      </c>
      <c r="J105" s="1317"/>
    </row>
    <row r="106" spans="1:10" s="1153" customFormat="1" ht="18.75" customHeight="1">
      <c r="A106" s="1310">
        <v>9</v>
      </c>
      <c r="B106" s="1400" t="s">
        <v>1071</v>
      </c>
      <c r="C106" s="1322" t="s">
        <v>1560</v>
      </c>
      <c r="D106" s="1319"/>
      <c r="E106" s="1319"/>
      <c r="F106" s="1328">
        <v>5</v>
      </c>
      <c r="G106" s="1315">
        <v>5000000</v>
      </c>
      <c r="H106" s="1315">
        <f t="shared" ref="H106:H108" si="16">SUM(G106*F106)</f>
        <v>25000000</v>
      </c>
      <c r="I106" s="1316"/>
      <c r="J106" s="1317"/>
    </row>
    <row r="107" spans="1:10" s="1153" customFormat="1" ht="18.75" customHeight="1">
      <c r="A107" s="1310">
        <v>10</v>
      </c>
      <c r="B107" s="1400" t="s">
        <v>1071</v>
      </c>
      <c r="C107" s="1322" t="s">
        <v>2658</v>
      </c>
      <c r="D107" s="1319"/>
      <c r="E107" s="1319"/>
      <c r="F107" s="1328">
        <v>200</v>
      </c>
      <c r="G107" s="1315">
        <v>450000</v>
      </c>
      <c r="H107" s="1315">
        <f t="shared" si="16"/>
        <v>90000000</v>
      </c>
      <c r="I107" s="1316"/>
      <c r="J107" s="1317"/>
    </row>
    <row r="108" spans="1:10" s="1153" customFormat="1" ht="18.75" customHeight="1">
      <c r="A108" s="1310">
        <v>11</v>
      </c>
      <c r="B108" s="1400" t="s">
        <v>1071</v>
      </c>
      <c r="C108" s="1322" t="s">
        <v>2659</v>
      </c>
      <c r="D108" s="1319"/>
      <c r="E108" s="1319"/>
      <c r="F108" s="1328">
        <v>4</v>
      </c>
      <c r="G108" s="1315">
        <v>4000000</v>
      </c>
      <c r="H108" s="1315">
        <f t="shared" si="16"/>
        <v>16000000</v>
      </c>
      <c r="I108" s="1316"/>
      <c r="J108" s="1317"/>
    </row>
    <row r="109" spans="1:10" s="1153" customFormat="1" ht="18.75" customHeight="1">
      <c r="A109" s="1310">
        <v>12</v>
      </c>
      <c r="B109" s="1400" t="s">
        <v>1071</v>
      </c>
      <c r="C109" s="1329" t="s">
        <v>2660</v>
      </c>
      <c r="D109" s="1319"/>
      <c r="E109" s="1319"/>
      <c r="F109" s="1330">
        <v>1</v>
      </c>
      <c r="G109" s="1331">
        <v>5000000</v>
      </c>
      <c r="H109" s="1331">
        <v>5000000</v>
      </c>
      <c r="I109" s="1316"/>
      <c r="J109" s="1317"/>
    </row>
    <row r="110" spans="1:10" s="1153" customFormat="1" ht="18.75" customHeight="1">
      <c r="A110" s="1310">
        <v>13</v>
      </c>
      <c r="B110" s="1400" t="s">
        <v>1071</v>
      </c>
      <c r="C110" s="1329" t="s">
        <v>2661</v>
      </c>
      <c r="D110" s="1319"/>
      <c r="E110" s="1319"/>
      <c r="F110" s="1332">
        <v>1</v>
      </c>
      <c r="G110" s="1331">
        <v>68000000</v>
      </c>
      <c r="H110" s="1331">
        <f t="shared" ref="H110:H119" si="17">SUM(G110*F110)</f>
        <v>68000000</v>
      </c>
      <c r="I110" s="1333" t="s">
        <v>1530</v>
      </c>
      <c r="J110" s="1317"/>
    </row>
    <row r="111" spans="1:10" s="1153" customFormat="1" ht="18.75" customHeight="1">
      <c r="A111" s="1310">
        <v>14</v>
      </c>
      <c r="B111" s="1400" t="s">
        <v>1071</v>
      </c>
      <c r="C111" s="1329" t="s">
        <v>2662</v>
      </c>
      <c r="D111" s="1319"/>
      <c r="E111" s="1319"/>
      <c r="F111" s="1332">
        <v>2</v>
      </c>
      <c r="G111" s="1331">
        <v>4000000</v>
      </c>
      <c r="H111" s="1331">
        <f t="shared" si="17"/>
        <v>8000000</v>
      </c>
      <c r="I111" s="1333" t="s">
        <v>1530</v>
      </c>
      <c r="J111" s="1317"/>
    </row>
    <row r="112" spans="1:10" s="1153" customFormat="1" ht="18.75" customHeight="1">
      <c r="A112" s="1310">
        <v>15</v>
      </c>
      <c r="B112" s="1400" t="s">
        <v>1071</v>
      </c>
      <c r="C112" s="1329" t="s">
        <v>2663</v>
      </c>
      <c r="D112" s="1319"/>
      <c r="E112" s="1319"/>
      <c r="F112" s="1332">
        <v>1</v>
      </c>
      <c r="G112" s="1331">
        <v>3500000</v>
      </c>
      <c r="H112" s="1331">
        <f t="shared" si="17"/>
        <v>3500000</v>
      </c>
      <c r="I112" s="1333" t="s">
        <v>1530</v>
      </c>
      <c r="J112" s="1317"/>
    </row>
    <row r="113" spans="1:10" s="1153" customFormat="1" ht="18.75" customHeight="1">
      <c r="A113" s="1310">
        <v>16</v>
      </c>
      <c r="B113" s="1400" t="s">
        <v>1071</v>
      </c>
      <c r="C113" s="1329" t="s">
        <v>2664</v>
      </c>
      <c r="D113" s="1319"/>
      <c r="E113" s="1319"/>
      <c r="F113" s="1332">
        <v>4</v>
      </c>
      <c r="G113" s="1331">
        <v>2000000</v>
      </c>
      <c r="H113" s="1331">
        <f t="shared" si="17"/>
        <v>8000000</v>
      </c>
      <c r="I113" s="1333" t="s">
        <v>1530</v>
      </c>
      <c r="J113" s="1317"/>
    </row>
    <row r="114" spans="1:10" s="1153" customFormat="1" ht="18.75" customHeight="1">
      <c r="A114" s="1310">
        <v>17</v>
      </c>
      <c r="B114" s="1400" t="s">
        <v>1071</v>
      </c>
      <c r="C114" s="1329" t="s">
        <v>2665</v>
      </c>
      <c r="D114" s="1319"/>
      <c r="E114" s="1319"/>
      <c r="F114" s="1332">
        <v>2</v>
      </c>
      <c r="G114" s="1331">
        <v>1500000</v>
      </c>
      <c r="H114" s="1331">
        <f t="shared" si="17"/>
        <v>3000000</v>
      </c>
      <c r="I114" s="1333" t="s">
        <v>1530</v>
      </c>
      <c r="J114" s="1317"/>
    </row>
    <row r="115" spans="1:10" s="1153" customFormat="1" ht="18.75" customHeight="1">
      <c r="A115" s="1310">
        <v>18</v>
      </c>
      <c r="B115" s="1400" t="s">
        <v>1071</v>
      </c>
      <c r="C115" s="1329" t="s">
        <v>2666</v>
      </c>
      <c r="D115" s="1319"/>
      <c r="E115" s="1319"/>
      <c r="F115" s="1332">
        <v>1</v>
      </c>
      <c r="G115" s="1331">
        <v>12000000</v>
      </c>
      <c r="H115" s="1331">
        <f t="shared" si="17"/>
        <v>12000000</v>
      </c>
      <c r="I115" s="1333" t="s">
        <v>1530</v>
      </c>
      <c r="J115" s="1317"/>
    </row>
    <row r="116" spans="1:10" s="1153" customFormat="1" ht="18.75" customHeight="1">
      <c r="A116" s="1310">
        <v>19</v>
      </c>
      <c r="B116" s="1400" t="s">
        <v>1071</v>
      </c>
      <c r="C116" s="1329" t="s">
        <v>2667</v>
      </c>
      <c r="D116" s="1319"/>
      <c r="E116" s="1319"/>
      <c r="F116" s="1332">
        <v>2</v>
      </c>
      <c r="G116" s="1331">
        <v>8000000</v>
      </c>
      <c r="H116" s="1331">
        <f t="shared" si="17"/>
        <v>16000000</v>
      </c>
      <c r="I116" s="1333" t="s">
        <v>1530</v>
      </c>
      <c r="J116" s="1317"/>
    </row>
    <row r="117" spans="1:10" s="1153" customFormat="1" ht="18.75" customHeight="1">
      <c r="A117" s="1310">
        <v>20</v>
      </c>
      <c r="B117" s="1400" t="s">
        <v>1071</v>
      </c>
      <c r="C117" s="1329" t="s">
        <v>1534</v>
      </c>
      <c r="D117" s="1319"/>
      <c r="E117" s="1319"/>
      <c r="F117" s="1332">
        <v>2</v>
      </c>
      <c r="G117" s="1331">
        <v>3500000</v>
      </c>
      <c r="H117" s="1331">
        <f t="shared" si="17"/>
        <v>7000000</v>
      </c>
      <c r="I117" s="1333" t="s">
        <v>1530</v>
      </c>
      <c r="J117" s="1317"/>
    </row>
    <row r="118" spans="1:10" s="1153" customFormat="1" ht="18.75" customHeight="1">
      <c r="A118" s="1310">
        <v>21</v>
      </c>
      <c r="B118" s="1400" t="s">
        <v>1071</v>
      </c>
      <c r="C118" s="1329" t="s">
        <v>2668</v>
      </c>
      <c r="D118" s="1319"/>
      <c r="E118" s="1319"/>
      <c r="F118" s="1332">
        <v>2</v>
      </c>
      <c r="G118" s="1331">
        <v>4500000</v>
      </c>
      <c r="H118" s="1331">
        <f t="shared" si="17"/>
        <v>9000000</v>
      </c>
      <c r="I118" s="1333" t="s">
        <v>1530</v>
      </c>
      <c r="J118" s="1317"/>
    </row>
    <row r="119" spans="1:10" s="1153" customFormat="1" ht="18.75" customHeight="1">
      <c r="A119" s="1310">
        <v>22</v>
      </c>
      <c r="B119" s="1400" t="s">
        <v>1071</v>
      </c>
      <c r="C119" s="1334" t="s">
        <v>2669</v>
      </c>
      <c r="D119" s="1319"/>
      <c r="E119" s="1319"/>
      <c r="F119" s="1332">
        <v>2</v>
      </c>
      <c r="G119" s="1331">
        <v>5000000</v>
      </c>
      <c r="H119" s="1335">
        <f t="shared" si="17"/>
        <v>10000000</v>
      </c>
      <c r="I119" s="1323" t="s">
        <v>2670</v>
      </c>
      <c r="J119" s="1317"/>
    </row>
    <row r="120" spans="1:10" s="1153" customFormat="1" ht="18.75" customHeight="1">
      <c r="A120" s="1310">
        <v>23</v>
      </c>
      <c r="B120" s="1400" t="s">
        <v>1163</v>
      </c>
      <c r="C120" s="1336" t="s">
        <v>2671</v>
      </c>
      <c r="D120" s="1319"/>
      <c r="E120" s="1319"/>
      <c r="F120" s="1313">
        <v>3</v>
      </c>
      <c r="G120" s="1327">
        <v>1000000</v>
      </c>
      <c r="H120" s="1327">
        <f t="shared" ref="H120:H121" si="18">G120*F120</f>
        <v>3000000</v>
      </c>
      <c r="I120" s="1337"/>
      <c r="J120" s="1317"/>
    </row>
    <row r="121" spans="1:10" s="1153" customFormat="1" ht="18.75" customHeight="1">
      <c r="A121" s="1310">
        <v>24</v>
      </c>
      <c r="B121" s="1400" t="s">
        <v>1163</v>
      </c>
      <c r="C121" s="1326" t="s">
        <v>2672</v>
      </c>
      <c r="D121" s="1319"/>
      <c r="E121" s="1319"/>
      <c r="F121" s="1338">
        <v>2</v>
      </c>
      <c r="G121" s="1327">
        <v>3500000</v>
      </c>
      <c r="H121" s="1327">
        <f t="shared" si="18"/>
        <v>7000000</v>
      </c>
      <c r="I121" s="1316" t="s">
        <v>2673</v>
      </c>
      <c r="J121" s="1317"/>
    </row>
    <row r="122" spans="1:10" s="1153" customFormat="1" ht="18.75" customHeight="1">
      <c r="A122" s="1310">
        <v>25</v>
      </c>
      <c r="B122" s="1400" t="s">
        <v>1163</v>
      </c>
      <c r="C122" s="1339" t="s">
        <v>2674</v>
      </c>
      <c r="D122" s="1319"/>
      <c r="E122" s="1319"/>
      <c r="F122" s="1338">
        <v>2</v>
      </c>
      <c r="G122" s="1327">
        <v>3500000</v>
      </c>
      <c r="H122" s="1327">
        <f>SUM(G122*F122)</f>
        <v>7000000</v>
      </c>
      <c r="I122" s="1340" t="s">
        <v>2675</v>
      </c>
      <c r="J122" s="1317"/>
    </row>
    <row r="123" spans="1:10" s="1153" customFormat="1" ht="18.75" customHeight="1">
      <c r="A123" s="1310">
        <v>26</v>
      </c>
      <c r="B123" s="1317" t="s">
        <v>562</v>
      </c>
      <c r="C123" s="1316" t="s">
        <v>2676</v>
      </c>
      <c r="D123" s="1341"/>
      <c r="E123" s="1313"/>
      <c r="F123" s="1341">
        <v>5</v>
      </c>
      <c r="G123" s="1327">
        <v>1000000</v>
      </c>
      <c r="H123" s="1342">
        <v>5000000</v>
      </c>
      <c r="I123" s="1337"/>
      <c r="J123" s="1317"/>
    </row>
    <row r="124" spans="1:10" s="1153" customFormat="1" ht="18.75" customHeight="1">
      <c r="A124" s="1310">
        <v>27</v>
      </c>
      <c r="B124" s="1317" t="s">
        <v>562</v>
      </c>
      <c r="C124" s="1316" t="s">
        <v>2677</v>
      </c>
      <c r="D124" s="1313"/>
      <c r="E124" s="1313"/>
      <c r="F124" s="1341">
        <v>5</v>
      </c>
      <c r="G124" s="1342">
        <v>1000000</v>
      </c>
      <c r="H124" s="1327">
        <v>5000000</v>
      </c>
      <c r="I124" s="1337"/>
      <c r="J124" s="1317"/>
    </row>
    <row r="125" spans="1:10" s="1153" customFormat="1" ht="18.75" customHeight="1">
      <c r="A125" s="1310">
        <v>28</v>
      </c>
      <c r="B125" s="1401" t="s">
        <v>883</v>
      </c>
      <c r="C125" s="1344" t="s">
        <v>2678</v>
      </c>
      <c r="D125" s="1343"/>
      <c r="E125" s="1343">
        <v>1</v>
      </c>
      <c r="F125" s="1343">
        <v>1</v>
      </c>
      <c r="G125" s="1345">
        <v>5000000</v>
      </c>
      <c r="H125" s="1345">
        <f>F125*G125</f>
        <v>5000000</v>
      </c>
      <c r="I125" s="1337"/>
      <c r="J125" s="1317"/>
    </row>
    <row r="126" spans="1:10" s="1153" customFormat="1" ht="18.75" customHeight="1">
      <c r="A126" s="1310">
        <v>29</v>
      </c>
      <c r="B126" s="1400" t="s">
        <v>1071</v>
      </c>
      <c r="C126" s="1322" t="s">
        <v>994</v>
      </c>
      <c r="D126" s="1319"/>
      <c r="E126" s="1319"/>
      <c r="F126" s="1314">
        <v>8</v>
      </c>
      <c r="G126" s="1315">
        <v>2000000</v>
      </c>
      <c r="H126" s="1315">
        <f>G126*F126</f>
        <v>16000000</v>
      </c>
      <c r="I126" s="1323" t="s">
        <v>2679</v>
      </c>
      <c r="J126" s="1317"/>
    </row>
    <row r="127" spans="1:10" s="1153" customFormat="1" ht="18.75" customHeight="1">
      <c r="A127" s="1310">
        <v>30</v>
      </c>
      <c r="B127" s="1400" t="s">
        <v>1071</v>
      </c>
      <c r="C127" s="1322" t="s">
        <v>2680</v>
      </c>
      <c r="D127" s="1319"/>
      <c r="E127" s="1319"/>
      <c r="F127" s="1328">
        <v>1</v>
      </c>
      <c r="G127" s="1315">
        <v>10000000</v>
      </c>
      <c r="H127" s="1315">
        <f t="shared" ref="H127:H128" si="19">SUM(G127*F127)</f>
        <v>10000000</v>
      </c>
      <c r="I127" s="1323" t="s">
        <v>2681</v>
      </c>
      <c r="J127" s="1317"/>
    </row>
    <row r="128" spans="1:10" s="1153" customFormat="1" ht="18.75" customHeight="1">
      <c r="A128" s="1310">
        <v>31</v>
      </c>
      <c r="B128" s="1400" t="s">
        <v>1071</v>
      </c>
      <c r="C128" s="1322" t="s">
        <v>2682</v>
      </c>
      <c r="D128" s="1319"/>
      <c r="E128" s="1319"/>
      <c r="F128" s="1328">
        <v>1</v>
      </c>
      <c r="G128" s="1315">
        <v>10000000</v>
      </c>
      <c r="H128" s="1315">
        <f t="shared" si="19"/>
        <v>10000000</v>
      </c>
      <c r="I128" s="1323" t="s">
        <v>2683</v>
      </c>
      <c r="J128" s="1317"/>
    </row>
    <row r="129" spans="1:26" s="1153" customFormat="1" ht="18.75" customHeight="1">
      <c r="A129" s="1310">
        <v>32</v>
      </c>
      <c r="B129" s="1399" t="s">
        <v>502</v>
      </c>
      <c r="C129" s="1346" t="s">
        <v>2684</v>
      </c>
      <c r="D129" s="1319"/>
      <c r="E129" s="1319"/>
      <c r="F129" s="1224">
        <v>6</v>
      </c>
      <c r="G129" s="1347">
        <v>2500000</v>
      </c>
      <c r="H129" s="1347">
        <v>15000000</v>
      </c>
      <c r="I129" s="1337"/>
      <c r="J129" s="1317"/>
    </row>
    <row r="130" spans="1:26" s="1153" customFormat="1" ht="18.75" customHeight="1">
      <c r="A130" s="1310">
        <v>33</v>
      </c>
      <c r="B130" s="1317" t="s">
        <v>502</v>
      </c>
      <c r="C130" s="1316" t="s">
        <v>2685</v>
      </c>
      <c r="D130" s="1313"/>
      <c r="E130" s="1313"/>
      <c r="F130" s="1348">
        <v>1</v>
      </c>
      <c r="G130" s="1349">
        <v>80000000</v>
      </c>
      <c r="H130" s="1327">
        <v>80000000</v>
      </c>
      <c r="I130" s="1316" t="s">
        <v>509</v>
      </c>
      <c r="J130" s="1317"/>
    </row>
    <row r="131" spans="1:26" s="1153" customFormat="1" ht="15.75" customHeight="1">
      <c r="A131" s="1310">
        <v>34</v>
      </c>
      <c r="B131" s="1317" t="s">
        <v>502</v>
      </c>
      <c r="C131" s="1316" t="s">
        <v>512</v>
      </c>
      <c r="D131" s="1313"/>
      <c r="E131" s="1313"/>
      <c r="F131" s="1348">
        <v>1</v>
      </c>
      <c r="G131" s="1349">
        <v>80000000</v>
      </c>
      <c r="H131" s="1327">
        <v>80000000</v>
      </c>
      <c r="I131" s="1316" t="s">
        <v>511</v>
      </c>
      <c r="J131" s="1317"/>
    </row>
    <row r="132" spans="1:26" s="1153" customFormat="1" ht="15.75" customHeight="1">
      <c r="A132" s="1310">
        <v>35</v>
      </c>
      <c r="B132" s="1402" t="s">
        <v>502</v>
      </c>
      <c r="C132" s="1316" t="s">
        <v>2686</v>
      </c>
      <c r="D132" s="1313"/>
      <c r="E132" s="1313"/>
      <c r="F132" s="1348">
        <v>1</v>
      </c>
      <c r="G132" s="1349">
        <v>45000000</v>
      </c>
      <c r="H132" s="1327">
        <v>45000000</v>
      </c>
      <c r="I132" s="1316" t="s">
        <v>2687</v>
      </c>
      <c r="J132" s="1317"/>
    </row>
    <row r="133" spans="1:26" s="1153" customFormat="1" ht="15.75" customHeight="1">
      <c r="A133" s="1310">
        <v>36</v>
      </c>
      <c r="B133" s="1378" t="s">
        <v>1043</v>
      </c>
      <c r="C133" s="1317" t="s">
        <v>2688</v>
      </c>
      <c r="D133" s="1313">
        <v>0</v>
      </c>
      <c r="E133" s="1313">
        <v>1</v>
      </c>
      <c r="F133" s="1313">
        <v>1</v>
      </c>
      <c r="G133" s="1342">
        <v>40000000</v>
      </c>
      <c r="H133" s="1342">
        <v>40000000</v>
      </c>
      <c r="I133" s="1352" t="s">
        <v>2689</v>
      </c>
      <c r="J133" s="1317" t="s">
        <v>704</v>
      </c>
      <c r="K133" s="1227"/>
      <c r="L133" s="1227"/>
      <c r="M133" s="1227"/>
      <c r="N133" s="1227"/>
      <c r="O133" s="1227"/>
      <c r="P133" s="1227"/>
      <c r="Q133" s="1227"/>
      <c r="R133" s="1227"/>
      <c r="S133" s="1227"/>
      <c r="T133" s="1227"/>
      <c r="U133" s="1227"/>
      <c r="V133" s="1227"/>
      <c r="W133" s="1227"/>
      <c r="X133" s="1227"/>
      <c r="Y133" s="1227"/>
      <c r="Z133" s="1227"/>
    </row>
    <row r="134" spans="1:26" s="1153" customFormat="1" ht="15.75" customHeight="1">
      <c r="A134" s="1310">
        <v>37</v>
      </c>
      <c r="B134" s="1317" t="s">
        <v>1264</v>
      </c>
      <c r="C134" s="1340" t="s">
        <v>2690</v>
      </c>
      <c r="D134" s="1313"/>
      <c r="E134" s="1313"/>
      <c r="F134" s="1353">
        <v>16</v>
      </c>
      <c r="G134" s="1327">
        <v>30000000</v>
      </c>
      <c r="H134" s="1342">
        <v>30000000</v>
      </c>
      <c r="I134" s="1316" t="s">
        <v>2691</v>
      </c>
      <c r="J134" s="1317" t="s">
        <v>1039</v>
      </c>
    </row>
    <row r="135" spans="1:26" s="1153" customFormat="1" ht="15.75" customHeight="1">
      <c r="A135" s="1310">
        <v>38</v>
      </c>
      <c r="B135" s="1352" t="s">
        <v>2013</v>
      </c>
      <c r="C135" s="1340" t="s">
        <v>2692</v>
      </c>
      <c r="D135" s="1313"/>
      <c r="E135" s="1313"/>
      <c r="F135" s="1313"/>
      <c r="G135" s="1342">
        <v>30000000</v>
      </c>
      <c r="H135" s="1342">
        <v>30000000</v>
      </c>
      <c r="I135" s="1316" t="s">
        <v>2693</v>
      </c>
      <c r="J135" s="1317"/>
      <c r="K135" s="1227"/>
      <c r="L135" s="1227"/>
      <c r="M135" s="1227"/>
      <c r="N135" s="1227"/>
      <c r="O135" s="1227"/>
      <c r="P135" s="1227"/>
      <c r="Q135" s="1227"/>
      <c r="R135" s="1227"/>
      <c r="S135" s="1227"/>
      <c r="T135" s="1227"/>
      <c r="U135" s="1227"/>
      <c r="V135" s="1227"/>
      <c r="W135" s="1227"/>
      <c r="X135" s="1227"/>
      <c r="Y135" s="1227"/>
      <c r="Z135" s="1227"/>
    </row>
    <row r="136" spans="1:26" s="1153" customFormat="1" ht="15.75" customHeight="1">
      <c r="A136" s="1310">
        <v>39</v>
      </c>
      <c r="B136" s="1400" t="s">
        <v>1163</v>
      </c>
      <c r="C136" s="1326" t="s">
        <v>2694</v>
      </c>
      <c r="D136" s="1319"/>
      <c r="E136" s="1319"/>
      <c r="F136" s="1338">
        <v>1</v>
      </c>
      <c r="G136" s="1327">
        <v>17000000</v>
      </c>
      <c r="H136" s="1327">
        <f>G136*F136</f>
        <v>17000000</v>
      </c>
      <c r="I136" s="1340"/>
      <c r="J136" s="1317"/>
    </row>
    <row r="137" spans="1:26" s="1153" customFormat="1" ht="15.75" customHeight="1">
      <c r="A137" s="1310">
        <v>40</v>
      </c>
      <c r="B137" s="1400" t="s">
        <v>1163</v>
      </c>
      <c r="C137" s="1336" t="s">
        <v>2695</v>
      </c>
      <c r="D137" s="1319"/>
      <c r="E137" s="1319"/>
      <c r="F137" s="1313">
        <v>1</v>
      </c>
      <c r="G137" s="1327">
        <v>13000000</v>
      </c>
      <c r="H137" s="1327">
        <f>SUM(G137*F137)</f>
        <v>13000000</v>
      </c>
      <c r="I137" s="1340"/>
      <c r="J137" s="1317"/>
    </row>
    <row r="138" spans="1:26" s="1153" customFormat="1" ht="15.75" customHeight="1">
      <c r="A138" s="1310">
        <v>41</v>
      </c>
      <c r="B138" s="1317" t="s">
        <v>1025</v>
      </c>
      <c r="C138" s="1340" t="s">
        <v>2696</v>
      </c>
      <c r="D138" s="1340"/>
      <c r="E138" s="1340">
        <v>4</v>
      </c>
      <c r="F138" s="1313">
        <v>4</v>
      </c>
      <c r="G138" s="1327">
        <v>6250000</v>
      </c>
      <c r="H138" s="1327">
        <v>25000000</v>
      </c>
      <c r="I138" s="1340"/>
      <c r="J138" s="1317" t="s">
        <v>671</v>
      </c>
    </row>
    <row r="139" spans="1:26" s="1153" customFormat="1" ht="15.75" customHeight="1">
      <c r="A139" s="1310">
        <v>42</v>
      </c>
      <c r="B139" s="1365" t="s">
        <v>668</v>
      </c>
      <c r="C139" s="1354" t="s">
        <v>2697</v>
      </c>
      <c r="D139" s="1310"/>
      <c r="E139" s="1310">
        <v>24</v>
      </c>
      <c r="F139" s="1310">
        <v>24</v>
      </c>
      <c r="G139" s="1355">
        <v>900000</v>
      </c>
      <c r="H139" s="1355">
        <f>F139*G139</f>
        <v>21600000</v>
      </c>
      <c r="I139" s="1356" t="s">
        <v>2698</v>
      </c>
      <c r="J139" s="1317"/>
    </row>
    <row r="140" spans="1:26" s="1153" customFormat="1" ht="15.75" customHeight="1">
      <c r="A140" s="1310">
        <v>43</v>
      </c>
      <c r="B140" s="1352" t="s">
        <v>2699</v>
      </c>
      <c r="C140" s="1340" t="s">
        <v>2700</v>
      </c>
      <c r="D140" s="1313">
        <v>2</v>
      </c>
      <c r="E140" s="1313">
        <v>4</v>
      </c>
      <c r="F140" s="1313">
        <v>2</v>
      </c>
      <c r="G140" s="1342">
        <v>5000000</v>
      </c>
      <c r="H140" s="1342">
        <f>G140*F140</f>
        <v>10000000</v>
      </c>
      <c r="I140" s="1316" t="s">
        <v>2701</v>
      </c>
      <c r="J140" s="1317" t="s">
        <v>704</v>
      </c>
    </row>
    <row r="141" spans="1:26" s="1153" customFormat="1" ht="15.75" customHeight="1">
      <c r="A141" s="1310">
        <v>44</v>
      </c>
      <c r="B141" s="1317" t="s">
        <v>502</v>
      </c>
      <c r="C141" s="1316" t="s">
        <v>2702</v>
      </c>
      <c r="D141" s="1313"/>
      <c r="E141" s="1313"/>
      <c r="F141" s="1348">
        <v>1</v>
      </c>
      <c r="G141" s="1349">
        <v>18000000</v>
      </c>
      <c r="H141" s="1327">
        <v>18000000</v>
      </c>
      <c r="I141" s="1316" t="s">
        <v>513</v>
      </c>
      <c r="J141" s="1317"/>
    </row>
    <row r="142" spans="1:26" s="1153" customFormat="1" ht="15.75" customHeight="1">
      <c r="A142" s="1310">
        <v>45</v>
      </c>
      <c r="B142" s="1317" t="s">
        <v>562</v>
      </c>
      <c r="C142" s="1357" t="s">
        <v>2703</v>
      </c>
      <c r="D142" s="1341"/>
      <c r="E142" s="1313"/>
      <c r="F142" s="1341">
        <v>30</v>
      </c>
      <c r="G142" s="1327">
        <v>600000</v>
      </c>
      <c r="H142" s="1342">
        <f>G142*F142</f>
        <v>18000000</v>
      </c>
      <c r="I142" s="1340"/>
      <c r="J142" s="1317"/>
    </row>
    <row r="143" spans="1:26" s="1153" customFormat="1" ht="15.75" customHeight="1">
      <c r="A143" s="1310">
        <v>46</v>
      </c>
      <c r="B143" s="1317" t="s">
        <v>951</v>
      </c>
      <c r="C143" s="1317" t="s">
        <v>2704</v>
      </c>
      <c r="D143" s="1313">
        <v>0</v>
      </c>
      <c r="E143" s="1313">
        <v>2</v>
      </c>
      <c r="F143" s="1313">
        <v>2</v>
      </c>
      <c r="G143" s="1342">
        <v>7500000</v>
      </c>
      <c r="H143" s="1342">
        <v>15000000</v>
      </c>
      <c r="I143" s="1311" t="s">
        <v>2705</v>
      </c>
      <c r="J143" s="1317" t="s">
        <v>748</v>
      </c>
    </row>
    <row r="144" spans="1:26" s="1153" customFormat="1" ht="15.75" customHeight="1">
      <c r="A144" s="1310">
        <v>47</v>
      </c>
      <c r="B144" s="1317" t="s">
        <v>502</v>
      </c>
      <c r="C144" s="1354" t="s">
        <v>2706</v>
      </c>
      <c r="D144" s="1313">
        <v>0</v>
      </c>
      <c r="E144" s="1313">
        <v>1</v>
      </c>
      <c r="F144" s="1313">
        <v>1</v>
      </c>
      <c r="G144" s="1342">
        <v>15000000</v>
      </c>
      <c r="H144" s="1342">
        <v>15000000</v>
      </c>
      <c r="I144" s="1316" t="s">
        <v>2707</v>
      </c>
      <c r="J144" s="1317">
        <v>1</v>
      </c>
    </row>
    <row r="145" spans="1:26" s="1153" customFormat="1" ht="15.75" customHeight="1">
      <c r="A145" s="1310">
        <v>48</v>
      </c>
      <c r="B145" s="1317" t="s">
        <v>562</v>
      </c>
      <c r="C145" s="1340" t="s">
        <v>2708</v>
      </c>
      <c r="D145" s="1341"/>
      <c r="E145" s="1313"/>
      <c r="F145" s="1341">
        <v>1</v>
      </c>
      <c r="G145" s="1327">
        <v>7000000</v>
      </c>
      <c r="H145" s="1342">
        <v>7000000</v>
      </c>
      <c r="I145" s="1340"/>
      <c r="J145" s="1317"/>
    </row>
    <row r="146" spans="1:26" s="1153" customFormat="1" ht="15.75" customHeight="1">
      <c r="A146" s="1310">
        <v>49</v>
      </c>
      <c r="B146" s="1317" t="s">
        <v>502</v>
      </c>
      <c r="C146" s="1316" t="s">
        <v>2709</v>
      </c>
      <c r="D146" s="1313"/>
      <c r="E146" s="1313"/>
      <c r="F146" s="1348">
        <v>7</v>
      </c>
      <c r="G146" s="1349">
        <v>2000000</v>
      </c>
      <c r="H146" s="1327">
        <v>14000000</v>
      </c>
      <c r="I146" s="1316" t="s">
        <v>513</v>
      </c>
      <c r="J146" s="1317"/>
    </row>
    <row r="147" spans="1:26" s="1153" customFormat="1" ht="15.75" customHeight="1">
      <c r="A147" s="1310">
        <v>50</v>
      </c>
      <c r="B147" s="1317" t="s">
        <v>502</v>
      </c>
      <c r="C147" s="1316" t="s">
        <v>2710</v>
      </c>
      <c r="D147" s="1313"/>
      <c r="E147" s="1313"/>
      <c r="F147" s="1348">
        <v>2</v>
      </c>
      <c r="G147" s="1349">
        <v>7000000</v>
      </c>
      <c r="H147" s="1327">
        <v>14000000</v>
      </c>
      <c r="I147" s="1316" t="s">
        <v>527</v>
      </c>
      <c r="J147" s="1317"/>
    </row>
    <row r="148" spans="1:26" s="1153" customFormat="1" ht="15.75" customHeight="1">
      <c r="A148" s="1310">
        <v>51</v>
      </c>
      <c r="B148" s="1365" t="s">
        <v>668</v>
      </c>
      <c r="C148" s="1354" t="s">
        <v>2711</v>
      </c>
      <c r="D148" s="1310"/>
      <c r="E148" s="1310">
        <v>26</v>
      </c>
      <c r="F148" s="1310">
        <v>26</v>
      </c>
      <c r="G148" s="1355">
        <v>460000</v>
      </c>
      <c r="H148" s="1355">
        <f>F148*G148</f>
        <v>11960000</v>
      </c>
      <c r="I148" s="1354" t="s">
        <v>2698</v>
      </c>
      <c r="J148" s="1358"/>
    </row>
    <row r="149" spans="1:26" s="1153" customFormat="1" ht="15.75" customHeight="1">
      <c r="A149" s="1310">
        <v>52</v>
      </c>
      <c r="B149" s="1317" t="s">
        <v>1903</v>
      </c>
      <c r="C149" s="1340" t="s">
        <v>2712</v>
      </c>
      <c r="D149" s="1313">
        <v>0</v>
      </c>
      <c r="E149" s="1313">
        <v>1</v>
      </c>
      <c r="F149" s="1313">
        <v>1</v>
      </c>
      <c r="G149" s="1342">
        <v>10000000</v>
      </c>
      <c r="H149" s="1342">
        <v>10000000</v>
      </c>
      <c r="I149" s="1316" t="s">
        <v>2713</v>
      </c>
      <c r="J149" s="1359" t="s">
        <v>696</v>
      </c>
    </row>
    <row r="150" spans="1:26" s="1153" customFormat="1" ht="15.75" customHeight="1">
      <c r="A150" s="1310">
        <v>53</v>
      </c>
      <c r="B150" s="1317" t="s">
        <v>856</v>
      </c>
      <c r="C150" s="1340" t="s">
        <v>2714</v>
      </c>
      <c r="D150" s="1313"/>
      <c r="E150" s="1313">
        <v>1</v>
      </c>
      <c r="F150" s="1313">
        <v>1</v>
      </c>
      <c r="G150" s="1342">
        <v>10000000</v>
      </c>
      <c r="H150" s="1342">
        <v>10000000</v>
      </c>
      <c r="I150" s="1316" t="s">
        <v>1015</v>
      </c>
      <c r="J150" s="1317" t="s">
        <v>671</v>
      </c>
    </row>
    <row r="151" spans="1:26" s="1153" customFormat="1" ht="15.75" customHeight="1">
      <c r="A151" s="1310">
        <v>54</v>
      </c>
      <c r="B151" s="1317" t="s">
        <v>701</v>
      </c>
      <c r="C151" s="1317" t="s">
        <v>2715</v>
      </c>
      <c r="D151" s="1313">
        <v>1</v>
      </c>
      <c r="E151" s="1313">
        <v>2</v>
      </c>
      <c r="F151" s="1313">
        <v>1</v>
      </c>
      <c r="G151" s="1342">
        <v>10000000</v>
      </c>
      <c r="H151" s="1342">
        <v>10000000</v>
      </c>
      <c r="I151" s="1316" t="s">
        <v>2716</v>
      </c>
      <c r="J151" s="1317" t="s">
        <v>671</v>
      </c>
      <c r="K151" s="1227"/>
      <c r="L151" s="1227"/>
      <c r="M151" s="1227"/>
      <c r="N151" s="1227"/>
      <c r="O151" s="1227"/>
      <c r="P151" s="1227"/>
      <c r="Q151" s="1227"/>
      <c r="R151" s="1227"/>
      <c r="S151" s="1227"/>
      <c r="T151" s="1227"/>
      <c r="U151" s="1227"/>
      <c r="V151" s="1227"/>
      <c r="W151" s="1227"/>
      <c r="X151" s="1227"/>
      <c r="Y151" s="1227"/>
      <c r="Z151" s="1227"/>
    </row>
    <row r="152" spans="1:26" s="1153" customFormat="1" ht="15.75" customHeight="1">
      <c r="A152" s="1310">
        <v>55</v>
      </c>
      <c r="B152" s="1317" t="s">
        <v>1018</v>
      </c>
      <c r="C152" s="1340" t="s">
        <v>2717</v>
      </c>
      <c r="D152" s="1313"/>
      <c r="E152" s="1313">
        <v>1</v>
      </c>
      <c r="F152" s="1313">
        <v>1</v>
      </c>
      <c r="G152" s="1342">
        <v>10000000</v>
      </c>
      <c r="H152" s="1327">
        <v>10000000</v>
      </c>
      <c r="I152" s="1316"/>
      <c r="J152" s="1317"/>
    </row>
    <row r="153" spans="1:26" s="1153" customFormat="1" ht="15.75" customHeight="1">
      <c r="A153" s="1310">
        <v>56</v>
      </c>
      <c r="B153" s="1317" t="s">
        <v>766</v>
      </c>
      <c r="C153" s="1360" t="s">
        <v>2718</v>
      </c>
      <c r="D153" s="1361"/>
      <c r="E153" s="1361"/>
      <c r="F153" s="1361"/>
      <c r="G153" s="1325">
        <v>10000000</v>
      </c>
      <c r="H153" s="1325">
        <v>10000000</v>
      </c>
      <c r="I153" s="1361"/>
      <c r="J153" s="1317"/>
    </row>
    <row r="154" spans="1:26" s="1153" customFormat="1" ht="15.75" customHeight="1">
      <c r="A154" s="1310">
        <v>57</v>
      </c>
      <c r="B154" s="1317" t="s">
        <v>1278</v>
      </c>
      <c r="C154" s="1340" t="s">
        <v>2719</v>
      </c>
      <c r="D154" s="1340"/>
      <c r="E154" s="1313"/>
      <c r="F154" s="1313">
        <v>2</v>
      </c>
      <c r="G154" s="1327">
        <v>4500000</v>
      </c>
      <c r="H154" s="1342">
        <v>9000000</v>
      </c>
      <c r="I154" s="1340"/>
      <c r="J154" s="1317" t="s">
        <v>671</v>
      </c>
    </row>
    <row r="155" spans="1:26" s="1153" customFormat="1" ht="15.75" customHeight="1">
      <c r="A155" s="1310">
        <v>58</v>
      </c>
      <c r="B155" s="1317" t="s">
        <v>562</v>
      </c>
      <c r="C155" s="1357" t="s">
        <v>2720</v>
      </c>
      <c r="D155" s="1313"/>
      <c r="E155" s="1313"/>
      <c r="F155" s="1341">
        <v>30</v>
      </c>
      <c r="G155" s="1342">
        <v>150000</v>
      </c>
      <c r="H155" s="1342">
        <f>G155*F155</f>
        <v>4500000</v>
      </c>
      <c r="I155" s="1357" t="s">
        <v>2721</v>
      </c>
      <c r="J155" s="1317"/>
    </row>
    <row r="156" spans="1:26" s="1153" customFormat="1" ht="15.75" customHeight="1">
      <c r="A156" s="1310">
        <v>59</v>
      </c>
      <c r="B156" s="1352" t="s">
        <v>2699</v>
      </c>
      <c r="C156" s="1340" t="s">
        <v>2722</v>
      </c>
      <c r="D156" s="1313">
        <v>2</v>
      </c>
      <c r="E156" s="1313">
        <v>4</v>
      </c>
      <c r="F156" s="1313">
        <v>1</v>
      </c>
      <c r="G156" s="1342">
        <v>5700000</v>
      </c>
      <c r="H156" s="1342">
        <v>5700000</v>
      </c>
      <c r="I156" s="1316" t="s">
        <v>2723</v>
      </c>
      <c r="J156" s="1317" t="s">
        <v>704</v>
      </c>
    </row>
    <row r="157" spans="1:26" s="1153" customFormat="1" ht="15.75" customHeight="1">
      <c r="A157" s="1310">
        <v>60</v>
      </c>
      <c r="B157" s="1317" t="s">
        <v>562</v>
      </c>
      <c r="C157" s="1356" t="s">
        <v>2724</v>
      </c>
      <c r="D157" s="1313"/>
      <c r="E157" s="1313"/>
      <c r="F157" s="1341">
        <v>15</v>
      </c>
      <c r="G157" s="1327">
        <v>300000</v>
      </c>
      <c r="H157" s="1327">
        <v>4500000</v>
      </c>
      <c r="I157" s="1352" t="s">
        <v>2725</v>
      </c>
      <c r="J157" s="1317" t="s">
        <v>696</v>
      </c>
    </row>
    <row r="158" spans="1:26" s="1153" customFormat="1" ht="15.75" customHeight="1">
      <c r="A158" s="1310">
        <v>61</v>
      </c>
      <c r="B158" s="1352" t="s">
        <v>929</v>
      </c>
      <c r="C158" s="1313" t="s">
        <v>2726</v>
      </c>
      <c r="D158" s="1313">
        <v>0</v>
      </c>
      <c r="E158" s="1313">
        <v>1</v>
      </c>
      <c r="F158" s="1313">
        <v>1</v>
      </c>
      <c r="G158" s="1342">
        <v>8000000</v>
      </c>
      <c r="H158" s="1342">
        <v>8000000</v>
      </c>
      <c r="I158" s="1316" t="s">
        <v>768</v>
      </c>
      <c r="J158" s="1317" t="s">
        <v>753</v>
      </c>
      <c r="K158" s="1227"/>
      <c r="L158" s="1227"/>
      <c r="M158" s="1227"/>
      <c r="N158" s="1227"/>
      <c r="O158" s="1227"/>
      <c r="P158" s="1227"/>
      <c r="Q158" s="1227"/>
      <c r="R158" s="1227"/>
      <c r="S158" s="1227"/>
      <c r="T158" s="1227"/>
      <c r="U158" s="1227"/>
      <c r="V158" s="1227"/>
      <c r="W158" s="1227"/>
      <c r="X158" s="1227"/>
      <c r="Y158" s="1227"/>
      <c r="Z158" s="1227"/>
    </row>
    <row r="159" spans="1:26" s="1153" customFormat="1" ht="15.75" customHeight="1">
      <c r="A159" s="1310">
        <v>62</v>
      </c>
      <c r="B159" s="1317" t="s">
        <v>502</v>
      </c>
      <c r="C159" s="1316" t="s">
        <v>524</v>
      </c>
      <c r="D159" s="1313"/>
      <c r="E159" s="1313"/>
      <c r="F159" s="1348">
        <v>1</v>
      </c>
      <c r="G159" s="1349">
        <v>8000000</v>
      </c>
      <c r="H159" s="1327">
        <v>8000000</v>
      </c>
      <c r="I159" s="1316" t="s">
        <v>523</v>
      </c>
      <c r="J159" s="1317"/>
    </row>
    <row r="160" spans="1:26" s="1153" customFormat="1" ht="15.75" customHeight="1">
      <c r="A160" s="1310">
        <v>63</v>
      </c>
      <c r="B160" s="1317" t="s">
        <v>1278</v>
      </c>
      <c r="C160" s="1340" t="s">
        <v>2727</v>
      </c>
      <c r="D160" s="1340"/>
      <c r="E160" s="1313"/>
      <c r="F160" s="1313">
        <v>4</v>
      </c>
      <c r="G160" s="1327">
        <v>1900000</v>
      </c>
      <c r="H160" s="1342">
        <v>7600000</v>
      </c>
      <c r="I160" s="1340"/>
      <c r="J160" s="1317" t="s">
        <v>671</v>
      </c>
    </row>
    <row r="161" spans="1:26" s="1153" customFormat="1" ht="15.75" customHeight="1">
      <c r="A161" s="1310">
        <v>64</v>
      </c>
      <c r="B161" s="1317" t="s">
        <v>1264</v>
      </c>
      <c r="C161" s="1340" t="s">
        <v>2728</v>
      </c>
      <c r="D161" s="1313"/>
      <c r="E161" s="1313"/>
      <c r="F161" s="1313">
        <v>1</v>
      </c>
      <c r="G161" s="1342">
        <v>7500000</v>
      </c>
      <c r="H161" s="1342">
        <v>7500000</v>
      </c>
      <c r="I161" s="1316" t="s">
        <v>2729</v>
      </c>
      <c r="J161" s="1317" t="s">
        <v>1273</v>
      </c>
    </row>
    <row r="162" spans="1:26" s="1153" customFormat="1" ht="15.75" customHeight="1">
      <c r="A162" s="1310">
        <v>65</v>
      </c>
      <c r="B162" s="1317" t="s">
        <v>1190</v>
      </c>
      <c r="C162" s="1340" t="s">
        <v>2730</v>
      </c>
      <c r="D162" s="1313">
        <v>0</v>
      </c>
      <c r="E162" s="1313" t="s">
        <v>2731</v>
      </c>
      <c r="F162" s="1313">
        <v>1</v>
      </c>
      <c r="G162" s="1327">
        <v>7500000</v>
      </c>
      <c r="H162" s="1342">
        <v>7500000</v>
      </c>
      <c r="I162" s="1340"/>
      <c r="J162" s="1317"/>
      <c r="K162" s="1227"/>
      <c r="L162" s="1227"/>
      <c r="M162" s="1227"/>
      <c r="N162" s="1227"/>
      <c r="O162" s="1227"/>
      <c r="P162" s="1227"/>
      <c r="Q162" s="1227"/>
      <c r="R162" s="1227"/>
      <c r="S162" s="1227"/>
      <c r="T162" s="1227"/>
      <c r="U162" s="1227"/>
      <c r="V162" s="1227"/>
      <c r="W162" s="1227"/>
      <c r="X162" s="1227"/>
      <c r="Y162" s="1227"/>
      <c r="Z162" s="1227"/>
    </row>
    <row r="163" spans="1:26" s="1153" customFormat="1" ht="15.75" customHeight="1">
      <c r="A163" s="1310">
        <v>66</v>
      </c>
      <c r="B163" s="1317" t="s">
        <v>872</v>
      </c>
      <c r="C163" s="1340" t="s">
        <v>2732</v>
      </c>
      <c r="D163" s="1313">
        <v>1</v>
      </c>
      <c r="E163" s="1313">
        <v>1</v>
      </c>
      <c r="F163" s="1313">
        <v>1</v>
      </c>
      <c r="G163" s="1342">
        <v>7000000</v>
      </c>
      <c r="H163" s="1342">
        <v>7000000</v>
      </c>
      <c r="I163" s="1316" t="s">
        <v>2733</v>
      </c>
      <c r="J163" s="1317" t="s">
        <v>671</v>
      </c>
      <c r="K163" s="1227"/>
      <c r="L163" s="1227"/>
      <c r="M163" s="1227"/>
      <c r="N163" s="1227"/>
      <c r="O163" s="1227"/>
      <c r="P163" s="1227"/>
      <c r="Q163" s="1227"/>
      <c r="R163" s="1227"/>
      <c r="S163" s="1227"/>
      <c r="T163" s="1227"/>
      <c r="U163" s="1227"/>
      <c r="V163" s="1227"/>
      <c r="W163" s="1227"/>
      <c r="X163" s="1227"/>
      <c r="Y163" s="1227"/>
      <c r="Z163" s="1227"/>
    </row>
    <row r="164" spans="1:26" s="1153" customFormat="1" ht="15.75" customHeight="1">
      <c r="A164" s="1310">
        <v>67</v>
      </c>
      <c r="B164" s="1317" t="s">
        <v>701</v>
      </c>
      <c r="C164" s="1317" t="s">
        <v>2734</v>
      </c>
      <c r="D164" s="1313">
        <v>2</v>
      </c>
      <c r="E164" s="1313">
        <v>3</v>
      </c>
      <c r="F164" s="1313">
        <v>1</v>
      </c>
      <c r="G164" s="1342">
        <v>7000000</v>
      </c>
      <c r="H164" s="1342">
        <v>7000000</v>
      </c>
      <c r="I164" s="1340" t="s">
        <v>2735</v>
      </c>
      <c r="J164" s="1317" t="s">
        <v>748</v>
      </c>
      <c r="K164" s="1227"/>
      <c r="L164" s="1227"/>
      <c r="M164" s="1227"/>
      <c r="N164" s="1227"/>
      <c r="O164" s="1227"/>
      <c r="P164" s="1227"/>
      <c r="Q164" s="1227"/>
      <c r="R164" s="1227"/>
      <c r="S164" s="1227"/>
      <c r="T164" s="1227"/>
      <c r="U164" s="1227"/>
      <c r="V164" s="1227"/>
      <c r="W164" s="1227"/>
      <c r="X164" s="1227"/>
      <c r="Y164" s="1227"/>
      <c r="Z164" s="1227"/>
    </row>
    <row r="165" spans="1:26" s="1153" customFormat="1" ht="15.75" customHeight="1">
      <c r="A165" s="1310">
        <v>68</v>
      </c>
      <c r="B165" s="1317" t="s">
        <v>686</v>
      </c>
      <c r="C165" s="1317" t="s">
        <v>2736</v>
      </c>
      <c r="D165" s="1313">
        <v>1</v>
      </c>
      <c r="E165" s="1313">
        <v>2</v>
      </c>
      <c r="F165" s="1313">
        <v>1</v>
      </c>
      <c r="G165" s="1342">
        <v>7000000</v>
      </c>
      <c r="H165" s="1342">
        <v>7000000</v>
      </c>
      <c r="I165" s="1316"/>
      <c r="J165" s="1317" t="s">
        <v>704</v>
      </c>
      <c r="K165" s="1227"/>
      <c r="L165" s="1227"/>
      <c r="M165" s="1227"/>
      <c r="N165" s="1227"/>
      <c r="O165" s="1227"/>
      <c r="P165" s="1227"/>
      <c r="Q165" s="1227"/>
      <c r="R165" s="1227"/>
      <c r="S165" s="1227"/>
      <c r="T165" s="1227"/>
      <c r="U165" s="1227"/>
      <c r="V165" s="1227"/>
      <c r="W165" s="1227"/>
      <c r="X165" s="1227"/>
      <c r="Y165" s="1227"/>
      <c r="Z165" s="1227"/>
    </row>
    <row r="166" spans="1:26" s="1153" customFormat="1" ht="15.75" customHeight="1">
      <c r="A166" s="1310">
        <v>69</v>
      </c>
      <c r="B166" s="1317" t="s">
        <v>1278</v>
      </c>
      <c r="C166" s="1340" t="s">
        <v>2737</v>
      </c>
      <c r="D166" s="1313"/>
      <c r="E166" s="1313"/>
      <c r="F166" s="1313">
        <v>1</v>
      </c>
      <c r="G166" s="1327">
        <v>6500000</v>
      </c>
      <c r="H166" s="1342">
        <v>6500000</v>
      </c>
      <c r="I166" s="1316"/>
      <c r="J166" s="1317" t="s">
        <v>671</v>
      </c>
      <c r="K166" s="1227"/>
      <c r="L166" s="1227"/>
      <c r="M166" s="1227"/>
      <c r="N166" s="1227"/>
      <c r="O166" s="1227"/>
      <c r="P166" s="1227"/>
      <c r="Q166" s="1227"/>
      <c r="R166" s="1227"/>
      <c r="S166" s="1227"/>
      <c r="T166" s="1227"/>
      <c r="U166" s="1227"/>
      <c r="V166" s="1227"/>
      <c r="W166" s="1227"/>
      <c r="X166" s="1227"/>
      <c r="Y166" s="1227"/>
      <c r="Z166" s="1227"/>
    </row>
    <row r="167" spans="1:26" s="1153" customFormat="1" ht="15.75" customHeight="1">
      <c r="A167" s="1310">
        <v>70</v>
      </c>
      <c r="B167" s="1317" t="s">
        <v>1278</v>
      </c>
      <c r="C167" s="1340" t="s">
        <v>2738</v>
      </c>
      <c r="D167" s="1340"/>
      <c r="E167" s="1313"/>
      <c r="F167" s="1313">
        <v>1</v>
      </c>
      <c r="G167" s="1362">
        <v>3500000</v>
      </c>
      <c r="H167" s="1342">
        <v>3500000</v>
      </c>
      <c r="I167" s="1316"/>
      <c r="J167" s="1317" t="s">
        <v>704</v>
      </c>
      <c r="K167" s="1227"/>
      <c r="L167" s="1227"/>
      <c r="M167" s="1227"/>
      <c r="N167" s="1227"/>
      <c r="O167" s="1227"/>
      <c r="P167" s="1227"/>
      <c r="Q167" s="1227"/>
      <c r="R167" s="1227"/>
      <c r="S167" s="1227"/>
      <c r="T167" s="1227"/>
      <c r="U167" s="1227"/>
      <c r="V167" s="1227"/>
      <c r="W167" s="1227"/>
      <c r="X167" s="1227"/>
      <c r="Y167" s="1227"/>
      <c r="Z167" s="1227"/>
    </row>
    <row r="168" spans="1:26" s="1153" customFormat="1" ht="15.75" customHeight="1">
      <c r="A168" s="1310">
        <v>71</v>
      </c>
      <c r="B168" s="1317" t="s">
        <v>1163</v>
      </c>
      <c r="C168" s="1363" t="s">
        <v>2739</v>
      </c>
      <c r="D168" s="1340"/>
      <c r="E168" s="1313"/>
      <c r="F168" s="1313">
        <v>2</v>
      </c>
      <c r="G168" s="1327">
        <v>3000000</v>
      </c>
      <c r="H168" s="1327">
        <v>6000000</v>
      </c>
      <c r="I168" s="1340" t="s">
        <v>2740</v>
      </c>
      <c r="J168" s="1317"/>
    </row>
    <row r="169" spans="1:26" s="1153" customFormat="1" ht="15.75" customHeight="1">
      <c r="A169" s="1310">
        <v>72</v>
      </c>
      <c r="B169" s="1317" t="s">
        <v>1278</v>
      </c>
      <c r="C169" s="1340" t="s">
        <v>2741</v>
      </c>
      <c r="D169" s="1340"/>
      <c r="E169" s="1313"/>
      <c r="F169" s="1313">
        <v>10</v>
      </c>
      <c r="G169" s="1342">
        <v>600000</v>
      </c>
      <c r="H169" s="1342">
        <f t="shared" ref="H169:H170" si="20">G169*F169</f>
        <v>6000000</v>
      </c>
      <c r="I169" s="1316"/>
      <c r="J169" s="1317"/>
    </row>
    <row r="170" spans="1:26" s="1153" customFormat="1" ht="15.75" customHeight="1">
      <c r="A170" s="1310">
        <v>73</v>
      </c>
      <c r="B170" s="1317" t="s">
        <v>1278</v>
      </c>
      <c r="C170" s="1340" t="s">
        <v>2742</v>
      </c>
      <c r="D170" s="1340"/>
      <c r="E170" s="1313"/>
      <c r="F170" s="1313">
        <v>10</v>
      </c>
      <c r="G170" s="1327">
        <v>600000</v>
      </c>
      <c r="H170" s="1342">
        <f t="shared" si="20"/>
        <v>6000000</v>
      </c>
      <c r="I170" s="1340"/>
      <c r="J170" s="1317"/>
    </row>
    <row r="171" spans="1:26" s="1153" customFormat="1" ht="15.75" customHeight="1">
      <c r="A171" s="1310">
        <v>74</v>
      </c>
      <c r="B171" s="1317" t="s">
        <v>686</v>
      </c>
      <c r="C171" s="1340" t="s">
        <v>2743</v>
      </c>
      <c r="D171" s="1313">
        <v>2</v>
      </c>
      <c r="E171" s="1313">
        <v>15</v>
      </c>
      <c r="F171" s="1313">
        <v>13</v>
      </c>
      <c r="G171" s="1342">
        <v>460000</v>
      </c>
      <c r="H171" s="1342">
        <v>5980000</v>
      </c>
      <c r="I171" s="1316" t="s">
        <v>2744</v>
      </c>
      <c r="J171" s="1317"/>
    </row>
    <row r="172" spans="1:26" s="1153" customFormat="1" ht="15.75" customHeight="1">
      <c r="A172" s="1310">
        <v>75</v>
      </c>
      <c r="B172" s="1317" t="s">
        <v>1163</v>
      </c>
      <c r="C172" s="1363" t="s">
        <v>2745</v>
      </c>
      <c r="D172" s="1340"/>
      <c r="E172" s="1313"/>
      <c r="F172" s="1313">
        <v>8</v>
      </c>
      <c r="G172" s="1327">
        <v>700000</v>
      </c>
      <c r="H172" s="1327">
        <v>5600000</v>
      </c>
      <c r="I172" s="1340" t="s">
        <v>2746</v>
      </c>
      <c r="J172" s="1317"/>
    </row>
    <row r="173" spans="1:26" s="1153" customFormat="1" ht="15.75" customHeight="1">
      <c r="A173" s="1310">
        <v>76</v>
      </c>
      <c r="B173" s="1317" t="s">
        <v>502</v>
      </c>
      <c r="C173" s="1354" t="s">
        <v>2747</v>
      </c>
      <c r="D173" s="1313">
        <v>0</v>
      </c>
      <c r="E173" s="1313">
        <v>12</v>
      </c>
      <c r="F173" s="1313">
        <v>12</v>
      </c>
      <c r="G173" s="1342">
        <v>450000</v>
      </c>
      <c r="H173" s="1342">
        <f>F173*G173</f>
        <v>5400000</v>
      </c>
      <c r="I173" s="1316"/>
      <c r="J173" s="1317"/>
    </row>
    <row r="174" spans="1:26" s="1153" customFormat="1" ht="15.75" customHeight="1">
      <c r="A174" s="1310">
        <v>77</v>
      </c>
      <c r="B174" s="1317" t="s">
        <v>502</v>
      </c>
      <c r="C174" s="1316" t="s">
        <v>533</v>
      </c>
      <c r="D174" s="1313"/>
      <c r="E174" s="1313"/>
      <c r="F174" s="1348">
        <v>1</v>
      </c>
      <c r="G174" s="1349">
        <v>5160000</v>
      </c>
      <c r="H174" s="1327">
        <v>5160000</v>
      </c>
      <c r="I174" s="1316" t="s">
        <v>532</v>
      </c>
      <c r="J174" s="1317"/>
    </row>
    <row r="175" spans="1:26" s="1153" customFormat="1" ht="15.75" customHeight="1">
      <c r="A175" s="1310">
        <v>78</v>
      </c>
      <c r="B175" s="1365" t="s">
        <v>668</v>
      </c>
      <c r="C175" s="1310" t="s">
        <v>2748</v>
      </c>
      <c r="D175" s="1310"/>
      <c r="E175" s="1310"/>
      <c r="F175" s="1310">
        <v>1</v>
      </c>
      <c r="G175" s="1355">
        <v>5000000</v>
      </c>
      <c r="H175" s="1355">
        <v>5000000</v>
      </c>
      <c r="I175" s="1356" t="s">
        <v>2749</v>
      </c>
      <c r="J175" s="1364" t="s">
        <v>671</v>
      </c>
    </row>
    <row r="176" spans="1:26" s="1153" customFormat="1" ht="15.75" customHeight="1">
      <c r="A176" s="1310">
        <v>79</v>
      </c>
      <c r="B176" s="1317" t="s">
        <v>562</v>
      </c>
      <c r="C176" s="1365" t="s">
        <v>2750</v>
      </c>
      <c r="D176" s="1313"/>
      <c r="E176" s="1313"/>
      <c r="F176" s="1341">
        <v>1</v>
      </c>
      <c r="G176" s="1342">
        <v>5000000</v>
      </c>
      <c r="H176" s="1327">
        <v>5000000</v>
      </c>
      <c r="I176" s="1365" t="s">
        <v>2751</v>
      </c>
      <c r="J176" s="1317" t="s">
        <v>696</v>
      </c>
    </row>
    <row r="177" spans="1:26" s="1153" customFormat="1" ht="15.75" customHeight="1">
      <c r="A177" s="1310">
        <v>80</v>
      </c>
      <c r="B177" s="1317" t="s">
        <v>2623</v>
      </c>
      <c r="C177" s="1340" t="s">
        <v>2752</v>
      </c>
      <c r="D177" s="1313">
        <v>1</v>
      </c>
      <c r="E177" s="1313">
        <v>1</v>
      </c>
      <c r="F177" s="1313">
        <v>0</v>
      </c>
      <c r="G177" s="1342">
        <v>5000000</v>
      </c>
      <c r="H177" s="1342">
        <v>5000000</v>
      </c>
      <c r="I177" s="1316" t="s">
        <v>2753</v>
      </c>
      <c r="J177" s="1317"/>
    </row>
    <row r="178" spans="1:26" s="1153" customFormat="1" ht="15.75" customHeight="1">
      <c r="A178" s="1310">
        <v>81</v>
      </c>
      <c r="B178" s="1352" t="s">
        <v>929</v>
      </c>
      <c r="C178" s="1313" t="s">
        <v>2754</v>
      </c>
      <c r="D178" s="1313">
        <v>0</v>
      </c>
      <c r="E178" s="1313">
        <v>1</v>
      </c>
      <c r="F178" s="1313">
        <v>1</v>
      </c>
      <c r="G178" s="1342">
        <v>5000000</v>
      </c>
      <c r="H178" s="1342">
        <v>5000000</v>
      </c>
      <c r="I178" s="1340" t="s">
        <v>768</v>
      </c>
      <c r="J178" s="1317" t="s">
        <v>700</v>
      </c>
    </row>
    <row r="179" spans="1:26" s="1153" customFormat="1" ht="15.75" customHeight="1">
      <c r="A179" s="1310">
        <v>82</v>
      </c>
      <c r="B179" s="1317" t="s">
        <v>951</v>
      </c>
      <c r="C179" s="1313" t="s">
        <v>2755</v>
      </c>
      <c r="D179" s="1313">
        <v>0</v>
      </c>
      <c r="E179" s="1313">
        <v>1</v>
      </c>
      <c r="F179" s="1313">
        <v>1</v>
      </c>
      <c r="G179" s="1342">
        <v>1000000</v>
      </c>
      <c r="H179" s="1342">
        <v>5000000</v>
      </c>
      <c r="I179" s="1311" t="s">
        <v>2756</v>
      </c>
      <c r="J179" s="1317" t="s">
        <v>748</v>
      </c>
    </row>
    <row r="180" spans="1:26" s="1153" customFormat="1" ht="15.75" customHeight="1">
      <c r="A180" s="1310">
        <v>83</v>
      </c>
      <c r="B180" s="1317" t="s">
        <v>856</v>
      </c>
      <c r="C180" s="1340" t="s">
        <v>2757</v>
      </c>
      <c r="D180" s="1313"/>
      <c r="E180" s="1313"/>
      <c r="F180" s="1313">
        <v>2</v>
      </c>
      <c r="G180" s="1342">
        <v>2500000</v>
      </c>
      <c r="H180" s="1342">
        <v>5000000</v>
      </c>
      <c r="I180" s="1316" t="s">
        <v>1015</v>
      </c>
      <c r="J180" s="1317" t="s">
        <v>671</v>
      </c>
    </row>
    <row r="181" spans="1:26" s="1153" customFormat="1" ht="15.75" customHeight="1">
      <c r="A181" s="1310">
        <v>84</v>
      </c>
      <c r="B181" s="1317" t="s">
        <v>2758</v>
      </c>
      <c r="C181" s="1340" t="s">
        <v>2759</v>
      </c>
      <c r="D181" s="1313">
        <v>1</v>
      </c>
      <c r="E181" s="1313">
        <v>1</v>
      </c>
      <c r="F181" s="1313">
        <v>1</v>
      </c>
      <c r="G181" s="1327">
        <v>5000000</v>
      </c>
      <c r="H181" s="1342">
        <v>5000000</v>
      </c>
      <c r="I181" s="1340" t="s">
        <v>2760</v>
      </c>
      <c r="J181" s="1317"/>
    </row>
    <row r="182" spans="1:26" s="1153" customFormat="1" ht="15.75" customHeight="1">
      <c r="A182" s="1310">
        <v>85</v>
      </c>
      <c r="B182" s="1317" t="s">
        <v>1043</v>
      </c>
      <c r="C182" s="1340" t="s">
        <v>2761</v>
      </c>
      <c r="D182" s="1313">
        <v>1</v>
      </c>
      <c r="E182" s="1313">
        <v>2</v>
      </c>
      <c r="F182" s="1313">
        <v>1</v>
      </c>
      <c r="G182" s="1325">
        <v>5000000</v>
      </c>
      <c r="H182" s="1325">
        <v>5000000</v>
      </c>
      <c r="I182" s="1316" t="s">
        <v>2762</v>
      </c>
      <c r="J182" s="1317" t="s">
        <v>748</v>
      </c>
    </row>
    <row r="183" spans="1:26" s="1153" customFormat="1" ht="15.75" customHeight="1">
      <c r="A183" s="1310">
        <v>86</v>
      </c>
      <c r="B183" s="1317" t="s">
        <v>1043</v>
      </c>
      <c r="C183" s="1366" t="s">
        <v>2763</v>
      </c>
      <c r="D183" s="1367">
        <v>0</v>
      </c>
      <c r="E183" s="1367">
        <v>1</v>
      </c>
      <c r="F183" s="1367">
        <v>1</v>
      </c>
      <c r="G183" s="1368">
        <v>5000000</v>
      </c>
      <c r="H183" s="1368">
        <v>5000000</v>
      </c>
      <c r="I183" s="1369" t="s">
        <v>2764</v>
      </c>
      <c r="J183" s="1317" t="s">
        <v>748</v>
      </c>
    </row>
    <row r="184" spans="1:26" s="1153" customFormat="1" ht="15.75" customHeight="1">
      <c r="A184" s="1310">
        <v>87</v>
      </c>
      <c r="B184" s="1317" t="s">
        <v>686</v>
      </c>
      <c r="C184" s="1317" t="s">
        <v>2765</v>
      </c>
      <c r="D184" s="1313">
        <v>0</v>
      </c>
      <c r="E184" s="1313">
        <v>1</v>
      </c>
      <c r="F184" s="1313">
        <v>1</v>
      </c>
      <c r="G184" s="1342">
        <v>5000000</v>
      </c>
      <c r="H184" s="1342">
        <v>5000000</v>
      </c>
      <c r="I184" s="1316"/>
      <c r="J184" s="1317" t="s">
        <v>704</v>
      </c>
    </row>
    <row r="185" spans="1:26" s="1153" customFormat="1" ht="15.75" customHeight="1">
      <c r="A185" s="1310">
        <v>88</v>
      </c>
      <c r="B185" s="1352" t="s">
        <v>1217</v>
      </c>
      <c r="C185" s="1340" t="s">
        <v>2766</v>
      </c>
      <c r="D185" s="1313">
        <v>0</v>
      </c>
      <c r="E185" s="1340">
        <v>1</v>
      </c>
      <c r="F185" s="1313">
        <v>1</v>
      </c>
      <c r="G185" s="1362">
        <v>5000000</v>
      </c>
      <c r="H185" s="1325">
        <v>5000000</v>
      </c>
      <c r="I185" s="1313" t="s">
        <v>1225</v>
      </c>
      <c r="J185" s="1317" t="s">
        <v>704</v>
      </c>
      <c r="K185" s="1227"/>
      <c r="L185" s="1227"/>
      <c r="M185" s="1227"/>
      <c r="N185" s="1227"/>
      <c r="O185" s="1227"/>
      <c r="P185" s="1227"/>
      <c r="Q185" s="1227"/>
      <c r="R185" s="1227"/>
      <c r="S185" s="1227"/>
      <c r="T185" s="1227"/>
      <c r="U185" s="1227"/>
      <c r="V185" s="1227"/>
      <c r="W185" s="1227"/>
      <c r="X185" s="1227"/>
      <c r="Y185" s="1227"/>
      <c r="Z185" s="1227"/>
    </row>
    <row r="186" spans="1:26" s="1153" customFormat="1" ht="15.75" customHeight="1">
      <c r="A186" s="1310">
        <v>89</v>
      </c>
      <c r="B186" s="1352" t="s">
        <v>60</v>
      </c>
      <c r="C186" s="1317" t="s">
        <v>2767</v>
      </c>
      <c r="D186" s="1317">
        <v>1</v>
      </c>
      <c r="E186" s="1317">
        <v>2</v>
      </c>
      <c r="F186" s="1317">
        <v>1</v>
      </c>
      <c r="G186" s="1325">
        <v>5000000</v>
      </c>
      <c r="H186" s="1325">
        <v>5000000</v>
      </c>
      <c r="I186" s="1352"/>
      <c r="J186" s="1317" t="s">
        <v>671</v>
      </c>
    </row>
    <row r="187" spans="1:26" s="1153" customFormat="1" ht="15.75" customHeight="1">
      <c r="A187" s="1310">
        <v>90</v>
      </c>
      <c r="B187" s="1317" t="s">
        <v>1018</v>
      </c>
      <c r="C187" s="1340" t="s">
        <v>2768</v>
      </c>
      <c r="D187" s="1313">
        <v>0</v>
      </c>
      <c r="E187" s="1313">
        <v>1</v>
      </c>
      <c r="F187" s="1313">
        <v>1</v>
      </c>
      <c r="G187" s="1342">
        <v>5000000</v>
      </c>
      <c r="H187" s="1327">
        <v>5000000</v>
      </c>
      <c r="I187" s="1316" t="s">
        <v>2769</v>
      </c>
      <c r="J187" s="1317"/>
    </row>
    <row r="188" spans="1:26" s="1153" customFormat="1" ht="15.75" customHeight="1">
      <c r="A188" s="1310">
        <v>91</v>
      </c>
      <c r="B188" s="1317" t="s">
        <v>2770</v>
      </c>
      <c r="C188" s="1340" t="s">
        <v>2771</v>
      </c>
      <c r="D188" s="1313"/>
      <c r="E188" s="1313"/>
      <c r="F188" s="1313">
        <v>1</v>
      </c>
      <c r="G188" s="1342">
        <v>5000000</v>
      </c>
      <c r="H188" s="1342">
        <v>5000000</v>
      </c>
      <c r="I188" s="1316" t="s">
        <v>2772</v>
      </c>
      <c r="J188" s="1317" t="s">
        <v>704</v>
      </c>
    </row>
    <row r="189" spans="1:26" s="1153" customFormat="1" ht="15.75" customHeight="1">
      <c r="A189" s="1310">
        <v>92</v>
      </c>
      <c r="B189" s="1317" t="s">
        <v>2770</v>
      </c>
      <c r="C189" s="1340" t="s">
        <v>2773</v>
      </c>
      <c r="D189" s="1313"/>
      <c r="E189" s="1313"/>
      <c r="F189" s="1313">
        <v>1</v>
      </c>
      <c r="G189" s="1342">
        <v>5000000</v>
      </c>
      <c r="H189" s="1342">
        <v>5000000</v>
      </c>
      <c r="I189" s="1337" t="s">
        <v>2772</v>
      </c>
      <c r="J189" s="1370"/>
    </row>
    <row r="190" spans="1:26" s="1153" customFormat="1" ht="15.75" customHeight="1">
      <c r="A190" s="1310">
        <v>93</v>
      </c>
      <c r="B190" s="1317" t="s">
        <v>766</v>
      </c>
      <c r="C190" s="1316" t="s">
        <v>2774</v>
      </c>
      <c r="D190" s="1361"/>
      <c r="E190" s="1371">
        <v>5</v>
      </c>
      <c r="F190" s="1371">
        <v>5</v>
      </c>
      <c r="G190" s="1325">
        <v>1000000</v>
      </c>
      <c r="H190" s="1325">
        <v>5000000</v>
      </c>
      <c r="I190" s="1361" t="s">
        <v>1017</v>
      </c>
      <c r="J190" s="1317"/>
    </row>
    <row r="191" spans="1:26" s="1153" customFormat="1" ht="15.75" customHeight="1">
      <c r="A191" s="1310">
        <v>94</v>
      </c>
      <c r="B191" s="1317" t="s">
        <v>502</v>
      </c>
      <c r="C191" s="1369" t="s">
        <v>2775</v>
      </c>
      <c r="D191" s="1313"/>
      <c r="E191" s="1313"/>
      <c r="F191" s="1348">
        <v>1</v>
      </c>
      <c r="G191" s="1349">
        <v>4800000</v>
      </c>
      <c r="H191" s="1327">
        <v>4800000</v>
      </c>
      <c r="I191" s="1316" t="s">
        <v>2776</v>
      </c>
      <c r="J191" s="1317"/>
    </row>
    <row r="192" spans="1:26" s="1153" customFormat="1" ht="15.75" customHeight="1">
      <c r="A192" s="1310">
        <v>95</v>
      </c>
      <c r="B192" s="1317" t="s">
        <v>502</v>
      </c>
      <c r="C192" s="1372" t="s">
        <v>2777</v>
      </c>
      <c r="D192" s="1313">
        <v>0</v>
      </c>
      <c r="E192" s="1313">
        <v>2</v>
      </c>
      <c r="F192" s="1313">
        <v>2</v>
      </c>
      <c r="G192" s="1342">
        <v>2300000</v>
      </c>
      <c r="H192" s="1342">
        <v>4600000</v>
      </c>
      <c r="I192" s="1340" t="s">
        <v>1118</v>
      </c>
      <c r="J192" s="1317"/>
    </row>
    <row r="193" spans="1:26" s="1153" customFormat="1" ht="15.75" customHeight="1">
      <c r="A193" s="1310">
        <v>96</v>
      </c>
      <c r="B193" s="1317" t="s">
        <v>562</v>
      </c>
      <c r="C193" s="1366" t="s">
        <v>2778</v>
      </c>
      <c r="D193" s="1341"/>
      <c r="E193" s="1313"/>
      <c r="F193" s="1341">
        <v>1</v>
      </c>
      <c r="G193" s="1327">
        <v>1500000</v>
      </c>
      <c r="H193" s="1342">
        <v>1500000</v>
      </c>
      <c r="I193" s="1340"/>
      <c r="J193" s="1317"/>
    </row>
    <row r="194" spans="1:26" s="1153" customFormat="1" ht="15.75" customHeight="1">
      <c r="A194" s="1310">
        <v>97</v>
      </c>
      <c r="B194" s="1378" t="s">
        <v>1050</v>
      </c>
      <c r="C194" s="1373" t="s">
        <v>2779</v>
      </c>
      <c r="D194" s="1374"/>
      <c r="E194" s="1350"/>
      <c r="F194" s="1351">
        <v>1</v>
      </c>
      <c r="G194" s="1375">
        <v>4500000</v>
      </c>
      <c r="H194" s="1376">
        <v>4500000</v>
      </c>
      <c r="I194" s="1377"/>
      <c r="J194" s="1378" t="s">
        <v>704</v>
      </c>
      <c r="K194" s="1227"/>
      <c r="L194" s="1227"/>
      <c r="M194" s="1227"/>
      <c r="N194" s="1227"/>
      <c r="O194" s="1227"/>
      <c r="P194" s="1227"/>
      <c r="Q194" s="1227"/>
      <c r="R194" s="1227"/>
      <c r="S194" s="1227"/>
      <c r="T194" s="1227"/>
      <c r="U194" s="1227"/>
      <c r="V194" s="1227"/>
      <c r="W194" s="1227"/>
      <c r="X194" s="1227"/>
      <c r="Y194" s="1227"/>
      <c r="Z194" s="1227"/>
    </row>
    <row r="195" spans="1:26" s="1153" customFormat="1" ht="15.75" customHeight="1">
      <c r="A195" s="1310">
        <v>98</v>
      </c>
      <c r="B195" s="1402" t="s">
        <v>502</v>
      </c>
      <c r="C195" s="1316" t="s">
        <v>2780</v>
      </c>
      <c r="D195" s="1313"/>
      <c r="E195" s="1313"/>
      <c r="F195" s="1348">
        <v>1</v>
      </c>
      <c r="G195" s="1327">
        <v>4500000</v>
      </c>
      <c r="H195" s="1327">
        <v>4500000</v>
      </c>
      <c r="I195" s="1316" t="s">
        <v>2781</v>
      </c>
      <c r="J195" s="1317"/>
    </row>
    <row r="196" spans="1:26" s="1153" customFormat="1" ht="15.75" customHeight="1">
      <c r="A196" s="1310">
        <v>99</v>
      </c>
      <c r="B196" s="1402" t="s">
        <v>2782</v>
      </c>
      <c r="C196" s="1340" t="s">
        <v>2767</v>
      </c>
      <c r="D196" s="1313">
        <v>0</v>
      </c>
      <c r="E196" s="1313">
        <v>1</v>
      </c>
      <c r="F196" s="1313">
        <v>1</v>
      </c>
      <c r="G196" s="1342">
        <v>4500000</v>
      </c>
      <c r="H196" s="1342">
        <v>4500000</v>
      </c>
      <c r="I196" s="1316" t="s">
        <v>2783</v>
      </c>
      <c r="J196" s="1317"/>
    </row>
    <row r="197" spans="1:26" s="1153" customFormat="1" ht="15.75" customHeight="1">
      <c r="A197" s="1310">
        <v>100</v>
      </c>
      <c r="B197" s="1402" t="s">
        <v>1163</v>
      </c>
      <c r="C197" s="1340" t="s">
        <v>2784</v>
      </c>
      <c r="D197" s="1340"/>
      <c r="E197" s="1313"/>
      <c r="F197" s="1313">
        <v>4</v>
      </c>
      <c r="G197" s="1327">
        <v>1000000</v>
      </c>
      <c r="H197" s="1327">
        <v>4000000</v>
      </c>
      <c r="I197" s="1340"/>
      <c r="J197" s="1317"/>
    </row>
    <row r="198" spans="1:26" s="1153" customFormat="1" ht="15.75" customHeight="1">
      <c r="A198" s="1310">
        <v>101</v>
      </c>
      <c r="B198" s="1403" t="s">
        <v>929</v>
      </c>
      <c r="C198" s="1313" t="s">
        <v>2785</v>
      </c>
      <c r="D198" s="1313">
        <v>1</v>
      </c>
      <c r="E198" s="1313">
        <v>1</v>
      </c>
      <c r="F198" s="1313">
        <v>1</v>
      </c>
      <c r="G198" s="1342">
        <v>4000000</v>
      </c>
      <c r="H198" s="1342">
        <v>4000000</v>
      </c>
      <c r="I198" s="1316" t="s">
        <v>2786</v>
      </c>
      <c r="J198" s="1317" t="s">
        <v>753</v>
      </c>
    </row>
    <row r="199" spans="1:26" s="1153" customFormat="1" ht="15.75" customHeight="1">
      <c r="A199" s="1310">
        <v>102</v>
      </c>
      <c r="B199" s="1403" t="s">
        <v>929</v>
      </c>
      <c r="C199" s="1313" t="s">
        <v>2787</v>
      </c>
      <c r="D199" s="1313">
        <v>4</v>
      </c>
      <c r="E199" s="1313">
        <v>6</v>
      </c>
      <c r="F199" s="1313">
        <v>2</v>
      </c>
      <c r="G199" s="1342">
        <v>2000000</v>
      </c>
      <c r="H199" s="1342">
        <v>4000000</v>
      </c>
      <c r="I199" s="1340" t="s">
        <v>1241</v>
      </c>
      <c r="J199" s="1317" t="s">
        <v>753</v>
      </c>
    </row>
    <row r="200" spans="1:26" s="1153" customFormat="1" ht="15.75" customHeight="1">
      <c r="A200" s="1310">
        <v>103</v>
      </c>
      <c r="B200" s="1403" t="s">
        <v>929</v>
      </c>
      <c r="C200" s="1313" t="s">
        <v>2788</v>
      </c>
      <c r="D200" s="1313">
        <v>0</v>
      </c>
      <c r="E200" s="1313">
        <v>1</v>
      </c>
      <c r="F200" s="1313">
        <v>1</v>
      </c>
      <c r="G200" s="1342">
        <v>4000000</v>
      </c>
      <c r="H200" s="1342">
        <v>4000000</v>
      </c>
      <c r="I200" s="1340" t="s">
        <v>768</v>
      </c>
      <c r="J200" s="1317" t="s">
        <v>700</v>
      </c>
    </row>
    <row r="201" spans="1:26" s="1153" customFormat="1" ht="15.75" customHeight="1">
      <c r="A201" s="1310">
        <v>104</v>
      </c>
      <c r="B201" s="1404" t="s">
        <v>929</v>
      </c>
      <c r="C201" s="1317" t="s">
        <v>2789</v>
      </c>
      <c r="D201" s="1313">
        <v>1</v>
      </c>
      <c r="E201" s="1313">
        <v>3</v>
      </c>
      <c r="F201" s="1313">
        <v>2</v>
      </c>
      <c r="G201" s="1342">
        <v>2000000</v>
      </c>
      <c r="H201" s="1342">
        <v>4000000</v>
      </c>
      <c r="I201" s="1340" t="s">
        <v>1241</v>
      </c>
      <c r="J201" s="1317" t="s">
        <v>700</v>
      </c>
    </row>
    <row r="202" spans="1:26" s="1153" customFormat="1" ht="15.75" customHeight="1">
      <c r="A202" s="1310">
        <v>105</v>
      </c>
      <c r="B202" s="1402" t="s">
        <v>502</v>
      </c>
      <c r="C202" s="1316" t="s">
        <v>518</v>
      </c>
      <c r="D202" s="1313"/>
      <c r="E202" s="1313"/>
      <c r="F202" s="1348">
        <v>4</v>
      </c>
      <c r="G202" s="1349">
        <v>1000000</v>
      </c>
      <c r="H202" s="1327">
        <v>4000000</v>
      </c>
      <c r="I202" s="1316" t="s">
        <v>517</v>
      </c>
      <c r="J202" s="1317"/>
    </row>
    <row r="203" spans="1:26" s="1153" customFormat="1" ht="15.75" customHeight="1">
      <c r="A203" s="1310">
        <v>106</v>
      </c>
      <c r="B203" s="1378" t="s">
        <v>701</v>
      </c>
      <c r="C203" s="1317" t="s">
        <v>2790</v>
      </c>
      <c r="D203" s="1313">
        <v>0</v>
      </c>
      <c r="E203" s="1313">
        <v>1</v>
      </c>
      <c r="F203" s="1313">
        <v>1</v>
      </c>
      <c r="G203" s="1342">
        <v>4000000</v>
      </c>
      <c r="H203" s="1342">
        <v>4000000</v>
      </c>
      <c r="I203" s="1340" t="s">
        <v>2791</v>
      </c>
      <c r="J203" s="1317" t="s">
        <v>671</v>
      </c>
    </row>
    <row r="204" spans="1:26" s="1153" customFormat="1" ht="15.75" customHeight="1">
      <c r="A204" s="1310">
        <v>107</v>
      </c>
      <c r="B204" s="1402" t="s">
        <v>1217</v>
      </c>
      <c r="C204" s="1340" t="s">
        <v>2792</v>
      </c>
      <c r="D204" s="1313">
        <v>0</v>
      </c>
      <c r="E204" s="1340">
        <v>1</v>
      </c>
      <c r="F204" s="1313">
        <v>1</v>
      </c>
      <c r="G204" s="1362">
        <v>4000000</v>
      </c>
      <c r="H204" s="1342">
        <v>4000000</v>
      </c>
      <c r="I204" s="1317" t="s">
        <v>1225</v>
      </c>
      <c r="J204" s="1317" t="s">
        <v>704</v>
      </c>
    </row>
    <row r="205" spans="1:26" s="1153" customFormat="1" ht="15.75" customHeight="1">
      <c r="A205" s="1310">
        <v>108</v>
      </c>
      <c r="B205" s="1402" t="s">
        <v>502</v>
      </c>
      <c r="C205" s="1316" t="s">
        <v>531</v>
      </c>
      <c r="D205" s="1313"/>
      <c r="E205" s="1313"/>
      <c r="F205" s="1348">
        <v>2</v>
      </c>
      <c r="G205" s="1349">
        <v>1950000</v>
      </c>
      <c r="H205" s="1327">
        <v>3900000</v>
      </c>
      <c r="I205" s="1316" t="s">
        <v>530</v>
      </c>
      <c r="J205" s="1317"/>
    </row>
    <row r="206" spans="1:26" s="1153" customFormat="1" ht="15.75" customHeight="1">
      <c r="A206" s="1310">
        <v>109</v>
      </c>
      <c r="B206" s="1402" t="s">
        <v>971</v>
      </c>
      <c r="C206" s="1340" t="s">
        <v>2793</v>
      </c>
      <c r="D206" s="1313"/>
      <c r="E206" s="1313"/>
      <c r="F206" s="1313">
        <v>3</v>
      </c>
      <c r="G206" s="1327">
        <v>1250000</v>
      </c>
      <c r="H206" s="1342">
        <v>3750000</v>
      </c>
      <c r="I206" s="1340"/>
      <c r="J206" s="1317" t="s">
        <v>671</v>
      </c>
    </row>
    <row r="207" spans="1:26" s="1153" customFormat="1" ht="15.75" customHeight="1">
      <c r="A207" s="1310">
        <v>110</v>
      </c>
      <c r="B207" s="1402" t="s">
        <v>502</v>
      </c>
      <c r="C207" s="1316" t="s">
        <v>2794</v>
      </c>
      <c r="D207" s="1313"/>
      <c r="E207" s="1313"/>
      <c r="F207" s="1348">
        <v>1</v>
      </c>
      <c r="G207" s="1327">
        <v>3660000</v>
      </c>
      <c r="H207" s="1327">
        <v>3660000</v>
      </c>
      <c r="I207" s="1316"/>
      <c r="J207" s="1317"/>
    </row>
    <row r="208" spans="1:26" s="1153" customFormat="1" ht="15.75" customHeight="1">
      <c r="A208" s="1310">
        <v>111</v>
      </c>
      <c r="B208" s="1402" t="s">
        <v>502</v>
      </c>
      <c r="C208" s="1316" t="s">
        <v>2795</v>
      </c>
      <c r="D208" s="1313"/>
      <c r="E208" s="1313"/>
      <c r="F208" s="1348">
        <v>1</v>
      </c>
      <c r="G208" s="1327">
        <v>3520000</v>
      </c>
      <c r="H208" s="1327">
        <v>3520000</v>
      </c>
      <c r="I208" s="1316" t="s">
        <v>2796</v>
      </c>
      <c r="J208" s="1317"/>
    </row>
    <row r="209" spans="1:26" s="1153" customFormat="1" ht="15.75" customHeight="1">
      <c r="A209" s="1310">
        <v>112</v>
      </c>
      <c r="B209" s="1402" t="s">
        <v>502</v>
      </c>
      <c r="C209" s="1316" t="s">
        <v>2795</v>
      </c>
      <c r="D209" s="1313"/>
      <c r="E209" s="1313"/>
      <c r="F209" s="1348">
        <v>1</v>
      </c>
      <c r="G209" s="1327">
        <v>3520000</v>
      </c>
      <c r="H209" s="1327">
        <v>3520000</v>
      </c>
      <c r="I209" s="1316" t="s">
        <v>2776</v>
      </c>
      <c r="J209" s="1317"/>
    </row>
    <row r="210" spans="1:26" s="1153" customFormat="1" ht="15.75" customHeight="1">
      <c r="A210" s="1310">
        <v>113</v>
      </c>
      <c r="B210" s="1405" t="s">
        <v>668</v>
      </c>
      <c r="C210" s="1310" t="s">
        <v>2797</v>
      </c>
      <c r="D210" s="1310">
        <v>4</v>
      </c>
      <c r="E210" s="1310">
        <v>7</v>
      </c>
      <c r="F210" s="1310">
        <v>7</v>
      </c>
      <c r="G210" s="1355">
        <v>3000000</v>
      </c>
      <c r="H210" s="1355">
        <v>3500000</v>
      </c>
      <c r="I210" s="1356" t="s">
        <v>2798</v>
      </c>
      <c r="J210" s="1364" t="s">
        <v>671</v>
      </c>
    </row>
    <row r="211" spans="1:26" s="1153" customFormat="1" ht="15.75" customHeight="1">
      <c r="A211" s="1310">
        <v>114</v>
      </c>
      <c r="B211" s="1352" t="s">
        <v>929</v>
      </c>
      <c r="C211" s="1313" t="s">
        <v>2799</v>
      </c>
      <c r="D211" s="1313">
        <v>0</v>
      </c>
      <c r="E211" s="1313">
        <v>1</v>
      </c>
      <c r="F211" s="1313">
        <v>1</v>
      </c>
      <c r="G211" s="1342">
        <v>3500000</v>
      </c>
      <c r="H211" s="1342">
        <v>3500000</v>
      </c>
      <c r="I211" s="1340" t="s">
        <v>1239</v>
      </c>
      <c r="J211" s="1317" t="s">
        <v>700</v>
      </c>
    </row>
    <row r="212" spans="1:26" s="1153" customFormat="1" ht="15.75" customHeight="1">
      <c r="A212" s="1310">
        <v>115</v>
      </c>
      <c r="B212" s="1317" t="s">
        <v>1264</v>
      </c>
      <c r="C212" s="1340" t="s">
        <v>2800</v>
      </c>
      <c r="D212" s="1340"/>
      <c r="E212" s="1313"/>
      <c r="F212" s="1313">
        <v>1</v>
      </c>
      <c r="G212" s="1327">
        <v>3500000</v>
      </c>
      <c r="H212" s="1342">
        <v>3500000</v>
      </c>
      <c r="I212" s="1340"/>
      <c r="J212" s="1317" t="s">
        <v>1039</v>
      </c>
    </row>
    <row r="213" spans="1:26" s="1153" customFormat="1" ht="15.75" customHeight="1">
      <c r="A213" s="1310">
        <v>116</v>
      </c>
      <c r="B213" s="1317" t="s">
        <v>1264</v>
      </c>
      <c r="C213" s="1340" t="s">
        <v>2801</v>
      </c>
      <c r="D213" s="1340"/>
      <c r="E213" s="1340"/>
      <c r="F213" s="1313">
        <v>1</v>
      </c>
      <c r="G213" s="1327">
        <v>3500000</v>
      </c>
      <c r="H213" s="1342">
        <v>2100000</v>
      </c>
      <c r="I213" s="1340"/>
      <c r="J213" s="1317"/>
    </row>
    <row r="214" spans="1:26" s="1153" customFormat="1" ht="15.75" customHeight="1">
      <c r="A214" s="1310">
        <v>117</v>
      </c>
      <c r="B214" s="1317" t="s">
        <v>1043</v>
      </c>
      <c r="C214" s="1317" t="s">
        <v>2802</v>
      </c>
      <c r="D214" s="1313">
        <v>0</v>
      </c>
      <c r="E214" s="1313">
        <v>1</v>
      </c>
      <c r="F214" s="1313">
        <v>1</v>
      </c>
      <c r="G214" s="1325">
        <v>3500000</v>
      </c>
      <c r="H214" s="1325">
        <v>3500000</v>
      </c>
      <c r="I214" s="1352" t="s">
        <v>2803</v>
      </c>
      <c r="J214" s="1317" t="s">
        <v>748</v>
      </c>
    </row>
    <row r="215" spans="1:26" s="1153" customFormat="1" ht="15.75" customHeight="1">
      <c r="A215" s="1310">
        <v>118</v>
      </c>
      <c r="B215" s="1317" t="s">
        <v>502</v>
      </c>
      <c r="C215" s="1316" t="s">
        <v>2804</v>
      </c>
      <c r="D215" s="1313"/>
      <c r="E215" s="1313"/>
      <c r="F215" s="1348">
        <v>2</v>
      </c>
      <c r="G215" s="1327">
        <v>1670000</v>
      </c>
      <c r="H215" s="1327">
        <v>3340000</v>
      </c>
      <c r="I215" s="1316"/>
      <c r="J215" s="1317"/>
    </row>
    <row r="216" spans="1:26" s="1153" customFormat="1" ht="15.75" customHeight="1">
      <c r="A216" s="1310">
        <v>119</v>
      </c>
      <c r="B216" s="1317" t="s">
        <v>502</v>
      </c>
      <c r="C216" s="1337" t="s">
        <v>2804</v>
      </c>
      <c r="D216" s="1313"/>
      <c r="E216" s="1313"/>
      <c r="F216" s="1348">
        <v>2</v>
      </c>
      <c r="G216" s="1327">
        <v>1670000</v>
      </c>
      <c r="H216" s="1327">
        <v>3340000</v>
      </c>
      <c r="I216" s="1316" t="s">
        <v>2776</v>
      </c>
      <c r="J216" s="1317"/>
      <c r="K216" s="1227"/>
      <c r="L216" s="1227"/>
      <c r="M216" s="1227"/>
      <c r="N216" s="1227"/>
      <c r="O216" s="1227"/>
      <c r="P216" s="1227"/>
      <c r="Q216" s="1227"/>
      <c r="R216" s="1227"/>
      <c r="S216" s="1227"/>
      <c r="T216" s="1227"/>
      <c r="U216" s="1227"/>
      <c r="V216" s="1227"/>
      <c r="W216" s="1227"/>
      <c r="X216" s="1227"/>
      <c r="Y216" s="1227"/>
      <c r="Z216" s="1227"/>
    </row>
    <row r="217" spans="1:26" s="1153" customFormat="1" ht="15.75" customHeight="1">
      <c r="A217" s="1310">
        <v>120</v>
      </c>
      <c r="B217" s="1317" t="s">
        <v>1071</v>
      </c>
      <c r="C217" s="1340" t="s">
        <v>2805</v>
      </c>
      <c r="D217" s="1340"/>
      <c r="E217" s="1313"/>
      <c r="F217" s="1313">
        <v>1</v>
      </c>
      <c r="G217" s="1327">
        <v>1500000</v>
      </c>
      <c r="H217" s="1327">
        <f>SUM(G217*F217)</f>
        <v>1500000</v>
      </c>
      <c r="I217" s="1316" t="s">
        <v>1073</v>
      </c>
      <c r="J217" s="1317"/>
    </row>
    <row r="218" spans="1:26" s="1153" customFormat="1" ht="15.75" customHeight="1">
      <c r="A218" s="1310">
        <v>121</v>
      </c>
      <c r="B218" s="1365" t="s">
        <v>668</v>
      </c>
      <c r="C218" s="1364" t="s">
        <v>2806</v>
      </c>
      <c r="D218" s="1310">
        <v>1</v>
      </c>
      <c r="E218" s="1310">
        <v>1</v>
      </c>
      <c r="F218" s="1310">
        <v>1</v>
      </c>
      <c r="G218" s="1355">
        <v>3000000</v>
      </c>
      <c r="H218" s="1355">
        <v>3000000</v>
      </c>
      <c r="I218" s="1354" t="s">
        <v>2807</v>
      </c>
      <c r="J218" s="1364" t="s">
        <v>671</v>
      </c>
    </row>
    <row r="219" spans="1:26" s="1153" customFormat="1" ht="15.75" customHeight="1">
      <c r="A219" s="1310">
        <v>122</v>
      </c>
      <c r="B219" s="1317" t="s">
        <v>1294</v>
      </c>
      <c r="C219" s="1340" t="s">
        <v>2808</v>
      </c>
      <c r="D219" s="1313">
        <v>0</v>
      </c>
      <c r="E219" s="1313">
        <v>3</v>
      </c>
      <c r="F219" s="1313">
        <v>3</v>
      </c>
      <c r="G219" s="1342">
        <v>1000000</v>
      </c>
      <c r="H219" s="1342">
        <v>3000000</v>
      </c>
      <c r="I219" s="1316" t="s">
        <v>674</v>
      </c>
      <c r="J219" s="1317" t="s">
        <v>748</v>
      </c>
    </row>
    <row r="220" spans="1:26" s="1153" customFormat="1" ht="15.75" customHeight="1">
      <c r="A220" s="1310">
        <v>123</v>
      </c>
      <c r="B220" s="1317" t="s">
        <v>1071</v>
      </c>
      <c r="C220" s="1340" t="s">
        <v>2809</v>
      </c>
      <c r="D220" s="1340"/>
      <c r="E220" s="1313"/>
      <c r="F220" s="1313">
        <v>1</v>
      </c>
      <c r="G220" s="1327">
        <v>3000000</v>
      </c>
      <c r="H220" s="1327">
        <v>3000000</v>
      </c>
      <c r="I220" s="1316" t="s">
        <v>1073</v>
      </c>
      <c r="J220" s="1317"/>
    </row>
    <row r="221" spans="1:26" s="1153" customFormat="1" ht="15.75" customHeight="1">
      <c r="A221" s="1310">
        <v>124</v>
      </c>
      <c r="B221" s="1317" t="s">
        <v>1163</v>
      </c>
      <c r="C221" s="1363" t="s">
        <v>2810</v>
      </c>
      <c r="D221" s="1340"/>
      <c r="E221" s="1313"/>
      <c r="F221" s="1313">
        <v>3</v>
      </c>
      <c r="G221" s="1327">
        <v>1000000</v>
      </c>
      <c r="H221" s="1327">
        <v>3000000</v>
      </c>
      <c r="I221" s="1340"/>
      <c r="J221" s="1317"/>
    </row>
    <row r="222" spans="1:26" s="1153" customFormat="1" ht="15.75" customHeight="1">
      <c r="A222" s="1310">
        <v>125</v>
      </c>
      <c r="B222" s="1317" t="s">
        <v>1163</v>
      </c>
      <c r="C222" s="1340" t="s">
        <v>2811</v>
      </c>
      <c r="D222" s="1340"/>
      <c r="E222" s="1313"/>
      <c r="F222" s="1313">
        <v>1</v>
      </c>
      <c r="G222" s="1327">
        <v>3000000</v>
      </c>
      <c r="H222" s="1327">
        <v>3000000</v>
      </c>
      <c r="I222" s="1340" t="s">
        <v>2812</v>
      </c>
      <c r="J222" s="1317"/>
    </row>
    <row r="223" spans="1:26" s="1153" customFormat="1" ht="15.75" customHeight="1">
      <c r="A223" s="1310">
        <v>126</v>
      </c>
      <c r="B223" s="1317" t="s">
        <v>788</v>
      </c>
      <c r="C223" s="1313" t="s">
        <v>2813</v>
      </c>
      <c r="D223" s="1313">
        <v>0</v>
      </c>
      <c r="E223" s="1313">
        <v>1</v>
      </c>
      <c r="F223" s="1313">
        <v>1</v>
      </c>
      <c r="G223" s="1342">
        <v>3000000</v>
      </c>
      <c r="H223" s="1342">
        <v>3000000</v>
      </c>
      <c r="I223" s="1316" t="s">
        <v>2814</v>
      </c>
      <c r="J223" s="1317" t="s">
        <v>704</v>
      </c>
    </row>
    <row r="224" spans="1:26" s="1153" customFormat="1" ht="15.75" customHeight="1">
      <c r="A224" s="1310">
        <v>127</v>
      </c>
      <c r="B224" s="1317" t="s">
        <v>788</v>
      </c>
      <c r="C224" s="1313" t="s">
        <v>2815</v>
      </c>
      <c r="D224" s="1313">
        <v>0</v>
      </c>
      <c r="E224" s="1313">
        <v>3</v>
      </c>
      <c r="F224" s="1313">
        <v>3</v>
      </c>
      <c r="G224" s="1342">
        <v>1000000</v>
      </c>
      <c r="H224" s="1342">
        <v>3000000</v>
      </c>
      <c r="I224" s="1316" t="s">
        <v>2816</v>
      </c>
      <c r="J224" s="1317" t="s">
        <v>704</v>
      </c>
    </row>
    <row r="225" spans="1:26" s="1153" customFormat="1" ht="15.75" customHeight="1">
      <c r="A225" s="1310">
        <v>128</v>
      </c>
      <c r="B225" s="1352" t="s">
        <v>929</v>
      </c>
      <c r="C225" s="1313" t="s">
        <v>2817</v>
      </c>
      <c r="D225" s="1313">
        <v>1</v>
      </c>
      <c r="E225" s="1313">
        <v>1</v>
      </c>
      <c r="F225" s="1313">
        <v>1</v>
      </c>
      <c r="G225" s="1342">
        <v>3000000</v>
      </c>
      <c r="H225" s="1342">
        <v>3000000</v>
      </c>
      <c r="I225" s="1316" t="s">
        <v>2818</v>
      </c>
      <c r="J225" s="1317" t="s">
        <v>700</v>
      </c>
    </row>
    <row r="226" spans="1:26" s="1153" customFormat="1" ht="15.75" customHeight="1">
      <c r="A226" s="1310">
        <v>129</v>
      </c>
      <c r="B226" s="1352" t="s">
        <v>929</v>
      </c>
      <c r="C226" s="1313" t="s">
        <v>2819</v>
      </c>
      <c r="D226" s="1313">
        <v>0</v>
      </c>
      <c r="E226" s="1313">
        <v>1</v>
      </c>
      <c r="F226" s="1313">
        <v>1</v>
      </c>
      <c r="G226" s="1342">
        <v>3000000</v>
      </c>
      <c r="H226" s="1342">
        <v>3000000</v>
      </c>
      <c r="I226" s="1340" t="s">
        <v>752</v>
      </c>
      <c r="J226" s="1317" t="s">
        <v>753</v>
      </c>
    </row>
    <row r="227" spans="1:26" s="1153" customFormat="1" ht="15.75" customHeight="1">
      <c r="A227" s="1310">
        <v>130</v>
      </c>
      <c r="B227" s="1317" t="s">
        <v>1264</v>
      </c>
      <c r="C227" s="1340" t="s">
        <v>2820</v>
      </c>
      <c r="D227" s="1340"/>
      <c r="E227" s="1340"/>
      <c r="F227" s="1313">
        <v>2</v>
      </c>
      <c r="G227" s="1327">
        <v>1500000</v>
      </c>
      <c r="H227" s="1342">
        <v>3000000</v>
      </c>
      <c r="I227" s="1340"/>
      <c r="J227" s="1317"/>
    </row>
    <row r="228" spans="1:26" s="1153" customFormat="1" ht="15.75" customHeight="1">
      <c r="A228" s="1310">
        <v>131</v>
      </c>
      <c r="B228" s="1317" t="s">
        <v>881</v>
      </c>
      <c r="C228" s="1340" t="s">
        <v>2821</v>
      </c>
      <c r="D228" s="1313">
        <v>0</v>
      </c>
      <c r="E228" s="1313">
        <v>1</v>
      </c>
      <c r="F228" s="1313">
        <v>1</v>
      </c>
      <c r="G228" s="1327">
        <v>3000000</v>
      </c>
      <c r="H228" s="1342">
        <v>3000000</v>
      </c>
      <c r="I228" s="1316" t="s">
        <v>2822</v>
      </c>
      <c r="J228" s="1317" t="s">
        <v>671</v>
      </c>
    </row>
    <row r="229" spans="1:26" s="1153" customFormat="1" ht="15.75" customHeight="1">
      <c r="A229" s="1310">
        <v>132</v>
      </c>
      <c r="B229" s="1317" t="s">
        <v>2782</v>
      </c>
      <c r="C229" s="1340" t="s">
        <v>2823</v>
      </c>
      <c r="D229" s="1313">
        <v>1</v>
      </c>
      <c r="E229" s="1313">
        <v>1</v>
      </c>
      <c r="F229" s="1313">
        <v>1</v>
      </c>
      <c r="G229" s="1342">
        <v>3000000</v>
      </c>
      <c r="H229" s="1342">
        <v>3000000</v>
      </c>
      <c r="I229" s="1316" t="s">
        <v>2824</v>
      </c>
      <c r="J229" s="1317"/>
    </row>
    <row r="230" spans="1:26" s="1153" customFormat="1" ht="15.75" customHeight="1">
      <c r="A230" s="1310">
        <v>133</v>
      </c>
      <c r="B230" s="1317" t="s">
        <v>1071</v>
      </c>
      <c r="C230" s="1340" t="s">
        <v>2825</v>
      </c>
      <c r="D230" s="1340"/>
      <c r="E230" s="1313"/>
      <c r="F230" s="1313">
        <v>1</v>
      </c>
      <c r="G230" s="1327">
        <v>1500000</v>
      </c>
      <c r="H230" s="1327">
        <v>1500000</v>
      </c>
      <c r="I230" s="1316" t="s">
        <v>2826</v>
      </c>
      <c r="J230" s="1370"/>
      <c r="K230" s="1227"/>
      <c r="L230" s="1227"/>
      <c r="M230" s="1227"/>
      <c r="N230" s="1227"/>
      <c r="O230" s="1227"/>
      <c r="P230" s="1227"/>
      <c r="Q230" s="1227"/>
      <c r="R230" s="1227"/>
      <c r="S230" s="1227"/>
      <c r="T230" s="1227"/>
      <c r="U230" s="1227"/>
      <c r="V230" s="1227"/>
      <c r="W230" s="1227"/>
      <c r="X230" s="1227"/>
      <c r="Y230" s="1227"/>
      <c r="Z230" s="1227"/>
    </row>
    <row r="231" spans="1:26" s="1153" customFormat="1" ht="15.75" customHeight="1">
      <c r="A231" s="1310">
        <v>134</v>
      </c>
      <c r="B231" s="1317" t="s">
        <v>1294</v>
      </c>
      <c r="C231" s="1340" t="s">
        <v>2827</v>
      </c>
      <c r="D231" s="1313">
        <v>0</v>
      </c>
      <c r="E231" s="1313">
        <v>1</v>
      </c>
      <c r="F231" s="1313">
        <v>1</v>
      </c>
      <c r="G231" s="1342">
        <v>2500000</v>
      </c>
      <c r="H231" s="1342">
        <v>2500000</v>
      </c>
      <c r="I231" s="1316" t="s">
        <v>674</v>
      </c>
      <c r="J231" s="1370" t="s">
        <v>748</v>
      </c>
    </row>
    <row r="232" spans="1:26" s="1153" customFormat="1" ht="15.75" customHeight="1">
      <c r="A232" s="1310">
        <v>135</v>
      </c>
      <c r="B232" s="1317" t="s">
        <v>788</v>
      </c>
      <c r="C232" s="1313" t="s">
        <v>2828</v>
      </c>
      <c r="D232" s="1313">
        <v>0</v>
      </c>
      <c r="E232" s="1313">
        <v>1</v>
      </c>
      <c r="F232" s="1313">
        <v>1</v>
      </c>
      <c r="G232" s="1342">
        <v>2500000</v>
      </c>
      <c r="H232" s="1342">
        <v>2500000</v>
      </c>
      <c r="I232" s="1316" t="s">
        <v>2829</v>
      </c>
      <c r="J232" s="1370" t="s">
        <v>704</v>
      </c>
    </row>
    <row r="233" spans="1:26" s="1153" customFormat="1" ht="15.75" customHeight="1">
      <c r="A233" s="1310">
        <v>136</v>
      </c>
      <c r="B233" s="1352" t="s">
        <v>929</v>
      </c>
      <c r="C233" s="1317" t="s">
        <v>2830</v>
      </c>
      <c r="D233" s="1313">
        <v>1</v>
      </c>
      <c r="E233" s="1313">
        <v>1</v>
      </c>
      <c r="F233" s="1313">
        <v>1</v>
      </c>
      <c r="G233" s="1327">
        <v>2500000</v>
      </c>
      <c r="H233" s="1327">
        <v>2100000</v>
      </c>
      <c r="I233" s="1340" t="s">
        <v>2831</v>
      </c>
      <c r="J233" s="1379" t="s">
        <v>700</v>
      </c>
    </row>
    <row r="234" spans="1:26" s="1153" customFormat="1" ht="15.75" customHeight="1">
      <c r="A234" s="1310">
        <v>137</v>
      </c>
      <c r="B234" s="1317" t="s">
        <v>1278</v>
      </c>
      <c r="C234" s="1340" t="s">
        <v>2832</v>
      </c>
      <c r="D234" s="1340"/>
      <c r="E234" s="1313"/>
      <c r="F234" s="1313">
        <v>1</v>
      </c>
      <c r="G234" s="1342">
        <v>2500000</v>
      </c>
      <c r="H234" s="1342">
        <v>2500000</v>
      </c>
      <c r="I234" s="1316"/>
      <c r="J234" s="1370" t="s">
        <v>704</v>
      </c>
    </row>
    <row r="235" spans="1:26" s="1153" customFormat="1" ht="15.75" customHeight="1">
      <c r="A235" s="1310">
        <v>138</v>
      </c>
      <c r="B235" s="1317" t="s">
        <v>1043</v>
      </c>
      <c r="C235" s="1340" t="s">
        <v>2833</v>
      </c>
      <c r="D235" s="1313">
        <v>0</v>
      </c>
      <c r="E235" s="1313">
        <v>1</v>
      </c>
      <c r="F235" s="1313">
        <v>1</v>
      </c>
      <c r="G235" s="1325">
        <v>2500000</v>
      </c>
      <c r="H235" s="1325">
        <v>2500000</v>
      </c>
      <c r="I235" s="1316" t="s">
        <v>2834</v>
      </c>
      <c r="J235" s="1370" t="s">
        <v>748</v>
      </c>
    </row>
    <row r="236" spans="1:26" s="1153" customFormat="1" ht="15.75" customHeight="1">
      <c r="A236" s="1310">
        <v>139</v>
      </c>
      <c r="B236" s="1317" t="s">
        <v>502</v>
      </c>
      <c r="C236" s="1316" t="s">
        <v>516</v>
      </c>
      <c r="D236" s="1313"/>
      <c r="E236" s="1313"/>
      <c r="F236" s="1348">
        <v>1</v>
      </c>
      <c r="G236" s="1349">
        <v>2500000</v>
      </c>
      <c r="H236" s="1327">
        <v>2500000</v>
      </c>
      <c r="I236" s="1316" t="s">
        <v>515</v>
      </c>
      <c r="J236" s="1370"/>
    </row>
    <row r="237" spans="1:26" s="1153" customFormat="1" ht="15.75" customHeight="1">
      <c r="A237" s="1310">
        <v>140</v>
      </c>
      <c r="B237" s="1402" t="s">
        <v>1250</v>
      </c>
      <c r="C237" s="1340" t="s">
        <v>2835</v>
      </c>
      <c r="D237" s="1313">
        <v>0</v>
      </c>
      <c r="E237" s="1313">
        <v>1</v>
      </c>
      <c r="F237" s="1313">
        <v>1</v>
      </c>
      <c r="G237" s="1342">
        <v>2500000</v>
      </c>
      <c r="H237" s="1342">
        <v>2500000</v>
      </c>
      <c r="I237" s="1316" t="s">
        <v>2836</v>
      </c>
      <c r="J237" s="1370"/>
    </row>
    <row r="238" spans="1:26" s="1153" customFormat="1" ht="31.5" customHeight="1">
      <c r="A238" s="1310">
        <v>141</v>
      </c>
      <c r="B238" s="1402" t="s">
        <v>502</v>
      </c>
      <c r="C238" s="1316" t="s">
        <v>2837</v>
      </c>
      <c r="D238" s="1313"/>
      <c r="E238" s="1313"/>
      <c r="F238" s="1348">
        <v>1</v>
      </c>
      <c r="G238" s="1349">
        <v>2300000</v>
      </c>
      <c r="H238" s="1327">
        <v>2300000</v>
      </c>
      <c r="I238" s="1316" t="s">
        <v>2838</v>
      </c>
      <c r="J238" s="1370"/>
    </row>
    <row r="239" spans="1:26" s="1153" customFormat="1" ht="31.5" customHeight="1">
      <c r="A239" s="1310">
        <v>142</v>
      </c>
      <c r="B239" s="1406" t="s">
        <v>1374</v>
      </c>
      <c r="C239" s="1380" t="s">
        <v>2839</v>
      </c>
      <c r="D239" s="1343">
        <v>0</v>
      </c>
      <c r="E239" s="1343">
        <v>1</v>
      </c>
      <c r="F239" s="1343">
        <v>1</v>
      </c>
      <c r="G239" s="1381">
        <v>2200000</v>
      </c>
      <c r="H239" s="1382">
        <v>2200000</v>
      </c>
      <c r="I239" s="1383" t="s">
        <v>2840</v>
      </c>
      <c r="J239" s="1384" t="s">
        <v>671</v>
      </c>
    </row>
    <row r="240" spans="1:26" s="1153" customFormat="1" ht="15.75" customHeight="1">
      <c r="A240" s="1310">
        <v>143</v>
      </c>
      <c r="B240" s="1317" t="s">
        <v>1050</v>
      </c>
      <c r="C240" s="1316" t="s">
        <v>2841</v>
      </c>
      <c r="D240" s="1340"/>
      <c r="E240" s="1313"/>
      <c r="F240" s="1313">
        <v>1</v>
      </c>
      <c r="G240" s="1342">
        <v>2159100</v>
      </c>
      <c r="H240" s="1342">
        <v>2159100</v>
      </c>
      <c r="I240" s="1316"/>
      <c r="J240" s="1370" t="s">
        <v>704</v>
      </c>
    </row>
    <row r="241" spans="1:10" s="1153" customFormat="1" ht="15.75" customHeight="1">
      <c r="A241" s="1310">
        <v>144</v>
      </c>
      <c r="B241" s="1317" t="s">
        <v>951</v>
      </c>
      <c r="C241" s="1317" t="s">
        <v>2842</v>
      </c>
      <c r="D241" s="1340">
        <v>1</v>
      </c>
      <c r="E241" s="1340">
        <v>1</v>
      </c>
      <c r="F241" s="1340">
        <v>1</v>
      </c>
      <c r="G241" s="1327">
        <v>2100000</v>
      </c>
      <c r="H241" s="1327">
        <v>2100000</v>
      </c>
      <c r="I241" s="1340" t="s">
        <v>2843</v>
      </c>
      <c r="J241" s="1379" t="s">
        <v>704</v>
      </c>
    </row>
    <row r="242" spans="1:10" s="1153" customFormat="1" ht="15.75" customHeight="1">
      <c r="A242" s="1310">
        <v>145</v>
      </c>
      <c r="B242" s="1317" t="s">
        <v>872</v>
      </c>
      <c r="C242" s="1340" t="s">
        <v>2801</v>
      </c>
      <c r="D242" s="1313"/>
      <c r="E242" s="1313">
        <v>1</v>
      </c>
      <c r="F242" s="1313"/>
      <c r="G242" s="1342">
        <v>3000000</v>
      </c>
      <c r="H242" s="1342">
        <v>2100000</v>
      </c>
      <c r="I242" s="1316" t="s">
        <v>2844</v>
      </c>
      <c r="J242" s="1370" t="s">
        <v>671</v>
      </c>
    </row>
    <row r="243" spans="1:10" s="1153" customFormat="1" ht="15.75" customHeight="1">
      <c r="A243" s="1310">
        <v>146</v>
      </c>
      <c r="B243" s="1317" t="s">
        <v>1043</v>
      </c>
      <c r="C243" s="1340" t="s">
        <v>2845</v>
      </c>
      <c r="D243" s="1313">
        <v>0</v>
      </c>
      <c r="E243" s="1313">
        <v>1</v>
      </c>
      <c r="F243" s="1313">
        <v>1</v>
      </c>
      <c r="G243" s="1325">
        <v>2000000</v>
      </c>
      <c r="H243" s="1325">
        <v>2000000</v>
      </c>
      <c r="I243" s="1316" t="s">
        <v>2846</v>
      </c>
      <c r="J243" s="1370" t="s">
        <v>748</v>
      </c>
    </row>
    <row r="244" spans="1:10" s="1153" customFormat="1" ht="15.75" customHeight="1">
      <c r="A244" s="1310">
        <v>147</v>
      </c>
      <c r="B244" s="1317" t="s">
        <v>1043</v>
      </c>
      <c r="C244" s="1340" t="s">
        <v>2847</v>
      </c>
      <c r="D244" s="1313">
        <v>0</v>
      </c>
      <c r="E244" s="1313">
        <v>1</v>
      </c>
      <c r="F244" s="1313">
        <v>1</v>
      </c>
      <c r="G244" s="1325">
        <v>2000000</v>
      </c>
      <c r="H244" s="1325">
        <v>2000000</v>
      </c>
      <c r="I244" s="1316" t="s">
        <v>2848</v>
      </c>
      <c r="J244" s="1370" t="s">
        <v>2849</v>
      </c>
    </row>
    <row r="245" spans="1:10" s="1153" customFormat="1" ht="15.75" customHeight="1">
      <c r="A245" s="1310">
        <v>148</v>
      </c>
      <c r="B245" s="1352" t="s">
        <v>1217</v>
      </c>
      <c r="C245" s="1317" t="s">
        <v>2850</v>
      </c>
      <c r="D245" s="1313">
        <v>0</v>
      </c>
      <c r="E245" s="1385">
        <v>1</v>
      </c>
      <c r="F245" s="1313">
        <v>1</v>
      </c>
      <c r="G245" s="1362">
        <v>2000000</v>
      </c>
      <c r="H245" s="1325">
        <v>2000000</v>
      </c>
      <c r="I245" s="1352" t="s">
        <v>2851</v>
      </c>
      <c r="J245" s="1370" t="s">
        <v>671</v>
      </c>
    </row>
    <row r="246" spans="1:10" s="1153" customFormat="1" ht="15.75" customHeight="1">
      <c r="A246" s="1310">
        <v>149</v>
      </c>
      <c r="B246" s="1352" t="s">
        <v>1217</v>
      </c>
      <c r="C246" s="1317" t="s">
        <v>2852</v>
      </c>
      <c r="D246" s="1313">
        <v>0</v>
      </c>
      <c r="E246" s="1385">
        <v>1</v>
      </c>
      <c r="F246" s="1313">
        <v>1</v>
      </c>
      <c r="G246" s="1362">
        <v>2000000</v>
      </c>
      <c r="H246" s="1325">
        <v>2000000</v>
      </c>
      <c r="I246" s="1352" t="s">
        <v>2851</v>
      </c>
      <c r="J246" s="1370" t="s">
        <v>704</v>
      </c>
    </row>
    <row r="247" spans="1:10" s="1153" customFormat="1" ht="15.75" customHeight="1">
      <c r="A247" s="1310">
        <v>150</v>
      </c>
      <c r="B247" s="1317" t="s">
        <v>1018</v>
      </c>
      <c r="C247" s="1340" t="s">
        <v>2853</v>
      </c>
      <c r="D247" s="1313">
        <v>1</v>
      </c>
      <c r="E247" s="1313">
        <v>1</v>
      </c>
      <c r="F247" s="1313">
        <v>1</v>
      </c>
      <c r="G247" s="1342">
        <v>2000000</v>
      </c>
      <c r="H247" s="1327">
        <v>2000000</v>
      </c>
      <c r="I247" s="1316" t="s">
        <v>2854</v>
      </c>
      <c r="J247" s="1370"/>
    </row>
    <row r="248" spans="1:10" s="1153" customFormat="1" ht="15.75" customHeight="1">
      <c r="A248" s="1310">
        <v>151</v>
      </c>
      <c r="B248" s="1317" t="s">
        <v>1250</v>
      </c>
      <c r="C248" s="1340" t="s">
        <v>2855</v>
      </c>
      <c r="D248" s="1313">
        <v>0</v>
      </c>
      <c r="E248" s="1313">
        <v>1</v>
      </c>
      <c r="F248" s="1313">
        <v>1</v>
      </c>
      <c r="G248" s="1342">
        <v>2000000</v>
      </c>
      <c r="H248" s="1342">
        <v>2000000</v>
      </c>
      <c r="I248" s="1316"/>
      <c r="J248" s="1370"/>
    </row>
    <row r="249" spans="1:10" s="1153" customFormat="1" ht="15.75" customHeight="1">
      <c r="A249" s="1310">
        <v>152</v>
      </c>
      <c r="B249" s="1317" t="s">
        <v>766</v>
      </c>
      <c r="C249" s="1340" t="s">
        <v>2856</v>
      </c>
      <c r="D249" s="1313"/>
      <c r="E249" s="1313">
        <v>1</v>
      </c>
      <c r="F249" s="1313">
        <v>1</v>
      </c>
      <c r="G249" s="1325">
        <v>2000000</v>
      </c>
      <c r="H249" s="1342">
        <v>2000000</v>
      </c>
      <c r="I249" s="1316" t="s">
        <v>2857</v>
      </c>
      <c r="J249" s="1370"/>
    </row>
    <row r="250" spans="1:10" s="1153" customFormat="1" ht="15.75" customHeight="1">
      <c r="A250" s="1310">
        <v>153</v>
      </c>
      <c r="B250" s="1317" t="s">
        <v>1071</v>
      </c>
      <c r="C250" s="1340" t="s">
        <v>2858</v>
      </c>
      <c r="D250" s="1340"/>
      <c r="E250" s="1313"/>
      <c r="F250" s="1313">
        <v>1</v>
      </c>
      <c r="G250" s="1327">
        <v>1500000</v>
      </c>
      <c r="H250" s="1327">
        <v>1500000</v>
      </c>
      <c r="I250" s="1316" t="s">
        <v>1073</v>
      </c>
      <c r="J250" s="1370"/>
    </row>
    <row r="251" spans="1:10" s="1153" customFormat="1" ht="15.75" customHeight="1">
      <c r="A251" s="1310">
        <v>154</v>
      </c>
      <c r="B251" s="1317" t="s">
        <v>1040</v>
      </c>
      <c r="C251" s="1340" t="s">
        <v>2859</v>
      </c>
      <c r="D251" s="1313">
        <v>0</v>
      </c>
      <c r="E251" s="1313">
        <v>1</v>
      </c>
      <c r="F251" s="1313">
        <v>1</v>
      </c>
      <c r="G251" s="1327">
        <v>1500000</v>
      </c>
      <c r="H251" s="1342">
        <v>1500000</v>
      </c>
      <c r="I251" s="1340" t="s">
        <v>2860</v>
      </c>
      <c r="J251" s="1370"/>
    </row>
    <row r="252" spans="1:10" s="1153" customFormat="1" ht="15.75" customHeight="1">
      <c r="A252" s="1310">
        <v>155</v>
      </c>
      <c r="B252" s="1317" t="s">
        <v>1278</v>
      </c>
      <c r="C252" s="1340" t="s">
        <v>2861</v>
      </c>
      <c r="D252" s="1340"/>
      <c r="E252" s="1313"/>
      <c r="F252" s="1313">
        <v>1</v>
      </c>
      <c r="G252" s="1327">
        <v>1500000</v>
      </c>
      <c r="H252" s="1342">
        <v>1500000</v>
      </c>
      <c r="I252" s="1340"/>
      <c r="J252" s="1370" t="s">
        <v>671</v>
      </c>
    </row>
    <row r="253" spans="1:10" s="1153" customFormat="1" ht="15.75" customHeight="1">
      <c r="A253" s="1310">
        <v>156</v>
      </c>
      <c r="B253" s="1317" t="s">
        <v>1043</v>
      </c>
      <c r="C253" s="1340" t="s">
        <v>2862</v>
      </c>
      <c r="D253" s="1313">
        <v>1</v>
      </c>
      <c r="E253" s="1313">
        <v>2</v>
      </c>
      <c r="F253" s="1313">
        <v>1</v>
      </c>
      <c r="G253" s="1325">
        <v>1500000</v>
      </c>
      <c r="H253" s="1325">
        <v>1500000</v>
      </c>
      <c r="I253" s="1316" t="s">
        <v>2863</v>
      </c>
      <c r="J253" s="1370" t="s">
        <v>748</v>
      </c>
    </row>
    <row r="254" spans="1:10" s="1153" customFormat="1" ht="15.75" customHeight="1">
      <c r="A254" s="1310">
        <v>157</v>
      </c>
      <c r="B254" s="1317" t="s">
        <v>502</v>
      </c>
      <c r="C254" s="1316" t="s">
        <v>522</v>
      </c>
      <c r="D254" s="1313"/>
      <c r="E254" s="1313"/>
      <c r="F254" s="1348">
        <v>1</v>
      </c>
      <c r="G254" s="1349">
        <v>1500000</v>
      </c>
      <c r="H254" s="1327">
        <v>1500000</v>
      </c>
      <c r="I254" s="1316" t="s">
        <v>521</v>
      </c>
      <c r="J254" s="1370"/>
    </row>
    <row r="255" spans="1:10" s="1153" customFormat="1" ht="15.75" customHeight="1">
      <c r="A255" s="1310">
        <v>158</v>
      </c>
      <c r="B255" s="1317" t="s">
        <v>502</v>
      </c>
      <c r="C255" s="1316" t="s">
        <v>2864</v>
      </c>
      <c r="D255" s="1313"/>
      <c r="E255" s="1313"/>
      <c r="F255" s="1348">
        <v>1</v>
      </c>
      <c r="G255" s="1349">
        <v>1500000</v>
      </c>
      <c r="H255" s="1327">
        <v>1500000</v>
      </c>
      <c r="I255" s="1316" t="s">
        <v>2865</v>
      </c>
      <c r="J255" s="1370"/>
    </row>
    <row r="256" spans="1:10" s="1153" customFormat="1" ht="15.75" customHeight="1">
      <c r="A256" s="1310">
        <v>159</v>
      </c>
      <c r="B256" s="1317" t="s">
        <v>701</v>
      </c>
      <c r="C256" s="1317" t="s">
        <v>1235</v>
      </c>
      <c r="D256" s="1313">
        <v>1</v>
      </c>
      <c r="E256" s="1313">
        <v>0</v>
      </c>
      <c r="F256" s="1313">
        <v>1</v>
      </c>
      <c r="G256" s="1342">
        <v>1500000</v>
      </c>
      <c r="H256" s="1342">
        <v>1500000</v>
      </c>
      <c r="I256" s="1316" t="s">
        <v>2866</v>
      </c>
      <c r="J256" s="1370" t="s">
        <v>704</v>
      </c>
    </row>
    <row r="257" spans="1:10" s="1153" customFormat="1" ht="15.75" customHeight="1">
      <c r="A257" s="1310">
        <v>160</v>
      </c>
      <c r="B257" s="1317" t="s">
        <v>1018</v>
      </c>
      <c r="C257" s="1340" t="s">
        <v>2867</v>
      </c>
      <c r="D257" s="1313">
        <v>0</v>
      </c>
      <c r="E257" s="1313">
        <v>1</v>
      </c>
      <c r="F257" s="1313">
        <v>1</v>
      </c>
      <c r="G257" s="1342">
        <v>1500000</v>
      </c>
      <c r="H257" s="1327">
        <v>1500000</v>
      </c>
      <c r="I257" s="1316" t="s">
        <v>2868</v>
      </c>
      <c r="J257" s="1370"/>
    </row>
    <row r="258" spans="1:10" s="1153" customFormat="1" ht="15.75" customHeight="1">
      <c r="A258" s="1310">
        <v>161</v>
      </c>
      <c r="B258" s="1317" t="s">
        <v>1190</v>
      </c>
      <c r="C258" s="1340" t="s">
        <v>2869</v>
      </c>
      <c r="D258" s="1313">
        <v>0</v>
      </c>
      <c r="E258" s="1313">
        <v>1</v>
      </c>
      <c r="F258" s="1313">
        <v>1</v>
      </c>
      <c r="G258" s="1327">
        <v>1500000</v>
      </c>
      <c r="H258" s="1342">
        <v>1500000</v>
      </c>
      <c r="I258" s="1340"/>
      <c r="J258" s="1379"/>
    </row>
    <row r="259" spans="1:10" s="1153" customFormat="1" ht="15.75" customHeight="1">
      <c r="A259" s="1310">
        <v>162</v>
      </c>
      <c r="B259" s="1317" t="s">
        <v>1025</v>
      </c>
      <c r="C259" s="1340" t="s">
        <v>2870</v>
      </c>
      <c r="D259" s="1313"/>
      <c r="E259" s="1313">
        <v>1</v>
      </c>
      <c r="F259" s="1353">
        <v>1</v>
      </c>
      <c r="G259" s="1342">
        <v>1250000</v>
      </c>
      <c r="H259" s="1342">
        <v>1250000</v>
      </c>
      <c r="I259" s="1316"/>
      <c r="J259" s="1370" t="s">
        <v>671</v>
      </c>
    </row>
    <row r="260" spans="1:10" s="1153" customFormat="1" ht="15.75" customHeight="1">
      <c r="A260" s="1310">
        <v>163</v>
      </c>
      <c r="B260" s="1317" t="s">
        <v>502</v>
      </c>
      <c r="C260" s="1354" t="s">
        <v>2871</v>
      </c>
      <c r="D260" s="1313">
        <v>1</v>
      </c>
      <c r="E260" s="1313">
        <v>2</v>
      </c>
      <c r="F260" s="1313">
        <v>1</v>
      </c>
      <c r="G260" s="1342">
        <v>1250000</v>
      </c>
      <c r="H260" s="1342">
        <v>1250000</v>
      </c>
      <c r="I260" s="1340"/>
      <c r="J260" s="1370"/>
    </row>
    <row r="261" spans="1:10" s="1153" customFormat="1" ht="15.75" customHeight="1">
      <c r="A261" s="1310">
        <v>164</v>
      </c>
      <c r="B261" s="1317" t="s">
        <v>872</v>
      </c>
      <c r="C261" s="1340" t="s">
        <v>2872</v>
      </c>
      <c r="D261" s="1313">
        <v>1</v>
      </c>
      <c r="E261" s="1313">
        <v>2</v>
      </c>
      <c r="F261" s="1313">
        <v>1</v>
      </c>
      <c r="G261" s="1342">
        <v>1200000</v>
      </c>
      <c r="H261" s="1342">
        <v>1200000</v>
      </c>
      <c r="I261" s="1316" t="s">
        <v>2873</v>
      </c>
      <c r="J261" s="1370" t="s">
        <v>671</v>
      </c>
    </row>
    <row r="262" spans="1:10" s="1153" customFormat="1" ht="15.75" customHeight="1">
      <c r="A262" s="1310">
        <v>165</v>
      </c>
      <c r="B262" s="1317" t="s">
        <v>502</v>
      </c>
      <c r="C262" s="1316" t="s">
        <v>520</v>
      </c>
      <c r="D262" s="1313"/>
      <c r="E262" s="1313"/>
      <c r="F262" s="1348">
        <v>1</v>
      </c>
      <c r="G262" s="1349">
        <v>1200000</v>
      </c>
      <c r="H262" s="1327">
        <v>1200000</v>
      </c>
      <c r="I262" s="1316" t="s">
        <v>519</v>
      </c>
      <c r="J262" s="1370"/>
    </row>
    <row r="263" spans="1:10" s="1153" customFormat="1" ht="15.75" customHeight="1">
      <c r="A263" s="1310">
        <v>166</v>
      </c>
      <c r="B263" s="1386" t="s">
        <v>775</v>
      </c>
      <c r="C263" s="1386" t="s">
        <v>2874</v>
      </c>
      <c r="D263" s="1313"/>
      <c r="E263" s="1313"/>
      <c r="F263" s="1313"/>
      <c r="G263" s="1342"/>
      <c r="H263" s="1387">
        <v>40000000</v>
      </c>
      <c r="I263" s="1316"/>
      <c r="J263" s="1370"/>
    </row>
    <row r="264" spans="1:10" s="1153" customFormat="1" ht="15.75" customHeight="1">
      <c r="A264" s="1310">
        <v>167</v>
      </c>
      <c r="B264" s="1317" t="s">
        <v>502</v>
      </c>
      <c r="C264" s="1354" t="s">
        <v>2875</v>
      </c>
      <c r="D264" s="1313">
        <v>0</v>
      </c>
      <c r="E264" s="1313">
        <v>1</v>
      </c>
      <c r="F264" s="1313">
        <v>1</v>
      </c>
      <c r="G264" s="1342">
        <v>1120000</v>
      </c>
      <c r="H264" s="1342">
        <v>1120000</v>
      </c>
      <c r="I264" s="1340" t="s">
        <v>1118</v>
      </c>
      <c r="J264" s="1370"/>
    </row>
    <row r="265" spans="1:10" s="1153" customFormat="1" ht="15.75" customHeight="1">
      <c r="A265" s="1310">
        <v>168</v>
      </c>
      <c r="B265" s="1317" t="s">
        <v>1278</v>
      </c>
      <c r="C265" s="1340" t="s">
        <v>2876</v>
      </c>
      <c r="D265" s="1313"/>
      <c r="E265" s="1313"/>
      <c r="F265" s="1313">
        <v>1</v>
      </c>
      <c r="G265" s="1327">
        <v>1035000</v>
      </c>
      <c r="H265" s="1342">
        <v>1035000</v>
      </c>
      <c r="I265" s="1316"/>
      <c r="J265" s="1370" t="s">
        <v>671</v>
      </c>
    </row>
    <row r="266" spans="1:10" s="1153" customFormat="1" ht="15.75" customHeight="1">
      <c r="A266" s="1310">
        <v>169</v>
      </c>
      <c r="B266" s="1317" t="s">
        <v>1294</v>
      </c>
      <c r="C266" s="1340" t="s">
        <v>2877</v>
      </c>
      <c r="D266" s="1313">
        <v>0</v>
      </c>
      <c r="E266" s="1313">
        <v>1</v>
      </c>
      <c r="F266" s="1313">
        <v>1</v>
      </c>
      <c r="G266" s="1342">
        <v>1000000</v>
      </c>
      <c r="H266" s="1342">
        <v>1000000</v>
      </c>
      <c r="I266" s="1316" t="s">
        <v>2878</v>
      </c>
      <c r="J266" s="1370" t="s">
        <v>704</v>
      </c>
    </row>
    <row r="267" spans="1:10" s="1153" customFormat="1" ht="15.75" customHeight="1">
      <c r="A267" s="1310">
        <v>170</v>
      </c>
      <c r="B267" s="1317" t="s">
        <v>1071</v>
      </c>
      <c r="C267" s="1340" t="s">
        <v>2879</v>
      </c>
      <c r="D267" s="1340"/>
      <c r="E267" s="1313"/>
      <c r="F267" s="1313">
        <v>1</v>
      </c>
      <c r="G267" s="1327">
        <v>1000000</v>
      </c>
      <c r="H267" s="1327">
        <v>1000000</v>
      </c>
      <c r="I267" s="1316" t="s">
        <v>1073</v>
      </c>
      <c r="J267" s="1370"/>
    </row>
    <row r="268" spans="1:10" s="1153" customFormat="1" ht="15.75" customHeight="1">
      <c r="A268" s="1310">
        <v>171</v>
      </c>
      <c r="B268" s="1317" t="s">
        <v>856</v>
      </c>
      <c r="C268" s="1340" t="s">
        <v>2880</v>
      </c>
      <c r="D268" s="1340"/>
      <c r="E268" s="1313"/>
      <c r="F268" s="1313">
        <v>2</v>
      </c>
      <c r="G268" s="1327"/>
      <c r="H268" s="1327">
        <v>30000000</v>
      </c>
      <c r="I268" s="1316"/>
      <c r="J268" s="1370"/>
    </row>
    <row r="269" spans="1:10" s="1153" customFormat="1" ht="31.5" customHeight="1">
      <c r="A269" s="1310">
        <v>172</v>
      </c>
      <c r="B269" s="1317" t="s">
        <v>856</v>
      </c>
      <c r="C269" s="1340" t="s">
        <v>2881</v>
      </c>
      <c r="D269" s="1340"/>
      <c r="E269" s="1313">
        <v>1</v>
      </c>
      <c r="F269" s="1313">
        <v>1</v>
      </c>
      <c r="G269" s="1327">
        <v>1000000</v>
      </c>
      <c r="H269" s="1342">
        <v>1000000</v>
      </c>
      <c r="I269" s="1316" t="s">
        <v>1015</v>
      </c>
      <c r="J269" s="1379" t="s">
        <v>671</v>
      </c>
    </row>
    <row r="270" spans="1:10" s="1153" customFormat="1" ht="15.75" customHeight="1">
      <c r="A270" s="1310">
        <v>173</v>
      </c>
      <c r="B270" s="1317" t="s">
        <v>1040</v>
      </c>
      <c r="C270" s="1340" t="s">
        <v>2882</v>
      </c>
      <c r="D270" s="1313">
        <v>0</v>
      </c>
      <c r="E270" s="1313">
        <v>1</v>
      </c>
      <c r="F270" s="1313">
        <v>1</v>
      </c>
      <c r="G270" s="1327">
        <v>1000000</v>
      </c>
      <c r="H270" s="1342">
        <v>1000000</v>
      </c>
      <c r="I270" s="1316" t="s">
        <v>2883</v>
      </c>
      <c r="J270" s="1370"/>
    </row>
    <row r="271" spans="1:10" s="1153" customFormat="1" ht="15.75" customHeight="1">
      <c r="A271" s="1310">
        <v>174</v>
      </c>
      <c r="B271" s="1317" t="s">
        <v>2758</v>
      </c>
      <c r="C271" s="1340" t="s">
        <v>2884</v>
      </c>
      <c r="D271" s="1313">
        <v>3</v>
      </c>
      <c r="E271" s="1313">
        <v>4</v>
      </c>
      <c r="F271" s="1313">
        <v>1</v>
      </c>
      <c r="G271" s="1327">
        <v>1000000</v>
      </c>
      <c r="H271" s="1342">
        <v>1000000</v>
      </c>
      <c r="I271" s="1340" t="s">
        <v>2885</v>
      </c>
      <c r="J271" s="1370"/>
    </row>
    <row r="272" spans="1:10" s="1153" customFormat="1" ht="15.75" customHeight="1">
      <c r="A272" s="1310">
        <v>175</v>
      </c>
      <c r="B272" s="1317" t="s">
        <v>1261</v>
      </c>
      <c r="C272" s="1340" t="s">
        <v>2828</v>
      </c>
      <c r="D272" s="1313">
        <v>0</v>
      </c>
      <c r="E272" s="1313">
        <v>1</v>
      </c>
      <c r="F272" s="1313">
        <v>1</v>
      </c>
      <c r="G272" s="1342">
        <v>1000000</v>
      </c>
      <c r="H272" s="1342">
        <v>1000000</v>
      </c>
      <c r="I272" s="1316" t="s">
        <v>2840</v>
      </c>
      <c r="J272" s="1370" t="s">
        <v>704</v>
      </c>
    </row>
    <row r="273" spans="1:26" s="1153" customFormat="1" ht="15.75" customHeight="1">
      <c r="A273" s="1310">
        <v>176</v>
      </c>
      <c r="B273" s="1317" t="s">
        <v>1025</v>
      </c>
      <c r="C273" s="1340" t="s">
        <v>2886</v>
      </c>
      <c r="D273" s="1340"/>
      <c r="E273" s="1340">
        <v>1</v>
      </c>
      <c r="F273" s="1313">
        <v>1</v>
      </c>
      <c r="G273" s="1327">
        <v>1000000</v>
      </c>
      <c r="H273" s="1327">
        <v>1000000</v>
      </c>
      <c r="I273" s="1340"/>
      <c r="J273" s="1370" t="s">
        <v>671</v>
      </c>
    </row>
    <row r="274" spans="1:26" s="1153" customFormat="1" ht="15.75" customHeight="1">
      <c r="A274" s="1310">
        <v>177</v>
      </c>
      <c r="B274" s="1317" t="s">
        <v>1043</v>
      </c>
      <c r="C274" s="1340" t="s">
        <v>2887</v>
      </c>
      <c r="D274" s="1313">
        <v>0</v>
      </c>
      <c r="E274" s="1313">
        <v>1</v>
      </c>
      <c r="F274" s="1313">
        <v>1</v>
      </c>
      <c r="G274" s="1325">
        <v>1000000</v>
      </c>
      <c r="H274" s="1325">
        <v>1000000</v>
      </c>
      <c r="I274" s="1340" t="s">
        <v>2888</v>
      </c>
      <c r="J274" s="1370" t="s">
        <v>704</v>
      </c>
    </row>
    <row r="275" spans="1:26" s="1153" customFormat="1" ht="15.75" customHeight="1">
      <c r="A275" s="1310">
        <v>178</v>
      </c>
      <c r="B275" s="1317" t="s">
        <v>502</v>
      </c>
      <c r="C275" s="1340" t="s">
        <v>2889</v>
      </c>
      <c r="D275" s="1313">
        <v>5</v>
      </c>
      <c r="E275" s="1313">
        <v>6</v>
      </c>
      <c r="F275" s="1313">
        <v>1</v>
      </c>
      <c r="G275" s="1342">
        <v>1000000</v>
      </c>
      <c r="H275" s="1342">
        <v>1000000</v>
      </c>
      <c r="I275" s="1316"/>
      <c r="J275" s="1370"/>
    </row>
    <row r="276" spans="1:26" s="1153" customFormat="1" ht="15.75" customHeight="1">
      <c r="A276" s="1310">
        <v>179</v>
      </c>
      <c r="B276" s="1317" t="s">
        <v>701</v>
      </c>
      <c r="C276" s="1317" t="s">
        <v>2890</v>
      </c>
      <c r="D276" s="1313">
        <v>3</v>
      </c>
      <c r="E276" s="1313">
        <v>6</v>
      </c>
      <c r="F276" s="1313">
        <v>1</v>
      </c>
      <c r="G276" s="1342">
        <v>1350000</v>
      </c>
      <c r="H276" s="1342">
        <v>1000000</v>
      </c>
      <c r="I276" s="1340" t="s">
        <v>2891</v>
      </c>
      <c r="J276" s="1370" t="s">
        <v>704</v>
      </c>
    </row>
    <row r="277" spans="1:26" s="1153" customFormat="1" ht="15.75" customHeight="1">
      <c r="A277" s="1310">
        <v>180</v>
      </c>
      <c r="B277" s="1317" t="s">
        <v>1217</v>
      </c>
      <c r="C277" s="1340" t="s">
        <v>2892</v>
      </c>
      <c r="D277" s="1313">
        <v>0</v>
      </c>
      <c r="E277" s="1340">
        <v>1</v>
      </c>
      <c r="F277" s="1313">
        <v>1</v>
      </c>
      <c r="G277" s="1362">
        <v>1000000</v>
      </c>
      <c r="H277" s="1325">
        <v>1000000</v>
      </c>
      <c r="I277" s="1340" t="s">
        <v>2893</v>
      </c>
      <c r="J277" s="1370" t="s">
        <v>704</v>
      </c>
    </row>
    <row r="278" spans="1:26" s="1153" customFormat="1" ht="15.75" customHeight="1">
      <c r="A278" s="1310">
        <v>181</v>
      </c>
      <c r="B278" s="1400" t="s">
        <v>1163</v>
      </c>
      <c r="C278" s="1388" t="s">
        <v>2894</v>
      </c>
      <c r="F278" s="1313">
        <v>1</v>
      </c>
      <c r="G278" s="1327">
        <v>30000000</v>
      </c>
      <c r="H278" s="1327">
        <v>30000000</v>
      </c>
      <c r="I278" s="1389" t="s">
        <v>2895</v>
      </c>
      <c r="J278" s="1370"/>
    </row>
    <row r="279" spans="1:26" s="1153" customFormat="1" ht="15.75" customHeight="1">
      <c r="A279" s="1310">
        <v>182</v>
      </c>
      <c r="B279" s="1317" t="s">
        <v>1190</v>
      </c>
      <c r="C279" s="1340" t="s">
        <v>994</v>
      </c>
      <c r="D279" s="1313">
        <v>0</v>
      </c>
      <c r="E279" s="1313">
        <v>1</v>
      </c>
      <c r="F279" s="1313">
        <v>1</v>
      </c>
      <c r="G279" s="1327">
        <v>1000000</v>
      </c>
      <c r="H279" s="1342">
        <v>1000000</v>
      </c>
      <c r="I279" s="1340"/>
      <c r="J279" s="1379"/>
    </row>
    <row r="280" spans="1:26" s="1153" customFormat="1" ht="15.75" customHeight="1">
      <c r="A280" s="1310">
        <v>183</v>
      </c>
      <c r="B280" s="1317" t="s">
        <v>1250</v>
      </c>
      <c r="C280" s="1340" t="s">
        <v>2767</v>
      </c>
      <c r="D280" s="1313">
        <v>1</v>
      </c>
      <c r="E280" s="1313">
        <v>1</v>
      </c>
      <c r="F280" s="1313">
        <v>1</v>
      </c>
      <c r="G280" s="1342">
        <v>1000000</v>
      </c>
      <c r="H280" s="1342">
        <v>1000000</v>
      </c>
      <c r="I280" s="1316" t="s">
        <v>2896</v>
      </c>
      <c r="J280" s="1370"/>
    </row>
    <row r="281" spans="1:26" s="1153" customFormat="1" ht="15.75" customHeight="1">
      <c r="A281" s="1310">
        <v>184</v>
      </c>
      <c r="B281" s="1317" t="s">
        <v>967</v>
      </c>
      <c r="C281" s="1317" t="s">
        <v>2897</v>
      </c>
      <c r="D281" s="1313"/>
      <c r="E281" s="1313">
        <v>40</v>
      </c>
      <c r="F281" s="1313">
        <v>40</v>
      </c>
      <c r="G281" s="1342">
        <v>950000</v>
      </c>
      <c r="H281" s="1342">
        <v>38000000</v>
      </c>
      <c r="I281" s="1316" t="s">
        <v>2898</v>
      </c>
      <c r="J281" s="1379" t="s">
        <v>704</v>
      </c>
    </row>
    <row r="282" spans="1:26" s="1153" customFormat="1" ht="15.75" customHeight="1">
      <c r="A282" s="1310">
        <v>185</v>
      </c>
      <c r="B282" s="1401" t="s">
        <v>1957</v>
      </c>
      <c r="C282" s="1390" t="s">
        <v>2899</v>
      </c>
      <c r="D282" s="1390"/>
      <c r="E282" s="1343"/>
      <c r="F282" s="1343"/>
      <c r="G282" s="1391"/>
      <c r="H282" s="1391">
        <v>70000000</v>
      </c>
      <c r="I282" s="1383"/>
      <c r="J282" s="1392"/>
    </row>
    <row r="283" spans="1:26" s="1153" customFormat="1" ht="15.75" customHeight="1">
      <c r="A283" s="1310">
        <v>186</v>
      </c>
      <c r="B283" s="1407" t="s">
        <v>2900</v>
      </c>
      <c r="C283" s="1393" t="s">
        <v>2901</v>
      </c>
      <c r="D283" s="1393"/>
      <c r="E283" s="1393"/>
      <c r="F283" s="1394"/>
      <c r="G283" s="1395"/>
      <c r="H283" s="1391">
        <v>100000000</v>
      </c>
      <c r="I283" s="1396"/>
      <c r="J283" s="1397"/>
    </row>
    <row r="284" spans="1:26" ht="15.75" customHeight="1">
      <c r="A284" s="974" t="s">
        <v>7</v>
      </c>
      <c r="B284" s="975"/>
      <c r="C284" s="975"/>
      <c r="D284" s="975"/>
      <c r="E284" s="975"/>
      <c r="F284" s="975"/>
      <c r="G284" s="976"/>
      <c r="H284" s="1285">
        <f>SUM(H98:H283)</f>
        <v>1937294100</v>
      </c>
      <c r="J284" s="687"/>
    </row>
    <row r="285" spans="1:26" ht="15.75" customHeight="1">
      <c r="C285" s="687"/>
      <c r="F285" s="208"/>
      <c r="J285" s="687"/>
    </row>
    <row r="286" spans="1:26" ht="15" customHeight="1">
      <c r="A286" s="772" t="s">
        <v>2902</v>
      </c>
      <c r="B286" s="769"/>
      <c r="C286" s="769"/>
      <c r="F286" s="208"/>
      <c r="J286" s="687"/>
    </row>
    <row r="287" spans="1:26" ht="15" customHeight="1">
      <c r="A287" s="770"/>
      <c r="B287" s="771"/>
      <c r="C287" s="771"/>
      <c r="F287" s="208"/>
      <c r="J287" s="687"/>
    </row>
    <row r="288" spans="1:26" ht="15.75" customHeight="1">
      <c r="A288" s="337" t="s">
        <v>657</v>
      </c>
      <c r="B288" s="1408" t="s">
        <v>940</v>
      </c>
      <c r="C288" s="734" t="s">
        <v>659</v>
      </c>
      <c r="D288" s="735"/>
      <c r="E288" s="736"/>
      <c r="F288" s="212" t="s">
        <v>661</v>
      </c>
      <c r="G288" s="1100" t="s">
        <v>662</v>
      </c>
      <c r="H288" s="1100" t="s">
        <v>663</v>
      </c>
      <c r="I288" s="337" t="s">
        <v>664</v>
      </c>
      <c r="J288" s="773"/>
      <c r="K288" s="306"/>
      <c r="L288" s="306"/>
      <c r="M288" s="306"/>
      <c r="N288" s="306"/>
      <c r="O288" s="306"/>
      <c r="P288" s="306"/>
      <c r="Q288" s="306"/>
      <c r="R288" s="306"/>
      <c r="S288" s="306"/>
      <c r="T288" s="306"/>
      <c r="U288" s="306"/>
      <c r="V288" s="306"/>
      <c r="W288" s="306"/>
      <c r="X288" s="306"/>
      <c r="Y288" s="306"/>
      <c r="Z288" s="306"/>
    </row>
    <row r="289" spans="1:26" ht="15.75" customHeight="1">
      <c r="A289" s="774"/>
      <c r="B289" s="1408"/>
      <c r="C289" s="775"/>
      <c r="D289" s="213" t="s">
        <v>2645</v>
      </c>
      <c r="E289" s="213" t="s">
        <v>666</v>
      </c>
      <c r="F289" s="349"/>
      <c r="G289" s="1101"/>
      <c r="H289" s="1101"/>
      <c r="I289" s="774"/>
      <c r="J289" s="773"/>
      <c r="K289" s="306"/>
      <c r="L289" s="306"/>
      <c r="M289" s="306"/>
      <c r="N289" s="306"/>
      <c r="O289" s="306"/>
      <c r="P289" s="306"/>
      <c r="Q289" s="306"/>
      <c r="R289" s="306"/>
      <c r="S289" s="306"/>
      <c r="T289" s="306"/>
      <c r="U289" s="306"/>
      <c r="V289" s="306"/>
      <c r="W289" s="306"/>
      <c r="X289" s="306"/>
      <c r="Y289" s="306"/>
      <c r="Z289" s="306"/>
    </row>
    <row r="290" spans="1:26" ht="15.75" customHeight="1">
      <c r="A290" s="712">
        <v>1</v>
      </c>
      <c r="B290" s="737" t="s">
        <v>832</v>
      </c>
      <c r="C290" s="737" t="s">
        <v>2903</v>
      </c>
      <c r="D290" s="299" t="s">
        <v>830</v>
      </c>
      <c r="E290" s="299">
        <v>15</v>
      </c>
      <c r="F290" s="697">
        <v>1000000</v>
      </c>
      <c r="G290" s="1088">
        <v>15000000</v>
      </c>
      <c r="H290" s="1088"/>
      <c r="I290" s="304" t="s">
        <v>671</v>
      </c>
      <c r="J290" s="687"/>
    </row>
    <row r="291" spans="1:26" ht="15.75" customHeight="1">
      <c r="A291" s="712">
        <v>2</v>
      </c>
      <c r="B291" s="686" t="s">
        <v>788</v>
      </c>
      <c r="C291" s="737" t="s">
        <v>2904</v>
      </c>
      <c r="D291" s="299" t="s">
        <v>849</v>
      </c>
      <c r="E291" s="299">
        <v>6</v>
      </c>
      <c r="F291" s="697">
        <v>1134420</v>
      </c>
      <c r="G291" s="1268">
        <v>6806520</v>
      </c>
      <c r="H291" s="1268" t="s">
        <v>889</v>
      </c>
      <c r="I291" s="302" t="s">
        <v>671</v>
      </c>
      <c r="J291" s="687"/>
    </row>
    <row r="292" spans="1:26" ht="15.75" customHeight="1">
      <c r="A292" s="712">
        <v>3</v>
      </c>
      <c r="B292" s="686" t="s">
        <v>788</v>
      </c>
      <c r="C292" s="737" t="s">
        <v>2905</v>
      </c>
      <c r="D292" s="299" t="s">
        <v>830</v>
      </c>
      <c r="E292" s="299">
        <v>3</v>
      </c>
      <c r="F292" s="697">
        <v>1410810</v>
      </c>
      <c r="G292" s="1268">
        <v>4232430</v>
      </c>
      <c r="H292" s="1268" t="s">
        <v>889</v>
      </c>
      <c r="I292" s="302" t="s">
        <v>671</v>
      </c>
      <c r="J292" s="687"/>
    </row>
    <row r="293" spans="1:26" ht="15.75" customHeight="1">
      <c r="A293" s="712">
        <v>4</v>
      </c>
      <c r="B293" s="686" t="s">
        <v>788</v>
      </c>
      <c r="C293" s="737" t="s">
        <v>2906</v>
      </c>
      <c r="D293" s="299" t="s">
        <v>830</v>
      </c>
      <c r="E293" s="299">
        <v>3</v>
      </c>
      <c r="F293" s="697">
        <v>1086690</v>
      </c>
      <c r="G293" s="1268">
        <v>3260070</v>
      </c>
      <c r="H293" s="1268" t="s">
        <v>889</v>
      </c>
      <c r="I293" s="302" t="s">
        <v>671</v>
      </c>
      <c r="J293" s="687"/>
    </row>
    <row r="294" spans="1:26" ht="15.75" customHeight="1">
      <c r="A294" s="712">
        <v>5</v>
      </c>
      <c r="B294" s="686" t="s">
        <v>788</v>
      </c>
      <c r="C294" s="737" t="s">
        <v>2907</v>
      </c>
      <c r="D294" s="299" t="s">
        <v>830</v>
      </c>
      <c r="E294" s="299">
        <v>3</v>
      </c>
      <c r="F294" s="697">
        <v>1377510</v>
      </c>
      <c r="G294" s="1268">
        <v>4132530</v>
      </c>
      <c r="H294" s="1268" t="s">
        <v>889</v>
      </c>
      <c r="I294" s="302" t="s">
        <v>671</v>
      </c>
      <c r="J294" s="687"/>
    </row>
    <row r="295" spans="1:26" ht="15.75" customHeight="1">
      <c r="A295" s="712">
        <v>6</v>
      </c>
      <c r="B295" s="686" t="s">
        <v>788</v>
      </c>
      <c r="C295" s="737" t="s">
        <v>2908</v>
      </c>
      <c r="D295" s="299" t="s">
        <v>830</v>
      </c>
      <c r="E295" s="299">
        <v>12</v>
      </c>
      <c r="F295" s="697">
        <v>1787100</v>
      </c>
      <c r="G295" s="1268">
        <v>21445200</v>
      </c>
      <c r="H295" s="1268" t="s">
        <v>889</v>
      </c>
      <c r="I295" s="302" t="s">
        <v>671</v>
      </c>
      <c r="J295" s="687"/>
    </row>
    <row r="296" spans="1:26" ht="15.75" customHeight="1">
      <c r="A296" s="712">
        <v>7</v>
      </c>
      <c r="B296" s="686" t="s">
        <v>788</v>
      </c>
      <c r="C296" s="737" t="s">
        <v>2909</v>
      </c>
      <c r="D296" s="299" t="s">
        <v>830</v>
      </c>
      <c r="E296" s="299">
        <v>12</v>
      </c>
      <c r="F296" s="697">
        <v>1353090</v>
      </c>
      <c r="G296" s="1268">
        <v>16237080</v>
      </c>
      <c r="H296" s="1268" t="s">
        <v>889</v>
      </c>
      <c r="I296" s="302" t="s">
        <v>671</v>
      </c>
      <c r="J296" s="687"/>
    </row>
    <row r="297" spans="1:26" ht="15.75" customHeight="1">
      <c r="A297" s="712">
        <v>8</v>
      </c>
      <c r="B297" s="686" t="s">
        <v>788</v>
      </c>
      <c r="C297" s="737" t="s">
        <v>2910</v>
      </c>
      <c r="D297" s="299" t="s">
        <v>830</v>
      </c>
      <c r="E297" s="299">
        <v>4</v>
      </c>
      <c r="F297" s="697">
        <v>1486290</v>
      </c>
      <c r="G297" s="1268">
        <v>5945160</v>
      </c>
      <c r="H297" s="1268" t="s">
        <v>889</v>
      </c>
      <c r="I297" s="302" t="s">
        <v>671</v>
      </c>
      <c r="J297" s="687"/>
    </row>
    <row r="298" spans="1:26" ht="15.75" customHeight="1">
      <c r="A298" s="712">
        <v>9</v>
      </c>
      <c r="B298" s="686" t="s">
        <v>788</v>
      </c>
      <c r="C298" s="737" t="s">
        <v>2911</v>
      </c>
      <c r="D298" s="299" t="s">
        <v>830</v>
      </c>
      <c r="E298" s="299">
        <v>2</v>
      </c>
      <c r="F298" s="697">
        <v>1410810</v>
      </c>
      <c r="G298" s="1268">
        <v>2821620</v>
      </c>
      <c r="H298" s="1268" t="s">
        <v>889</v>
      </c>
      <c r="I298" s="302" t="s">
        <v>671</v>
      </c>
      <c r="J298" s="687"/>
    </row>
    <row r="299" spans="1:26" ht="15.75" customHeight="1">
      <c r="A299" s="712">
        <v>10</v>
      </c>
      <c r="B299" s="686" t="s">
        <v>788</v>
      </c>
      <c r="C299" s="737" t="s">
        <v>2912</v>
      </c>
      <c r="D299" s="299" t="s">
        <v>830</v>
      </c>
      <c r="E299" s="299">
        <v>2</v>
      </c>
      <c r="F299" s="697">
        <v>1276500</v>
      </c>
      <c r="G299" s="1268">
        <v>2553000</v>
      </c>
      <c r="H299" s="1268" t="s">
        <v>889</v>
      </c>
      <c r="I299" s="302" t="s">
        <v>671</v>
      </c>
      <c r="J299" s="687"/>
    </row>
    <row r="300" spans="1:26" ht="15.75" customHeight="1">
      <c r="A300" s="712">
        <v>11</v>
      </c>
      <c r="B300" s="686" t="s">
        <v>788</v>
      </c>
      <c r="C300" s="737" t="s">
        <v>2913</v>
      </c>
      <c r="D300" s="299" t="s">
        <v>849</v>
      </c>
      <c r="E300" s="299">
        <v>2</v>
      </c>
      <c r="F300" s="697">
        <v>1486290</v>
      </c>
      <c r="G300" s="1268">
        <v>2972580</v>
      </c>
      <c r="H300" s="1268" t="s">
        <v>889</v>
      </c>
      <c r="I300" s="302" t="s">
        <v>671</v>
      </c>
      <c r="J300" s="687"/>
    </row>
    <row r="301" spans="1:26" ht="35.25" customHeight="1">
      <c r="A301" s="712">
        <v>12</v>
      </c>
      <c r="B301" s="686" t="s">
        <v>788</v>
      </c>
      <c r="C301" s="776" t="s">
        <v>2914</v>
      </c>
      <c r="D301" s="302" t="s">
        <v>849</v>
      </c>
      <c r="E301" s="302">
        <v>1</v>
      </c>
      <c r="F301" s="684">
        <v>14069250</v>
      </c>
      <c r="G301" s="1262">
        <v>14069250</v>
      </c>
      <c r="H301" s="1262" t="s">
        <v>889</v>
      </c>
      <c r="I301" s="302" t="s">
        <v>671</v>
      </c>
      <c r="J301" s="687"/>
    </row>
    <row r="302" spans="1:26" ht="15.75" customHeight="1">
      <c r="A302" s="712">
        <v>13</v>
      </c>
      <c r="B302" s="686" t="s">
        <v>788</v>
      </c>
      <c r="C302" s="777" t="s">
        <v>2915</v>
      </c>
      <c r="D302" s="299" t="s">
        <v>849</v>
      </c>
      <c r="E302" s="299">
        <v>1</v>
      </c>
      <c r="F302" s="697">
        <v>3006990</v>
      </c>
      <c r="G302" s="1268">
        <v>3006990</v>
      </c>
      <c r="H302" s="1268" t="s">
        <v>889</v>
      </c>
      <c r="I302" s="302" t="s">
        <v>671</v>
      </c>
      <c r="J302" s="687"/>
    </row>
    <row r="303" spans="1:26" ht="15.75" customHeight="1">
      <c r="A303" s="712">
        <v>14</v>
      </c>
      <c r="B303" s="686" t="s">
        <v>788</v>
      </c>
      <c r="C303" s="777" t="s">
        <v>2916</v>
      </c>
      <c r="D303" s="299" t="s">
        <v>849</v>
      </c>
      <c r="E303" s="299">
        <v>2</v>
      </c>
      <c r="F303" s="697">
        <v>1300920</v>
      </c>
      <c r="G303" s="1268">
        <v>2601840</v>
      </c>
      <c r="H303" s="1268" t="s">
        <v>889</v>
      </c>
      <c r="I303" s="302" t="s">
        <v>671</v>
      </c>
      <c r="J303" s="687"/>
    </row>
    <row r="304" spans="1:26" ht="15.75" customHeight="1">
      <c r="A304" s="712">
        <v>15</v>
      </c>
      <c r="B304" s="686" t="s">
        <v>788</v>
      </c>
      <c r="C304" s="776" t="s">
        <v>2917</v>
      </c>
      <c r="D304" s="299" t="s">
        <v>849</v>
      </c>
      <c r="E304" s="299">
        <v>1</v>
      </c>
      <c r="F304" s="697">
        <v>5493390</v>
      </c>
      <c r="G304" s="1268">
        <v>5493390</v>
      </c>
      <c r="H304" s="1268" t="s">
        <v>889</v>
      </c>
      <c r="I304" s="302" t="s">
        <v>671</v>
      </c>
      <c r="J304" s="687"/>
    </row>
    <row r="305" spans="1:10" ht="15.75" customHeight="1">
      <c r="A305" s="712">
        <v>16</v>
      </c>
      <c r="B305" s="686" t="s">
        <v>788</v>
      </c>
      <c r="C305" s="777" t="s">
        <v>2918</v>
      </c>
      <c r="D305" s="299" t="s">
        <v>849</v>
      </c>
      <c r="E305" s="299">
        <v>1</v>
      </c>
      <c r="F305" s="697">
        <v>1195470</v>
      </c>
      <c r="G305" s="1268">
        <v>1195470</v>
      </c>
      <c r="H305" s="1268" t="s">
        <v>889</v>
      </c>
      <c r="I305" s="302" t="s">
        <v>671</v>
      </c>
      <c r="J305" s="687"/>
    </row>
    <row r="306" spans="1:10" ht="15.75" customHeight="1">
      <c r="A306" s="712">
        <v>17</v>
      </c>
      <c r="B306" s="686" t="s">
        <v>788</v>
      </c>
      <c r="C306" s="777" t="s">
        <v>2919</v>
      </c>
      <c r="D306" s="299" t="s">
        <v>849</v>
      </c>
      <c r="E306" s="299">
        <v>2</v>
      </c>
      <c r="F306" s="697">
        <v>1062270</v>
      </c>
      <c r="G306" s="1268">
        <v>2124540</v>
      </c>
      <c r="H306" s="1268" t="s">
        <v>889</v>
      </c>
      <c r="I306" s="302" t="s">
        <v>671</v>
      </c>
      <c r="J306" s="687"/>
    </row>
    <row r="307" spans="1:10" ht="15.75" customHeight="1">
      <c r="A307" s="712">
        <v>18</v>
      </c>
      <c r="B307" s="686" t="s">
        <v>788</v>
      </c>
      <c r="C307" s="777" t="s">
        <v>2920</v>
      </c>
      <c r="D307" s="299" t="s">
        <v>849</v>
      </c>
      <c r="E307" s="299">
        <v>4</v>
      </c>
      <c r="F307" s="697">
        <v>1733820</v>
      </c>
      <c r="G307" s="1268">
        <v>6935280</v>
      </c>
      <c r="H307" s="1268" t="s">
        <v>889</v>
      </c>
      <c r="I307" s="302" t="s">
        <v>671</v>
      </c>
      <c r="J307" s="687"/>
    </row>
    <row r="308" spans="1:10" ht="15.75" customHeight="1">
      <c r="A308" s="712">
        <v>19</v>
      </c>
      <c r="B308" s="686" t="s">
        <v>788</v>
      </c>
      <c r="C308" s="777" t="s">
        <v>2921</v>
      </c>
      <c r="D308" s="299" t="s">
        <v>849</v>
      </c>
      <c r="E308" s="299">
        <v>2</v>
      </c>
      <c r="F308" s="697">
        <v>1762680</v>
      </c>
      <c r="G308" s="1268">
        <v>3525360</v>
      </c>
      <c r="H308" s="1268" t="s">
        <v>889</v>
      </c>
      <c r="I308" s="302" t="s">
        <v>671</v>
      </c>
      <c r="J308" s="687"/>
    </row>
    <row r="309" spans="1:10" ht="15.75" customHeight="1">
      <c r="A309" s="712">
        <v>20</v>
      </c>
      <c r="B309" s="686" t="s">
        <v>788</v>
      </c>
      <c r="C309" s="777" t="s">
        <v>2922</v>
      </c>
      <c r="D309" s="299" t="s">
        <v>849</v>
      </c>
      <c r="E309" s="299">
        <v>2</v>
      </c>
      <c r="F309" s="697">
        <v>1596180</v>
      </c>
      <c r="G309" s="1268">
        <v>3192360</v>
      </c>
      <c r="H309" s="1268" t="s">
        <v>889</v>
      </c>
      <c r="I309" s="302" t="s">
        <v>671</v>
      </c>
      <c r="J309" s="687"/>
    </row>
    <row r="310" spans="1:10" ht="15.75" customHeight="1">
      <c r="A310" s="712">
        <v>21</v>
      </c>
      <c r="B310" s="686" t="s">
        <v>788</v>
      </c>
      <c r="C310" s="777" t="s">
        <v>2923</v>
      </c>
      <c r="D310" s="299" t="s">
        <v>849</v>
      </c>
      <c r="E310" s="299">
        <v>2</v>
      </c>
      <c r="F310" s="697">
        <v>2192250</v>
      </c>
      <c r="G310" s="1268">
        <v>4384500</v>
      </c>
      <c r="H310" s="1268" t="s">
        <v>889</v>
      </c>
      <c r="I310" s="302" t="s">
        <v>671</v>
      </c>
      <c r="J310" s="687"/>
    </row>
    <row r="311" spans="1:10" ht="15.75" customHeight="1">
      <c r="A311" s="712">
        <v>22</v>
      </c>
      <c r="B311" s="686" t="s">
        <v>788</v>
      </c>
      <c r="C311" s="777" t="s">
        <v>2924</v>
      </c>
      <c r="D311" s="299" t="s">
        <v>849</v>
      </c>
      <c r="E311" s="299">
        <v>1</v>
      </c>
      <c r="F311" s="697">
        <v>2192250</v>
      </c>
      <c r="G311" s="1268">
        <v>2192250</v>
      </c>
      <c r="H311" s="1268" t="s">
        <v>889</v>
      </c>
      <c r="I311" s="302" t="s">
        <v>671</v>
      </c>
      <c r="J311" s="687"/>
    </row>
    <row r="312" spans="1:10" ht="15.75" customHeight="1">
      <c r="A312" s="712">
        <v>23</v>
      </c>
      <c r="B312" s="686" t="s">
        <v>788</v>
      </c>
      <c r="C312" s="737" t="s">
        <v>2925</v>
      </c>
      <c r="D312" s="299" t="s">
        <v>849</v>
      </c>
      <c r="E312" s="299">
        <v>2</v>
      </c>
      <c r="F312" s="697">
        <v>1195470</v>
      </c>
      <c r="G312" s="1268">
        <v>2390940</v>
      </c>
      <c r="H312" s="1268" t="s">
        <v>889</v>
      </c>
      <c r="I312" s="302" t="s">
        <v>671</v>
      </c>
      <c r="J312" s="687"/>
    </row>
    <row r="313" spans="1:10" ht="15.75" customHeight="1">
      <c r="A313" s="712">
        <v>24</v>
      </c>
      <c r="B313" s="686" t="s">
        <v>788</v>
      </c>
      <c r="C313" s="737" t="s">
        <v>2926</v>
      </c>
      <c r="D313" s="299" t="s">
        <v>849</v>
      </c>
      <c r="E313" s="299">
        <v>2</v>
      </c>
      <c r="F313" s="697">
        <v>1843170</v>
      </c>
      <c r="G313" s="1268">
        <v>3686340</v>
      </c>
      <c r="H313" s="1268" t="s">
        <v>889</v>
      </c>
      <c r="I313" s="302" t="s">
        <v>671</v>
      </c>
      <c r="J313" s="687"/>
    </row>
    <row r="314" spans="1:10" ht="15.75" customHeight="1">
      <c r="A314" s="712">
        <v>25</v>
      </c>
      <c r="B314" s="147" t="s">
        <v>929</v>
      </c>
      <c r="C314" s="737" t="s">
        <v>2927</v>
      </c>
      <c r="D314" s="303"/>
      <c r="E314" s="304">
        <v>1</v>
      </c>
      <c r="F314" s="697">
        <v>1000000</v>
      </c>
      <c r="G314" s="1088">
        <v>1000000</v>
      </c>
      <c r="H314" s="1088" t="s">
        <v>699</v>
      </c>
      <c r="I314" s="700" t="s">
        <v>753</v>
      </c>
      <c r="J314" s="687"/>
    </row>
    <row r="315" spans="1:10" ht="15.75" customHeight="1">
      <c r="A315" s="712">
        <v>26</v>
      </c>
      <c r="B315" s="147" t="s">
        <v>929</v>
      </c>
      <c r="C315" s="737" t="s">
        <v>2928</v>
      </c>
      <c r="D315" s="303"/>
      <c r="E315" s="304">
        <v>2</v>
      </c>
      <c r="F315" s="697">
        <v>2000000</v>
      </c>
      <c r="G315" s="1088">
        <v>4000000</v>
      </c>
      <c r="H315" s="1088" t="s">
        <v>2929</v>
      </c>
      <c r="I315" s="700" t="s">
        <v>700</v>
      </c>
      <c r="J315" s="687"/>
    </row>
    <row r="316" spans="1:10" ht="15.75" customHeight="1">
      <c r="A316" s="712">
        <v>27</v>
      </c>
      <c r="B316" s="737" t="s">
        <v>919</v>
      </c>
      <c r="C316" s="737" t="s">
        <v>2930</v>
      </c>
      <c r="D316" s="299" t="s">
        <v>915</v>
      </c>
      <c r="E316" s="299">
        <v>1</v>
      </c>
      <c r="F316" s="697">
        <v>4000000</v>
      </c>
      <c r="G316" s="1088">
        <v>4000000</v>
      </c>
      <c r="H316" s="1088"/>
      <c r="I316" s="700" t="s">
        <v>671</v>
      </c>
      <c r="J316" s="687"/>
    </row>
    <row r="317" spans="1:10" ht="15.75" customHeight="1">
      <c r="A317" s="712">
        <v>28</v>
      </c>
      <c r="B317" s="737" t="s">
        <v>919</v>
      </c>
      <c r="C317" s="737" t="s">
        <v>2931</v>
      </c>
      <c r="D317" s="299" t="s">
        <v>915</v>
      </c>
      <c r="E317" s="299">
        <v>1</v>
      </c>
      <c r="F317" s="697">
        <v>2000000</v>
      </c>
      <c r="G317" s="1088">
        <v>2000000</v>
      </c>
      <c r="H317" s="1088"/>
      <c r="I317" s="700" t="s">
        <v>671</v>
      </c>
      <c r="J317" s="687"/>
    </row>
    <row r="318" spans="1:10" ht="15.75" customHeight="1">
      <c r="A318" s="712">
        <v>29</v>
      </c>
      <c r="B318" s="737" t="s">
        <v>919</v>
      </c>
      <c r="C318" s="737" t="s">
        <v>2932</v>
      </c>
      <c r="D318" s="299" t="s">
        <v>915</v>
      </c>
      <c r="E318" s="299">
        <v>2</v>
      </c>
      <c r="F318" s="697">
        <v>3000000</v>
      </c>
      <c r="G318" s="1088">
        <v>3000000</v>
      </c>
      <c r="H318" s="1088"/>
      <c r="I318" s="700" t="s">
        <v>671</v>
      </c>
      <c r="J318" s="687"/>
    </row>
    <row r="319" spans="1:10" ht="15.75" customHeight="1">
      <c r="A319" s="712">
        <v>30</v>
      </c>
      <c r="B319" s="737" t="s">
        <v>919</v>
      </c>
      <c r="C319" s="737" t="s">
        <v>2933</v>
      </c>
      <c r="D319" s="299" t="s">
        <v>830</v>
      </c>
      <c r="E319" s="299">
        <v>1</v>
      </c>
      <c r="F319" s="697">
        <v>1000000</v>
      </c>
      <c r="G319" s="1088">
        <v>1000000</v>
      </c>
      <c r="H319" s="1088"/>
      <c r="I319" s="700" t="s">
        <v>671</v>
      </c>
      <c r="J319" s="687"/>
    </row>
    <row r="320" spans="1:10" ht="15.75" customHeight="1">
      <c r="B320" s="974" t="s">
        <v>7</v>
      </c>
      <c r="C320" s="975"/>
      <c r="D320" s="975"/>
      <c r="E320" s="975"/>
      <c r="F320" s="976"/>
      <c r="G320" s="1285">
        <f>SUM(G290:G319)</f>
        <v>155204700</v>
      </c>
      <c r="J320" s="687"/>
    </row>
    <row r="321" spans="2:10" ht="15.75" customHeight="1">
      <c r="C321" s="687"/>
      <c r="F321" s="778"/>
      <c r="J321" s="687"/>
    </row>
    <row r="322" spans="2:10" ht="15.75" customHeight="1">
      <c r="B322" s="208"/>
      <c r="C322" s="1055"/>
      <c r="D322" s="1055"/>
      <c r="F322" s="687"/>
      <c r="G322"/>
      <c r="H322"/>
    </row>
    <row r="323" spans="2:10" ht="15.75" customHeight="1">
      <c r="B323" s="208"/>
      <c r="C323" s="1055"/>
      <c r="D323" s="1055"/>
      <c r="F323" s="687"/>
      <c r="G323"/>
      <c r="H323"/>
    </row>
    <row r="324" spans="2:10" ht="15.75" customHeight="1">
      <c r="B324" s="208"/>
      <c r="C324" s="1055"/>
      <c r="D324" s="1055"/>
      <c r="F324" s="687"/>
      <c r="G324"/>
      <c r="H324"/>
    </row>
    <row r="325" spans="2:10" ht="15.75" customHeight="1">
      <c r="B325" s="208"/>
      <c r="C325" s="1055"/>
      <c r="D325" s="1055"/>
      <c r="F325" s="687"/>
      <c r="G325"/>
      <c r="H325"/>
    </row>
    <row r="326" spans="2:10" ht="15.75" customHeight="1">
      <c r="B326" s="208"/>
      <c r="C326" s="1055"/>
      <c r="D326" s="1055"/>
      <c r="F326" s="687"/>
      <c r="G326"/>
      <c r="H326"/>
    </row>
    <row r="327" spans="2:10" ht="15.75" customHeight="1">
      <c r="B327" s="208"/>
      <c r="C327" s="1055"/>
      <c r="D327" s="1055"/>
      <c r="F327" s="687"/>
      <c r="G327"/>
      <c r="H327"/>
    </row>
    <row r="328" spans="2:10" ht="15.75" customHeight="1">
      <c r="B328" s="208"/>
      <c r="C328" s="1055"/>
      <c r="D328" s="1055"/>
      <c r="F328" s="687"/>
      <c r="G328"/>
      <c r="H328"/>
    </row>
    <row r="329" spans="2:10" ht="15.75" customHeight="1">
      <c r="B329" s="208"/>
      <c r="C329" s="1055"/>
      <c r="D329" s="1055"/>
      <c r="F329" s="687"/>
      <c r="G329"/>
      <c r="H329"/>
    </row>
    <row r="330" spans="2:10" ht="15.75" customHeight="1">
      <c r="C330" s="687"/>
      <c r="F330" s="208"/>
      <c r="J330" s="687"/>
    </row>
    <row r="331" spans="2:10" ht="15.75" customHeight="1">
      <c r="C331" s="687"/>
      <c r="F331" s="208"/>
      <c r="J331" s="687"/>
    </row>
    <row r="332" spans="2:10" ht="15.75" customHeight="1">
      <c r="C332" s="687"/>
      <c r="F332" s="208"/>
      <c r="J332" s="687"/>
    </row>
    <row r="333" spans="2:10" ht="15.75" customHeight="1">
      <c r="C333" s="687"/>
      <c r="F333" s="208"/>
      <c r="J333" s="687"/>
    </row>
    <row r="334" spans="2:10" ht="15.75" customHeight="1">
      <c r="C334" s="687"/>
      <c r="F334" s="208"/>
      <c r="J334" s="687"/>
    </row>
    <row r="335" spans="2:10" ht="15.75" customHeight="1">
      <c r="C335" s="687"/>
      <c r="F335" s="208"/>
      <c r="J335" s="687"/>
    </row>
    <row r="336" spans="2:10" ht="15.75" customHeight="1">
      <c r="C336" s="687"/>
      <c r="F336" s="208"/>
      <c r="J336" s="687"/>
    </row>
    <row r="337" spans="3:10" ht="15.75" customHeight="1">
      <c r="C337" s="687"/>
      <c r="F337" s="208"/>
      <c r="J337" s="687"/>
    </row>
    <row r="338" spans="3:10" ht="15.75" customHeight="1">
      <c r="C338" s="687"/>
      <c r="F338" s="208"/>
      <c r="J338" s="687"/>
    </row>
    <row r="339" spans="3:10" ht="15.75" customHeight="1">
      <c r="C339" s="687"/>
      <c r="F339" s="208"/>
      <c r="J339" s="687"/>
    </row>
    <row r="340" spans="3:10" ht="15.75" customHeight="1">
      <c r="C340" s="687"/>
      <c r="F340" s="208"/>
      <c r="J340" s="687"/>
    </row>
    <row r="341" spans="3:10" ht="15.75" customHeight="1">
      <c r="C341" s="687"/>
      <c r="F341" s="208"/>
      <c r="J341" s="687"/>
    </row>
    <row r="342" spans="3:10" ht="15.75" customHeight="1">
      <c r="C342" s="687"/>
      <c r="F342" s="208"/>
      <c r="J342" s="687"/>
    </row>
    <row r="343" spans="3:10" ht="15.75" customHeight="1">
      <c r="C343" s="687"/>
      <c r="F343" s="208"/>
      <c r="J343" s="687"/>
    </row>
    <row r="344" spans="3:10" ht="15.75" customHeight="1">
      <c r="C344" s="687"/>
      <c r="F344" s="208"/>
      <c r="J344" s="687"/>
    </row>
    <row r="345" spans="3:10" ht="15.75" customHeight="1">
      <c r="C345" s="687"/>
      <c r="F345" s="208"/>
      <c r="J345" s="687"/>
    </row>
    <row r="346" spans="3:10" ht="15.75" customHeight="1">
      <c r="C346" s="687"/>
      <c r="F346" s="208"/>
      <c r="J346" s="687"/>
    </row>
    <row r="347" spans="3:10" ht="15.75" customHeight="1">
      <c r="C347" s="687"/>
      <c r="F347" s="208"/>
      <c r="J347" s="687"/>
    </row>
    <row r="348" spans="3:10" ht="15.75" customHeight="1">
      <c r="C348" s="687"/>
      <c r="F348" s="208"/>
      <c r="J348" s="687"/>
    </row>
    <row r="349" spans="3:10" ht="15.75" customHeight="1">
      <c r="C349" s="687"/>
      <c r="F349" s="208"/>
      <c r="J349" s="687"/>
    </row>
    <row r="350" spans="3:10" ht="15.75" customHeight="1">
      <c r="C350" s="687"/>
      <c r="F350" s="208"/>
      <c r="J350" s="687"/>
    </row>
    <row r="351" spans="3:10" ht="15.75" customHeight="1">
      <c r="C351" s="687"/>
      <c r="F351" s="208"/>
      <c r="J351" s="687"/>
    </row>
    <row r="352" spans="3:10" ht="15.75" customHeight="1">
      <c r="C352" s="687"/>
      <c r="F352" s="208"/>
      <c r="J352" s="687"/>
    </row>
    <row r="353" spans="3:10" ht="15.75" customHeight="1">
      <c r="C353" s="687"/>
      <c r="F353" s="208"/>
      <c r="J353" s="687"/>
    </row>
    <row r="354" spans="3:10" ht="15.75" customHeight="1">
      <c r="C354" s="687"/>
      <c r="F354" s="208"/>
      <c r="J354" s="687"/>
    </row>
    <row r="355" spans="3:10" ht="15.75" customHeight="1">
      <c r="C355" s="687"/>
      <c r="F355" s="208"/>
      <c r="J355" s="687"/>
    </row>
    <row r="356" spans="3:10" ht="15.75" customHeight="1">
      <c r="C356" s="687"/>
      <c r="F356" s="208"/>
      <c r="J356" s="687"/>
    </row>
    <row r="357" spans="3:10" ht="15.75" customHeight="1">
      <c r="C357" s="687"/>
      <c r="F357" s="208"/>
      <c r="J357" s="687"/>
    </row>
    <row r="358" spans="3:10" ht="15.75" customHeight="1">
      <c r="C358" s="687"/>
      <c r="F358" s="208"/>
      <c r="J358" s="687"/>
    </row>
    <row r="359" spans="3:10" ht="15.75" customHeight="1">
      <c r="C359" s="687"/>
      <c r="F359" s="208"/>
      <c r="J359" s="687"/>
    </row>
    <row r="360" spans="3:10" ht="15.75" customHeight="1">
      <c r="C360" s="687"/>
      <c r="F360" s="208"/>
      <c r="J360" s="687"/>
    </row>
    <row r="361" spans="3:10" ht="15.75" customHeight="1">
      <c r="C361" s="687"/>
      <c r="F361" s="208"/>
      <c r="J361" s="687"/>
    </row>
    <row r="362" spans="3:10" ht="15.75" customHeight="1">
      <c r="C362" s="687"/>
      <c r="F362" s="208"/>
      <c r="J362" s="687"/>
    </row>
    <row r="363" spans="3:10" ht="15.75" customHeight="1">
      <c r="C363" s="687"/>
      <c r="F363" s="208"/>
      <c r="J363" s="687"/>
    </row>
    <row r="364" spans="3:10" ht="15.75" customHeight="1">
      <c r="C364" s="687"/>
      <c r="F364" s="208"/>
      <c r="J364" s="687"/>
    </row>
    <row r="365" spans="3:10" ht="15.75" customHeight="1">
      <c r="C365" s="687"/>
      <c r="F365" s="208"/>
      <c r="J365" s="687"/>
    </row>
    <row r="366" spans="3:10" ht="15.75" customHeight="1">
      <c r="C366" s="687"/>
      <c r="F366" s="208"/>
      <c r="J366" s="687"/>
    </row>
    <row r="367" spans="3:10" ht="15.75" customHeight="1">
      <c r="C367" s="687"/>
      <c r="F367" s="208"/>
      <c r="J367" s="687"/>
    </row>
    <row r="368" spans="3:10" ht="15.75" customHeight="1">
      <c r="C368" s="687"/>
      <c r="F368" s="208"/>
      <c r="J368" s="687"/>
    </row>
    <row r="369" spans="3:10" ht="15.75" customHeight="1">
      <c r="C369" s="687"/>
      <c r="F369" s="208"/>
      <c r="J369" s="687"/>
    </row>
    <row r="370" spans="3:10" ht="15.75" customHeight="1">
      <c r="C370" s="687"/>
      <c r="F370" s="208"/>
      <c r="J370" s="687"/>
    </row>
    <row r="371" spans="3:10" ht="15.75" customHeight="1">
      <c r="C371" s="687"/>
      <c r="F371" s="208"/>
      <c r="J371" s="687"/>
    </row>
    <row r="372" spans="3:10" ht="15.75" customHeight="1">
      <c r="C372" s="687"/>
      <c r="F372" s="208"/>
      <c r="J372" s="687"/>
    </row>
    <row r="373" spans="3:10" ht="15.75" customHeight="1">
      <c r="C373" s="687"/>
      <c r="F373" s="208"/>
      <c r="J373" s="687"/>
    </row>
    <row r="374" spans="3:10" ht="15.75" customHeight="1">
      <c r="C374" s="687"/>
      <c r="F374" s="208"/>
      <c r="J374" s="687"/>
    </row>
    <row r="375" spans="3:10" ht="15.75" customHeight="1">
      <c r="C375" s="687"/>
      <c r="F375" s="208"/>
      <c r="J375" s="687"/>
    </row>
    <row r="376" spans="3:10" ht="15.75" customHeight="1">
      <c r="C376" s="687"/>
      <c r="F376" s="208"/>
      <c r="J376" s="687"/>
    </row>
    <row r="377" spans="3:10" ht="15.75" customHeight="1">
      <c r="C377" s="687"/>
      <c r="F377" s="208"/>
      <c r="J377" s="687"/>
    </row>
    <row r="378" spans="3:10" ht="15.75" customHeight="1">
      <c r="C378" s="687"/>
      <c r="F378" s="208"/>
      <c r="J378" s="687"/>
    </row>
    <row r="379" spans="3:10" ht="15.75" customHeight="1">
      <c r="C379" s="687"/>
      <c r="F379" s="208"/>
      <c r="J379" s="687"/>
    </row>
    <row r="380" spans="3:10" ht="15.75" customHeight="1">
      <c r="C380" s="687"/>
      <c r="F380" s="208"/>
      <c r="J380" s="687"/>
    </row>
    <row r="381" spans="3:10" ht="15.75" customHeight="1">
      <c r="C381" s="687"/>
      <c r="F381" s="208"/>
      <c r="J381" s="687"/>
    </row>
    <row r="382" spans="3:10" ht="15.75" customHeight="1">
      <c r="C382" s="687"/>
      <c r="F382" s="208"/>
      <c r="J382" s="687"/>
    </row>
    <row r="383" spans="3:10" ht="15.75" customHeight="1">
      <c r="C383" s="687"/>
      <c r="F383" s="208"/>
      <c r="J383" s="687"/>
    </row>
    <row r="384" spans="3:10" ht="15.75" customHeight="1">
      <c r="C384" s="687"/>
      <c r="F384" s="208"/>
      <c r="J384" s="687"/>
    </row>
    <row r="385" spans="3:10" ht="15.75" customHeight="1">
      <c r="C385" s="687"/>
      <c r="F385" s="208"/>
      <c r="J385" s="687"/>
    </row>
    <row r="386" spans="3:10" ht="15.75" customHeight="1">
      <c r="C386" s="687"/>
      <c r="F386" s="208"/>
      <c r="J386" s="687"/>
    </row>
    <row r="387" spans="3:10" ht="15.75" customHeight="1">
      <c r="C387" s="687"/>
      <c r="F387" s="208"/>
      <c r="J387" s="687"/>
    </row>
    <row r="388" spans="3:10" ht="15.75" customHeight="1">
      <c r="C388" s="687"/>
      <c r="F388" s="208"/>
      <c r="J388" s="687"/>
    </row>
    <row r="389" spans="3:10" ht="15.75" customHeight="1">
      <c r="C389" s="687"/>
      <c r="F389" s="208"/>
      <c r="J389" s="687"/>
    </row>
    <row r="390" spans="3:10" ht="15.75" customHeight="1">
      <c r="C390" s="687"/>
      <c r="F390" s="208"/>
      <c r="J390" s="687"/>
    </row>
    <row r="391" spans="3:10" ht="15.75" customHeight="1">
      <c r="C391" s="687"/>
      <c r="F391" s="208"/>
      <c r="J391" s="687"/>
    </row>
    <row r="392" spans="3:10" ht="15.75" customHeight="1">
      <c r="C392" s="687"/>
      <c r="F392" s="208"/>
      <c r="J392" s="687"/>
    </row>
    <row r="393" spans="3:10" ht="15.75" customHeight="1">
      <c r="C393" s="687"/>
      <c r="F393" s="208"/>
      <c r="J393" s="687"/>
    </row>
    <row r="394" spans="3:10" ht="15.75" customHeight="1">
      <c r="C394" s="687"/>
      <c r="F394" s="208"/>
      <c r="J394" s="687"/>
    </row>
    <row r="395" spans="3:10" ht="15.75" customHeight="1">
      <c r="C395" s="687"/>
      <c r="F395" s="208"/>
      <c r="J395" s="687"/>
    </row>
    <row r="396" spans="3:10" ht="15.75" customHeight="1">
      <c r="C396" s="687"/>
      <c r="F396" s="208"/>
      <c r="J396" s="687"/>
    </row>
    <row r="397" spans="3:10" ht="15.75" customHeight="1">
      <c r="C397" s="687"/>
      <c r="F397" s="208"/>
      <c r="J397" s="687"/>
    </row>
    <row r="398" spans="3:10" ht="15.75" customHeight="1">
      <c r="C398" s="687"/>
      <c r="F398" s="208"/>
      <c r="J398" s="687"/>
    </row>
    <row r="399" spans="3:10" ht="15.75" customHeight="1">
      <c r="C399" s="687"/>
      <c r="F399" s="208"/>
      <c r="J399" s="687"/>
    </row>
    <row r="400" spans="3:10" ht="15.75" customHeight="1">
      <c r="C400" s="687"/>
      <c r="F400" s="208"/>
      <c r="J400" s="687"/>
    </row>
    <row r="401" spans="3:10" ht="15.75" customHeight="1">
      <c r="C401" s="687"/>
      <c r="F401" s="208"/>
      <c r="J401" s="687"/>
    </row>
    <row r="402" spans="3:10" ht="15.75" customHeight="1">
      <c r="C402" s="687"/>
      <c r="F402" s="208"/>
      <c r="J402" s="687"/>
    </row>
    <row r="403" spans="3:10" ht="15.75" customHeight="1">
      <c r="C403" s="687"/>
      <c r="F403" s="208"/>
      <c r="J403" s="687"/>
    </row>
    <row r="404" spans="3:10" ht="15.75" customHeight="1">
      <c r="C404" s="687"/>
      <c r="F404" s="208"/>
      <c r="J404" s="687"/>
    </row>
    <row r="405" spans="3:10" ht="15.75" customHeight="1">
      <c r="C405" s="687"/>
      <c r="F405" s="208"/>
      <c r="J405" s="687"/>
    </row>
    <row r="406" spans="3:10" ht="15.75" customHeight="1">
      <c r="C406" s="687"/>
      <c r="F406" s="208"/>
      <c r="J406" s="687"/>
    </row>
    <row r="407" spans="3:10" ht="15.75" customHeight="1">
      <c r="C407" s="687"/>
      <c r="F407" s="208"/>
      <c r="J407" s="687"/>
    </row>
    <row r="408" spans="3:10" ht="15.75" customHeight="1">
      <c r="C408" s="687"/>
      <c r="F408" s="208"/>
      <c r="J408" s="687"/>
    </row>
    <row r="409" spans="3:10" ht="15.75" customHeight="1">
      <c r="C409" s="687"/>
      <c r="F409" s="208"/>
      <c r="J409" s="687"/>
    </row>
    <row r="410" spans="3:10" ht="15.75" customHeight="1">
      <c r="C410" s="687"/>
      <c r="F410" s="208"/>
      <c r="J410" s="687"/>
    </row>
    <row r="411" spans="3:10" ht="15.75" customHeight="1">
      <c r="C411" s="687"/>
      <c r="F411" s="208"/>
      <c r="J411" s="687"/>
    </row>
    <row r="412" spans="3:10" ht="15.75" customHeight="1">
      <c r="C412" s="687"/>
      <c r="F412" s="208"/>
      <c r="J412" s="687"/>
    </row>
    <row r="413" spans="3:10" ht="15.75" customHeight="1">
      <c r="C413" s="687"/>
      <c r="F413" s="208"/>
      <c r="J413" s="687"/>
    </row>
    <row r="414" spans="3:10" ht="15.75" customHeight="1">
      <c r="C414" s="687"/>
      <c r="F414" s="208"/>
      <c r="J414" s="687"/>
    </row>
    <row r="415" spans="3:10" ht="15.75" customHeight="1">
      <c r="C415" s="687"/>
      <c r="F415" s="208"/>
      <c r="J415" s="687"/>
    </row>
    <row r="416" spans="3:10" ht="15.75" customHeight="1">
      <c r="C416" s="687"/>
      <c r="F416" s="208"/>
      <c r="J416" s="687"/>
    </row>
    <row r="417" spans="3:10" ht="15.75" customHeight="1">
      <c r="C417" s="687"/>
      <c r="F417" s="208"/>
      <c r="J417" s="687"/>
    </row>
    <row r="418" spans="3:10" ht="15.75" customHeight="1">
      <c r="C418" s="687"/>
      <c r="F418" s="208"/>
      <c r="J418" s="687"/>
    </row>
    <row r="419" spans="3:10" ht="15.75" customHeight="1">
      <c r="C419" s="687"/>
      <c r="F419" s="208"/>
      <c r="J419" s="687"/>
    </row>
    <row r="420" spans="3:10" ht="15.75" customHeight="1">
      <c r="C420" s="687"/>
      <c r="F420" s="208"/>
      <c r="J420" s="687"/>
    </row>
    <row r="421" spans="3:10" ht="15.75" customHeight="1">
      <c r="C421" s="687"/>
      <c r="F421" s="208"/>
      <c r="J421" s="687"/>
    </row>
    <row r="422" spans="3:10" ht="15.75" customHeight="1">
      <c r="C422" s="687"/>
      <c r="F422" s="208"/>
      <c r="J422" s="687"/>
    </row>
    <row r="423" spans="3:10" ht="15.75" customHeight="1">
      <c r="C423" s="687"/>
      <c r="F423" s="208"/>
      <c r="J423" s="687"/>
    </row>
    <row r="424" spans="3:10" ht="15.75" customHeight="1">
      <c r="C424" s="687"/>
      <c r="F424" s="208"/>
      <c r="J424" s="687"/>
    </row>
    <row r="425" spans="3:10" ht="15.75" customHeight="1">
      <c r="C425" s="687"/>
      <c r="F425" s="208"/>
      <c r="J425" s="687"/>
    </row>
    <row r="426" spans="3:10" ht="15.75" customHeight="1">
      <c r="C426" s="687"/>
      <c r="F426" s="208"/>
      <c r="J426" s="687"/>
    </row>
    <row r="427" spans="3:10" ht="15.75" customHeight="1">
      <c r="C427" s="687"/>
      <c r="F427" s="208"/>
      <c r="J427" s="687"/>
    </row>
    <row r="428" spans="3:10" ht="15.75" customHeight="1">
      <c r="C428" s="687"/>
      <c r="F428" s="208"/>
      <c r="J428" s="687"/>
    </row>
    <row r="429" spans="3:10" ht="15.75" customHeight="1">
      <c r="C429" s="687"/>
      <c r="F429" s="208"/>
      <c r="J429" s="687"/>
    </row>
    <row r="430" spans="3:10" ht="15.75" customHeight="1">
      <c r="C430" s="687"/>
      <c r="F430" s="208"/>
      <c r="J430" s="687"/>
    </row>
    <row r="431" spans="3:10" ht="15.75" customHeight="1">
      <c r="C431" s="687"/>
      <c r="F431" s="208"/>
      <c r="J431" s="687"/>
    </row>
    <row r="432" spans="3:10" ht="15.75" customHeight="1">
      <c r="C432" s="687"/>
      <c r="F432" s="208"/>
      <c r="J432" s="687"/>
    </row>
    <row r="433" spans="3:10" ht="15.75" customHeight="1">
      <c r="C433" s="687"/>
      <c r="F433" s="208"/>
      <c r="J433" s="687"/>
    </row>
    <row r="434" spans="3:10" ht="15.75" customHeight="1">
      <c r="C434" s="687"/>
      <c r="F434" s="208"/>
      <c r="J434" s="687"/>
    </row>
    <row r="435" spans="3:10" ht="15.75" customHeight="1">
      <c r="C435" s="687"/>
      <c r="F435" s="208"/>
      <c r="J435" s="687"/>
    </row>
    <row r="436" spans="3:10" ht="15.75" customHeight="1">
      <c r="C436" s="687"/>
      <c r="F436" s="208"/>
      <c r="J436" s="687"/>
    </row>
    <row r="437" spans="3:10" ht="15.75" customHeight="1">
      <c r="C437" s="687"/>
      <c r="F437" s="208"/>
      <c r="J437" s="687"/>
    </row>
    <row r="438" spans="3:10" ht="15.75" customHeight="1">
      <c r="C438" s="687"/>
      <c r="F438" s="208"/>
      <c r="J438" s="687"/>
    </row>
    <row r="439" spans="3:10" ht="15.75" customHeight="1">
      <c r="C439" s="687"/>
      <c r="F439" s="208"/>
      <c r="J439" s="687"/>
    </row>
    <row r="440" spans="3:10" ht="15.75" customHeight="1">
      <c r="C440" s="687"/>
      <c r="F440" s="208"/>
      <c r="J440" s="687"/>
    </row>
    <row r="441" spans="3:10" ht="15.75" customHeight="1">
      <c r="C441" s="687"/>
      <c r="F441" s="208"/>
      <c r="J441" s="687"/>
    </row>
    <row r="442" spans="3:10" ht="15.75" customHeight="1">
      <c r="C442" s="687"/>
      <c r="F442" s="208"/>
      <c r="J442" s="687"/>
    </row>
    <row r="443" spans="3:10" ht="15.75" customHeight="1">
      <c r="C443" s="687"/>
      <c r="F443" s="208"/>
      <c r="J443" s="687"/>
    </row>
    <row r="444" spans="3:10" ht="15.75" customHeight="1">
      <c r="C444" s="687"/>
      <c r="F444" s="208"/>
      <c r="J444" s="687"/>
    </row>
    <row r="445" spans="3:10" ht="15.75" customHeight="1">
      <c r="C445" s="687"/>
      <c r="F445" s="208"/>
      <c r="J445" s="687"/>
    </row>
    <row r="446" spans="3:10" ht="15.75" customHeight="1">
      <c r="C446" s="687"/>
      <c r="F446" s="208"/>
      <c r="J446" s="687"/>
    </row>
    <row r="447" spans="3:10" ht="15.75" customHeight="1">
      <c r="C447" s="687"/>
      <c r="F447" s="208"/>
      <c r="J447" s="687"/>
    </row>
    <row r="448" spans="3:10" ht="15.75" customHeight="1">
      <c r="C448" s="687"/>
      <c r="F448" s="208"/>
      <c r="J448" s="687"/>
    </row>
    <row r="449" spans="3:10" ht="15.75" customHeight="1">
      <c r="C449" s="687"/>
      <c r="F449" s="208"/>
      <c r="J449" s="687"/>
    </row>
    <row r="450" spans="3:10" ht="15.75" customHeight="1">
      <c r="C450" s="687"/>
      <c r="F450" s="208"/>
      <c r="J450" s="687"/>
    </row>
    <row r="451" spans="3:10" ht="15.75" customHeight="1">
      <c r="C451" s="687"/>
      <c r="F451" s="208"/>
      <c r="J451" s="687"/>
    </row>
    <row r="452" spans="3:10" ht="15.75" customHeight="1">
      <c r="C452" s="687"/>
      <c r="F452" s="208"/>
      <c r="J452" s="687"/>
    </row>
    <row r="453" spans="3:10" ht="15.75" customHeight="1">
      <c r="C453" s="687"/>
      <c r="F453" s="208"/>
      <c r="J453" s="687"/>
    </row>
    <row r="454" spans="3:10" ht="15.75" customHeight="1">
      <c r="C454" s="687"/>
      <c r="F454" s="208"/>
      <c r="J454" s="687"/>
    </row>
    <row r="455" spans="3:10" ht="15.75" customHeight="1">
      <c r="C455" s="687"/>
      <c r="F455" s="208"/>
      <c r="J455" s="687"/>
    </row>
    <row r="456" spans="3:10" ht="15.75" customHeight="1">
      <c r="C456" s="687"/>
      <c r="F456" s="208"/>
      <c r="J456" s="687"/>
    </row>
    <row r="457" spans="3:10" ht="15.75" customHeight="1">
      <c r="C457" s="687"/>
      <c r="F457" s="208"/>
      <c r="J457" s="687"/>
    </row>
    <row r="458" spans="3:10" ht="15.75" customHeight="1">
      <c r="C458" s="687"/>
      <c r="F458" s="208"/>
      <c r="J458" s="687"/>
    </row>
    <row r="459" spans="3:10" ht="15.75" customHeight="1">
      <c r="C459" s="687"/>
      <c r="F459" s="208"/>
      <c r="J459" s="687"/>
    </row>
    <row r="460" spans="3:10" ht="15.75" customHeight="1">
      <c r="C460" s="687"/>
      <c r="F460" s="208"/>
      <c r="J460" s="687"/>
    </row>
    <row r="461" spans="3:10" ht="15.75" customHeight="1">
      <c r="C461" s="687"/>
      <c r="F461" s="208"/>
      <c r="J461" s="687"/>
    </row>
    <row r="462" spans="3:10" ht="15.75" customHeight="1">
      <c r="C462" s="687"/>
      <c r="F462" s="208"/>
      <c r="J462" s="687"/>
    </row>
    <row r="463" spans="3:10" ht="15.75" customHeight="1">
      <c r="C463" s="687"/>
      <c r="F463" s="208"/>
      <c r="J463" s="687"/>
    </row>
    <row r="464" spans="3:10" ht="15.75" customHeight="1">
      <c r="C464" s="687"/>
      <c r="F464" s="208"/>
      <c r="J464" s="687"/>
    </row>
    <row r="465" spans="3:10" ht="15.75" customHeight="1">
      <c r="C465" s="687"/>
      <c r="F465" s="208"/>
      <c r="J465" s="687"/>
    </row>
    <row r="466" spans="3:10" ht="15.75" customHeight="1">
      <c r="C466" s="687"/>
      <c r="F466" s="208"/>
      <c r="J466" s="687"/>
    </row>
    <row r="467" spans="3:10" ht="15.75" customHeight="1">
      <c r="C467" s="687"/>
      <c r="F467" s="208"/>
      <c r="J467" s="687"/>
    </row>
    <row r="468" spans="3:10" ht="15.75" customHeight="1">
      <c r="C468" s="687"/>
      <c r="F468" s="208"/>
      <c r="J468" s="687"/>
    </row>
    <row r="469" spans="3:10" ht="15.75" customHeight="1">
      <c r="C469" s="687"/>
      <c r="F469" s="208"/>
      <c r="J469" s="687"/>
    </row>
    <row r="470" spans="3:10" ht="15.75" customHeight="1">
      <c r="C470" s="687"/>
      <c r="F470" s="208"/>
      <c r="J470" s="687"/>
    </row>
    <row r="471" spans="3:10" ht="15.75" customHeight="1">
      <c r="C471" s="687"/>
      <c r="F471" s="208"/>
      <c r="J471" s="687"/>
    </row>
    <row r="472" spans="3:10" ht="15.75" customHeight="1">
      <c r="C472" s="687"/>
      <c r="F472" s="208"/>
      <c r="J472" s="687"/>
    </row>
    <row r="473" spans="3:10" ht="15.75" customHeight="1">
      <c r="C473" s="687"/>
      <c r="F473" s="208"/>
      <c r="J473" s="687"/>
    </row>
    <row r="474" spans="3:10" ht="15.75" customHeight="1">
      <c r="C474" s="687"/>
      <c r="F474" s="208"/>
      <c r="J474" s="687"/>
    </row>
    <row r="475" spans="3:10" ht="15.75" customHeight="1">
      <c r="C475" s="687"/>
      <c r="F475" s="208"/>
      <c r="J475" s="687"/>
    </row>
    <row r="476" spans="3:10" ht="15.75" customHeight="1">
      <c r="C476" s="687"/>
      <c r="F476" s="208"/>
      <c r="J476" s="687"/>
    </row>
    <row r="477" spans="3:10" ht="15.75" customHeight="1">
      <c r="C477" s="687"/>
      <c r="F477" s="208"/>
      <c r="J477" s="687"/>
    </row>
    <row r="478" spans="3:10" ht="15.75" customHeight="1">
      <c r="C478" s="687"/>
      <c r="F478" s="208"/>
      <c r="J478" s="687"/>
    </row>
    <row r="479" spans="3:10" ht="15.75" customHeight="1">
      <c r="C479" s="687"/>
      <c r="F479" s="208"/>
      <c r="J479" s="687"/>
    </row>
    <row r="480" spans="3:10" ht="15.75" customHeight="1">
      <c r="C480" s="687"/>
      <c r="F480" s="208"/>
      <c r="J480" s="687"/>
    </row>
    <row r="481" spans="3:10" ht="15.75" customHeight="1">
      <c r="C481" s="687"/>
      <c r="F481" s="208"/>
      <c r="J481" s="687"/>
    </row>
    <row r="482" spans="3:10" ht="15.75" customHeight="1">
      <c r="C482" s="687"/>
      <c r="F482" s="208"/>
      <c r="J482" s="687"/>
    </row>
    <row r="483" spans="3:10" ht="15.75" customHeight="1">
      <c r="C483" s="687"/>
      <c r="F483" s="208"/>
      <c r="J483" s="687"/>
    </row>
    <row r="484" spans="3:10" ht="15.75" customHeight="1">
      <c r="C484" s="687"/>
      <c r="F484" s="208"/>
      <c r="J484" s="687"/>
    </row>
    <row r="485" spans="3:10" ht="15.75" customHeight="1">
      <c r="C485" s="687"/>
      <c r="F485" s="208"/>
      <c r="J485" s="687"/>
    </row>
    <row r="486" spans="3:10" ht="15.75" customHeight="1">
      <c r="C486" s="687"/>
      <c r="F486" s="208"/>
      <c r="J486" s="687"/>
    </row>
    <row r="487" spans="3:10" ht="15.75" customHeight="1">
      <c r="C487" s="687"/>
      <c r="F487" s="208"/>
      <c r="J487" s="687"/>
    </row>
    <row r="488" spans="3:10" ht="15.75" customHeight="1">
      <c r="C488" s="687"/>
      <c r="F488" s="208"/>
      <c r="J488" s="687"/>
    </row>
    <row r="489" spans="3:10" ht="15.75" customHeight="1">
      <c r="C489" s="687"/>
      <c r="F489" s="208"/>
      <c r="J489" s="687"/>
    </row>
    <row r="490" spans="3:10" ht="15.75" customHeight="1">
      <c r="C490" s="687"/>
      <c r="F490" s="208"/>
      <c r="J490" s="687"/>
    </row>
    <row r="491" spans="3:10" ht="15.75" customHeight="1">
      <c r="C491" s="687"/>
      <c r="F491" s="208"/>
      <c r="J491" s="687"/>
    </row>
    <row r="492" spans="3:10" ht="15.75" customHeight="1">
      <c r="C492" s="687"/>
      <c r="F492" s="208"/>
      <c r="J492" s="687"/>
    </row>
    <row r="493" spans="3:10" ht="15.75" customHeight="1">
      <c r="C493" s="687"/>
      <c r="F493" s="208"/>
      <c r="J493" s="687"/>
    </row>
    <row r="494" spans="3:10" ht="15.75" customHeight="1">
      <c r="C494" s="687"/>
      <c r="F494" s="208"/>
      <c r="J494" s="687"/>
    </row>
    <row r="495" spans="3:10" ht="15.75" customHeight="1">
      <c r="C495" s="687"/>
      <c r="F495" s="208"/>
      <c r="J495" s="687"/>
    </row>
    <row r="496" spans="3:10" ht="15.75" customHeight="1">
      <c r="C496" s="687"/>
      <c r="F496" s="208"/>
      <c r="J496" s="687"/>
    </row>
    <row r="497" spans="3:10" ht="15.75" customHeight="1">
      <c r="C497" s="687"/>
      <c r="F497" s="208"/>
      <c r="J497" s="687"/>
    </row>
    <row r="498" spans="3:10" ht="15.75" customHeight="1">
      <c r="C498" s="687"/>
      <c r="F498" s="208"/>
      <c r="J498" s="687"/>
    </row>
    <row r="499" spans="3:10" ht="15.75" customHeight="1">
      <c r="C499" s="687"/>
      <c r="F499" s="208"/>
      <c r="J499" s="687"/>
    </row>
    <row r="500" spans="3:10" ht="15.75" customHeight="1">
      <c r="C500" s="687"/>
      <c r="F500" s="208"/>
      <c r="J500" s="687"/>
    </row>
    <row r="501" spans="3:10" ht="15.75" customHeight="1">
      <c r="C501" s="687"/>
      <c r="F501" s="208"/>
      <c r="J501" s="687"/>
    </row>
    <row r="502" spans="3:10" ht="15.75" customHeight="1">
      <c r="C502" s="687"/>
      <c r="F502" s="208"/>
      <c r="J502" s="687"/>
    </row>
    <row r="503" spans="3:10" ht="15.75" customHeight="1">
      <c r="C503" s="687"/>
      <c r="F503" s="208"/>
      <c r="J503" s="687"/>
    </row>
    <row r="504" spans="3:10" ht="15.75" customHeight="1">
      <c r="C504" s="687"/>
      <c r="F504" s="208"/>
      <c r="J504" s="687"/>
    </row>
    <row r="505" spans="3:10" ht="15.75" customHeight="1">
      <c r="C505" s="687"/>
      <c r="F505" s="208"/>
      <c r="J505" s="687"/>
    </row>
    <row r="506" spans="3:10" ht="15.75" customHeight="1">
      <c r="C506" s="687"/>
      <c r="F506" s="208"/>
      <c r="J506" s="687"/>
    </row>
    <row r="507" spans="3:10" ht="15.75" customHeight="1">
      <c r="C507" s="687"/>
      <c r="F507" s="208"/>
      <c r="J507" s="687"/>
    </row>
    <row r="508" spans="3:10" ht="15.75" customHeight="1">
      <c r="C508" s="687"/>
      <c r="F508" s="208"/>
      <c r="J508" s="687"/>
    </row>
    <row r="509" spans="3:10" ht="15.75" customHeight="1">
      <c r="C509" s="687"/>
      <c r="F509" s="208"/>
      <c r="J509" s="687"/>
    </row>
    <row r="510" spans="3:10" ht="15.75" customHeight="1">
      <c r="C510" s="687"/>
      <c r="F510" s="208"/>
      <c r="J510" s="687"/>
    </row>
    <row r="511" spans="3:10" ht="15.75" customHeight="1">
      <c r="C511" s="687"/>
      <c r="F511" s="208"/>
      <c r="J511" s="687"/>
    </row>
    <row r="512" spans="3:10" ht="15.75" customHeight="1">
      <c r="C512" s="687"/>
      <c r="F512" s="208"/>
      <c r="J512" s="687"/>
    </row>
    <row r="513" spans="3:10" ht="15.75" customHeight="1">
      <c r="C513" s="687"/>
      <c r="F513" s="208"/>
      <c r="J513" s="687"/>
    </row>
    <row r="514" spans="3:10" ht="15.75" customHeight="1">
      <c r="C514" s="687"/>
      <c r="F514" s="208"/>
      <c r="J514" s="687"/>
    </row>
    <row r="515" spans="3:10" ht="15.75" customHeight="1">
      <c r="C515" s="687"/>
      <c r="F515" s="208"/>
      <c r="J515" s="687"/>
    </row>
    <row r="516" spans="3:10" ht="15.75" customHeight="1">
      <c r="C516" s="687"/>
      <c r="F516" s="208"/>
      <c r="J516" s="687"/>
    </row>
    <row r="517" spans="3:10" ht="15.75" customHeight="1">
      <c r="C517" s="687"/>
      <c r="F517" s="208"/>
      <c r="J517" s="687"/>
    </row>
    <row r="518" spans="3:10" ht="15.75" customHeight="1">
      <c r="C518" s="687"/>
      <c r="F518" s="208"/>
      <c r="J518" s="687"/>
    </row>
    <row r="519" spans="3:10" ht="15.75" customHeight="1">
      <c r="C519" s="687"/>
      <c r="F519" s="208"/>
      <c r="J519" s="687"/>
    </row>
    <row r="520" spans="3:10" ht="15.75" customHeight="1">
      <c r="C520" s="687"/>
      <c r="F520" s="208"/>
      <c r="J520" s="687"/>
    </row>
    <row r="521" spans="3:10" ht="15.75" customHeight="1">
      <c r="C521" s="687"/>
      <c r="F521" s="208"/>
      <c r="J521" s="687"/>
    </row>
    <row r="522" spans="3:10" ht="15.75" customHeight="1">
      <c r="C522" s="687"/>
      <c r="F522" s="208"/>
      <c r="J522" s="687"/>
    </row>
    <row r="523" spans="3:10" ht="15.75" customHeight="1">
      <c r="C523" s="687"/>
      <c r="F523" s="208"/>
      <c r="J523" s="687"/>
    </row>
    <row r="524" spans="3:10" ht="15.75" customHeight="1">
      <c r="C524" s="687"/>
      <c r="F524" s="208"/>
      <c r="J524" s="687"/>
    </row>
    <row r="525" spans="3:10" ht="15.75" customHeight="1">
      <c r="C525" s="687"/>
      <c r="F525" s="208"/>
      <c r="J525" s="687"/>
    </row>
    <row r="526" spans="3:10" ht="15.75" customHeight="1">
      <c r="C526" s="687"/>
      <c r="F526" s="208"/>
      <c r="J526" s="687"/>
    </row>
    <row r="527" spans="3:10" ht="15.75" customHeight="1">
      <c r="C527" s="687"/>
      <c r="F527" s="208"/>
      <c r="J527" s="687"/>
    </row>
    <row r="528" spans="3:10" ht="15.75" customHeight="1">
      <c r="C528" s="687"/>
      <c r="F528" s="208"/>
      <c r="J528" s="687"/>
    </row>
    <row r="529" spans="3:10" ht="15.75" customHeight="1">
      <c r="C529" s="687"/>
      <c r="F529" s="208"/>
      <c r="J529" s="687"/>
    </row>
    <row r="530" spans="3:10" ht="15.75" customHeight="1">
      <c r="C530" s="687"/>
      <c r="F530" s="208"/>
      <c r="J530" s="687"/>
    </row>
    <row r="531" spans="3:10" ht="15.75" customHeight="1">
      <c r="C531" s="687"/>
      <c r="F531" s="208"/>
      <c r="J531" s="687"/>
    </row>
    <row r="532" spans="3:10" ht="15.75" customHeight="1">
      <c r="C532" s="687"/>
      <c r="F532" s="208"/>
      <c r="J532" s="687"/>
    </row>
    <row r="533" spans="3:10" ht="15.75" customHeight="1">
      <c r="C533" s="687"/>
      <c r="F533" s="208"/>
      <c r="J533" s="687"/>
    </row>
    <row r="534" spans="3:10" ht="15.75" customHeight="1">
      <c r="C534" s="687"/>
      <c r="F534" s="208"/>
      <c r="J534" s="687"/>
    </row>
    <row r="535" spans="3:10" ht="15.75" customHeight="1">
      <c r="C535" s="687"/>
      <c r="F535" s="208"/>
      <c r="J535" s="687"/>
    </row>
    <row r="536" spans="3:10" ht="15.75" customHeight="1">
      <c r="C536" s="687"/>
      <c r="F536" s="208"/>
      <c r="J536" s="687"/>
    </row>
    <row r="537" spans="3:10" ht="15.75" customHeight="1">
      <c r="C537" s="687"/>
      <c r="F537" s="208"/>
      <c r="J537" s="687"/>
    </row>
    <row r="538" spans="3:10" ht="15.75" customHeight="1">
      <c r="C538" s="687"/>
      <c r="F538" s="208"/>
      <c r="J538" s="687"/>
    </row>
    <row r="539" spans="3:10" ht="15.75" customHeight="1">
      <c r="C539" s="687"/>
      <c r="F539" s="208"/>
      <c r="J539" s="687"/>
    </row>
    <row r="540" spans="3:10" ht="15.75" customHeight="1">
      <c r="C540" s="687"/>
      <c r="F540" s="208"/>
      <c r="J540" s="687"/>
    </row>
    <row r="541" spans="3:10" ht="15.75" customHeight="1">
      <c r="C541" s="687"/>
      <c r="F541" s="208"/>
      <c r="J541" s="687"/>
    </row>
    <row r="542" spans="3:10" ht="15.75" customHeight="1">
      <c r="C542" s="687"/>
      <c r="F542" s="208"/>
      <c r="J542" s="687"/>
    </row>
    <row r="543" spans="3:10" ht="15.75" customHeight="1">
      <c r="C543" s="687"/>
      <c r="F543" s="208"/>
      <c r="J543" s="687"/>
    </row>
    <row r="544" spans="3:10" ht="15.75" customHeight="1">
      <c r="C544" s="687"/>
      <c r="F544" s="208"/>
      <c r="J544" s="687"/>
    </row>
    <row r="545" spans="3:10" ht="15.75" customHeight="1">
      <c r="C545" s="687"/>
      <c r="F545" s="208"/>
      <c r="J545" s="687"/>
    </row>
    <row r="546" spans="3:10" ht="15.75" customHeight="1">
      <c r="C546" s="687"/>
      <c r="F546" s="208"/>
      <c r="J546" s="687"/>
    </row>
    <row r="547" spans="3:10" ht="15.75" customHeight="1">
      <c r="C547" s="687"/>
      <c r="F547" s="208"/>
      <c r="J547" s="687"/>
    </row>
    <row r="548" spans="3:10" ht="15.75" customHeight="1">
      <c r="C548" s="687"/>
      <c r="F548" s="208"/>
      <c r="J548" s="687"/>
    </row>
    <row r="549" spans="3:10" ht="15.75" customHeight="1">
      <c r="C549" s="687"/>
      <c r="F549" s="208"/>
      <c r="J549" s="687"/>
    </row>
    <row r="550" spans="3:10" ht="15.75" customHeight="1">
      <c r="C550" s="687"/>
      <c r="F550" s="208"/>
      <c r="J550" s="687"/>
    </row>
    <row r="551" spans="3:10" ht="15.75" customHeight="1">
      <c r="C551" s="687"/>
      <c r="F551" s="208"/>
      <c r="J551" s="687"/>
    </row>
    <row r="552" spans="3:10" ht="15.75" customHeight="1">
      <c r="C552" s="687"/>
      <c r="F552" s="208"/>
      <c r="J552" s="687"/>
    </row>
    <row r="553" spans="3:10" ht="15.75" customHeight="1">
      <c r="C553" s="687"/>
      <c r="F553" s="208"/>
      <c r="J553" s="687"/>
    </row>
    <row r="554" spans="3:10" ht="15.75" customHeight="1">
      <c r="C554" s="687"/>
      <c r="F554" s="208"/>
      <c r="J554" s="687"/>
    </row>
    <row r="555" spans="3:10" ht="15.75" customHeight="1">
      <c r="C555" s="687"/>
      <c r="F555" s="208"/>
      <c r="J555" s="687"/>
    </row>
    <row r="556" spans="3:10" ht="15.75" customHeight="1">
      <c r="C556" s="687"/>
      <c r="F556" s="208"/>
      <c r="J556" s="687"/>
    </row>
    <row r="557" spans="3:10" ht="15.75" customHeight="1">
      <c r="C557" s="687"/>
      <c r="F557" s="208"/>
      <c r="J557" s="687"/>
    </row>
    <row r="558" spans="3:10" ht="15.75" customHeight="1">
      <c r="C558" s="687"/>
      <c r="F558" s="208"/>
      <c r="J558" s="687"/>
    </row>
    <row r="559" spans="3:10" ht="15.75" customHeight="1">
      <c r="C559" s="687"/>
      <c r="F559" s="208"/>
      <c r="J559" s="687"/>
    </row>
    <row r="560" spans="3:10" ht="15.75" customHeight="1">
      <c r="C560" s="687"/>
      <c r="F560" s="208"/>
      <c r="J560" s="687"/>
    </row>
    <row r="561" spans="3:10" ht="15.75" customHeight="1">
      <c r="C561" s="687"/>
      <c r="F561" s="208"/>
      <c r="J561" s="687"/>
    </row>
    <row r="562" spans="3:10" ht="15.75" customHeight="1">
      <c r="C562" s="687"/>
      <c r="F562" s="208"/>
      <c r="J562" s="687"/>
    </row>
    <row r="563" spans="3:10" ht="15.75" customHeight="1">
      <c r="C563" s="687"/>
      <c r="F563" s="208"/>
      <c r="J563" s="687"/>
    </row>
    <row r="564" spans="3:10" ht="15.75" customHeight="1">
      <c r="C564" s="687"/>
      <c r="F564" s="208"/>
      <c r="J564" s="687"/>
    </row>
    <row r="565" spans="3:10" ht="15.75" customHeight="1">
      <c r="C565" s="687"/>
      <c r="F565" s="208"/>
      <c r="J565" s="687"/>
    </row>
    <row r="566" spans="3:10" ht="15.75" customHeight="1">
      <c r="C566" s="687"/>
      <c r="F566" s="208"/>
      <c r="J566" s="687"/>
    </row>
    <row r="567" spans="3:10" ht="15.75" customHeight="1">
      <c r="C567" s="687"/>
      <c r="F567" s="208"/>
      <c r="J567" s="687"/>
    </row>
    <row r="568" spans="3:10" ht="15.75" customHeight="1">
      <c r="C568" s="687"/>
      <c r="F568" s="208"/>
      <c r="J568" s="687"/>
    </row>
    <row r="569" spans="3:10" ht="15.75" customHeight="1">
      <c r="C569" s="687"/>
      <c r="F569" s="208"/>
      <c r="J569" s="687"/>
    </row>
    <row r="570" spans="3:10" ht="15.75" customHeight="1">
      <c r="C570" s="687"/>
      <c r="F570" s="208"/>
      <c r="J570" s="687"/>
    </row>
    <row r="571" spans="3:10" ht="15.75" customHeight="1">
      <c r="C571" s="687"/>
      <c r="F571" s="208"/>
      <c r="J571" s="687"/>
    </row>
    <row r="572" spans="3:10" ht="15.75" customHeight="1">
      <c r="C572" s="687"/>
      <c r="F572" s="208"/>
      <c r="J572" s="687"/>
    </row>
    <row r="573" spans="3:10" ht="15.75" customHeight="1">
      <c r="C573" s="687"/>
      <c r="F573" s="208"/>
      <c r="J573" s="687"/>
    </row>
    <row r="574" spans="3:10" ht="15.75" customHeight="1">
      <c r="C574" s="687"/>
      <c r="F574" s="208"/>
      <c r="J574" s="687"/>
    </row>
    <row r="575" spans="3:10" ht="15.75" customHeight="1">
      <c r="C575" s="687"/>
      <c r="F575" s="208"/>
      <c r="J575" s="687"/>
    </row>
    <row r="576" spans="3:10" ht="15.75" customHeight="1">
      <c r="C576" s="687"/>
      <c r="F576" s="208"/>
      <c r="J576" s="687"/>
    </row>
    <row r="577" spans="3:10" ht="15.75" customHeight="1">
      <c r="C577" s="687"/>
      <c r="F577" s="208"/>
      <c r="J577" s="687"/>
    </row>
    <row r="578" spans="3:10" ht="15.75" customHeight="1">
      <c r="C578" s="687"/>
      <c r="F578" s="208"/>
      <c r="J578" s="687"/>
    </row>
    <row r="579" spans="3:10" ht="15.75" customHeight="1">
      <c r="C579" s="687"/>
      <c r="F579" s="208"/>
      <c r="J579" s="687"/>
    </row>
    <row r="580" spans="3:10" ht="15.75" customHeight="1">
      <c r="C580" s="687"/>
      <c r="F580" s="208"/>
      <c r="J580" s="687"/>
    </row>
    <row r="581" spans="3:10" ht="15.75" customHeight="1">
      <c r="C581" s="687"/>
      <c r="F581" s="208"/>
      <c r="J581" s="687"/>
    </row>
    <row r="582" spans="3:10" ht="15.75" customHeight="1">
      <c r="C582" s="687"/>
      <c r="F582" s="208"/>
      <c r="J582" s="687"/>
    </row>
    <row r="583" spans="3:10" ht="15.75" customHeight="1">
      <c r="C583" s="687"/>
      <c r="F583" s="208"/>
      <c r="J583" s="687"/>
    </row>
    <row r="584" spans="3:10" ht="15.75" customHeight="1">
      <c r="C584" s="687"/>
      <c r="F584" s="208"/>
      <c r="J584" s="687"/>
    </row>
    <row r="585" spans="3:10" ht="15.75" customHeight="1">
      <c r="C585" s="687"/>
      <c r="F585" s="208"/>
      <c r="J585" s="687"/>
    </row>
    <row r="586" spans="3:10" ht="15.75" customHeight="1">
      <c r="C586" s="687"/>
      <c r="F586" s="208"/>
      <c r="J586" s="687"/>
    </row>
    <row r="587" spans="3:10" ht="15.75" customHeight="1">
      <c r="C587" s="687"/>
      <c r="F587" s="208"/>
      <c r="J587" s="687"/>
    </row>
    <row r="588" spans="3:10" ht="15.75" customHeight="1">
      <c r="C588" s="687"/>
      <c r="F588" s="208"/>
      <c r="J588" s="687"/>
    </row>
    <row r="589" spans="3:10" ht="15.75" customHeight="1">
      <c r="C589" s="687"/>
      <c r="F589" s="208"/>
      <c r="J589" s="687"/>
    </row>
    <row r="590" spans="3:10" ht="15.75" customHeight="1">
      <c r="C590" s="687"/>
      <c r="F590" s="208"/>
      <c r="J590" s="687"/>
    </row>
    <row r="591" spans="3:10" ht="15.75" customHeight="1">
      <c r="C591" s="687"/>
      <c r="F591" s="208"/>
      <c r="J591" s="687"/>
    </row>
    <row r="592" spans="3:10" ht="15.75" customHeight="1">
      <c r="C592" s="687"/>
      <c r="F592" s="208"/>
      <c r="J592" s="687"/>
    </row>
    <row r="593" spans="3:10" ht="15.75" customHeight="1">
      <c r="C593" s="687"/>
      <c r="F593" s="208"/>
      <c r="J593" s="687"/>
    </row>
    <row r="594" spans="3:10" ht="15.75" customHeight="1">
      <c r="C594" s="687"/>
      <c r="F594" s="208"/>
      <c r="J594" s="687"/>
    </row>
    <row r="595" spans="3:10" ht="15.75" customHeight="1">
      <c r="C595" s="687"/>
      <c r="F595" s="208"/>
      <c r="J595" s="687"/>
    </row>
    <row r="596" spans="3:10" ht="15.75" customHeight="1">
      <c r="C596" s="687"/>
      <c r="F596" s="208"/>
      <c r="J596" s="687"/>
    </row>
    <row r="597" spans="3:10" ht="15.75" customHeight="1">
      <c r="C597" s="687"/>
      <c r="F597" s="208"/>
      <c r="J597" s="687"/>
    </row>
    <row r="598" spans="3:10" ht="15.75" customHeight="1">
      <c r="C598" s="687"/>
      <c r="F598" s="208"/>
      <c r="J598" s="687"/>
    </row>
    <row r="599" spans="3:10" ht="15.75" customHeight="1">
      <c r="C599" s="687"/>
      <c r="F599" s="208"/>
      <c r="J599" s="687"/>
    </row>
    <row r="600" spans="3:10" ht="15.75" customHeight="1">
      <c r="C600" s="687"/>
      <c r="F600" s="208"/>
      <c r="J600" s="687"/>
    </row>
    <row r="601" spans="3:10" ht="15.75" customHeight="1">
      <c r="C601" s="687"/>
      <c r="F601" s="208"/>
      <c r="J601" s="687"/>
    </row>
    <row r="602" spans="3:10" ht="15.75" customHeight="1">
      <c r="C602" s="687"/>
      <c r="F602" s="208"/>
      <c r="J602" s="687"/>
    </row>
    <row r="603" spans="3:10" ht="15.75" customHeight="1">
      <c r="C603" s="687"/>
      <c r="F603" s="208"/>
      <c r="J603" s="687"/>
    </row>
    <row r="604" spans="3:10" ht="15.75" customHeight="1">
      <c r="C604" s="687"/>
      <c r="F604" s="208"/>
      <c r="J604" s="687"/>
    </row>
    <row r="605" spans="3:10" ht="15.75" customHeight="1">
      <c r="C605" s="687"/>
      <c r="F605" s="208"/>
      <c r="J605" s="687"/>
    </row>
    <row r="606" spans="3:10" ht="15.75" customHeight="1">
      <c r="C606" s="687"/>
      <c r="F606" s="208"/>
      <c r="J606" s="687"/>
    </row>
    <row r="607" spans="3:10" ht="15.75" customHeight="1">
      <c r="C607" s="687"/>
      <c r="F607" s="208"/>
      <c r="J607" s="687"/>
    </row>
    <row r="608" spans="3:10" ht="15.75" customHeight="1">
      <c r="C608" s="687"/>
      <c r="F608" s="208"/>
      <c r="J608" s="687"/>
    </row>
    <row r="609" spans="3:10" ht="15.75" customHeight="1">
      <c r="C609" s="687"/>
      <c r="F609" s="208"/>
      <c r="J609" s="687"/>
    </row>
    <row r="610" spans="3:10" ht="15.75" customHeight="1">
      <c r="C610" s="687"/>
      <c r="F610" s="208"/>
      <c r="J610" s="687"/>
    </row>
    <row r="611" spans="3:10" ht="15.75" customHeight="1">
      <c r="C611" s="687"/>
      <c r="F611" s="208"/>
      <c r="J611" s="687"/>
    </row>
    <row r="612" spans="3:10" ht="15.75" customHeight="1">
      <c r="C612" s="687"/>
      <c r="F612" s="208"/>
      <c r="J612" s="687"/>
    </row>
    <row r="613" spans="3:10" ht="15.75" customHeight="1">
      <c r="C613" s="687"/>
      <c r="F613" s="208"/>
      <c r="J613" s="687"/>
    </row>
    <row r="614" spans="3:10" ht="15.75" customHeight="1">
      <c r="C614" s="687"/>
      <c r="F614" s="208"/>
      <c r="J614" s="687"/>
    </row>
    <row r="615" spans="3:10" ht="15.75" customHeight="1">
      <c r="C615" s="687"/>
      <c r="F615" s="208"/>
      <c r="J615" s="687"/>
    </row>
    <row r="616" spans="3:10" ht="15.75" customHeight="1">
      <c r="C616" s="687"/>
      <c r="F616" s="208"/>
      <c r="J616" s="687"/>
    </row>
    <row r="617" spans="3:10" ht="15.75" customHeight="1">
      <c r="C617" s="687"/>
      <c r="F617" s="208"/>
      <c r="J617" s="687"/>
    </row>
    <row r="618" spans="3:10" ht="15.75" customHeight="1">
      <c r="C618" s="687"/>
      <c r="F618" s="208"/>
      <c r="J618" s="687"/>
    </row>
    <row r="619" spans="3:10" ht="15.75" customHeight="1">
      <c r="C619" s="687"/>
      <c r="F619" s="208"/>
      <c r="J619" s="687"/>
    </row>
    <row r="620" spans="3:10" ht="15.75" customHeight="1">
      <c r="C620" s="687"/>
      <c r="F620" s="208"/>
      <c r="J620" s="687"/>
    </row>
    <row r="621" spans="3:10" ht="15.75" customHeight="1">
      <c r="C621" s="687"/>
      <c r="F621" s="208"/>
      <c r="J621" s="687"/>
    </row>
    <row r="622" spans="3:10" ht="15.75" customHeight="1">
      <c r="C622" s="687"/>
      <c r="F622" s="208"/>
      <c r="J622" s="687"/>
    </row>
    <row r="623" spans="3:10" ht="15.75" customHeight="1">
      <c r="C623" s="687"/>
      <c r="F623" s="208"/>
      <c r="J623" s="687"/>
    </row>
    <row r="624" spans="3:10" ht="15.75" customHeight="1">
      <c r="C624" s="687"/>
      <c r="F624" s="208"/>
      <c r="J624" s="687"/>
    </row>
    <row r="625" spans="3:10" ht="15.75" customHeight="1">
      <c r="C625" s="687"/>
      <c r="F625" s="208"/>
      <c r="J625" s="687"/>
    </row>
    <row r="626" spans="3:10" ht="15.75" customHeight="1">
      <c r="C626" s="687"/>
      <c r="F626" s="208"/>
      <c r="J626" s="687"/>
    </row>
    <row r="627" spans="3:10" ht="15.75" customHeight="1">
      <c r="C627" s="687"/>
      <c r="F627" s="208"/>
      <c r="J627" s="687"/>
    </row>
    <row r="628" spans="3:10" ht="15.75" customHeight="1">
      <c r="C628" s="687"/>
      <c r="F628" s="208"/>
      <c r="J628" s="687"/>
    </row>
    <row r="629" spans="3:10" ht="15.75" customHeight="1">
      <c r="C629" s="687"/>
      <c r="F629" s="208"/>
      <c r="J629" s="687"/>
    </row>
    <row r="630" spans="3:10" ht="15.75" customHeight="1">
      <c r="C630" s="687"/>
      <c r="F630" s="208"/>
      <c r="J630" s="687"/>
    </row>
    <row r="631" spans="3:10" ht="15.75" customHeight="1">
      <c r="C631" s="687"/>
      <c r="F631" s="208"/>
      <c r="J631" s="687"/>
    </row>
    <row r="632" spans="3:10" ht="15.75" customHeight="1">
      <c r="C632" s="687"/>
      <c r="F632" s="208"/>
      <c r="J632" s="687"/>
    </row>
    <row r="633" spans="3:10" ht="15.75" customHeight="1">
      <c r="C633" s="687"/>
      <c r="F633" s="208"/>
      <c r="J633" s="687"/>
    </row>
    <row r="634" spans="3:10" ht="15.75" customHeight="1">
      <c r="C634" s="687"/>
      <c r="F634" s="208"/>
      <c r="J634" s="687"/>
    </row>
    <row r="635" spans="3:10" ht="15.75" customHeight="1">
      <c r="C635" s="687"/>
      <c r="F635" s="208"/>
      <c r="J635" s="687"/>
    </row>
    <row r="636" spans="3:10" ht="15.75" customHeight="1">
      <c r="C636" s="687"/>
      <c r="F636" s="208"/>
      <c r="J636" s="687"/>
    </row>
    <row r="637" spans="3:10" ht="15.75" customHeight="1">
      <c r="C637" s="687"/>
      <c r="F637" s="208"/>
      <c r="J637" s="687"/>
    </row>
    <row r="638" spans="3:10" ht="15.75" customHeight="1">
      <c r="C638" s="687"/>
      <c r="F638" s="208"/>
      <c r="J638" s="687"/>
    </row>
    <row r="639" spans="3:10" ht="15.75" customHeight="1">
      <c r="C639" s="687"/>
      <c r="F639" s="208"/>
      <c r="J639" s="687"/>
    </row>
    <row r="640" spans="3:10" ht="15.75" customHeight="1">
      <c r="C640" s="687"/>
      <c r="F640" s="208"/>
      <c r="J640" s="687"/>
    </row>
    <row r="641" spans="3:10" ht="15.75" customHeight="1">
      <c r="C641" s="687"/>
      <c r="F641" s="208"/>
      <c r="J641" s="687"/>
    </row>
    <row r="642" spans="3:10" ht="15.75" customHeight="1">
      <c r="C642" s="687"/>
      <c r="F642" s="208"/>
      <c r="J642" s="687"/>
    </row>
    <row r="643" spans="3:10" ht="15.75" customHeight="1">
      <c r="C643" s="687"/>
      <c r="F643" s="208"/>
      <c r="J643" s="687"/>
    </row>
    <row r="644" spans="3:10" ht="15.75" customHeight="1">
      <c r="C644" s="687"/>
      <c r="F644" s="208"/>
      <c r="J644" s="687"/>
    </row>
    <row r="645" spans="3:10" ht="15.75" customHeight="1">
      <c r="C645" s="687"/>
      <c r="F645" s="208"/>
      <c r="J645" s="687"/>
    </row>
    <row r="646" spans="3:10" ht="15.75" customHeight="1">
      <c r="C646" s="687"/>
      <c r="F646" s="208"/>
      <c r="J646" s="687"/>
    </row>
    <row r="647" spans="3:10" ht="15.75" customHeight="1">
      <c r="C647" s="687"/>
      <c r="F647" s="208"/>
      <c r="J647" s="687"/>
    </row>
    <row r="648" spans="3:10" ht="15.75" customHeight="1">
      <c r="C648" s="687"/>
      <c r="F648" s="208"/>
      <c r="J648" s="687"/>
    </row>
    <row r="649" spans="3:10" ht="15.75" customHeight="1">
      <c r="C649" s="687"/>
      <c r="F649" s="208"/>
      <c r="J649" s="687"/>
    </row>
    <row r="650" spans="3:10" ht="15.75" customHeight="1">
      <c r="C650" s="687"/>
      <c r="F650" s="208"/>
      <c r="J650" s="687"/>
    </row>
    <row r="651" spans="3:10" ht="15.75" customHeight="1">
      <c r="C651" s="687"/>
      <c r="F651" s="208"/>
      <c r="J651" s="687"/>
    </row>
    <row r="652" spans="3:10" ht="15.75" customHeight="1">
      <c r="C652" s="687"/>
      <c r="F652" s="208"/>
      <c r="J652" s="687"/>
    </row>
    <row r="653" spans="3:10" ht="15.75" customHeight="1">
      <c r="C653" s="687"/>
      <c r="F653" s="208"/>
      <c r="J653" s="687"/>
    </row>
    <row r="654" spans="3:10" ht="15.75" customHeight="1">
      <c r="C654" s="687"/>
      <c r="F654" s="208"/>
      <c r="J654" s="687"/>
    </row>
    <row r="655" spans="3:10" ht="15.75" customHeight="1">
      <c r="C655" s="687"/>
      <c r="F655" s="208"/>
      <c r="J655" s="687"/>
    </row>
    <row r="656" spans="3:10" ht="15.75" customHeight="1">
      <c r="C656" s="687"/>
      <c r="F656" s="208"/>
      <c r="J656" s="687"/>
    </row>
    <row r="657" spans="3:10" ht="15.75" customHeight="1">
      <c r="C657" s="687"/>
      <c r="F657" s="208"/>
      <c r="J657" s="687"/>
    </row>
    <row r="658" spans="3:10" ht="15.75" customHeight="1">
      <c r="C658" s="687"/>
      <c r="F658" s="208"/>
      <c r="J658" s="687"/>
    </row>
    <row r="659" spans="3:10" ht="15.75" customHeight="1">
      <c r="C659" s="687"/>
      <c r="F659" s="208"/>
      <c r="J659" s="687"/>
    </row>
    <row r="660" spans="3:10" ht="15.75" customHeight="1">
      <c r="C660" s="687"/>
      <c r="F660" s="208"/>
      <c r="J660" s="687"/>
    </row>
    <row r="661" spans="3:10" ht="15.75" customHeight="1">
      <c r="C661" s="687"/>
      <c r="F661" s="208"/>
      <c r="J661" s="687"/>
    </row>
    <row r="662" spans="3:10" ht="15.75" customHeight="1">
      <c r="C662" s="687"/>
      <c r="F662" s="208"/>
      <c r="J662" s="687"/>
    </row>
    <row r="663" spans="3:10" ht="15.75" customHeight="1">
      <c r="C663" s="687"/>
      <c r="F663" s="208"/>
      <c r="J663" s="687"/>
    </row>
    <row r="664" spans="3:10" ht="15.75" customHeight="1">
      <c r="C664" s="687"/>
      <c r="F664" s="208"/>
      <c r="J664" s="687"/>
    </row>
    <row r="665" spans="3:10" ht="15.75" customHeight="1">
      <c r="C665" s="687"/>
      <c r="F665" s="208"/>
      <c r="J665" s="687"/>
    </row>
    <row r="666" spans="3:10" ht="15.75" customHeight="1">
      <c r="C666" s="687"/>
      <c r="F666" s="208"/>
      <c r="J666" s="687"/>
    </row>
    <row r="667" spans="3:10" ht="15.75" customHeight="1">
      <c r="C667" s="687"/>
      <c r="F667" s="208"/>
      <c r="J667" s="687"/>
    </row>
    <row r="668" spans="3:10" ht="15.75" customHeight="1">
      <c r="C668" s="687"/>
      <c r="F668" s="208"/>
      <c r="J668" s="687"/>
    </row>
    <row r="669" spans="3:10" ht="15.75" customHeight="1">
      <c r="C669" s="687"/>
      <c r="F669" s="208"/>
      <c r="J669" s="687"/>
    </row>
    <row r="670" spans="3:10" ht="15.75" customHeight="1">
      <c r="C670" s="687"/>
      <c r="F670" s="208"/>
      <c r="J670" s="687"/>
    </row>
    <row r="671" spans="3:10" ht="15.75" customHeight="1">
      <c r="C671" s="687"/>
      <c r="F671" s="208"/>
      <c r="J671" s="687"/>
    </row>
    <row r="672" spans="3:10" ht="15.75" customHeight="1">
      <c r="C672" s="687"/>
      <c r="F672" s="208"/>
      <c r="J672" s="687"/>
    </row>
    <row r="673" spans="3:10" ht="15.75" customHeight="1">
      <c r="C673" s="687"/>
      <c r="F673" s="208"/>
      <c r="J673" s="687"/>
    </row>
    <row r="674" spans="3:10" ht="15.75" customHeight="1">
      <c r="C674" s="687"/>
      <c r="F674" s="208"/>
      <c r="J674" s="687"/>
    </row>
    <row r="675" spans="3:10" ht="15.75" customHeight="1">
      <c r="C675" s="687"/>
      <c r="F675" s="208"/>
      <c r="J675" s="687"/>
    </row>
    <row r="676" spans="3:10" ht="15.75" customHeight="1">
      <c r="C676" s="687"/>
      <c r="F676" s="208"/>
      <c r="J676" s="687"/>
    </row>
    <row r="677" spans="3:10" ht="15.75" customHeight="1">
      <c r="C677" s="687"/>
      <c r="F677" s="208"/>
      <c r="J677" s="687"/>
    </row>
    <row r="678" spans="3:10" ht="15.75" customHeight="1">
      <c r="C678" s="687"/>
      <c r="F678" s="208"/>
      <c r="J678" s="687"/>
    </row>
    <row r="679" spans="3:10" ht="15.75" customHeight="1">
      <c r="C679" s="687"/>
      <c r="F679" s="208"/>
      <c r="J679" s="687"/>
    </row>
    <row r="680" spans="3:10" ht="15.75" customHeight="1">
      <c r="C680" s="687"/>
      <c r="F680" s="208"/>
      <c r="J680" s="687"/>
    </row>
    <row r="681" spans="3:10" ht="15.75" customHeight="1">
      <c r="C681" s="687"/>
      <c r="F681" s="208"/>
      <c r="J681" s="687"/>
    </row>
    <row r="682" spans="3:10" ht="15.75" customHeight="1">
      <c r="C682" s="687"/>
      <c r="F682" s="208"/>
      <c r="J682" s="687"/>
    </row>
    <row r="683" spans="3:10" ht="15.75" customHeight="1">
      <c r="C683" s="687"/>
      <c r="F683" s="208"/>
      <c r="J683" s="687"/>
    </row>
    <row r="684" spans="3:10" ht="15.75" customHeight="1">
      <c r="C684" s="687"/>
      <c r="F684" s="208"/>
      <c r="J684" s="687"/>
    </row>
    <row r="685" spans="3:10" ht="15.75" customHeight="1">
      <c r="C685" s="687"/>
      <c r="F685" s="208"/>
      <c r="J685" s="687"/>
    </row>
    <row r="686" spans="3:10" ht="15.75" customHeight="1">
      <c r="C686" s="687"/>
      <c r="F686" s="208"/>
      <c r="J686" s="687"/>
    </row>
    <row r="687" spans="3:10" ht="15.75" customHeight="1">
      <c r="C687" s="687"/>
      <c r="F687" s="208"/>
      <c r="J687" s="687"/>
    </row>
    <row r="688" spans="3:10" ht="15.75" customHeight="1">
      <c r="C688" s="687"/>
      <c r="F688" s="208"/>
      <c r="J688" s="687"/>
    </row>
    <row r="689" spans="3:10" ht="15.75" customHeight="1">
      <c r="C689" s="687"/>
      <c r="F689" s="208"/>
      <c r="J689" s="687"/>
    </row>
    <row r="690" spans="3:10" ht="15.75" customHeight="1">
      <c r="C690" s="687"/>
      <c r="F690" s="208"/>
      <c r="J690" s="687"/>
    </row>
    <row r="691" spans="3:10" ht="15.75" customHeight="1">
      <c r="C691" s="687"/>
      <c r="F691" s="208"/>
      <c r="J691" s="687"/>
    </row>
    <row r="692" spans="3:10" ht="15.75" customHeight="1">
      <c r="C692" s="687"/>
      <c r="F692" s="208"/>
      <c r="J692" s="687"/>
    </row>
    <row r="693" spans="3:10" ht="15.75" customHeight="1">
      <c r="C693" s="687"/>
      <c r="F693" s="208"/>
      <c r="J693" s="687"/>
    </row>
    <row r="694" spans="3:10" ht="15.75" customHeight="1">
      <c r="C694" s="687"/>
      <c r="F694" s="208"/>
      <c r="J694" s="687"/>
    </row>
    <row r="695" spans="3:10" ht="15.75" customHeight="1">
      <c r="C695" s="687"/>
      <c r="F695" s="208"/>
      <c r="J695" s="687"/>
    </row>
    <row r="696" spans="3:10" ht="15.75" customHeight="1">
      <c r="C696" s="687"/>
      <c r="F696" s="208"/>
      <c r="J696" s="687"/>
    </row>
    <row r="697" spans="3:10" ht="15.75" customHeight="1">
      <c r="C697" s="687"/>
      <c r="F697" s="208"/>
      <c r="J697" s="687"/>
    </row>
    <row r="698" spans="3:10" ht="15.75" customHeight="1">
      <c r="C698" s="687"/>
      <c r="F698" s="208"/>
      <c r="J698" s="687"/>
    </row>
    <row r="699" spans="3:10" ht="15.75" customHeight="1">
      <c r="C699" s="687"/>
      <c r="F699" s="208"/>
      <c r="J699" s="687"/>
    </row>
    <row r="700" spans="3:10" ht="15.75" customHeight="1">
      <c r="C700" s="687"/>
      <c r="F700" s="208"/>
      <c r="J700" s="687"/>
    </row>
    <row r="701" spans="3:10" ht="15.75" customHeight="1">
      <c r="C701" s="687"/>
      <c r="F701" s="208"/>
      <c r="J701" s="687"/>
    </row>
    <row r="702" spans="3:10" ht="15.75" customHeight="1">
      <c r="C702" s="687"/>
      <c r="F702" s="208"/>
      <c r="J702" s="687"/>
    </row>
    <row r="703" spans="3:10" ht="15.75" customHeight="1">
      <c r="C703" s="687"/>
      <c r="F703" s="208"/>
      <c r="J703" s="687"/>
    </row>
    <row r="704" spans="3:10" ht="15.75" customHeight="1">
      <c r="C704" s="687"/>
      <c r="F704" s="208"/>
      <c r="J704" s="687"/>
    </row>
    <row r="705" spans="3:10" ht="15.75" customHeight="1">
      <c r="C705" s="687"/>
      <c r="F705" s="208"/>
      <c r="J705" s="687"/>
    </row>
    <row r="706" spans="3:10" ht="15.75" customHeight="1">
      <c r="C706" s="687"/>
      <c r="F706" s="208"/>
      <c r="J706" s="687"/>
    </row>
    <row r="707" spans="3:10" ht="15.75" customHeight="1">
      <c r="C707" s="687"/>
      <c r="F707" s="208"/>
      <c r="J707" s="687"/>
    </row>
    <row r="708" spans="3:10" ht="15.75" customHeight="1">
      <c r="C708" s="687"/>
      <c r="F708" s="208"/>
      <c r="J708" s="687"/>
    </row>
    <row r="709" spans="3:10" ht="15.75" customHeight="1">
      <c r="C709" s="687"/>
      <c r="F709" s="208"/>
      <c r="J709" s="687"/>
    </row>
    <row r="710" spans="3:10" ht="15.75" customHeight="1">
      <c r="C710" s="687"/>
      <c r="F710" s="208"/>
      <c r="J710" s="687"/>
    </row>
    <row r="711" spans="3:10" ht="15.75" customHeight="1">
      <c r="C711" s="687"/>
      <c r="F711" s="208"/>
      <c r="J711" s="687"/>
    </row>
    <row r="712" spans="3:10" ht="15.75" customHeight="1">
      <c r="C712" s="687"/>
      <c r="F712" s="208"/>
      <c r="J712" s="687"/>
    </row>
    <row r="713" spans="3:10" ht="15.75" customHeight="1">
      <c r="C713" s="687"/>
      <c r="F713" s="208"/>
      <c r="J713" s="687"/>
    </row>
    <row r="714" spans="3:10" ht="15.75" customHeight="1">
      <c r="C714" s="687"/>
      <c r="F714" s="208"/>
      <c r="J714" s="687"/>
    </row>
    <row r="715" spans="3:10" ht="15.75" customHeight="1">
      <c r="C715" s="687"/>
      <c r="F715" s="208"/>
      <c r="J715" s="687"/>
    </row>
    <row r="716" spans="3:10" ht="15.75" customHeight="1">
      <c r="C716" s="687"/>
      <c r="F716" s="208"/>
      <c r="J716" s="687"/>
    </row>
    <row r="717" spans="3:10" ht="15.75" customHeight="1">
      <c r="C717" s="687"/>
      <c r="F717" s="208"/>
      <c r="J717" s="687"/>
    </row>
    <row r="718" spans="3:10" ht="15.75" customHeight="1">
      <c r="C718" s="687"/>
      <c r="F718" s="208"/>
      <c r="J718" s="687"/>
    </row>
    <row r="719" spans="3:10" ht="15.75" customHeight="1">
      <c r="C719" s="687"/>
      <c r="F719" s="208"/>
      <c r="J719" s="687"/>
    </row>
    <row r="720" spans="3:10" ht="15.75" customHeight="1">
      <c r="C720" s="687"/>
      <c r="F720" s="208"/>
      <c r="J720" s="687"/>
    </row>
    <row r="721" spans="3:10" ht="15.75" customHeight="1">
      <c r="C721" s="687"/>
      <c r="F721" s="208"/>
      <c r="J721" s="687"/>
    </row>
    <row r="722" spans="3:10" ht="15.75" customHeight="1">
      <c r="C722" s="687"/>
      <c r="F722" s="208"/>
      <c r="J722" s="687"/>
    </row>
    <row r="723" spans="3:10" ht="15.75" customHeight="1">
      <c r="C723" s="687"/>
      <c r="F723" s="208"/>
      <c r="J723" s="687"/>
    </row>
    <row r="724" spans="3:10" ht="15.75" customHeight="1">
      <c r="C724" s="687"/>
      <c r="F724" s="208"/>
      <c r="J724" s="687"/>
    </row>
    <row r="725" spans="3:10" ht="15.75" customHeight="1">
      <c r="C725" s="687"/>
      <c r="F725" s="208"/>
      <c r="J725" s="687"/>
    </row>
    <row r="726" spans="3:10" ht="15.75" customHeight="1">
      <c r="C726" s="687"/>
      <c r="F726" s="208"/>
      <c r="J726" s="687"/>
    </row>
    <row r="727" spans="3:10" ht="15.75" customHeight="1">
      <c r="C727" s="687"/>
      <c r="F727" s="208"/>
      <c r="J727" s="687"/>
    </row>
    <row r="728" spans="3:10" ht="15.75" customHeight="1">
      <c r="C728" s="687"/>
      <c r="F728" s="208"/>
      <c r="J728" s="687"/>
    </row>
    <row r="729" spans="3:10" ht="15.75" customHeight="1">
      <c r="C729" s="687"/>
      <c r="F729" s="208"/>
      <c r="J729" s="687"/>
    </row>
    <row r="730" spans="3:10" ht="15.75" customHeight="1">
      <c r="C730" s="687"/>
      <c r="F730" s="208"/>
      <c r="J730" s="687"/>
    </row>
    <row r="731" spans="3:10" ht="15.75" customHeight="1">
      <c r="C731" s="687"/>
      <c r="F731" s="208"/>
      <c r="J731" s="687"/>
    </row>
    <row r="732" spans="3:10" ht="15.75" customHeight="1">
      <c r="C732" s="687"/>
      <c r="F732" s="208"/>
      <c r="J732" s="687"/>
    </row>
    <row r="733" spans="3:10" ht="15.75" customHeight="1">
      <c r="C733" s="687"/>
      <c r="F733" s="208"/>
      <c r="J733" s="687"/>
    </row>
    <row r="734" spans="3:10" ht="15.75" customHeight="1">
      <c r="C734" s="687"/>
      <c r="F734" s="208"/>
      <c r="J734" s="687"/>
    </row>
    <row r="735" spans="3:10" ht="15.75" customHeight="1">
      <c r="C735" s="687"/>
      <c r="F735" s="208"/>
      <c r="J735" s="687"/>
    </row>
    <row r="736" spans="3:10" ht="15.75" customHeight="1">
      <c r="C736" s="687"/>
      <c r="F736" s="208"/>
      <c r="J736" s="687"/>
    </row>
    <row r="737" spans="3:10" ht="15.75" customHeight="1">
      <c r="C737" s="687"/>
      <c r="F737" s="208"/>
      <c r="J737" s="687"/>
    </row>
    <row r="738" spans="3:10" ht="15.75" customHeight="1">
      <c r="C738" s="687"/>
      <c r="F738" s="208"/>
      <c r="J738" s="687"/>
    </row>
    <row r="739" spans="3:10" ht="15.75" customHeight="1">
      <c r="C739" s="687"/>
      <c r="F739" s="208"/>
      <c r="J739" s="687"/>
    </row>
    <row r="740" spans="3:10" ht="15.75" customHeight="1">
      <c r="C740" s="687"/>
      <c r="F740" s="208"/>
      <c r="J740" s="687"/>
    </row>
    <row r="741" spans="3:10" ht="15.75" customHeight="1">
      <c r="C741" s="687"/>
      <c r="F741" s="208"/>
      <c r="J741" s="687"/>
    </row>
    <row r="742" spans="3:10" ht="15.75" customHeight="1">
      <c r="C742" s="687"/>
      <c r="F742" s="208"/>
      <c r="J742" s="687"/>
    </row>
    <row r="743" spans="3:10" ht="15.75" customHeight="1">
      <c r="C743" s="687"/>
      <c r="F743" s="208"/>
      <c r="J743" s="687"/>
    </row>
    <row r="744" spans="3:10" ht="15.75" customHeight="1">
      <c r="C744" s="687"/>
      <c r="F744" s="208"/>
      <c r="J744" s="687"/>
    </row>
    <row r="745" spans="3:10" ht="15.75" customHeight="1">
      <c r="C745" s="687"/>
      <c r="F745" s="208"/>
      <c r="J745" s="687"/>
    </row>
    <row r="746" spans="3:10" ht="15.75" customHeight="1">
      <c r="C746" s="687"/>
      <c r="F746" s="208"/>
      <c r="J746" s="687"/>
    </row>
    <row r="747" spans="3:10" ht="15.75" customHeight="1">
      <c r="C747" s="687"/>
      <c r="F747" s="208"/>
      <c r="J747" s="687"/>
    </row>
    <row r="748" spans="3:10" ht="15.75" customHeight="1">
      <c r="C748" s="687"/>
      <c r="F748" s="208"/>
      <c r="J748" s="687"/>
    </row>
    <row r="749" spans="3:10" ht="15.75" customHeight="1">
      <c r="C749" s="687"/>
      <c r="F749" s="208"/>
      <c r="J749" s="687"/>
    </row>
    <row r="750" spans="3:10" ht="15.75" customHeight="1">
      <c r="C750" s="687"/>
      <c r="F750" s="208"/>
      <c r="J750" s="687"/>
    </row>
    <row r="751" spans="3:10" ht="15.75" customHeight="1">
      <c r="C751" s="687"/>
      <c r="F751" s="208"/>
      <c r="J751" s="687"/>
    </row>
    <row r="752" spans="3:10" ht="15.75" customHeight="1">
      <c r="C752" s="687"/>
      <c r="F752" s="208"/>
      <c r="J752" s="687"/>
    </row>
    <row r="753" spans="3:10" ht="15.75" customHeight="1">
      <c r="C753" s="687"/>
      <c r="F753" s="208"/>
      <c r="J753" s="687"/>
    </row>
    <row r="754" spans="3:10" ht="15.75" customHeight="1">
      <c r="C754" s="687"/>
      <c r="F754" s="208"/>
      <c r="J754" s="687"/>
    </row>
    <row r="755" spans="3:10" ht="15.75" customHeight="1">
      <c r="C755" s="687"/>
      <c r="F755" s="208"/>
      <c r="J755" s="687"/>
    </row>
    <row r="756" spans="3:10" ht="15.75" customHeight="1">
      <c r="C756" s="687"/>
      <c r="F756" s="208"/>
      <c r="J756" s="687"/>
    </row>
    <row r="757" spans="3:10" ht="15.75" customHeight="1">
      <c r="C757" s="687"/>
      <c r="F757" s="208"/>
      <c r="J757" s="687"/>
    </row>
    <row r="758" spans="3:10" ht="15.75" customHeight="1">
      <c r="C758" s="687"/>
      <c r="F758" s="208"/>
      <c r="J758" s="687"/>
    </row>
    <row r="759" spans="3:10" ht="15.75" customHeight="1">
      <c r="C759" s="687"/>
      <c r="F759" s="208"/>
      <c r="J759" s="687"/>
    </row>
    <row r="760" spans="3:10" ht="15.75" customHeight="1">
      <c r="C760" s="687"/>
      <c r="F760" s="208"/>
      <c r="J760" s="687"/>
    </row>
    <row r="761" spans="3:10" ht="15.75" customHeight="1">
      <c r="C761" s="687"/>
      <c r="F761" s="208"/>
      <c r="J761" s="687"/>
    </row>
    <row r="762" spans="3:10" ht="15.75" customHeight="1">
      <c r="C762" s="687"/>
      <c r="F762" s="208"/>
      <c r="J762" s="687"/>
    </row>
    <row r="763" spans="3:10" ht="15.75" customHeight="1">
      <c r="C763" s="687"/>
      <c r="F763" s="208"/>
      <c r="J763" s="687"/>
    </row>
    <row r="764" spans="3:10" ht="15.75" customHeight="1">
      <c r="C764" s="687"/>
      <c r="F764" s="208"/>
      <c r="J764" s="687"/>
    </row>
    <row r="765" spans="3:10" ht="15.75" customHeight="1">
      <c r="C765" s="687"/>
      <c r="F765" s="208"/>
      <c r="J765" s="687"/>
    </row>
    <row r="766" spans="3:10" ht="15.75" customHeight="1">
      <c r="C766" s="687"/>
      <c r="F766" s="208"/>
      <c r="J766" s="687"/>
    </row>
    <row r="767" spans="3:10" ht="15.75" customHeight="1">
      <c r="C767" s="687"/>
      <c r="F767" s="208"/>
      <c r="J767" s="687"/>
    </row>
    <row r="768" spans="3:10" ht="15.75" customHeight="1">
      <c r="C768" s="687"/>
      <c r="F768" s="208"/>
      <c r="J768" s="687"/>
    </row>
    <row r="769" spans="3:10" ht="15.75" customHeight="1">
      <c r="C769" s="687"/>
      <c r="F769" s="208"/>
      <c r="J769" s="687"/>
    </row>
    <row r="770" spans="3:10" ht="15.75" customHeight="1">
      <c r="C770" s="687"/>
      <c r="F770" s="208"/>
      <c r="J770" s="687"/>
    </row>
    <row r="771" spans="3:10" ht="15.75" customHeight="1">
      <c r="C771" s="687"/>
      <c r="F771" s="208"/>
      <c r="J771" s="687"/>
    </row>
    <row r="772" spans="3:10" ht="15.75" customHeight="1">
      <c r="C772" s="687"/>
      <c r="F772" s="208"/>
      <c r="J772" s="687"/>
    </row>
    <row r="773" spans="3:10" ht="15.75" customHeight="1">
      <c r="C773" s="687"/>
      <c r="F773" s="208"/>
      <c r="J773" s="687"/>
    </row>
    <row r="774" spans="3:10" ht="15.75" customHeight="1">
      <c r="C774" s="687"/>
      <c r="F774" s="208"/>
      <c r="J774" s="687"/>
    </row>
    <row r="775" spans="3:10" ht="15.75" customHeight="1">
      <c r="C775" s="687"/>
      <c r="F775" s="208"/>
      <c r="J775" s="687"/>
    </row>
    <row r="776" spans="3:10" ht="15.75" customHeight="1">
      <c r="C776" s="687"/>
      <c r="F776" s="208"/>
      <c r="J776" s="687"/>
    </row>
    <row r="777" spans="3:10" ht="15.75" customHeight="1">
      <c r="C777" s="687"/>
      <c r="F777" s="208"/>
      <c r="J777" s="687"/>
    </row>
    <row r="778" spans="3:10" ht="15.75" customHeight="1">
      <c r="C778" s="687"/>
      <c r="F778" s="208"/>
      <c r="J778" s="687"/>
    </row>
    <row r="779" spans="3:10" ht="15.75" customHeight="1">
      <c r="C779" s="687"/>
      <c r="F779" s="208"/>
      <c r="J779" s="687"/>
    </row>
    <row r="780" spans="3:10" ht="15.75" customHeight="1">
      <c r="C780" s="687"/>
      <c r="F780" s="208"/>
      <c r="J780" s="687"/>
    </row>
    <row r="781" spans="3:10" ht="15.75" customHeight="1">
      <c r="C781" s="687"/>
      <c r="F781" s="208"/>
      <c r="J781" s="687"/>
    </row>
    <row r="782" spans="3:10" ht="15.75" customHeight="1">
      <c r="C782" s="687"/>
      <c r="F782" s="208"/>
      <c r="J782" s="687"/>
    </row>
    <row r="783" spans="3:10" ht="15.75" customHeight="1">
      <c r="C783" s="687"/>
      <c r="F783" s="208"/>
      <c r="J783" s="687"/>
    </row>
    <row r="784" spans="3:10" ht="15.75" customHeight="1">
      <c r="C784" s="687"/>
      <c r="F784" s="208"/>
      <c r="J784" s="687"/>
    </row>
    <row r="785" spans="3:10" ht="15.75" customHeight="1">
      <c r="C785" s="687"/>
      <c r="F785" s="208"/>
      <c r="J785" s="687"/>
    </row>
    <row r="786" spans="3:10" ht="15.75" customHeight="1">
      <c r="C786" s="687"/>
      <c r="F786" s="208"/>
      <c r="J786" s="687"/>
    </row>
    <row r="787" spans="3:10" ht="15.75" customHeight="1">
      <c r="C787" s="687"/>
      <c r="F787" s="208"/>
      <c r="J787" s="687"/>
    </row>
    <row r="788" spans="3:10" ht="15.75" customHeight="1">
      <c r="C788" s="687"/>
      <c r="F788" s="208"/>
      <c r="J788" s="687"/>
    </row>
    <row r="789" spans="3:10" ht="15.75" customHeight="1">
      <c r="C789" s="687"/>
      <c r="F789" s="208"/>
      <c r="J789" s="687"/>
    </row>
    <row r="790" spans="3:10" ht="15.75" customHeight="1">
      <c r="C790" s="687"/>
      <c r="F790" s="208"/>
      <c r="J790" s="687"/>
    </row>
    <row r="791" spans="3:10" ht="15.75" customHeight="1">
      <c r="C791" s="687"/>
      <c r="F791" s="208"/>
      <c r="J791" s="687"/>
    </row>
    <row r="792" spans="3:10" ht="15.75" customHeight="1">
      <c r="C792" s="687"/>
      <c r="F792" s="208"/>
      <c r="J792" s="687"/>
    </row>
    <row r="793" spans="3:10" ht="15.75" customHeight="1">
      <c r="C793" s="687"/>
      <c r="F793" s="208"/>
      <c r="J793" s="687"/>
    </row>
    <row r="794" spans="3:10" ht="15.75" customHeight="1">
      <c r="C794" s="687"/>
      <c r="F794" s="208"/>
      <c r="J794" s="687"/>
    </row>
    <row r="795" spans="3:10" ht="15.75" customHeight="1">
      <c r="C795" s="687"/>
      <c r="F795" s="208"/>
      <c r="J795" s="687"/>
    </row>
    <row r="796" spans="3:10" ht="15.75" customHeight="1">
      <c r="C796" s="687"/>
      <c r="F796" s="208"/>
      <c r="J796" s="687"/>
    </row>
    <row r="797" spans="3:10" ht="15.75" customHeight="1">
      <c r="C797" s="687"/>
      <c r="F797" s="208"/>
      <c r="J797" s="687"/>
    </row>
    <row r="798" spans="3:10" ht="15.75" customHeight="1">
      <c r="C798" s="687"/>
      <c r="F798" s="208"/>
      <c r="J798" s="687"/>
    </row>
    <row r="799" spans="3:10" ht="15.75" customHeight="1">
      <c r="C799" s="687"/>
      <c r="F799" s="208"/>
      <c r="J799" s="687"/>
    </row>
    <row r="800" spans="3:10" ht="15.75" customHeight="1">
      <c r="C800" s="687"/>
      <c r="F800" s="208"/>
      <c r="J800" s="687"/>
    </row>
    <row r="801" spans="3:10" ht="15.75" customHeight="1">
      <c r="C801" s="687"/>
      <c r="F801" s="208"/>
      <c r="J801" s="687"/>
    </row>
    <row r="802" spans="3:10" ht="15.75" customHeight="1">
      <c r="C802" s="687"/>
      <c r="F802" s="208"/>
      <c r="J802" s="687"/>
    </row>
    <row r="803" spans="3:10" ht="15.75" customHeight="1">
      <c r="C803" s="687"/>
      <c r="F803" s="208"/>
      <c r="J803" s="687"/>
    </row>
    <row r="804" spans="3:10" ht="15.75" customHeight="1">
      <c r="C804" s="687"/>
      <c r="F804" s="208"/>
      <c r="J804" s="687"/>
    </row>
    <row r="805" spans="3:10" ht="15.75" customHeight="1">
      <c r="C805" s="687"/>
      <c r="F805" s="208"/>
      <c r="J805" s="687"/>
    </row>
    <row r="806" spans="3:10" ht="15.75" customHeight="1">
      <c r="C806" s="687"/>
      <c r="F806" s="208"/>
      <c r="J806" s="687"/>
    </row>
    <row r="807" spans="3:10" ht="15.75" customHeight="1">
      <c r="C807" s="687"/>
      <c r="F807" s="208"/>
      <c r="J807" s="687"/>
    </row>
    <row r="808" spans="3:10" ht="15.75" customHeight="1">
      <c r="C808" s="687"/>
      <c r="F808" s="208"/>
      <c r="J808" s="687"/>
    </row>
    <row r="809" spans="3:10" ht="15.75" customHeight="1">
      <c r="C809" s="687"/>
      <c r="F809" s="208"/>
      <c r="J809" s="687"/>
    </row>
    <row r="810" spans="3:10" ht="15.75" customHeight="1">
      <c r="C810" s="687"/>
      <c r="F810" s="208"/>
      <c r="J810" s="687"/>
    </row>
    <row r="811" spans="3:10" ht="15.75" customHeight="1">
      <c r="C811" s="687"/>
      <c r="F811" s="208"/>
      <c r="J811" s="687"/>
    </row>
    <row r="812" spans="3:10" ht="15.75" customHeight="1">
      <c r="C812" s="687"/>
      <c r="F812" s="208"/>
      <c r="J812" s="687"/>
    </row>
    <row r="813" spans="3:10" ht="15.75" customHeight="1">
      <c r="C813" s="687"/>
      <c r="F813" s="208"/>
      <c r="J813" s="687"/>
    </row>
    <row r="814" spans="3:10" ht="15.75" customHeight="1">
      <c r="C814" s="687"/>
      <c r="F814" s="208"/>
      <c r="J814" s="687"/>
    </row>
    <row r="815" spans="3:10" ht="15.75" customHeight="1">
      <c r="C815" s="687"/>
      <c r="F815" s="208"/>
      <c r="J815" s="687"/>
    </row>
    <row r="816" spans="3:10" ht="15.75" customHeight="1">
      <c r="C816" s="687"/>
      <c r="F816" s="208"/>
      <c r="J816" s="687"/>
    </row>
    <row r="817" spans="3:10" ht="15.75" customHeight="1">
      <c r="C817" s="687"/>
      <c r="F817" s="208"/>
      <c r="J817" s="687"/>
    </row>
    <row r="818" spans="3:10" ht="15.75" customHeight="1">
      <c r="C818" s="687"/>
      <c r="F818" s="208"/>
      <c r="J818" s="687"/>
    </row>
    <row r="819" spans="3:10" ht="15.75" customHeight="1">
      <c r="C819" s="687"/>
      <c r="F819" s="208"/>
      <c r="J819" s="687"/>
    </row>
    <row r="820" spans="3:10" ht="15.75" customHeight="1">
      <c r="C820" s="687"/>
      <c r="F820" s="208"/>
      <c r="J820" s="687"/>
    </row>
    <row r="821" spans="3:10" ht="15.75" customHeight="1">
      <c r="C821" s="687"/>
      <c r="F821" s="208"/>
      <c r="J821" s="687"/>
    </row>
    <row r="822" spans="3:10" ht="15.75" customHeight="1">
      <c r="C822" s="687"/>
      <c r="F822" s="208"/>
      <c r="J822" s="687"/>
    </row>
    <row r="823" spans="3:10" ht="15.75" customHeight="1">
      <c r="C823" s="687"/>
      <c r="F823" s="208"/>
      <c r="J823" s="687"/>
    </row>
    <row r="824" spans="3:10" ht="15.75" customHeight="1">
      <c r="C824" s="687"/>
      <c r="F824" s="208"/>
      <c r="J824" s="687"/>
    </row>
    <row r="825" spans="3:10" ht="15.75" customHeight="1">
      <c r="C825" s="687"/>
      <c r="F825" s="208"/>
      <c r="J825" s="687"/>
    </row>
    <row r="826" spans="3:10" ht="15.75" customHeight="1">
      <c r="C826" s="687"/>
      <c r="F826" s="208"/>
      <c r="J826" s="687"/>
    </row>
    <row r="827" spans="3:10" ht="15.75" customHeight="1">
      <c r="C827" s="687"/>
      <c r="F827" s="208"/>
      <c r="J827" s="687"/>
    </row>
    <row r="828" spans="3:10" ht="15.75" customHeight="1">
      <c r="C828" s="687"/>
      <c r="F828" s="208"/>
      <c r="J828" s="687"/>
    </row>
    <row r="829" spans="3:10" ht="15.75" customHeight="1">
      <c r="C829" s="687"/>
      <c r="F829" s="208"/>
      <c r="J829" s="687"/>
    </row>
    <row r="830" spans="3:10" ht="15.75" customHeight="1">
      <c r="C830" s="687"/>
      <c r="F830" s="208"/>
      <c r="J830" s="687"/>
    </row>
    <row r="831" spans="3:10" ht="15.75" customHeight="1">
      <c r="C831" s="687"/>
      <c r="F831" s="208"/>
      <c r="J831" s="687"/>
    </row>
    <row r="832" spans="3:10" ht="15.75" customHeight="1">
      <c r="C832" s="687"/>
      <c r="F832" s="208"/>
      <c r="J832" s="687"/>
    </row>
    <row r="833" spans="3:10" ht="15.75" customHeight="1">
      <c r="C833" s="687"/>
      <c r="F833" s="208"/>
      <c r="J833" s="687"/>
    </row>
    <row r="834" spans="3:10" ht="15.75" customHeight="1">
      <c r="C834" s="687"/>
      <c r="F834" s="208"/>
      <c r="J834" s="687"/>
    </row>
    <row r="835" spans="3:10" ht="15.75" customHeight="1">
      <c r="C835" s="687"/>
      <c r="F835" s="208"/>
      <c r="J835" s="687"/>
    </row>
    <row r="836" spans="3:10" ht="15.75" customHeight="1">
      <c r="C836" s="687"/>
      <c r="F836" s="208"/>
      <c r="J836" s="687"/>
    </row>
    <row r="837" spans="3:10" ht="15.75" customHeight="1">
      <c r="C837" s="687"/>
      <c r="F837" s="208"/>
      <c r="J837" s="687"/>
    </row>
    <row r="838" spans="3:10" ht="15.75" customHeight="1">
      <c r="C838" s="687"/>
      <c r="F838" s="208"/>
      <c r="J838" s="687"/>
    </row>
    <row r="839" spans="3:10" ht="15.75" customHeight="1">
      <c r="C839" s="687"/>
      <c r="F839" s="208"/>
      <c r="J839" s="687"/>
    </row>
    <row r="840" spans="3:10" ht="15.75" customHeight="1">
      <c r="C840" s="687"/>
      <c r="F840" s="208"/>
      <c r="J840" s="687"/>
    </row>
    <row r="841" spans="3:10" ht="15.75" customHeight="1">
      <c r="C841" s="687"/>
      <c r="F841" s="208"/>
      <c r="J841" s="687"/>
    </row>
    <row r="842" spans="3:10" ht="15.75" customHeight="1">
      <c r="C842" s="687"/>
      <c r="F842" s="208"/>
      <c r="J842" s="687"/>
    </row>
    <row r="843" spans="3:10" ht="15.75" customHeight="1">
      <c r="C843" s="687"/>
      <c r="F843" s="208"/>
      <c r="J843" s="687"/>
    </row>
    <row r="844" spans="3:10" ht="15.75" customHeight="1">
      <c r="C844" s="687"/>
      <c r="F844" s="208"/>
      <c r="J844" s="687"/>
    </row>
    <row r="845" spans="3:10" ht="15.75" customHeight="1">
      <c r="C845" s="687"/>
      <c r="F845" s="208"/>
      <c r="J845" s="687"/>
    </row>
    <row r="846" spans="3:10" ht="15.75" customHeight="1">
      <c r="C846" s="687"/>
      <c r="F846" s="208"/>
      <c r="J846" s="687"/>
    </row>
    <row r="847" spans="3:10" ht="15.75" customHeight="1">
      <c r="C847" s="687"/>
      <c r="F847" s="208"/>
      <c r="J847" s="687"/>
    </row>
    <row r="848" spans="3:10" ht="15.75" customHeight="1">
      <c r="C848" s="687"/>
      <c r="F848" s="208"/>
      <c r="J848" s="687"/>
    </row>
    <row r="849" spans="3:10" ht="15.75" customHeight="1">
      <c r="C849" s="687"/>
      <c r="F849" s="208"/>
      <c r="J849" s="687"/>
    </row>
    <row r="850" spans="3:10" ht="15.75" customHeight="1">
      <c r="C850" s="687"/>
      <c r="F850" s="208"/>
      <c r="J850" s="687"/>
    </row>
    <row r="851" spans="3:10" ht="15.75" customHeight="1">
      <c r="C851" s="687"/>
      <c r="F851" s="208"/>
      <c r="J851" s="687"/>
    </row>
    <row r="852" spans="3:10" ht="15.75" customHeight="1">
      <c r="C852" s="687"/>
      <c r="F852" s="208"/>
      <c r="J852" s="687"/>
    </row>
    <row r="853" spans="3:10" ht="15.75" customHeight="1">
      <c r="C853" s="687"/>
      <c r="F853" s="208"/>
      <c r="J853" s="687"/>
    </row>
    <row r="854" spans="3:10" ht="15.75" customHeight="1">
      <c r="C854" s="687"/>
      <c r="F854" s="208"/>
      <c r="J854" s="687"/>
    </row>
    <row r="855" spans="3:10" ht="15.75" customHeight="1">
      <c r="C855" s="687"/>
      <c r="F855" s="208"/>
      <c r="J855" s="687"/>
    </row>
    <row r="856" spans="3:10" ht="15.75" customHeight="1">
      <c r="C856" s="687"/>
      <c r="F856" s="208"/>
      <c r="J856" s="687"/>
    </row>
    <row r="857" spans="3:10" ht="15.75" customHeight="1">
      <c r="C857" s="687"/>
      <c r="F857" s="208"/>
      <c r="J857" s="687"/>
    </row>
    <row r="858" spans="3:10" ht="15.75" customHeight="1">
      <c r="C858" s="687"/>
      <c r="F858" s="208"/>
      <c r="J858" s="687"/>
    </row>
    <row r="859" spans="3:10" ht="15.75" customHeight="1">
      <c r="C859" s="687"/>
      <c r="F859" s="208"/>
      <c r="J859" s="687"/>
    </row>
    <row r="860" spans="3:10" ht="15.75" customHeight="1">
      <c r="C860" s="687"/>
      <c r="F860" s="208"/>
      <c r="J860" s="687"/>
    </row>
    <row r="861" spans="3:10" ht="15.75" customHeight="1">
      <c r="C861" s="687"/>
      <c r="F861" s="208"/>
      <c r="J861" s="687"/>
    </row>
    <row r="862" spans="3:10" ht="15.75" customHeight="1">
      <c r="C862" s="687"/>
      <c r="F862" s="208"/>
      <c r="J862" s="687"/>
    </row>
    <row r="863" spans="3:10" ht="15.75" customHeight="1">
      <c r="C863" s="687"/>
      <c r="F863" s="208"/>
      <c r="J863" s="687"/>
    </row>
    <row r="864" spans="3:10" ht="15.75" customHeight="1">
      <c r="C864" s="687"/>
      <c r="F864" s="208"/>
      <c r="J864" s="687"/>
    </row>
    <row r="865" spans="3:10" ht="15.75" customHeight="1">
      <c r="C865" s="687"/>
      <c r="F865" s="208"/>
      <c r="J865" s="687"/>
    </row>
    <row r="866" spans="3:10" ht="15.75" customHeight="1">
      <c r="C866" s="687"/>
      <c r="F866" s="208"/>
      <c r="J866" s="687"/>
    </row>
    <row r="867" spans="3:10" ht="15.75" customHeight="1">
      <c r="C867" s="687"/>
      <c r="F867" s="208"/>
      <c r="J867" s="687"/>
    </row>
    <row r="868" spans="3:10" ht="15.75" customHeight="1">
      <c r="C868" s="687"/>
      <c r="F868" s="208"/>
      <c r="J868" s="687"/>
    </row>
    <row r="869" spans="3:10" ht="15.75" customHeight="1">
      <c r="C869" s="687"/>
      <c r="F869" s="208"/>
      <c r="J869" s="687"/>
    </row>
    <row r="870" spans="3:10" ht="15.75" customHeight="1">
      <c r="C870" s="687"/>
      <c r="F870" s="208"/>
      <c r="J870" s="687"/>
    </row>
    <row r="871" spans="3:10" ht="15.75" customHeight="1">
      <c r="C871" s="687"/>
      <c r="F871" s="208"/>
      <c r="J871" s="687"/>
    </row>
    <row r="872" spans="3:10" ht="15.75" customHeight="1">
      <c r="C872" s="687"/>
      <c r="F872" s="208"/>
      <c r="J872" s="687"/>
    </row>
    <row r="873" spans="3:10" ht="15.75" customHeight="1">
      <c r="C873" s="687"/>
      <c r="F873" s="208"/>
      <c r="J873" s="687"/>
    </row>
    <row r="874" spans="3:10" ht="15.75" customHeight="1">
      <c r="C874" s="687"/>
      <c r="F874" s="208"/>
      <c r="J874" s="687"/>
    </row>
    <row r="875" spans="3:10" ht="15.75" customHeight="1">
      <c r="C875" s="687"/>
      <c r="F875" s="208"/>
      <c r="J875" s="687"/>
    </row>
    <row r="876" spans="3:10" ht="15.75" customHeight="1">
      <c r="C876" s="687"/>
      <c r="F876" s="208"/>
      <c r="J876" s="687"/>
    </row>
    <row r="877" spans="3:10" ht="15.75" customHeight="1">
      <c r="C877" s="687"/>
      <c r="F877" s="208"/>
      <c r="J877" s="687"/>
    </row>
    <row r="878" spans="3:10" ht="15.75" customHeight="1">
      <c r="C878" s="687"/>
      <c r="F878" s="208"/>
      <c r="J878" s="687"/>
    </row>
    <row r="879" spans="3:10" ht="15.75" customHeight="1">
      <c r="C879" s="687"/>
      <c r="F879" s="208"/>
      <c r="J879" s="687"/>
    </row>
    <row r="880" spans="3:10" ht="15.75" customHeight="1">
      <c r="C880" s="687"/>
      <c r="F880" s="208"/>
      <c r="J880" s="687"/>
    </row>
    <row r="881" spans="3:10" ht="15.75" customHeight="1">
      <c r="C881" s="687"/>
      <c r="F881" s="208"/>
      <c r="J881" s="687"/>
    </row>
    <row r="882" spans="3:10" ht="15.75" customHeight="1">
      <c r="C882" s="687"/>
      <c r="F882" s="208"/>
      <c r="J882" s="687"/>
    </row>
    <row r="883" spans="3:10" ht="15.75" customHeight="1">
      <c r="C883" s="687"/>
      <c r="F883" s="208"/>
      <c r="J883" s="687"/>
    </row>
    <row r="884" spans="3:10" ht="15.75" customHeight="1">
      <c r="C884" s="687"/>
      <c r="F884" s="208"/>
      <c r="J884" s="687"/>
    </row>
    <row r="885" spans="3:10" ht="15.75" customHeight="1">
      <c r="C885" s="687"/>
      <c r="F885" s="208"/>
      <c r="J885" s="687"/>
    </row>
    <row r="886" spans="3:10" ht="15.75" customHeight="1">
      <c r="C886" s="687"/>
      <c r="F886" s="208"/>
      <c r="J886" s="687"/>
    </row>
    <row r="887" spans="3:10" ht="15.75" customHeight="1">
      <c r="C887" s="687"/>
      <c r="F887" s="208"/>
      <c r="J887" s="687"/>
    </row>
    <row r="888" spans="3:10" ht="15.75" customHeight="1">
      <c r="C888" s="687"/>
      <c r="F888" s="208"/>
      <c r="J888" s="687"/>
    </row>
    <row r="889" spans="3:10" ht="15.75" customHeight="1">
      <c r="C889" s="687"/>
      <c r="F889" s="208"/>
      <c r="J889" s="687"/>
    </row>
    <row r="890" spans="3:10" ht="15.75" customHeight="1">
      <c r="C890" s="687"/>
      <c r="F890" s="208"/>
      <c r="J890" s="687"/>
    </row>
    <row r="891" spans="3:10" ht="15.75" customHeight="1">
      <c r="C891" s="687"/>
      <c r="F891" s="208"/>
      <c r="J891" s="687"/>
    </row>
    <row r="892" spans="3:10" ht="15.75" customHeight="1">
      <c r="C892" s="687"/>
      <c r="F892" s="208"/>
      <c r="J892" s="687"/>
    </row>
    <row r="893" spans="3:10" ht="15.75" customHeight="1">
      <c r="C893" s="687"/>
      <c r="F893" s="208"/>
      <c r="J893" s="687"/>
    </row>
    <row r="894" spans="3:10" ht="15.75" customHeight="1">
      <c r="C894" s="687"/>
      <c r="F894" s="208"/>
      <c r="J894" s="687"/>
    </row>
    <row r="895" spans="3:10" ht="15.75" customHeight="1">
      <c r="C895" s="687"/>
      <c r="F895" s="208"/>
      <c r="J895" s="687"/>
    </row>
    <row r="896" spans="3:10" ht="15.75" customHeight="1">
      <c r="C896" s="687"/>
      <c r="F896" s="208"/>
      <c r="J896" s="687"/>
    </row>
    <row r="897" spans="3:10" ht="15.75" customHeight="1">
      <c r="C897" s="687"/>
      <c r="F897" s="208"/>
      <c r="J897" s="687"/>
    </row>
    <row r="898" spans="3:10" ht="15.75" customHeight="1">
      <c r="C898" s="687"/>
      <c r="F898" s="208"/>
      <c r="J898" s="687"/>
    </row>
    <row r="899" spans="3:10" ht="15.75" customHeight="1">
      <c r="C899" s="687"/>
      <c r="F899" s="208"/>
      <c r="J899" s="687"/>
    </row>
    <row r="900" spans="3:10" ht="15.75" customHeight="1">
      <c r="C900" s="687"/>
      <c r="F900" s="208"/>
      <c r="J900" s="687"/>
    </row>
    <row r="901" spans="3:10" ht="15.75" customHeight="1">
      <c r="C901" s="687"/>
      <c r="F901" s="208"/>
      <c r="J901" s="687"/>
    </row>
    <row r="902" spans="3:10" ht="15.75" customHeight="1">
      <c r="C902" s="687"/>
      <c r="F902" s="208"/>
      <c r="J902" s="687"/>
    </row>
    <row r="903" spans="3:10" ht="15.75" customHeight="1">
      <c r="C903" s="687"/>
      <c r="F903" s="208"/>
      <c r="J903" s="687"/>
    </row>
    <row r="904" spans="3:10" ht="15.75" customHeight="1">
      <c r="C904" s="687"/>
      <c r="F904" s="208"/>
      <c r="J904" s="687"/>
    </row>
    <row r="905" spans="3:10" ht="15.75" customHeight="1">
      <c r="C905" s="687"/>
      <c r="F905" s="208"/>
      <c r="J905" s="687"/>
    </row>
    <row r="906" spans="3:10" ht="15.75" customHeight="1">
      <c r="C906" s="687"/>
      <c r="F906" s="208"/>
      <c r="J906" s="687"/>
    </row>
    <row r="907" spans="3:10" ht="15.75" customHeight="1">
      <c r="C907" s="687"/>
      <c r="F907" s="208"/>
      <c r="J907" s="687"/>
    </row>
    <row r="908" spans="3:10" ht="15.75" customHeight="1">
      <c r="C908" s="687"/>
      <c r="F908" s="208"/>
      <c r="J908" s="687"/>
    </row>
    <row r="909" spans="3:10" ht="15.75" customHeight="1">
      <c r="C909" s="687"/>
      <c r="F909" s="208"/>
      <c r="J909" s="687"/>
    </row>
    <row r="910" spans="3:10" ht="15.75" customHeight="1">
      <c r="C910" s="687"/>
      <c r="F910" s="208"/>
      <c r="J910" s="687"/>
    </row>
    <row r="911" spans="3:10" ht="15.75" customHeight="1">
      <c r="C911" s="687"/>
      <c r="F911" s="208"/>
      <c r="J911" s="687"/>
    </row>
    <row r="912" spans="3:10" ht="15.75" customHeight="1">
      <c r="C912" s="687"/>
      <c r="F912" s="208"/>
      <c r="J912" s="687"/>
    </row>
    <row r="913" spans="3:10" ht="15.75" customHeight="1">
      <c r="C913" s="687"/>
      <c r="F913" s="208"/>
      <c r="J913" s="687"/>
    </row>
    <row r="914" spans="3:10" ht="15.75" customHeight="1">
      <c r="C914" s="687"/>
      <c r="F914" s="208"/>
      <c r="J914" s="687"/>
    </row>
    <row r="915" spans="3:10" ht="15.75" customHeight="1">
      <c r="C915" s="687"/>
      <c r="F915" s="208"/>
      <c r="J915" s="687"/>
    </row>
    <row r="916" spans="3:10" ht="15.75" customHeight="1">
      <c r="C916" s="687"/>
      <c r="F916" s="208"/>
      <c r="J916" s="687"/>
    </row>
    <row r="917" spans="3:10" ht="15.75" customHeight="1">
      <c r="C917" s="687"/>
      <c r="F917" s="208"/>
      <c r="J917" s="687"/>
    </row>
    <row r="918" spans="3:10" ht="15.75" customHeight="1">
      <c r="C918" s="687"/>
      <c r="F918" s="208"/>
      <c r="J918" s="687"/>
    </row>
    <row r="919" spans="3:10" ht="15.75" customHeight="1">
      <c r="C919" s="687"/>
      <c r="F919" s="208"/>
      <c r="J919" s="687"/>
    </row>
    <row r="920" spans="3:10" ht="15.75" customHeight="1">
      <c r="C920" s="687"/>
      <c r="F920" s="208"/>
      <c r="J920" s="687"/>
    </row>
    <row r="921" spans="3:10" ht="15.75" customHeight="1">
      <c r="C921" s="687"/>
      <c r="F921" s="208"/>
      <c r="J921" s="687"/>
    </row>
    <row r="922" spans="3:10" ht="15.75" customHeight="1">
      <c r="C922" s="687"/>
      <c r="F922" s="208"/>
      <c r="J922" s="687"/>
    </row>
    <row r="923" spans="3:10" ht="15.75" customHeight="1">
      <c r="C923" s="687"/>
      <c r="F923" s="208"/>
      <c r="J923" s="687"/>
    </row>
    <row r="924" spans="3:10" ht="15.75" customHeight="1">
      <c r="C924" s="687"/>
      <c r="F924" s="208"/>
      <c r="J924" s="687"/>
    </row>
    <row r="925" spans="3:10" ht="15.75" customHeight="1">
      <c r="C925" s="687"/>
      <c r="F925" s="208"/>
      <c r="J925" s="687"/>
    </row>
    <row r="926" spans="3:10" ht="15.75" customHeight="1">
      <c r="C926" s="687"/>
      <c r="F926" s="208"/>
      <c r="J926" s="687"/>
    </row>
    <row r="927" spans="3:10" ht="15.75" customHeight="1">
      <c r="C927" s="687"/>
      <c r="F927" s="208"/>
      <c r="J927" s="687"/>
    </row>
    <row r="928" spans="3:10" ht="15.75" customHeight="1">
      <c r="C928" s="687"/>
      <c r="F928" s="208"/>
      <c r="J928" s="687"/>
    </row>
    <row r="929" spans="3:10" ht="15.75" customHeight="1">
      <c r="C929" s="687"/>
      <c r="F929" s="208"/>
      <c r="J929" s="687"/>
    </row>
    <row r="930" spans="3:10" ht="15.75" customHeight="1">
      <c r="C930" s="687"/>
      <c r="F930" s="208"/>
      <c r="J930" s="687"/>
    </row>
    <row r="931" spans="3:10" ht="15.75" customHeight="1">
      <c r="C931" s="687"/>
      <c r="F931" s="208"/>
      <c r="J931" s="687"/>
    </row>
    <row r="932" spans="3:10" ht="15.75" customHeight="1">
      <c r="C932" s="687"/>
      <c r="F932" s="208"/>
      <c r="J932" s="687"/>
    </row>
    <row r="933" spans="3:10" ht="15.75" customHeight="1">
      <c r="C933" s="687"/>
      <c r="F933" s="208"/>
      <c r="J933" s="687"/>
    </row>
    <row r="934" spans="3:10" ht="15.75" customHeight="1">
      <c r="C934" s="687"/>
      <c r="F934" s="208"/>
      <c r="J934" s="687"/>
    </row>
    <row r="935" spans="3:10" ht="15.75" customHeight="1">
      <c r="C935" s="687"/>
      <c r="F935" s="208"/>
      <c r="J935" s="687"/>
    </row>
    <row r="936" spans="3:10" ht="15.75" customHeight="1">
      <c r="C936" s="687"/>
      <c r="F936" s="208"/>
      <c r="J936" s="687"/>
    </row>
    <row r="937" spans="3:10" ht="15.75" customHeight="1">
      <c r="C937" s="687"/>
      <c r="F937" s="208"/>
      <c r="J937" s="687"/>
    </row>
    <row r="938" spans="3:10" ht="15.75" customHeight="1">
      <c r="C938" s="687"/>
      <c r="F938" s="208"/>
      <c r="J938" s="687"/>
    </row>
    <row r="939" spans="3:10" ht="15.75" customHeight="1">
      <c r="C939" s="687"/>
      <c r="F939" s="208"/>
      <c r="J939" s="687"/>
    </row>
    <row r="940" spans="3:10" ht="15.75" customHeight="1">
      <c r="C940" s="687"/>
      <c r="F940" s="208"/>
      <c r="J940" s="687"/>
    </row>
    <row r="941" spans="3:10" ht="15.75" customHeight="1">
      <c r="C941" s="687"/>
      <c r="F941" s="208"/>
      <c r="J941" s="687"/>
    </row>
    <row r="942" spans="3:10" ht="15.75" customHeight="1">
      <c r="C942" s="687"/>
      <c r="F942" s="208"/>
      <c r="J942" s="687"/>
    </row>
    <row r="943" spans="3:10" ht="15.75" customHeight="1">
      <c r="C943" s="687"/>
      <c r="F943" s="208"/>
      <c r="J943" s="687"/>
    </row>
    <row r="944" spans="3:10" ht="15.75" customHeight="1">
      <c r="C944" s="687"/>
      <c r="F944" s="208"/>
      <c r="J944" s="687"/>
    </row>
    <row r="945" spans="3:10" ht="15.75" customHeight="1">
      <c r="C945" s="687"/>
      <c r="F945" s="208"/>
      <c r="J945" s="687"/>
    </row>
    <row r="946" spans="3:10" ht="15.75" customHeight="1">
      <c r="C946" s="687"/>
      <c r="F946" s="208"/>
      <c r="J946" s="687"/>
    </row>
    <row r="947" spans="3:10" ht="15.75" customHeight="1">
      <c r="C947" s="687"/>
      <c r="F947" s="208"/>
      <c r="J947" s="687"/>
    </row>
    <row r="948" spans="3:10" ht="15.75" customHeight="1">
      <c r="C948" s="687"/>
      <c r="F948" s="208"/>
      <c r="J948" s="687"/>
    </row>
    <row r="949" spans="3:10" ht="15.75" customHeight="1">
      <c r="C949" s="687"/>
      <c r="F949" s="208"/>
      <c r="J949" s="687"/>
    </row>
    <row r="950" spans="3:10" ht="15.75" customHeight="1">
      <c r="C950" s="687"/>
      <c r="F950" s="208"/>
      <c r="J950" s="687"/>
    </row>
    <row r="951" spans="3:10" ht="15.75" customHeight="1">
      <c r="C951" s="687"/>
      <c r="F951" s="208"/>
      <c r="J951" s="687"/>
    </row>
    <row r="952" spans="3:10" ht="15.75" customHeight="1">
      <c r="C952" s="687"/>
      <c r="F952" s="208"/>
      <c r="J952" s="687"/>
    </row>
    <row r="953" spans="3:10" ht="15.75" customHeight="1">
      <c r="C953" s="687"/>
      <c r="F953" s="208"/>
      <c r="J953" s="687"/>
    </row>
    <row r="954" spans="3:10" ht="15.75" customHeight="1">
      <c r="C954" s="687"/>
      <c r="F954" s="208"/>
      <c r="J954" s="687"/>
    </row>
    <row r="955" spans="3:10" ht="15.75" customHeight="1">
      <c r="C955" s="687"/>
      <c r="F955" s="208"/>
      <c r="J955" s="687"/>
    </row>
    <row r="956" spans="3:10" ht="15.75" customHeight="1">
      <c r="C956" s="687"/>
      <c r="F956" s="208"/>
      <c r="J956" s="687"/>
    </row>
    <row r="957" spans="3:10" ht="15.75" customHeight="1">
      <c r="C957" s="687"/>
      <c r="F957" s="208"/>
      <c r="J957" s="687"/>
    </row>
    <row r="958" spans="3:10" ht="15.75" customHeight="1">
      <c r="C958" s="687"/>
      <c r="F958" s="208"/>
      <c r="J958" s="687"/>
    </row>
    <row r="959" spans="3:10" ht="15.75" customHeight="1">
      <c r="C959" s="687"/>
      <c r="F959" s="208"/>
      <c r="J959" s="687"/>
    </row>
    <row r="960" spans="3:10" ht="15.75" customHeight="1">
      <c r="C960" s="687"/>
      <c r="F960" s="208"/>
      <c r="J960" s="687"/>
    </row>
    <row r="961" spans="3:10" ht="15.75" customHeight="1">
      <c r="C961" s="687"/>
      <c r="F961" s="208"/>
      <c r="J961" s="687"/>
    </row>
    <row r="962" spans="3:10" ht="15.75" customHeight="1">
      <c r="C962" s="687"/>
      <c r="F962" s="208"/>
      <c r="J962" s="687"/>
    </row>
    <row r="963" spans="3:10" ht="15.75" customHeight="1">
      <c r="C963" s="687"/>
      <c r="F963" s="208"/>
      <c r="J963" s="687"/>
    </row>
    <row r="964" spans="3:10" ht="15.75" customHeight="1">
      <c r="C964" s="687"/>
      <c r="F964" s="208"/>
      <c r="J964" s="687"/>
    </row>
    <row r="965" spans="3:10" ht="15.75" customHeight="1">
      <c r="C965" s="687"/>
      <c r="F965" s="208"/>
      <c r="J965" s="687"/>
    </row>
    <row r="966" spans="3:10" ht="15.75" customHeight="1">
      <c r="C966" s="687"/>
      <c r="F966" s="208"/>
      <c r="J966" s="687"/>
    </row>
    <row r="967" spans="3:10" ht="15.75" customHeight="1">
      <c r="C967" s="687"/>
      <c r="F967" s="208"/>
      <c r="J967" s="687"/>
    </row>
    <row r="968" spans="3:10" ht="15.75" customHeight="1">
      <c r="C968" s="687"/>
      <c r="F968" s="208"/>
      <c r="J968" s="687"/>
    </row>
    <row r="969" spans="3:10" ht="15.75" customHeight="1">
      <c r="C969" s="687"/>
      <c r="F969" s="208"/>
      <c r="J969" s="687"/>
    </row>
    <row r="970" spans="3:10" ht="15.75" customHeight="1">
      <c r="C970" s="687"/>
      <c r="F970" s="208"/>
      <c r="J970" s="687"/>
    </row>
    <row r="971" spans="3:10" ht="15.75" customHeight="1">
      <c r="C971" s="687"/>
      <c r="F971" s="208"/>
      <c r="J971" s="687"/>
    </row>
    <row r="972" spans="3:10" ht="15.75" customHeight="1">
      <c r="C972" s="687"/>
      <c r="F972" s="208"/>
      <c r="J972" s="687"/>
    </row>
    <row r="973" spans="3:10" ht="15.75" customHeight="1">
      <c r="C973" s="687"/>
      <c r="F973" s="208"/>
      <c r="J973" s="687"/>
    </row>
    <row r="974" spans="3:10" ht="15.75" customHeight="1">
      <c r="C974" s="687"/>
      <c r="F974" s="208"/>
      <c r="J974" s="687"/>
    </row>
    <row r="975" spans="3:10" ht="15.75" customHeight="1">
      <c r="C975" s="687"/>
      <c r="F975" s="208"/>
      <c r="J975" s="687"/>
    </row>
    <row r="976" spans="3:10" ht="15.75" customHeight="1">
      <c r="C976" s="687"/>
      <c r="F976" s="208"/>
      <c r="J976" s="687"/>
    </row>
    <row r="977" spans="3:10" ht="15.75" customHeight="1">
      <c r="C977" s="687"/>
      <c r="F977" s="208"/>
      <c r="J977" s="687"/>
    </row>
    <row r="978" spans="3:10" ht="15.75" customHeight="1">
      <c r="C978" s="687"/>
      <c r="F978" s="208"/>
      <c r="J978" s="687"/>
    </row>
    <row r="979" spans="3:10" ht="15.75" customHeight="1">
      <c r="C979" s="687"/>
      <c r="F979" s="208"/>
      <c r="J979" s="687"/>
    </row>
    <row r="980" spans="3:10" ht="15.75" customHeight="1">
      <c r="C980" s="687"/>
      <c r="F980" s="208"/>
      <c r="J980" s="687"/>
    </row>
    <row r="981" spans="3:10" ht="15.75" customHeight="1">
      <c r="C981" s="687"/>
      <c r="F981" s="208"/>
      <c r="J981" s="687"/>
    </row>
    <row r="982" spans="3:10" ht="15.75" customHeight="1">
      <c r="C982" s="687"/>
      <c r="F982" s="208"/>
      <c r="J982" s="687"/>
    </row>
    <row r="983" spans="3:10" ht="15.75" customHeight="1">
      <c r="C983" s="687"/>
      <c r="F983" s="208"/>
      <c r="J983" s="687"/>
    </row>
    <row r="984" spans="3:10" ht="15.75" customHeight="1">
      <c r="C984" s="687"/>
      <c r="F984" s="208"/>
      <c r="J984" s="687"/>
    </row>
    <row r="985" spans="3:10" ht="15.75" customHeight="1">
      <c r="C985" s="687"/>
      <c r="F985" s="208"/>
      <c r="J985" s="687"/>
    </row>
    <row r="986" spans="3:10" ht="15.75" customHeight="1">
      <c r="C986" s="687"/>
      <c r="F986" s="208"/>
      <c r="J986" s="687"/>
    </row>
    <row r="987" spans="3:10" ht="15.75" customHeight="1">
      <c r="C987" s="687"/>
      <c r="F987" s="208"/>
      <c r="J987" s="687"/>
    </row>
    <row r="988" spans="3:10" ht="15.75" customHeight="1">
      <c r="C988" s="687"/>
      <c r="F988" s="208"/>
      <c r="J988" s="687"/>
    </row>
    <row r="989" spans="3:10" ht="15.75" customHeight="1">
      <c r="C989" s="687"/>
      <c r="F989" s="208"/>
      <c r="J989" s="687"/>
    </row>
    <row r="990" spans="3:10" ht="15.75" customHeight="1">
      <c r="C990" s="687"/>
      <c r="F990" s="208"/>
      <c r="J990" s="687"/>
    </row>
    <row r="991" spans="3:10" ht="15.75" customHeight="1">
      <c r="C991" s="687"/>
      <c r="F991" s="208"/>
      <c r="J991" s="687"/>
    </row>
    <row r="992" spans="3:10" ht="15.75" customHeight="1">
      <c r="C992" s="687"/>
      <c r="F992" s="208"/>
      <c r="J992" s="687"/>
    </row>
    <row r="993" spans="3:10" ht="15.75" customHeight="1">
      <c r="C993" s="687"/>
      <c r="F993" s="208"/>
      <c r="J993" s="687"/>
    </row>
    <row r="994" spans="3:10" ht="15.75" customHeight="1">
      <c r="C994" s="687"/>
      <c r="F994" s="208"/>
      <c r="J994" s="687"/>
    </row>
    <row r="995" spans="3:10" ht="15.75" customHeight="1">
      <c r="C995" s="687"/>
      <c r="F995" s="208"/>
      <c r="J995" s="687"/>
    </row>
    <row r="996" spans="3:10" ht="15.75" customHeight="1">
      <c r="C996" s="687"/>
      <c r="F996" s="208"/>
      <c r="J996" s="687"/>
    </row>
    <row r="997" spans="3:10" ht="15.75" customHeight="1">
      <c r="C997" s="687"/>
      <c r="F997" s="208"/>
      <c r="J997" s="687"/>
    </row>
    <row r="998" spans="3:10" ht="15.75" customHeight="1">
      <c r="C998" s="687"/>
      <c r="F998" s="208"/>
      <c r="J998" s="687"/>
    </row>
    <row r="999" spans="3:10" ht="15.75" customHeight="1">
      <c r="C999" s="687"/>
      <c r="F999" s="208"/>
      <c r="J999" s="687"/>
    </row>
    <row r="1000" spans="3:10" ht="15.75" customHeight="1">
      <c r="C1000" s="687"/>
      <c r="F1000" s="208"/>
      <c r="J1000" s="687"/>
    </row>
    <row r="1001" spans="3:10" ht="15.75" customHeight="1">
      <c r="C1001" s="687"/>
      <c r="F1001" s="208"/>
      <c r="J1001" s="687"/>
    </row>
    <row r="1002" spans="3:10" ht="15.75" customHeight="1">
      <c r="C1002" s="687"/>
      <c r="F1002" s="208"/>
      <c r="J1002" s="687"/>
    </row>
    <row r="1003" spans="3:10" ht="15.75" customHeight="1">
      <c r="C1003" s="687"/>
      <c r="F1003" s="208"/>
      <c r="J1003" s="687"/>
    </row>
    <row r="1004" spans="3:10" ht="15.75" customHeight="1">
      <c r="C1004" s="687"/>
      <c r="F1004" s="208"/>
      <c r="J1004" s="687"/>
    </row>
    <row r="1005" spans="3:10" ht="15.75" customHeight="1">
      <c r="C1005" s="687"/>
      <c r="F1005" s="208"/>
      <c r="J1005" s="687"/>
    </row>
    <row r="1006" spans="3:10" ht="15.75" customHeight="1">
      <c r="C1006" s="687"/>
      <c r="F1006" s="208"/>
      <c r="J1006" s="687"/>
    </row>
    <row r="1007" spans="3:10" ht="15.75" customHeight="1">
      <c r="C1007" s="687"/>
      <c r="F1007" s="208"/>
      <c r="J1007" s="687"/>
    </row>
    <row r="1008" spans="3:10" ht="15.75" customHeight="1">
      <c r="C1008" s="687"/>
      <c r="F1008" s="208"/>
      <c r="J1008" s="687"/>
    </row>
    <row r="1009" spans="3:10" ht="15.75" customHeight="1">
      <c r="C1009" s="687"/>
      <c r="F1009" s="208"/>
      <c r="J1009" s="687"/>
    </row>
    <row r="1010" spans="3:10" ht="15.75" customHeight="1">
      <c r="C1010" s="687"/>
      <c r="F1010" s="208"/>
      <c r="J1010" s="687"/>
    </row>
    <row r="1011" spans="3:10" ht="15.75" customHeight="1">
      <c r="C1011" s="687"/>
      <c r="F1011" s="208"/>
      <c r="J1011" s="687"/>
    </row>
    <row r="1012" spans="3:10" ht="15.75" customHeight="1">
      <c r="C1012" s="687"/>
      <c r="F1012" s="208"/>
      <c r="J1012" s="687"/>
    </row>
    <row r="1013" spans="3:10" ht="15.75" customHeight="1">
      <c r="C1013" s="687"/>
      <c r="F1013" s="208"/>
      <c r="J1013" s="687"/>
    </row>
    <row r="1014" spans="3:10" ht="15.75" customHeight="1">
      <c r="C1014" s="687"/>
      <c r="F1014" s="208"/>
      <c r="J1014" s="687"/>
    </row>
    <row r="1015" spans="3:10" ht="15.75" customHeight="1">
      <c r="C1015" s="687"/>
      <c r="F1015" s="208"/>
      <c r="J1015" s="687"/>
    </row>
    <row r="1016" spans="3:10" ht="15.75" customHeight="1">
      <c r="C1016" s="687"/>
      <c r="F1016" s="208"/>
      <c r="J1016" s="687"/>
    </row>
    <row r="1017" spans="3:10" ht="15.75" customHeight="1">
      <c r="C1017" s="687"/>
      <c r="F1017" s="208"/>
      <c r="J1017" s="687"/>
    </row>
    <row r="1018" spans="3:10" ht="15.75" customHeight="1">
      <c r="C1018" s="687"/>
      <c r="F1018" s="208"/>
      <c r="J1018" s="687"/>
    </row>
    <row r="1019" spans="3:10" ht="15.75" customHeight="1">
      <c r="C1019" s="687"/>
      <c r="F1019" s="208"/>
      <c r="J1019" s="687"/>
    </row>
    <row r="1020" spans="3:10" ht="15.75" customHeight="1">
      <c r="C1020" s="687"/>
      <c r="F1020" s="208"/>
      <c r="J1020" s="687"/>
    </row>
    <row r="1021" spans="3:10" ht="15.75" customHeight="1">
      <c r="C1021" s="687"/>
      <c r="F1021" s="208"/>
      <c r="J1021" s="687"/>
    </row>
    <row r="1022" spans="3:10" ht="15.75" customHeight="1">
      <c r="C1022" s="687"/>
      <c r="F1022" s="208"/>
      <c r="J1022" s="687"/>
    </row>
    <row r="1023" spans="3:10" ht="15.75" customHeight="1">
      <c r="C1023" s="687"/>
      <c r="F1023" s="208"/>
      <c r="J1023" s="687"/>
    </row>
    <row r="1024" spans="3:10" ht="15.75" customHeight="1">
      <c r="C1024" s="687"/>
      <c r="F1024" s="208"/>
      <c r="J1024" s="687"/>
    </row>
    <row r="1025" spans="3:10" ht="15.75" customHeight="1">
      <c r="C1025" s="687"/>
      <c r="F1025" s="208"/>
      <c r="J1025" s="687"/>
    </row>
    <row r="1026" spans="3:10" ht="15.75" customHeight="1">
      <c r="C1026" s="687"/>
      <c r="F1026" s="208"/>
      <c r="J1026" s="687"/>
    </row>
    <row r="1027" spans="3:10" ht="15.75" customHeight="1">
      <c r="C1027" s="687"/>
      <c r="F1027" s="208"/>
      <c r="J1027" s="687"/>
    </row>
    <row r="1028" spans="3:10" ht="15.75" customHeight="1">
      <c r="C1028" s="687"/>
      <c r="F1028" s="208"/>
      <c r="J1028" s="687"/>
    </row>
    <row r="1029" spans="3:10" ht="15.75" customHeight="1">
      <c r="C1029" s="687"/>
      <c r="F1029" s="208"/>
      <c r="J1029" s="687"/>
    </row>
    <row r="1030" spans="3:10" ht="15.75" customHeight="1">
      <c r="C1030" s="687"/>
      <c r="F1030" s="208"/>
      <c r="J1030" s="687"/>
    </row>
    <row r="1031" spans="3:10" ht="15.75" customHeight="1">
      <c r="C1031" s="687"/>
      <c r="F1031" s="208"/>
      <c r="J1031" s="687"/>
    </row>
    <row r="1032" spans="3:10" ht="15.75" customHeight="1">
      <c r="C1032" s="687"/>
      <c r="F1032" s="208"/>
      <c r="J1032" s="687"/>
    </row>
    <row r="1033" spans="3:10" ht="15.75" customHeight="1">
      <c r="C1033" s="687"/>
      <c r="F1033" s="208"/>
      <c r="J1033" s="687"/>
    </row>
    <row r="1034" spans="3:10" ht="15.75" customHeight="1">
      <c r="C1034" s="687"/>
      <c r="F1034" s="208"/>
      <c r="J1034" s="687"/>
    </row>
    <row r="1035" spans="3:10" ht="15.75" customHeight="1">
      <c r="C1035" s="687"/>
      <c r="F1035" s="208"/>
      <c r="J1035" s="687"/>
    </row>
    <row r="1036" spans="3:10" ht="15.75" customHeight="1">
      <c r="C1036" s="687"/>
      <c r="F1036" s="208"/>
      <c r="J1036" s="687"/>
    </row>
    <row r="1037" spans="3:10" ht="15.75" customHeight="1">
      <c r="C1037" s="687"/>
      <c r="F1037" s="208"/>
      <c r="J1037" s="687"/>
    </row>
    <row r="1038" spans="3:10" ht="15.75" customHeight="1">
      <c r="C1038" s="687"/>
      <c r="F1038" s="208"/>
      <c r="J1038" s="687"/>
    </row>
    <row r="1039" spans="3:10" ht="15.75" customHeight="1">
      <c r="C1039" s="687"/>
      <c r="F1039" s="208"/>
      <c r="J1039" s="687"/>
    </row>
    <row r="1040" spans="3:10" ht="15.75" customHeight="1">
      <c r="C1040" s="687"/>
      <c r="F1040" s="208"/>
      <c r="J1040" s="687"/>
    </row>
    <row r="1041" spans="3:10" ht="15.75" customHeight="1">
      <c r="C1041" s="687"/>
      <c r="F1041" s="208"/>
      <c r="J1041" s="687"/>
    </row>
    <row r="1042" spans="3:10" ht="15.75" customHeight="1">
      <c r="C1042" s="687"/>
      <c r="F1042" s="208"/>
      <c r="J1042" s="687"/>
    </row>
    <row r="1043" spans="3:10" ht="15.75" customHeight="1">
      <c r="C1043" s="687"/>
      <c r="F1043" s="208"/>
      <c r="J1043" s="687"/>
    </row>
    <row r="1044" spans="3:10" ht="15.75" customHeight="1">
      <c r="C1044" s="687"/>
      <c r="F1044" s="208"/>
      <c r="J1044" s="687"/>
    </row>
    <row r="1045" spans="3:10" ht="15.75" customHeight="1">
      <c r="C1045" s="687"/>
      <c r="F1045" s="208"/>
      <c r="J1045" s="687"/>
    </row>
    <row r="1046" spans="3:10" ht="15.75" customHeight="1">
      <c r="C1046" s="687"/>
      <c r="F1046" s="208"/>
      <c r="J1046" s="687"/>
    </row>
    <row r="1047" spans="3:10" ht="15.75" customHeight="1">
      <c r="C1047" s="687"/>
      <c r="F1047" s="208"/>
      <c r="J1047" s="687"/>
    </row>
    <row r="1048" spans="3:10" ht="15.75" customHeight="1">
      <c r="C1048" s="687"/>
      <c r="F1048" s="208"/>
      <c r="J1048" s="687"/>
    </row>
    <row r="1049" spans="3:10" ht="15.75" customHeight="1">
      <c r="C1049" s="687"/>
      <c r="F1049" s="208"/>
      <c r="J1049" s="687"/>
    </row>
    <row r="1050" spans="3:10" ht="15.75" customHeight="1">
      <c r="C1050" s="687"/>
      <c r="F1050" s="208"/>
      <c r="J1050" s="687"/>
    </row>
    <row r="1051" spans="3:10" ht="15.75" customHeight="1">
      <c r="C1051" s="687"/>
      <c r="F1051" s="208"/>
      <c r="J1051" s="687"/>
    </row>
  </sheetData>
  <mergeCells count="3">
    <mergeCell ref="A96:B96"/>
    <mergeCell ref="A284:G284"/>
    <mergeCell ref="B320:F320"/>
  </mergeCells>
  <pageMargins left="0.7" right="0.7" top="0.75" bottom="0.75" header="0" footer="0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Z1006"/>
  <sheetViews>
    <sheetView workbookViewId="0">
      <selection activeCell="C18" sqref="C18"/>
    </sheetView>
  </sheetViews>
  <sheetFormatPr defaultColWidth="14.42578125" defaultRowHeight="15" customHeight="1"/>
  <cols>
    <col min="1" max="1" width="4.7109375" customWidth="1"/>
    <col min="2" max="2" width="29.28515625" customWidth="1"/>
    <col min="3" max="3" width="29.140625" customWidth="1"/>
    <col min="4" max="6" width="9" customWidth="1"/>
    <col min="7" max="7" width="18.28515625" customWidth="1"/>
    <col min="8" max="8" width="20.42578125" bestFit="1" customWidth="1"/>
    <col min="9" max="9" width="9" customWidth="1"/>
    <col min="10" max="10" width="18" customWidth="1"/>
    <col min="11" max="12" width="9" customWidth="1"/>
    <col min="13" max="13" width="21.85546875" customWidth="1"/>
    <col min="14" max="26" width="9" customWidth="1"/>
  </cols>
  <sheetData>
    <row r="1" spans="1:26" ht="14.25" customHeight="1">
      <c r="A1" s="977" t="s">
        <v>2934</v>
      </c>
      <c r="B1" s="890"/>
      <c r="C1" s="890"/>
      <c r="D1" s="890"/>
      <c r="E1" s="890"/>
      <c r="F1" s="890"/>
      <c r="G1" s="890"/>
      <c r="H1" s="890"/>
      <c r="I1" s="890"/>
      <c r="J1" s="890"/>
      <c r="K1" s="890"/>
      <c r="L1" s="890"/>
      <c r="M1" s="890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spans="1:26" ht="14.25" customHeight="1">
      <c r="A2" s="977" t="s">
        <v>16</v>
      </c>
      <c r="B2" s="890"/>
      <c r="C2" s="890"/>
      <c r="D2" s="890"/>
      <c r="E2" s="890"/>
      <c r="F2" s="890"/>
      <c r="G2" s="890"/>
      <c r="H2" s="890"/>
      <c r="I2" s="890"/>
      <c r="J2" s="890"/>
      <c r="K2" s="890"/>
      <c r="L2" s="890"/>
      <c r="M2" s="890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spans="1:26" ht="14.25" customHeight="1">
      <c r="A3" s="780"/>
      <c r="B3" s="780"/>
      <c r="C3" s="7"/>
      <c r="D3" s="780"/>
      <c r="E3" s="780"/>
      <c r="F3" s="780"/>
      <c r="G3" s="781"/>
      <c r="H3" s="780"/>
      <c r="I3" s="782"/>
      <c r="J3" s="783"/>
      <c r="K3" s="780"/>
      <c r="L3" s="780"/>
      <c r="M3" s="781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s="1020" customFormat="1" ht="14.25" customHeight="1">
      <c r="A4" s="1015"/>
      <c r="B4" s="1015"/>
      <c r="C4" s="1021"/>
      <c r="D4" s="1015"/>
      <c r="E4" s="1015"/>
      <c r="F4" s="1015"/>
      <c r="G4" s="1018"/>
      <c r="H4" s="1015"/>
      <c r="I4" s="1016"/>
      <c r="J4" s="1017"/>
      <c r="K4" s="1015"/>
      <c r="L4" s="1015"/>
      <c r="M4" s="1018"/>
      <c r="N4" s="1019"/>
      <c r="O4" s="1019"/>
      <c r="P4" s="1019"/>
      <c r="Q4" s="1019"/>
      <c r="R4" s="1019"/>
      <c r="S4" s="1019"/>
      <c r="T4" s="1019"/>
      <c r="U4" s="1019"/>
      <c r="V4" s="1019"/>
      <c r="W4" s="1019"/>
      <c r="X4" s="1019"/>
      <c r="Y4" s="1019"/>
      <c r="Z4" s="1019"/>
    </row>
    <row r="5" spans="1:26" s="1027" customFormat="1" ht="14.25" customHeight="1">
      <c r="A5" s="1022"/>
      <c r="B5" s="1028" t="s">
        <v>4171</v>
      </c>
      <c r="C5" s="1028"/>
      <c r="D5" s="1028"/>
      <c r="E5" s="1028"/>
      <c r="F5" s="1028"/>
      <c r="G5" s="1028"/>
      <c r="H5" s="1029">
        <v>800000000</v>
      </c>
      <c r="I5" s="1023"/>
      <c r="J5" s="1024"/>
      <c r="K5" s="1022"/>
      <c r="L5" s="1022"/>
      <c r="M5" s="1025"/>
      <c r="N5" s="1026"/>
      <c r="O5" s="1026"/>
      <c r="P5" s="1026"/>
      <c r="Q5" s="1026"/>
      <c r="R5" s="1026"/>
      <c r="S5" s="1026"/>
      <c r="T5" s="1026"/>
      <c r="U5" s="1026"/>
      <c r="V5" s="1026"/>
      <c r="W5" s="1026"/>
      <c r="X5" s="1026"/>
      <c r="Y5" s="1026"/>
      <c r="Z5" s="1026"/>
    </row>
    <row r="6" spans="1:26" s="1020" customFormat="1" ht="14.25" customHeight="1">
      <c r="A6" s="1015"/>
      <c r="B6" s="1015"/>
      <c r="C6" s="1021"/>
      <c r="D6" s="1015"/>
      <c r="E6" s="1015"/>
      <c r="F6" s="1015"/>
      <c r="G6" s="1018"/>
      <c r="H6" s="1015"/>
      <c r="I6" s="1016"/>
      <c r="J6" s="1017"/>
      <c r="K6" s="1015"/>
      <c r="L6" s="1015"/>
      <c r="M6" s="1018"/>
      <c r="N6" s="1019"/>
      <c r="O6" s="1019"/>
      <c r="P6" s="1019"/>
      <c r="Q6" s="1019"/>
      <c r="R6" s="1019"/>
      <c r="S6" s="1019"/>
      <c r="T6" s="1019"/>
      <c r="U6" s="1019"/>
      <c r="V6" s="1019"/>
      <c r="W6" s="1019"/>
      <c r="X6" s="1019"/>
      <c r="Y6" s="1019"/>
      <c r="Z6" s="1019"/>
    </row>
    <row r="7" spans="1:26" s="1020" customFormat="1" ht="14.25" customHeight="1">
      <c r="A7" s="1015"/>
      <c r="B7" s="1015"/>
      <c r="C7" s="1021"/>
      <c r="D7" s="1015"/>
      <c r="E7" s="1015"/>
      <c r="F7" s="1015"/>
      <c r="G7" s="1018"/>
      <c r="H7" s="1015"/>
      <c r="I7" s="1016"/>
      <c r="J7" s="1017"/>
      <c r="K7" s="1015"/>
      <c r="L7" s="1015"/>
      <c r="M7" s="1018"/>
      <c r="N7" s="1019"/>
      <c r="O7" s="1019"/>
      <c r="P7" s="1019"/>
      <c r="Q7" s="1019"/>
      <c r="R7" s="1019"/>
      <c r="S7" s="1019"/>
      <c r="T7" s="1019"/>
      <c r="U7" s="1019"/>
      <c r="V7" s="1019"/>
      <c r="W7" s="1019"/>
      <c r="X7" s="1019"/>
      <c r="Y7" s="1019"/>
      <c r="Z7" s="1019"/>
    </row>
    <row r="8" spans="1:26" s="1020" customFormat="1" ht="14.25" customHeight="1">
      <c r="A8" s="1015"/>
      <c r="B8" s="1015"/>
      <c r="C8" s="1021"/>
      <c r="D8" s="1015"/>
      <c r="E8" s="1015"/>
      <c r="F8" s="1015"/>
      <c r="G8" s="1018"/>
      <c r="H8" s="1015"/>
      <c r="I8" s="1016"/>
      <c r="J8" s="1017"/>
      <c r="K8" s="1015"/>
      <c r="L8" s="1015"/>
      <c r="M8" s="1018"/>
      <c r="N8" s="1019"/>
      <c r="O8" s="1019"/>
      <c r="P8" s="1019"/>
      <c r="Q8" s="1019"/>
      <c r="R8" s="1019"/>
      <c r="S8" s="1019"/>
      <c r="T8" s="1019"/>
      <c r="U8" s="1019"/>
      <c r="V8" s="1019"/>
      <c r="W8" s="1019"/>
      <c r="X8" s="1019"/>
      <c r="Y8" s="1019"/>
      <c r="Z8" s="1019"/>
    </row>
    <row r="9" spans="1:26" s="1020" customFormat="1" ht="14.25" customHeight="1">
      <c r="A9" s="1015"/>
      <c r="B9" s="1015"/>
      <c r="C9" s="1021"/>
      <c r="D9" s="1015"/>
      <c r="E9" s="1015"/>
      <c r="F9" s="1015"/>
      <c r="G9" s="1018"/>
      <c r="H9" s="1015"/>
      <c r="I9" s="1016"/>
      <c r="J9" s="1017"/>
      <c r="K9" s="1015"/>
      <c r="L9" s="1015"/>
      <c r="M9" s="1018"/>
      <c r="N9" s="1019"/>
      <c r="O9" s="1019"/>
      <c r="P9" s="1019"/>
      <c r="Q9" s="1019"/>
      <c r="R9" s="1019"/>
      <c r="S9" s="1019"/>
      <c r="T9" s="1019"/>
      <c r="U9" s="1019"/>
      <c r="V9" s="1019"/>
      <c r="W9" s="1019"/>
      <c r="X9" s="1019"/>
      <c r="Y9" s="1019"/>
      <c r="Z9" s="1019"/>
    </row>
    <row r="10" spans="1:26" ht="14.25" customHeight="1">
      <c r="A10" s="780"/>
      <c r="B10" s="780"/>
      <c r="C10" s="780"/>
      <c r="D10" s="780"/>
      <c r="E10" s="780"/>
      <c r="F10" s="780"/>
      <c r="G10" s="781"/>
      <c r="H10" s="780"/>
      <c r="I10" s="782"/>
      <c r="J10" s="783"/>
      <c r="K10" s="780"/>
      <c r="L10" s="780"/>
      <c r="M10" s="781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spans="1:26" ht="14.25" customHeight="1">
      <c r="A11" s="978" t="s">
        <v>657</v>
      </c>
      <c r="B11" s="978" t="s">
        <v>2935</v>
      </c>
      <c r="C11" s="978" t="s">
        <v>2936</v>
      </c>
      <c r="D11" s="784" t="s">
        <v>2937</v>
      </c>
      <c r="E11" s="784" t="s">
        <v>2938</v>
      </c>
      <c r="F11" s="784" t="s">
        <v>2645</v>
      </c>
      <c r="G11" s="785" t="s">
        <v>1892</v>
      </c>
      <c r="H11" s="979" t="s">
        <v>2939</v>
      </c>
      <c r="I11" s="889"/>
      <c r="J11" s="786" t="s">
        <v>8</v>
      </c>
      <c r="K11" s="979" t="s">
        <v>2940</v>
      </c>
      <c r="L11" s="889"/>
      <c r="M11" s="785" t="s">
        <v>8</v>
      </c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ht="14.25" customHeight="1">
      <c r="A12" s="904"/>
      <c r="B12" s="904"/>
      <c r="C12" s="904"/>
      <c r="D12" s="784" t="s">
        <v>2941</v>
      </c>
      <c r="E12" s="784" t="s">
        <v>2942</v>
      </c>
      <c r="F12" s="784" t="s">
        <v>2943</v>
      </c>
      <c r="G12" s="785" t="s">
        <v>2645</v>
      </c>
      <c r="H12" s="784" t="s">
        <v>2944</v>
      </c>
      <c r="I12" s="787" t="s">
        <v>2945</v>
      </c>
      <c r="J12" s="786" t="s">
        <v>2946</v>
      </c>
      <c r="K12" s="784" t="s">
        <v>2947</v>
      </c>
      <c r="L12" s="784" t="s">
        <v>2948</v>
      </c>
      <c r="M12" s="785" t="s">
        <v>2949</v>
      </c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spans="1:26" ht="14.25" customHeight="1">
      <c r="A13" s="893"/>
      <c r="B13" s="893"/>
      <c r="C13" s="893"/>
      <c r="D13" s="784" t="s">
        <v>2942</v>
      </c>
      <c r="E13" s="788"/>
      <c r="F13" s="788"/>
      <c r="G13" s="785" t="s">
        <v>2950</v>
      </c>
      <c r="H13" s="784" t="s">
        <v>2951</v>
      </c>
      <c r="I13" s="789"/>
      <c r="J13" s="786" t="s">
        <v>2952</v>
      </c>
      <c r="K13" s="788"/>
      <c r="L13" s="788"/>
      <c r="M13" s="785" t="s">
        <v>2952</v>
      </c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spans="1:26" ht="14.25" customHeight="1">
      <c r="A14" s="790" t="s">
        <v>2953</v>
      </c>
      <c r="B14" s="791"/>
      <c r="C14" s="792"/>
      <c r="D14" s="784"/>
      <c r="E14" s="788"/>
      <c r="F14" s="788"/>
      <c r="G14" s="785"/>
      <c r="H14" s="784"/>
      <c r="I14" s="789"/>
      <c r="J14" s="786"/>
      <c r="K14" s="788"/>
      <c r="L14" s="788"/>
      <c r="M14" s="785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spans="1:26" ht="14.25" customHeight="1">
      <c r="A15" s="793">
        <v>1</v>
      </c>
      <c r="B15" s="794" t="s">
        <v>2954</v>
      </c>
      <c r="C15" s="794" t="s">
        <v>2955</v>
      </c>
      <c r="D15" s="795">
        <v>6</v>
      </c>
      <c r="E15" s="795">
        <v>1</v>
      </c>
      <c r="F15" s="796" t="s">
        <v>2255</v>
      </c>
      <c r="G15" s="797">
        <v>14950</v>
      </c>
      <c r="H15" s="795">
        <v>10</v>
      </c>
      <c r="I15" s="798">
        <f t="shared" ref="I15:I19" si="0">3*D15*E15*H15</f>
        <v>180</v>
      </c>
      <c r="J15" s="799">
        <f t="shared" ref="J15:J19" si="1">I15*G15</f>
        <v>2691000</v>
      </c>
      <c r="K15" s="798">
        <f t="shared" ref="K15:K19" si="2">I15</f>
        <v>180</v>
      </c>
      <c r="L15" s="795">
        <f t="shared" ref="L15:L19" si="3">12*K15</f>
        <v>2160</v>
      </c>
      <c r="M15" s="797">
        <f t="shared" ref="M15:M20" si="4">12*J15</f>
        <v>32292000</v>
      </c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spans="1:26" ht="14.25" customHeight="1">
      <c r="A16" s="793">
        <v>2</v>
      </c>
      <c r="B16" s="794" t="s">
        <v>2956</v>
      </c>
      <c r="C16" s="794" t="s">
        <v>2957</v>
      </c>
      <c r="D16" s="795">
        <v>50</v>
      </c>
      <c r="E16" s="795">
        <v>6.25E-2</v>
      </c>
      <c r="F16" s="800" t="s">
        <v>2345</v>
      </c>
      <c r="G16" s="797">
        <v>24300</v>
      </c>
      <c r="H16" s="795">
        <v>10</v>
      </c>
      <c r="I16" s="798">
        <f t="shared" si="0"/>
        <v>93.75</v>
      </c>
      <c r="J16" s="799">
        <f t="shared" si="1"/>
        <v>2278125</v>
      </c>
      <c r="K16" s="798">
        <f t="shared" si="2"/>
        <v>93.75</v>
      </c>
      <c r="L16" s="795">
        <f t="shared" si="3"/>
        <v>1125</v>
      </c>
      <c r="M16" s="797">
        <f t="shared" si="4"/>
        <v>27337500</v>
      </c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spans="1:26" ht="14.25" customHeight="1">
      <c r="A17" s="793">
        <v>3</v>
      </c>
      <c r="B17" s="794" t="s">
        <v>2958</v>
      </c>
      <c r="C17" s="794" t="s">
        <v>2959</v>
      </c>
      <c r="D17" s="795">
        <v>5</v>
      </c>
      <c r="E17" s="795">
        <v>4.1599999999999998E-2</v>
      </c>
      <c r="F17" s="800" t="s">
        <v>2345</v>
      </c>
      <c r="G17" s="797">
        <v>39100</v>
      </c>
      <c r="H17" s="795">
        <v>10</v>
      </c>
      <c r="I17" s="798">
        <f t="shared" si="0"/>
        <v>6.24</v>
      </c>
      <c r="J17" s="799">
        <f t="shared" si="1"/>
        <v>243984</v>
      </c>
      <c r="K17" s="798">
        <f t="shared" si="2"/>
        <v>6.24</v>
      </c>
      <c r="L17" s="795">
        <f t="shared" si="3"/>
        <v>74.88</v>
      </c>
      <c r="M17" s="797">
        <f t="shared" si="4"/>
        <v>2927808</v>
      </c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spans="1:26" ht="14.25" customHeight="1">
      <c r="A18" s="793">
        <v>4</v>
      </c>
      <c r="B18" s="794" t="s">
        <v>2960</v>
      </c>
      <c r="C18" s="794" t="s">
        <v>2961</v>
      </c>
      <c r="D18" s="795">
        <v>3</v>
      </c>
      <c r="E18" s="795">
        <v>8.3000000000000004E-2</v>
      </c>
      <c r="F18" s="800" t="s">
        <v>2345</v>
      </c>
      <c r="G18" s="797">
        <v>49100</v>
      </c>
      <c r="H18" s="795">
        <v>10</v>
      </c>
      <c r="I18" s="798">
        <f t="shared" si="0"/>
        <v>7.47</v>
      </c>
      <c r="J18" s="799">
        <f t="shared" si="1"/>
        <v>366777</v>
      </c>
      <c r="K18" s="798">
        <f t="shared" si="2"/>
        <v>7.47</v>
      </c>
      <c r="L18" s="795">
        <f t="shared" si="3"/>
        <v>89.64</v>
      </c>
      <c r="M18" s="797">
        <f t="shared" si="4"/>
        <v>4401324</v>
      </c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spans="1:26" ht="14.25" customHeight="1">
      <c r="A19" s="793">
        <v>5</v>
      </c>
      <c r="B19" s="794" t="s">
        <v>2962</v>
      </c>
      <c r="C19" s="794"/>
      <c r="D19" s="795">
        <v>1</v>
      </c>
      <c r="E19" s="795">
        <v>4</v>
      </c>
      <c r="F19" s="800" t="s">
        <v>2255</v>
      </c>
      <c r="G19" s="797">
        <v>5000</v>
      </c>
      <c r="H19" s="795">
        <v>10</v>
      </c>
      <c r="I19" s="798">
        <f t="shared" si="0"/>
        <v>120</v>
      </c>
      <c r="J19" s="799">
        <f t="shared" si="1"/>
        <v>600000</v>
      </c>
      <c r="K19" s="798">
        <f t="shared" si="2"/>
        <v>120</v>
      </c>
      <c r="L19" s="795">
        <f t="shared" si="3"/>
        <v>1440</v>
      </c>
      <c r="M19" s="797">
        <f t="shared" si="4"/>
        <v>7200000</v>
      </c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spans="1:26" ht="14.25" customHeight="1">
      <c r="A20" s="801"/>
      <c r="B20" s="802" t="s">
        <v>2963</v>
      </c>
      <c r="C20" s="802"/>
      <c r="D20" s="803"/>
      <c r="E20" s="803"/>
      <c r="F20" s="804"/>
      <c r="G20" s="805"/>
      <c r="H20" s="803"/>
      <c r="I20" s="806"/>
      <c r="J20" s="807">
        <f>SUM(J15:J19)</f>
        <v>6179886</v>
      </c>
      <c r="K20" s="803"/>
      <c r="L20" s="803"/>
      <c r="M20" s="805">
        <f t="shared" si="4"/>
        <v>74158632</v>
      </c>
      <c r="N20" s="808"/>
      <c r="O20" s="808"/>
      <c r="P20" s="808"/>
      <c r="Q20" s="808"/>
      <c r="R20" s="808"/>
      <c r="S20" s="808"/>
      <c r="T20" s="808"/>
      <c r="U20" s="808"/>
      <c r="V20" s="808"/>
      <c r="W20" s="808"/>
      <c r="X20" s="808"/>
      <c r="Y20" s="808"/>
      <c r="Z20" s="808"/>
    </row>
    <row r="21" spans="1:26" ht="14.25" customHeight="1">
      <c r="A21" s="809" t="s">
        <v>2964</v>
      </c>
      <c r="B21" s="788"/>
      <c r="C21" s="788"/>
      <c r="D21" s="795"/>
      <c r="E21" s="795"/>
      <c r="F21" s="795"/>
      <c r="G21" s="797"/>
      <c r="H21" s="795"/>
      <c r="I21" s="798"/>
      <c r="J21" s="799"/>
      <c r="K21" s="795"/>
      <c r="L21" s="795"/>
      <c r="M21" s="797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ht="14.25" customHeight="1">
      <c r="A22" s="793">
        <v>6</v>
      </c>
      <c r="B22" s="794" t="s">
        <v>2965</v>
      </c>
      <c r="C22" s="794" t="s">
        <v>2966</v>
      </c>
      <c r="D22" s="795">
        <v>4</v>
      </c>
      <c r="E22" s="795">
        <v>0.05</v>
      </c>
      <c r="F22" s="800" t="s">
        <v>2345</v>
      </c>
      <c r="G22" s="797">
        <v>368000</v>
      </c>
      <c r="H22" s="795">
        <v>5</v>
      </c>
      <c r="I22" s="798">
        <f t="shared" ref="I22:I37" si="5">3*D22*E22*H22</f>
        <v>3.0000000000000004</v>
      </c>
      <c r="J22" s="799">
        <f t="shared" ref="J22:J37" si="6">I22*G22</f>
        <v>1104000.0000000002</v>
      </c>
      <c r="K22" s="798">
        <f t="shared" ref="K22:K37" si="7">I22</f>
        <v>3.0000000000000004</v>
      </c>
      <c r="L22" s="795">
        <f t="shared" ref="L22:L37" si="8">12*K22</f>
        <v>36.000000000000007</v>
      </c>
      <c r="M22" s="797">
        <f t="shared" ref="M22:M38" si="9">12*J22</f>
        <v>13248000.000000004</v>
      </c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spans="1:26" ht="14.25" customHeight="1">
      <c r="A23" s="793">
        <v>7</v>
      </c>
      <c r="B23" s="794" t="s">
        <v>2967</v>
      </c>
      <c r="C23" s="794" t="s">
        <v>2968</v>
      </c>
      <c r="D23" s="795">
        <v>4</v>
      </c>
      <c r="E23" s="795">
        <v>0.2</v>
      </c>
      <c r="F23" s="800" t="s">
        <v>2345</v>
      </c>
      <c r="G23" s="797">
        <v>241500</v>
      </c>
      <c r="H23" s="795">
        <v>3</v>
      </c>
      <c r="I23" s="798">
        <f t="shared" si="5"/>
        <v>7.2000000000000011</v>
      </c>
      <c r="J23" s="799">
        <f t="shared" si="6"/>
        <v>1738800.0000000002</v>
      </c>
      <c r="K23" s="798">
        <f t="shared" si="7"/>
        <v>7.2000000000000011</v>
      </c>
      <c r="L23" s="795">
        <f t="shared" si="8"/>
        <v>86.4</v>
      </c>
      <c r="M23" s="797">
        <f t="shared" si="9"/>
        <v>20865600.000000004</v>
      </c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ht="14.25" customHeight="1">
      <c r="A24" s="793">
        <v>8</v>
      </c>
      <c r="B24" s="794" t="s">
        <v>2969</v>
      </c>
      <c r="C24" s="794" t="s">
        <v>2970</v>
      </c>
      <c r="D24" s="795">
        <v>2</v>
      </c>
      <c r="E24" s="795">
        <v>0.5</v>
      </c>
      <c r="F24" s="800" t="s">
        <v>2345</v>
      </c>
      <c r="G24" s="797">
        <v>59829</v>
      </c>
      <c r="H24" s="795">
        <v>0.5</v>
      </c>
      <c r="I24" s="798">
        <f t="shared" si="5"/>
        <v>1.5</v>
      </c>
      <c r="J24" s="799">
        <f t="shared" si="6"/>
        <v>89743.5</v>
      </c>
      <c r="K24" s="798">
        <f t="shared" si="7"/>
        <v>1.5</v>
      </c>
      <c r="L24" s="795">
        <f t="shared" si="8"/>
        <v>18</v>
      </c>
      <c r="M24" s="797">
        <f t="shared" si="9"/>
        <v>1076922</v>
      </c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spans="1:26" ht="14.25" customHeight="1">
      <c r="A25" s="793">
        <v>9</v>
      </c>
      <c r="B25" s="794" t="s">
        <v>2971</v>
      </c>
      <c r="C25" s="794" t="s">
        <v>2972</v>
      </c>
      <c r="D25" s="795">
        <v>3</v>
      </c>
      <c r="E25" s="795">
        <v>0.05</v>
      </c>
      <c r="F25" s="800" t="s">
        <v>2345</v>
      </c>
      <c r="G25" s="797">
        <v>170200</v>
      </c>
      <c r="H25" s="795">
        <v>3</v>
      </c>
      <c r="I25" s="798">
        <f t="shared" si="5"/>
        <v>1.35</v>
      </c>
      <c r="J25" s="799">
        <f t="shared" si="6"/>
        <v>229770.00000000003</v>
      </c>
      <c r="K25" s="798">
        <f t="shared" si="7"/>
        <v>1.35</v>
      </c>
      <c r="L25" s="795">
        <f t="shared" si="8"/>
        <v>16.200000000000003</v>
      </c>
      <c r="M25" s="797">
        <f t="shared" si="9"/>
        <v>2757240.0000000005</v>
      </c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spans="1:26" ht="14.25" customHeight="1">
      <c r="A26" s="793">
        <v>10</v>
      </c>
      <c r="B26" s="794" t="s">
        <v>2973</v>
      </c>
      <c r="C26" s="794" t="s">
        <v>2974</v>
      </c>
      <c r="D26" s="795">
        <v>2</v>
      </c>
      <c r="E26" s="795">
        <v>4.4999999999999998E-2</v>
      </c>
      <c r="F26" s="800" t="s">
        <v>2345</v>
      </c>
      <c r="G26" s="797">
        <v>62500</v>
      </c>
      <c r="H26" s="795">
        <v>3</v>
      </c>
      <c r="I26" s="798">
        <f t="shared" si="5"/>
        <v>0.81</v>
      </c>
      <c r="J26" s="799">
        <f t="shared" si="6"/>
        <v>50625</v>
      </c>
      <c r="K26" s="798">
        <f t="shared" si="7"/>
        <v>0.81</v>
      </c>
      <c r="L26" s="795">
        <f t="shared" si="8"/>
        <v>9.7200000000000006</v>
      </c>
      <c r="M26" s="797">
        <f t="shared" si="9"/>
        <v>607500</v>
      </c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spans="1:26" ht="14.25" customHeight="1">
      <c r="A27" s="793">
        <v>11</v>
      </c>
      <c r="B27" s="794" t="s">
        <v>2975</v>
      </c>
      <c r="C27" s="794" t="s">
        <v>2976</v>
      </c>
      <c r="D27" s="795">
        <v>1</v>
      </c>
      <c r="E27" s="795">
        <v>0.5</v>
      </c>
      <c r="F27" s="800" t="s">
        <v>2345</v>
      </c>
      <c r="G27" s="797">
        <v>65550</v>
      </c>
      <c r="H27" s="795">
        <v>1</v>
      </c>
      <c r="I27" s="798">
        <f t="shared" si="5"/>
        <v>1.5</v>
      </c>
      <c r="J27" s="799">
        <f t="shared" si="6"/>
        <v>98325</v>
      </c>
      <c r="K27" s="798">
        <f t="shared" si="7"/>
        <v>1.5</v>
      </c>
      <c r="L27" s="795">
        <f t="shared" si="8"/>
        <v>18</v>
      </c>
      <c r="M27" s="797">
        <f t="shared" si="9"/>
        <v>1179900</v>
      </c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spans="1:26" ht="14.25" customHeight="1">
      <c r="A28" s="793">
        <v>12</v>
      </c>
      <c r="B28" s="794" t="s">
        <v>2977</v>
      </c>
      <c r="C28" s="794" t="s">
        <v>2978</v>
      </c>
      <c r="D28" s="795">
        <v>2</v>
      </c>
      <c r="E28" s="795">
        <v>0.5</v>
      </c>
      <c r="F28" s="800" t="s">
        <v>2345</v>
      </c>
      <c r="G28" s="797">
        <v>78200</v>
      </c>
      <c r="H28" s="795">
        <v>2</v>
      </c>
      <c r="I28" s="798">
        <f t="shared" si="5"/>
        <v>6</v>
      </c>
      <c r="J28" s="799">
        <f t="shared" si="6"/>
        <v>469200</v>
      </c>
      <c r="K28" s="798">
        <f t="shared" si="7"/>
        <v>6</v>
      </c>
      <c r="L28" s="795">
        <f t="shared" si="8"/>
        <v>72</v>
      </c>
      <c r="M28" s="797">
        <f t="shared" si="9"/>
        <v>5630400</v>
      </c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spans="1:26" ht="14.25" customHeight="1">
      <c r="A29" s="793">
        <v>13</v>
      </c>
      <c r="B29" s="794" t="s">
        <v>2979</v>
      </c>
      <c r="C29" s="794" t="s">
        <v>2980</v>
      </c>
      <c r="D29" s="795">
        <v>2</v>
      </c>
      <c r="E29" s="795">
        <v>0.5</v>
      </c>
      <c r="F29" s="800" t="s">
        <v>2345</v>
      </c>
      <c r="G29" s="797">
        <v>88550</v>
      </c>
      <c r="H29" s="795">
        <v>3</v>
      </c>
      <c r="I29" s="798">
        <f t="shared" si="5"/>
        <v>9</v>
      </c>
      <c r="J29" s="799">
        <f t="shared" si="6"/>
        <v>796950</v>
      </c>
      <c r="K29" s="798">
        <f t="shared" si="7"/>
        <v>9</v>
      </c>
      <c r="L29" s="795">
        <f t="shared" si="8"/>
        <v>108</v>
      </c>
      <c r="M29" s="797">
        <f t="shared" si="9"/>
        <v>9563400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spans="1:26" ht="14.25" customHeight="1">
      <c r="A30" s="793">
        <v>14</v>
      </c>
      <c r="B30" s="794" t="s">
        <v>2981</v>
      </c>
      <c r="C30" s="794" t="s">
        <v>2982</v>
      </c>
      <c r="D30" s="795">
        <v>3</v>
      </c>
      <c r="E30" s="795">
        <v>0.25</v>
      </c>
      <c r="F30" s="800" t="s">
        <v>2345</v>
      </c>
      <c r="G30" s="797">
        <v>299000</v>
      </c>
      <c r="H30" s="795">
        <v>3</v>
      </c>
      <c r="I30" s="798">
        <f t="shared" si="5"/>
        <v>6.75</v>
      </c>
      <c r="J30" s="799">
        <f t="shared" si="6"/>
        <v>2018250</v>
      </c>
      <c r="K30" s="798">
        <f t="shared" si="7"/>
        <v>6.75</v>
      </c>
      <c r="L30" s="795">
        <f t="shared" si="8"/>
        <v>81</v>
      </c>
      <c r="M30" s="797">
        <f t="shared" si="9"/>
        <v>24219000</v>
      </c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spans="1:26" ht="14.25" customHeight="1">
      <c r="A31" s="793">
        <v>15</v>
      </c>
      <c r="B31" s="794" t="s">
        <v>2983</v>
      </c>
      <c r="C31" s="794" t="s">
        <v>2984</v>
      </c>
      <c r="D31" s="795">
        <v>1</v>
      </c>
      <c r="E31" s="795">
        <v>0.5</v>
      </c>
      <c r="F31" s="800" t="s">
        <v>2345</v>
      </c>
      <c r="G31" s="797">
        <v>90850</v>
      </c>
      <c r="H31" s="795">
        <v>1</v>
      </c>
      <c r="I31" s="798">
        <f t="shared" si="5"/>
        <v>1.5</v>
      </c>
      <c r="J31" s="799">
        <f t="shared" si="6"/>
        <v>136275</v>
      </c>
      <c r="K31" s="798">
        <f t="shared" si="7"/>
        <v>1.5</v>
      </c>
      <c r="L31" s="795">
        <f t="shared" si="8"/>
        <v>18</v>
      </c>
      <c r="M31" s="797">
        <f t="shared" si="9"/>
        <v>1635300</v>
      </c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spans="1:26" ht="14.25" customHeight="1">
      <c r="A32" s="793">
        <v>16</v>
      </c>
      <c r="B32" s="794" t="s">
        <v>2985</v>
      </c>
      <c r="C32" s="794" t="s">
        <v>2986</v>
      </c>
      <c r="D32" s="795">
        <v>1</v>
      </c>
      <c r="E32" s="795">
        <v>0.5</v>
      </c>
      <c r="F32" s="800" t="s">
        <v>2345</v>
      </c>
      <c r="G32" s="797">
        <v>87912</v>
      </c>
      <c r="H32" s="795">
        <v>1</v>
      </c>
      <c r="I32" s="798">
        <f t="shared" si="5"/>
        <v>1.5</v>
      </c>
      <c r="J32" s="799">
        <f t="shared" si="6"/>
        <v>131868</v>
      </c>
      <c r="K32" s="798">
        <f t="shared" si="7"/>
        <v>1.5</v>
      </c>
      <c r="L32" s="795">
        <f t="shared" si="8"/>
        <v>18</v>
      </c>
      <c r="M32" s="797">
        <f t="shared" si="9"/>
        <v>1582416</v>
      </c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spans="1:26" ht="14.25" customHeight="1">
      <c r="A33" s="793">
        <v>17</v>
      </c>
      <c r="B33" s="794" t="s">
        <v>2987</v>
      </c>
      <c r="C33" s="794" t="s">
        <v>2988</v>
      </c>
      <c r="D33" s="795">
        <v>1</v>
      </c>
      <c r="E33" s="795">
        <v>0.5</v>
      </c>
      <c r="F33" s="800" t="s">
        <v>2345</v>
      </c>
      <c r="G33" s="797">
        <v>67155</v>
      </c>
      <c r="H33" s="795">
        <v>1</v>
      </c>
      <c r="I33" s="798">
        <f t="shared" si="5"/>
        <v>1.5</v>
      </c>
      <c r="J33" s="799">
        <f t="shared" si="6"/>
        <v>100732.5</v>
      </c>
      <c r="K33" s="798">
        <f t="shared" si="7"/>
        <v>1.5</v>
      </c>
      <c r="L33" s="795">
        <f t="shared" si="8"/>
        <v>18</v>
      </c>
      <c r="M33" s="797">
        <f t="shared" si="9"/>
        <v>1208790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spans="1:26" ht="14.25" customHeight="1">
      <c r="A34" s="793">
        <v>18</v>
      </c>
      <c r="B34" s="794" t="s">
        <v>2989</v>
      </c>
      <c r="C34" s="794" t="s">
        <v>2990</v>
      </c>
      <c r="D34" s="795">
        <v>1</v>
      </c>
      <c r="E34" s="795">
        <v>0.15</v>
      </c>
      <c r="F34" s="800" t="s">
        <v>2345</v>
      </c>
      <c r="G34" s="797">
        <v>232000</v>
      </c>
      <c r="H34" s="795">
        <v>2</v>
      </c>
      <c r="I34" s="798">
        <f t="shared" si="5"/>
        <v>0.89999999999999991</v>
      </c>
      <c r="J34" s="799">
        <f t="shared" si="6"/>
        <v>208799.99999999997</v>
      </c>
      <c r="K34" s="798">
        <f t="shared" si="7"/>
        <v>0.89999999999999991</v>
      </c>
      <c r="L34" s="795">
        <f t="shared" si="8"/>
        <v>10.799999999999999</v>
      </c>
      <c r="M34" s="797">
        <f t="shared" si="9"/>
        <v>2505599.9999999995</v>
      </c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spans="1:26" ht="14.25" customHeight="1">
      <c r="A35" s="793">
        <v>19</v>
      </c>
      <c r="B35" s="794" t="s">
        <v>2991</v>
      </c>
      <c r="C35" s="794" t="s">
        <v>2992</v>
      </c>
      <c r="D35" s="795">
        <v>2</v>
      </c>
      <c r="E35" s="795">
        <v>0.1</v>
      </c>
      <c r="F35" s="800" t="s">
        <v>2345</v>
      </c>
      <c r="G35" s="797">
        <v>31050</v>
      </c>
      <c r="H35" s="795">
        <v>4</v>
      </c>
      <c r="I35" s="798">
        <f t="shared" si="5"/>
        <v>2.4000000000000004</v>
      </c>
      <c r="J35" s="799">
        <f t="shared" si="6"/>
        <v>74520.000000000015</v>
      </c>
      <c r="K35" s="798">
        <f t="shared" si="7"/>
        <v>2.4000000000000004</v>
      </c>
      <c r="L35" s="795">
        <f t="shared" si="8"/>
        <v>28.800000000000004</v>
      </c>
      <c r="M35" s="797">
        <f t="shared" si="9"/>
        <v>894240.00000000023</v>
      </c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spans="1:26" ht="14.25" customHeight="1">
      <c r="A36" s="793">
        <v>20</v>
      </c>
      <c r="B36" s="794" t="s">
        <v>2993</v>
      </c>
      <c r="C36" s="794" t="s">
        <v>2994</v>
      </c>
      <c r="D36" s="795">
        <v>4</v>
      </c>
      <c r="E36" s="795">
        <v>0.1</v>
      </c>
      <c r="F36" s="800" t="s">
        <v>2345</v>
      </c>
      <c r="G36" s="797">
        <v>63250</v>
      </c>
      <c r="H36" s="795">
        <v>5</v>
      </c>
      <c r="I36" s="798">
        <f t="shared" si="5"/>
        <v>6.0000000000000009</v>
      </c>
      <c r="J36" s="799">
        <f t="shared" si="6"/>
        <v>379500.00000000006</v>
      </c>
      <c r="K36" s="798">
        <f t="shared" si="7"/>
        <v>6.0000000000000009</v>
      </c>
      <c r="L36" s="795">
        <f t="shared" si="8"/>
        <v>72.000000000000014</v>
      </c>
      <c r="M36" s="797">
        <f t="shared" si="9"/>
        <v>4554000.0000000009</v>
      </c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spans="1:26" ht="14.25" customHeight="1">
      <c r="A37" s="793">
        <v>21</v>
      </c>
      <c r="B37" s="794" t="s">
        <v>2995</v>
      </c>
      <c r="C37" s="794" t="s">
        <v>2996</v>
      </c>
      <c r="D37" s="795">
        <v>4</v>
      </c>
      <c r="E37" s="795">
        <v>0.1</v>
      </c>
      <c r="F37" s="800" t="s">
        <v>2345</v>
      </c>
      <c r="G37" s="797">
        <v>41400</v>
      </c>
      <c r="H37" s="795">
        <v>7</v>
      </c>
      <c r="I37" s="798">
        <f t="shared" si="5"/>
        <v>8.4000000000000021</v>
      </c>
      <c r="J37" s="799">
        <f t="shared" si="6"/>
        <v>347760.00000000012</v>
      </c>
      <c r="K37" s="798">
        <f t="shared" si="7"/>
        <v>8.4000000000000021</v>
      </c>
      <c r="L37" s="795">
        <f t="shared" si="8"/>
        <v>100.80000000000003</v>
      </c>
      <c r="M37" s="797">
        <f t="shared" si="9"/>
        <v>4173120.0000000014</v>
      </c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ht="14.25" customHeight="1">
      <c r="A38" s="801"/>
      <c r="B38" s="802" t="s">
        <v>2963</v>
      </c>
      <c r="C38" s="802"/>
      <c r="D38" s="803"/>
      <c r="E38" s="803"/>
      <c r="F38" s="804"/>
      <c r="G38" s="805"/>
      <c r="H38" s="803"/>
      <c r="I38" s="806"/>
      <c r="J38" s="807">
        <f>SUM(J22:J37)</f>
        <v>7975119</v>
      </c>
      <c r="K38" s="803"/>
      <c r="L38" s="803"/>
      <c r="M38" s="805">
        <f t="shared" si="9"/>
        <v>95701428</v>
      </c>
      <c r="N38" s="808"/>
      <c r="O38" s="808"/>
      <c r="P38" s="808"/>
      <c r="Q38" s="808"/>
      <c r="R38" s="808"/>
      <c r="S38" s="808"/>
      <c r="T38" s="808"/>
      <c r="U38" s="808"/>
      <c r="V38" s="808"/>
      <c r="W38" s="808"/>
      <c r="X38" s="808"/>
      <c r="Y38" s="808"/>
      <c r="Z38" s="808"/>
    </row>
    <row r="39" spans="1:26" ht="14.25" customHeight="1">
      <c r="A39" s="809" t="s">
        <v>2997</v>
      </c>
      <c r="B39" s="788"/>
      <c r="C39" s="788"/>
      <c r="D39" s="795"/>
      <c r="E39" s="795"/>
      <c r="F39" s="795"/>
      <c r="G39" s="797"/>
      <c r="H39" s="795"/>
      <c r="I39" s="798"/>
      <c r="J39" s="799"/>
      <c r="K39" s="795"/>
      <c r="L39" s="795"/>
      <c r="M39" s="797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spans="1:26" ht="14.25" customHeight="1">
      <c r="A40" s="793">
        <v>22</v>
      </c>
      <c r="B40" s="794" t="s">
        <v>2998</v>
      </c>
      <c r="C40" s="794" t="s">
        <v>2999</v>
      </c>
      <c r="D40" s="795">
        <v>73</v>
      </c>
      <c r="E40" s="795">
        <v>0.02</v>
      </c>
      <c r="F40" s="800" t="s">
        <v>2431</v>
      </c>
      <c r="G40" s="797">
        <v>5750</v>
      </c>
      <c r="H40" s="795">
        <v>3</v>
      </c>
      <c r="I40" s="798">
        <f t="shared" ref="I40:I90" si="10">3*D40*E40*H40</f>
        <v>13.14</v>
      </c>
      <c r="J40" s="799">
        <f t="shared" ref="J40:J90" si="11">I40*G40</f>
        <v>75555</v>
      </c>
      <c r="K40" s="798">
        <f t="shared" ref="K40:K90" si="12">I40</f>
        <v>13.14</v>
      </c>
      <c r="L40" s="795">
        <f t="shared" ref="L40:L90" si="13">12*K40</f>
        <v>157.68</v>
      </c>
      <c r="M40" s="797">
        <f t="shared" ref="M40:M91" si="14">12*J40</f>
        <v>906660</v>
      </c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spans="1:26" ht="14.25" customHeight="1">
      <c r="A41" s="793">
        <v>23</v>
      </c>
      <c r="B41" s="794" t="s">
        <v>413</v>
      </c>
      <c r="C41" s="794" t="s">
        <v>3000</v>
      </c>
      <c r="D41" s="795">
        <v>65</v>
      </c>
      <c r="E41" s="795">
        <v>0.2</v>
      </c>
      <c r="F41" s="800" t="s">
        <v>901</v>
      </c>
      <c r="G41" s="797">
        <v>16800</v>
      </c>
      <c r="H41" s="795">
        <v>10</v>
      </c>
      <c r="I41" s="798">
        <f t="shared" si="10"/>
        <v>390</v>
      </c>
      <c r="J41" s="799">
        <f t="shared" si="11"/>
        <v>6552000</v>
      </c>
      <c r="K41" s="798">
        <f t="shared" si="12"/>
        <v>390</v>
      </c>
      <c r="L41" s="795">
        <f t="shared" si="13"/>
        <v>4680</v>
      </c>
      <c r="M41" s="797">
        <f t="shared" si="14"/>
        <v>78624000</v>
      </c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spans="1:26" ht="14.25" customHeight="1">
      <c r="A42" s="793">
        <v>24</v>
      </c>
      <c r="B42" s="794" t="s">
        <v>3001</v>
      </c>
      <c r="C42" s="794" t="s">
        <v>3002</v>
      </c>
      <c r="D42" s="795">
        <v>65</v>
      </c>
      <c r="E42" s="795">
        <v>1.2999999999999999E-2</v>
      </c>
      <c r="F42" s="800" t="s">
        <v>2243</v>
      </c>
      <c r="G42" s="797">
        <v>11500</v>
      </c>
      <c r="H42" s="795">
        <v>3</v>
      </c>
      <c r="I42" s="798">
        <f t="shared" si="10"/>
        <v>7.6049999999999986</v>
      </c>
      <c r="J42" s="799">
        <f t="shared" si="11"/>
        <v>87457.499999999985</v>
      </c>
      <c r="K42" s="798">
        <f t="shared" si="12"/>
        <v>7.6049999999999986</v>
      </c>
      <c r="L42" s="795">
        <f t="shared" si="13"/>
        <v>91.259999999999991</v>
      </c>
      <c r="M42" s="797">
        <f t="shared" si="14"/>
        <v>1049489.9999999998</v>
      </c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spans="1:26" ht="14.25" customHeight="1">
      <c r="A43" s="793">
        <v>25</v>
      </c>
      <c r="B43" s="794" t="s">
        <v>3003</v>
      </c>
      <c r="C43" s="794" t="s">
        <v>3004</v>
      </c>
      <c r="D43" s="795">
        <v>2</v>
      </c>
      <c r="E43" s="795">
        <v>0.17</v>
      </c>
      <c r="F43" s="800" t="s">
        <v>830</v>
      </c>
      <c r="G43" s="797">
        <v>26450</v>
      </c>
      <c r="H43" s="795">
        <v>3</v>
      </c>
      <c r="I43" s="798">
        <f t="shared" si="10"/>
        <v>3.06</v>
      </c>
      <c r="J43" s="799">
        <f t="shared" si="11"/>
        <v>80937</v>
      </c>
      <c r="K43" s="798">
        <f t="shared" si="12"/>
        <v>3.06</v>
      </c>
      <c r="L43" s="795">
        <f t="shared" si="13"/>
        <v>36.72</v>
      </c>
      <c r="M43" s="797">
        <f t="shared" si="14"/>
        <v>971244</v>
      </c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spans="1:26" ht="14.25" customHeight="1">
      <c r="A44" s="793">
        <v>26</v>
      </c>
      <c r="B44" s="794" t="s">
        <v>3005</v>
      </c>
      <c r="C44" s="794" t="s">
        <v>3006</v>
      </c>
      <c r="D44" s="795">
        <v>30</v>
      </c>
      <c r="E44" s="795">
        <v>0.1</v>
      </c>
      <c r="F44" s="800" t="s">
        <v>830</v>
      </c>
      <c r="G44" s="797">
        <v>11500</v>
      </c>
      <c r="H44" s="795">
        <v>1</v>
      </c>
      <c r="I44" s="798">
        <f t="shared" si="10"/>
        <v>9</v>
      </c>
      <c r="J44" s="799">
        <f t="shared" si="11"/>
        <v>103500</v>
      </c>
      <c r="K44" s="798">
        <f t="shared" si="12"/>
        <v>9</v>
      </c>
      <c r="L44" s="795">
        <f t="shared" si="13"/>
        <v>108</v>
      </c>
      <c r="M44" s="797">
        <f t="shared" si="14"/>
        <v>1242000</v>
      </c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spans="1:26" ht="14.25" customHeight="1">
      <c r="A45" s="793">
        <v>27</v>
      </c>
      <c r="B45" s="794" t="s">
        <v>3007</v>
      </c>
      <c r="C45" s="794" t="s">
        <v>3008</v>
      </c>
      <c r="D45" s="795">
        <v>65</v>
      </c>
      <c r="E45" s="795">
        <v>2E-3</v>
      </c>
      <c r="F45" s="800" t="s">
        <v>2243</v>
      </c>
      <c r="G45" s="797">
        <v>16100</v>
      </c>
      <c r="H45" s="795">
        <v>35</v>
      </c>
      <c r="I45" s="798">
        <f t="shared" si="10"/>
        <v>13.65</v>
      </c>
      <c r="J45" s="799">
        <f t="shared" si="11"/>
        <v>219765</v>
      </c>
      <c r="K45" s="798">
        <f t="shared" si="12"/>
        <v>13.65</v>
      </c>
      <c r="L45" s="795">
        <f t="shared" si="13"/>
        <v>163.80000000000001</v>
      </c>
      <c r="M45" s="797">
        <f t="shared" si="14"/>
        <v>2637180</v>
      </c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spans="1:26" ht="14.25" customHeight="1">
      <c r="A46" s="793">
        <v>28</v>
      </c>
      <c r="B46" s="794" t="s">
        <v>3009</v>
      </c>
      <c r="C46" s="794" t="s">
        <v>3010</v>
      </c>
      <c r="D46" s="795">
        <v>1</v>
      </c>
      <c r="E46" s="795">
        <v>3</v>
      </c>
      <c r="F46" s="800" t="s">
        <v>3011</v>
      </c>
      <c r="G46" s="797">
        <v>3450</v>
      </c>
      <c r="H46" s="795">
        <v>2</v>
      </c>
      <c r="I46" s="798">
        <f t="shared" si="10"/>
        <v>18</v>
      </c>
      <c r="J46" s="799">
        <f t="shared" si="11"/>
        <v>62100</v>
      </c>
      <c r="K46" s="798">
        <f t="shared" si="12"/>
        <v>18</v>
      </c>
      <c r="L46" s="795">
        <f t="shared" si="13"/>
        <v>216</v>
      </c>
      <c r="M46" s="797">
        <f t="shared" si="14"/>
        <v>745200</v>
      </c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spans="1:26" ht="14.25" customHeight="1">
      <c r="A47" s="793">
        <v>29</v>
      </c>
      <c r="B47" s="794" t="s">
        <v>3012</v>
      </c>
      <c r="C47" s="794" t="s">
        <v>3013</v>
      </c>
      <c r="D47" s="795">
        <v>2</v>
      </c>
      <c r="E47" s="795">
        <v>1</v>
      </c>
      <c r="F47" s="800" t="s">
        <v>3011</v>
      </c>
      <c r="G47" s="797">
        <v>1552.5</v>
      </c>
      <c r="H47" s="795">
        <v>6</v>
      </c>
      <c r="I47" s="798">
        <f t="shared" si="10"/>
        <v>36</v>
      </c>
      <c r="J47" s="799">
        <f t="shared" si="11"/>
        <v>55890</v>
      </c>
      <c r="K47" s="798">
        <f t="shared" si="12"/>
        <v>36</v>
      </c>
      <c r="L47" s="795">
        <f t="shared" si="13"/>
        <v>432</v>
      </c>
      <c r="M47" s="797">
        <f t="shared" si="14"/>
        <v>670680</v>
      </c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spans="1:26" ht="14.25" customHeight="1">
      <c r="A48" s="793">
        <v>30</v>
      </c>
      <c r="B48" s="794" t="s">
        <v>3014</v>
      </c>
      <c r="C48" s="794" t="s">
        <v>3015</v>
      </c>
      <c r="D48" s="795">
        <v>65</v>
      </c>
      <c r="E48" s="795">
        <v>2E-3</v>
      </c>
      <c r="F48" s="800" t="s">
        <v>2345</v>
      </c>
      <c r="G48" s="797">
        <v>59800</v>
      </c>
      <c r="H48" s="795">
        <v>7</v>
      </c>
      <c r="I48" s="798">
        <f t="shared" si="10"/>
        <v>2.73</v>
      </c>
      <c r="J48" s="799">
        <f t="shared" si="11"/>
        <v>163254</v>
      </c>
      <c r="K48" s="798">
        <f t="shared" si="12"/>
        <v>2.73</v>
      </c>
      <c r="L48" s="795">
        <f t="shared" si="13"/>
        <v>32.76</v>
      </c>
      <c r="M48" s="797">
        <f t="shared" si="14"/>
        <v>1959048</v>
      </c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spans="1:26" ht="14.25" customHeight="1">
      <c r="A49" s="793">
        <v>31</v>
      </c>
      <c r="B49" s="794" t="s">
        <v>3016</v>
      </c>
      <c r="C49" s="794" t="s">
        <v>3017</v>
      </c>
      <c r="D49" s="795">
        <v>65</v>
      </c>
      <c r="E49" s="795">
        <v>0.02</v>
      </c>
      <c r="F49" s="800" t="s">
        <v>2243</v>
      </c>
      <c r="G49" s="797">
        <v>5175</v>
      </c>
      <c r="H49" s="795">
        <v>10</v>
      </c>
      <c r="I49" s="798">
        <f t="shared" si="10"/>
        <v>39</v>
      </c>
      <c r="J49" s="799">
        <f t="shared" si="11"/>
        <v>201825</v>
      </c>
      <c r="K49" s="798">
        <f t="shared" si="12"/>
        <v>39</v>
      </c>
      <c r="L49" s="795">
        <f t="shared" si="13"/>
        <v>468</v>
      </c>
      <c r="M49" s="797">
        <f t="shared" si="14"/>
        <v>2421900</v>
      </c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spans="1:26" ht="14.25" customHeight="1">
      <c r="A50" s="793">
        <v>32</v>
      </c>
      <c r="B50" s="794" t="s">
        <v>3018</v>
      </c>
      <c r="C50" s="794" t="s">
        <v>3019</v>
      </c>
      <c r="D50" s="795">
        <v>65</v>
      </c>
      <c r="E50" s="795">
        <v>0.01</v>
      </c>
      <c r="F50" s="800" t="s">
        <v>901</v>
      </c>
      <c r="G50" s="797">
        <v>20700</v>
      </c>
      <c r="H50" s="795">
        <v>7</v>
      </c>
      <c r="I50" s="798">
        <f t="shared" si="10"/>
        <v>13.65</v>
      </c>
      <c r="J50" s="799">
        <f t="shared" si="11"/>
        <v>282555</v>
      </c>
      <c r="K50" s="798">
        <f t="shared" si="12"/>
        <v>13.65</v>
      </c>
      <c r="L50" s="795">
        <f t="shared" si="13"/>
        <v>163.80000000000001</v>
      </c>
      <c r="M50" s="797">
        <f t="shared" si="14"/>
        <v>3390660</v>
      </c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spans="1:26" ht="14.25" customHeight="1">
      <c r="A51" s="793">
        <v>33</v>
      </c>
      <c r="B51" s="794" t="s">
        <v>3020</v>
      </c>
      <c r="C51" s="794" t="s">
        <v>3021</v>
      </c>
      <c r="D51" s="795">
        <v>20</v>
      </c>
      <c r="E51" s="795">
        <v>0.05</v>
      </c>
      <c r="F51" s="800" t="s">
        <v>2389</v>
      </c>
      <c r="G51" s="797">
        <v>78775</v>
      </c>
      <c r="H51" s="795">
        <v>3</v>
      </c>
      <c r="I51" s="798">
        <f t="shared" si="10"/>
        <v>9</v>
      </c>
      <c r="J51" s="799">
        <f t="shared" si="11"/>
        <v>708975</v>
      </c>
      <c r="K51" s="798">
        <f t="shared" si="12"/>
        <v>9</v>
      </c>
      <c r="L51" s="795">
        <f t="shared" si="13"/>
        <v>108</v>
      </c>
      <c r="M51" s="797">
        <f t="shared" si="14"/>
        <v>8507700</v>
      </c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spans="1:26" ht="30.75" customHeight="1">
      <c r="A52" s="793">
        <v>34</v>
      </c>
      <c r="B52" s="794" t="s">
        <v>3022</v>
      </c>
      <c r="C52" s="794" t="s">
        <v>3023</v>
      </c>
      <c r="D52" s="795">
        <v>20</v>
      </c>
      <c r="E52" s="795">
        <v>0.01</v>
      </c>
      <c r="F52" s="800" t="s">
        <v>2345</v>
      </c>
      <c r="G52" s="797">
        <v>69000</v>
      </c>
      <c r="H52" s="795">
        <v>5</v>
      </c>
      <c r="I52" s="798">
        <f t="shared" si="10"/>
        <v>3</v>
      </c>
      <c r="J52" s="799">
        <f t="shared" si="11"/>
        <v>207000</v>
      </c>
      <c r="K52" s="798">
        <f t="shared" si="12"/>
        <v>3</v>
      </c>
      <c r="L52" s="795">
        <f t="shared" si="13"/>
        <v>36</v>
      </c>
      <c r="M52" s="797">
        <f t="shared" si="14"/>
        <v>2484000</v>
      </c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spans="1:26" ht="14.25" customHeight="1">
      <c r="A53" s="793">
        <v>35</v>
      </c>
      <c r="B53" s="794" t="s">
        <v>3024</v>
      </c>
      <c r="C53" s="794" t="s">
        <v>3025</v>
      </c>
      <c r="D53" s="795">
        <v>65</v>
      </c>
      <c r="E53" s="795">
        <v>0.02</v>
      </c>
      <c r="F53" s="800" t="s">
        <v>901</v>
      </c>
      <c r="G53" s="797">
        <v>22425</v>
      </c>
      <c r="H53" s="795">
        <v>10</v>
      </c>
      <c r="I53" s="798">
        <f t="shared" si="10"/>
        <v>39</v>
      </c>
      <c r="J53" s="799">
        <f t="shared" si="11"/>
        <v>874575</v>
      </c>
      <c r="K53" s="798">
        <f t="shared" si="12"/>
        <v>39</v>
      </c>
      <c r="L53" s="795">
        <f t="shared" si="13"/>
        <v>468</v>
      </c>
      <c r="M53" s="797">
        <f t="shared" si="14"/>
        <v>10494900</v>
      </c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spans="1:26" ht="14.25" customHeight="1">
      <c r="A54" s="793">
        <v>36</v>
      </c>
      <c r="B54" s="794" t="s">
        <v>3026</v>
      </c>
      <c r="C54" s="794" t="s">
        <v>3027</v>
      </c>
      <c r="D54" s="795">
        <v>3</v>
      </c>
      <c r="E54" s="795">
        <v>3</v>
      </c>
      <c r="F54" s="800" t="s">
        <v>830</v>
      </c>
      <c r="G54" s="797">
        <v>316.25</v>
      </c>
      <c r="H54" s="795">
        <v>6</v>
      </c>
      <c r="I54" s="798">
        <f t="shared" si="10"/>
        <v>162</v>
      </c>
      <c r="J54" s="799">
        <f t="shared" si="11"/>
        <v>51232.5</v>
      </c>
      <c r="K54" s="798">
        <f t="shared" si="12"/>
        <v>162</v>
      </c>
      <c r="L54" s="795">
        <f t="shared" si="13"/>
        <v>1944</v>
      </c>
      <c r="M54" s="797">
        <f t="shared" si="14"/>
        <v>614790</v>
      </c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spans="1:26" ht="14.25" customHeight="1">
      <c r="A55" s="793">
        <v>37</v>
      </c>
      <c r="B55" s="794" t="s">
        <v>3028</v>
      </c>
      <c r="C55" s="794" t="s">
        <v>3029</v>
      </c>
      <c r="D55" s="795">
        <v>27</v>
      </c>
      <c r="E55" s="795">
        <v>0.02</v>
      </c>
      <c r="F55" s="800" t="s">
        <v>901</v>
      </c>
      <c r="G55" s="797">
        <v>36800</v>
      </c>
      <c r="H55" s="795">
        <v>1</v>
      </c>
      <c r="I55" s="798">
        <f t="shared" si="10"/>
        <v>1.62</v>
      </c>
      <c r="J55" s="799">
        <f t="shared" si="11"/>
        <v>59616.000000000007</v>
      </c>
      <c r="K55" s="798">
        <f t="shared" si="12"/>
        <v>1.62</v>
      </c>
      <c r="L55" s="795">
        <f t="shared" si="13"/>
        <v>19.440000000000001</v>
      </c>
      <c r="M55" s="797">
        <f t="shared" si="14"/>
        <v>715392.00000000012</v>
      </c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ht="14.25" customHeight="1">
      <c r="A56" s="793">
        <v>38</v>
      </c>
      <c r="B56" s="794" t="s">
        <v>3030</v>
      </c>
      <c r="C56" s="794" t="s">
        <v>3029</v>
      </c>
      <c r="D56" s="795">
        <v>65</v>
      </c>
      <c r="E56" s="795">
        <v>0.02</v>
      </c>
      <c r="F56" s="800" t="s">
        <v>901</v>
      </c>
      <c r="G56" s="797">
        <v>42000</v>
      </c>
      <c r="H56" s="795">
        <v>0.5</v>
      </c>
      <c r="I56" s="798">
        <f t="shared" si="10"/>
        <v>1.95</v>
      </c>
      <c r="J56" s="799">
        <f t="shared" si="11"/>
        <v>81900</v>
      </c>
      <c r="K56" s="798">
        <f t="shared" si="12"/>
        <v>1.95</v>
      </c>
      <c r="L56" s="795">
        <f t="shared" si="13"/>
        <v>23.4</v>
      </c>
      <c r="M56" s="797">
        <f t="shared" si="14"/>
        <v>982800</v>
      </c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spans="1:26" ht="14.25" customHeight="1">
      <c r="A57" s="793">
        <v>39</v>
      </c>
      <c r="B57" s="794" t="s">
        <v>3031</v>
      </c>
      <c r="C57" s="794" t="s">
        <v>3032</v>
      </c>
      <c r="D57" s="795">
        <v>65</v>
      </c>
      <c r="E57" s="795">
        <v>1E-3</v>
      </c>
      <c r="F57" s="800" t="s">
        <v>830</v>
      </c>
      <c r="G57" s="797">
        <v>104650</v>
      </c>
      <c r="H57" s="795">
        <v>20</v>
      </c>
      <c r="I57" s="798">
        <f t="shared" si="10"/>
        <v>3.9000000000000004</v>
      </c>
      <c r="J57" s="799">
        <f t="shared" si="11"/>
        <v>408135.00000000006</v>
      </c>
      <c r="K57" s="798">
        <f t="shared" si="12"/>
        <v>3.9000000000000004</v>
      </c>
      <c r="L57" s="795">
        <f t="shared" si="13"/>
        <v>46.800000000000004</v>
      </c>
      <c r="M57" s="797">
        <f t="shared" si="14"/>
        <v>4897620.0000000009</v>
      </c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spans="1:26" ht="14.25" customHeight="1">
      <c r="A58" s="793">
        <v>40</v>
      </c>
      <c r="B58" s="794" t="s">
        <v>3033</v>
      </c>
      <c r="C58" s="794" t="s">
        <v>3034</v>
      </c>
      <c r="D58" s="795">
        <v>65</v>
      </c>
      <c r="E58" s="795">
        <v>1E-3</v>
      </c>
      <c r="F58" s="800" t="s">
        <v>2389</v>
      </c>
      <c r="G58" s="797">
        <v>5750</v>
      </c>
      <c r="H58" s="795">
        <v>10</v>
      </c>
      <c r="I58" s="798">
        <f t="shared" si="10"/>
        <v>1.9500000000000002</v>
      </c>
      <c r="J58" s="799">
        <f t="shared" si="11"/>
        <v>11212.500000000002</v>
      </c>
      <c r="K58" s="798">
        <f t="shared" si="12"/>
        <v>1.9500000000000002</v>
      </c>
      <c r="L58" s="795">
        <f t="shared" si="13"/>
        <v>23.400000000000002</v>
      </c>
      <c r="M58" s="797">
        <f t="shared" si="14"/>
        <v>134550.00000000003</v>
      </c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spans="1:26" ht="14.25" customHeight="1">
      <c r="A59" s="793">
        <v>41</v>
      </c>
      <c r="B59" s="794" t="s">
        <v>3035</v>
      </c>
      <c r="C59" s="794" t="s">
        <v>3036</v>
      </c>
      <c r="D59" s="795">
        <v>65</v>
      </c>
      <c r="E59" s="795">
        <v>2E-3</v>
      </c>
      <c r="F59" s="800" t="s">
        <v>830</v>
      </c>
      <c r="G59" s="797">
        <v>18400</v>
      </c>
      <c r="H59" s="795">
        <v>20</v>
      </c>
      <c r="I59" s="798">
        <f t="shared" si="10"/>
        <v>7.8000000000000007</v>
      </c>
      <c r="J59" s="799">
        <f t="shared" si="11"/>
        <v>143520</v>
      </c>
      <c r="K59" s="798">
        <f t="shared" si="12"/>
        <v>7.8000000000000007</v>
      </c>
      <c r="L59" s="795">
        <f t="shared" si="13"/>
        <v>93.600000000000009</v>
      </c>
      <c r="M59" s="797">
        <f t="shared" si="14"/>
        <v>1722240</v>
      </c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spans="1:26" ht="14.25" customHeight="1">
      <c r="A60" s="793">
        <v>42</v>
      </c>
      <c r="B60" s="794" t="s">
        <v>3037</v>
      </c>
      <c r="C60" s="794" t="s">
        <v>3038</v>
      </c>
      <c r="D60" s="795">
        <v>20</v>
      </c>
      <c r="E60" s="795">
        <v>5.0000000000000001E-3</v>
      </c>
      <c r="F60" s="800" t="s">
        <v>2389</v>
      </c>
      <c r="G60" s="797">
        <v>33350</v>
      </c>
      <c r="H60" s="795">
        <v>10</v>
      </c>
      <c r="I60" s="798">
        <f t="shared" si="10"/>
        <v>3</v>
      </c>
      <c r="J60" s="799">
        <f t="shared" si="11"/>
        <v>100050</v>
      </c>
      <c r="K60" s="798">
        <f t="shared" si="12"/>
        <v>3</v>
      </c>
      <c r="L60" s="795">
        <f t="shared" si="13"/>
        <v>36</v>
      </c>
      <c r="M60" s="797">
        <f t="shared" si="14"/>
        <v>1200600</v>
      </c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spans="1:26" ht="14.25" customHeight="1">
      <c r="A61" s="793">
        <v>43</v>
      </c>
      <c r="B61" s="794" t="s">
        <v>3039</v>
      </c>
      <c r="C61" s="794" t="s">
        <v>3040</v>
      </c>
      <c r="D61" s="795">
        <v>2</v>
      </c>
      <c r="E61" s="795">
        <v>0.1</v>
      </c>
      <c r="F61" s="800" t="s">
        <v>3011</v>
      </c>
      <c r="G61" s="797">
        <v>8625</v>
      </c>
      <c r="H61" s="795">
        <v>7</v>
      </c>
      <c r="I61" s="798">
        <f t="shared" si="10"/>
        <v>4.2000000000000011</v>
      </c>
      <c r="J61" s="799">
        <f t="shared" si="11"/>
        <v>36225.000000000007</v>
      </c>
      <c r="K61" s="798">
        <f t="shared" si="12"/>
        <v>4.2000000000000011</v>
      </c>
      <c r="L61" s="795">
        <f t="shared" si="13"/>
        <v>50.400000000000013</v>
      </c>
      <c r="M61" s="797">
        <f t="shared" si="14"/>
        <v>434700.00000000012</v>
      </c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ht="14.25" customHeight="1">
      <c r="A62" s="793">
        <v>44</v>
      </c>
      <c r="B62" s="794" t="s">
        <v>3041</v>
      </c>
      <c r="C62" s="794" t="s">
        <v>3042</v>
      </c>
      <c r="D62" s="795">
        <v>65</v>
      </c>
      <c r="E62" s="795">
        <v>5.0000000000000001E-3</v>
      </c>
      <c r="F62" s="800" t="s">
        <v>901</v>
      </c>
      <c r="G62" s="797">
        <v>28750</v>
      </c>
      <c r="H62" s="795">
        <v>2</v>
      </c>
      <c r="I62" s="798">
        <f t="shared" si="10"/>
        <v>1.95</v>
      </c>
      <c r="J62" s="799">
        <f t="shared" si="11"/>
        <v>56062.5</v>
      </c>
      <c r="K62" s="798">
        <f t="shared" si="12"/>
        <v>1.95</v>
      </c>
      <c r="L62" s="795">
        <f t="shared" si="13"/>
        <v>23.4</v>
      </c>
      <c r="M62" s="797">
        <f t="shared" si="14"/>
        <v>672750</v>
      </c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spans="1:26" ht="14.25" customHeight="1">
      <c r="A63" s="793">
        <v>45</v>
      </c>
      <c r="B63" s="794" t="s">
        <v>3043</v>
      </c>
      <c r="C63" s="794" t="s">
        <v>3044</v>
      </c>
      <c r="D63" s="795">
        <v>65</v>
      </c>
      <c r="E63" s="795">
        <v>0.02</v>
      </c>
      <c r="F63" s="800" t="s">
        <v>830</v>
      </c>
      <c r="G63" s="797">
        <v>12500</v>
      </c>
      <c r="H63" s="795">
        <v>1</v>
      </c>
      <c r="I63" s="798">
        <f t="shared" si="10"/>
        <v>3.9</v>
      </c>
      <c r="J63" s="799">
        <f t="shared" si="11"/>
        <v>48750</v>
      </c>
      <c r="K63" s="798">
        <f t="shared" si="12"/>
        <v>3.9</v>
      </c>
      <c r="L63" s="795">
        <f t="shared" si="13"/>
        <v>46.8</v>
      </c>
      <c r="M63" s="797">
        <f t="shared" si="14"/>
        <v>585000</v>
      </c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spans="1:26" ht="14.25" customHeight="1">
      <c r="A64" s="793">
        <v>46</v>
      </c>
      <c r="B64" s="794" t="s">
        <v>3045</v>
      </c>
      <c r="C64" s="794" t="s">
        <v>3046</v>
      </c>
      <c r="D64" s="795">
        <v>30</v>
      </c>
      <c r="E64" s="795">
        <v>2.5000000000000001E-2</v>
      </c>
      <c r="F64" s="800" t="s">
        <v>830</v>
      </c>
      <c r="G64" s="797">
        <v>36800</v>
      </c>
      <c r="H64" s="795">
        <v>2</v>
      </c>
      <c r="I64" s="798">
        <f t="shared" si="10"/>
        <v>4.5</v>
      </c>
      <c r="J64" s="799">
        <f t="shared" si="11"/>
        <v>165600</v>
      </c>
      <c r="K64" s="798">
        <f t="shared" si="12"/>
        <v>4.5</v>
      </c>
      <c r="L64" s="795">
        <f t="shared" si="13"/>
        <v>54</v>
      </c>
      <c r="M64" s="797">
        <f t="shared" si="14"/>
        <v>1987200</v>
      </c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spans="1:26" ht="14.25" customHeight="1">
      <c r="A65" s="793">
        <v>47</v>
      </c>
      <c r="B65" s="794" t="s">
        <v>3047</v>
      </c>
      <c r="C65" s="794" t="s">
        <v>3048</v>
      </c>
      <c r="D65" s="795">
        <v>8</v>
      </c>
      <c r="E65" s="795">
        <v>0.8</v>
      </c>
      <c r="F65" s="800" t="s">
        <v>3049</v>
      </c>
      <c r="G65" s="797">
        <v>3737.5</v>
      </c>
      <c r="H65" s="795">
        <v>2</v>
      </c>
      <c r="I65" s="798">
        <f t="shared" si="10"/>
        <v>38.400000000000006</v>
      </c>
      <c r="J65" s="799">
        <f t="shared" si="11"/>
        <v>143520.00000000003</v>
      </c>
      <c r="K65" s="798">
        <f t="shared" si="12"/>
        <v>38.400000000000006</v>
      </c>
      <c r="L65" s="795">
        <f t="shared" si="13"/>
        <v>460.80000000000007</v>
      </c>
      <c r="M65" s="797">
        <f t="shared" si="14"/>
        <v>1722240.0000000005</v>
      </c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spans="1:26" ht="14.25" customHeight="1">
      <c r="A66" s="793">
        <v>48</v>
      </c>
      <c r="B66" s="794" t="s">
        <v>3050</v>
      </c>
      <c r="C66" s="794" t="s">
        <v>3051</v>
      </c>
      <c r="D66" s="795">
        <v>65</v>
      </c>
      <c r="E66" s="795">
        <v>0.02</v>
      </c>
      <c r="F66" s="800" t="s">
        <v>830</v>
      </c>
      <c r="G66" s="797">
        <v>22425</v>
      </c>
      <c r="H66" s="795">
        <v>10</v>
      </c>
      <c r="I66" s="798">
        <f t="shared" si="10"/>
        <v>39</v>
      </c>
      <c r="J66" s="799">
        <f t="shared" si="11"/>
        <v>874575</v>
      </c>
      <c r="K66" s="798">
        <f t="shared" si="12"/>
        <v>39</v>
      </c>
      <c r="L66" s="795">
        <f t="shared" si="13"/>
        <v>468</v>
      </c>
      <c r="M66" s="797">
        <f t="shared" si="14"/>
        <v>10494900</v>
      </c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spans="1:26" ht="14.25" customHeight="1">
      <c r="A67" s="793">
        <v>49</v>
      </c>
      <c r="B67" s="794" t="s">
        <v>3052</v>
      </c>
      <c r="C67" s="794" t="s">
        <v>3053</v>
      </c>
      <c r="D67" s="795">
        <v>65</v>
      </c>
      <c r="E67" s="795">
        <v>1.2500000000000001E-2</v>
      </c>
      <c r="F67" s="800" t="s">
        <v>2389</v>
      </c>
      <c r="G67" s="797">
        <v>52900</v>
      </c>
      <c r="H67" s="795">
        <v>1</v>
      </c>
      <c r="I67" s="798">
        <f t="shared" si="10"/>
        <v>2.4375</v>
      </c>
      <c r="J67" s="799">
        <f t="shared" si="11"/>
        <v>128943.75</v>
      </c>
      <c r="K67" s="798">
        <f t="shared" si="12"/>
        <v>2.4375</v>
      </c>
      <c r="L67" s="795">
        <f t="shared" si="13"/>
        <v>29.25</v>
      </c>
      <c r="M67" s="797">
        <f t="shared" si="14"/>
        <v>1547325</v>
      </c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spans="1:26" ht="14.25" customHeight="1">
      <c r="A68" s="793">
        <v>50</v>
      </c>
      <c r="B68" s="794" t="s">
        <v>3054</v>
      </c>
      <c r="C68" s="794" t="s">
        <v>3055</v>
      </c>
      <c r="D68" s="795">
        <v>27</v>
      </c>
      <c r="E68" s="795">
        <v>0.2</v>
      </c>
      <c r="F68" s="800" t="s">
        <v>830</v>
      </c>
      <c r="G68" s="797">
        <v>3105</v>
      </c>
      <c r="H68" s="795">
        <v>1</v>
      </c>
      <c r="I68" s="798">
        <f t="shared" si="10"/>
        <v>16.2</v>
      </c>
      <c r="J68" s="799">
        <f t="shared" si="11"/>
        <v>50301</v>
      </c>
      <c r="K68" s="798">
        <f t="shared" si="12"/>
        <v>16.2</v>
      </c>
      <c r="L68" s="795">
        <f t="shared" si="13"/>
        <v>194.39999999999998</v>
      </c>
      <c r="M68" s="797">
        <f t="shared" si="14"/>
        <v>603612</v>
      </c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spans="1:26" ht="14.25" customHeight="1">
      <c r="A69" s="793">
        <v>51</v>
      </c>
      <c r="B69" s="794" t="s">
        <v>3056</v>
      </c>
      <c r="C69" s="794" t="s">
        <v>3057</v>
      </c>
      <c r="D69" s="795">
        <v>2</v>
      </c>
      <c r="E69" s="795">
        <v>1</v>
      </c>
      <c r="F69" s="800" t="s">
        <v>830</v>
      </c>
      <c r="G69" s="797">
        <v>690</v>
      </c>
      <c r="H69" s="795">
        <v>6</v>
      </c>
      <c r="I69" s="798">
        <f t="shared" si="10"/>
        <v>36</v>
      </c>
      <c r="J69" s="799">
        <f t="shared" si="11"/>
        <v>24840</v>
      </c>
      <c r="K69" s="798">
        <f t="shared" si="12"/>
        <v>36</v>
      </c>
      <c r="L69" s="795">
        <f t="shared" si="13"/>
        <v>432</v>
      </c>
      <c r="M69" s="797">
        <f t="shared" si="14"/>
        <v>298080</v>
      </c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spans="1:26" ht="14.25" customHeight="1">
      <c r="A70" s="793">
        <v>52</v>
      </c>
      <c r="B70" s="794" t="s">
        <v>3058</v>
      </c>
      <c r="C70" s="794" t="s">
        <v>3059</v>
      </c>
      <c r="D70" s="795">
        <v>2</v>
      </c>
      <c r="E70" s="795">
        <v>0.2</v>
      </c>
      <c r="F70" s="800" t="s">
        <v>830</v>
      </c>
      <c r="G70" s="797">
        <v>7000</v>
      </c>
      <c r="H70" s="795">
        <v>2</v>
      </c>
      <c r="I70" s="798">
        <f t="shared" si="10"/>
        <v>2.4000000000000004</v>
      </c>
      <c r="J70" s="799">
        <f t="shared" si="11"/>
        <v>16800.000000000004</v>
      </c>
      <c r="K70" s="798">
        <f t="shared" si="12"/>
        <v>2.4000000000000004</v>
      </c>
      <c r="L70" s="795">
        <f t="shared" si="13"/>
        <v>28.800000000000004</v>
      </c>
      <c r="M70" s="797">
        <f t="shared" si="14"/>
        <v>201600.00000000006</v>
      </c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spans="1:26" ht="14.25" customHeight="1">
      <c r="A71" s="793">
        <v>53</v>
      </c>
      <c r="B71" s="794" t="s">
        <v>3060</v>
      </c>
      <c r="C71" s="794" t="s">
        <v>3061</v>
      </c>
      <c r="D71" s="795">
        <v>35</v>
      </c>
      <c r="E71" s="795">
        <v>5.0000000000000001E-3</v>
      </c>
      <c r="F71" s="800" t="s">
        <v>830</v>
      </c>
      <c r="G71" s="797">
        <v>9000</v>
      </c>
      <c r="H71" s="795">
        <v>5</v>
      </c>
      <c r="I71" s="798">
        <f t="shared" si="10"/>
        <v>2.625</v>
      </c>
      <c r="J71" s="799">
        <f t="shared" si="11"/>
        <v>23625</v>
      </c>
      <c r="K71" s="798">
        <f t="shared" si="12"/>
        <v>2.625</v>
      </c>
      <c r="L71" s="795">
        <f t="shared" si="13"/>
        <v>31.5</v>
      </c>
      <c r="M71" s="797">
        <f t="shared" si="14"/>
        <v>283500</v>
      </c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spans="1:26" ht="14.25" customHeight="1">
      <c r="A72" s="793">
        <v>54</v>
      </c>
      <c r="B72" s="794" t="s">
        <v>3062</v>
      </c>
      <c r="C72" s="794" t="s">
        <v>3063</v>
      </c>
      <c r="D72" s="795">
        <v>27</v>
      </c>
      <c r="E72" s="795">
        <v>0.1</v>
      </c>
      <c r="F72" s="800" t="s">
        <v>2243</v>
      </c>
      <c r="G72" s="797">
        <v>16675</v>
      </c>
      <c r="H72" s="795">
        <v>2</v>
      </c>
      <c r="I72" s="798">
        <f t="shared" si="10"/>
        <v>16.2</v>
      </c>
      <c r="J72" s="799">
        <f t="shared" si="11"/>
        <v>270135</v>
      </c>
      <c r="K72" s="798">
        <f t="shared" si="12"/>
        <v>16.2</v>
      </c>
      <c r="L72" s="795">
        <f t="shared" si="13"/>
        <v>194.39999999999998</v>
      </c>
      <c r="M72" s="797">
        <f t="shared" si="14"/>
        <v>3241620</v>
      </c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spans="1:26" ht="14.25" customHeight="1">
      <c r="A73" s="793">
        <v>55</v>
      </c>
      <c r="B73" s="794" t="s">
        <v>3064</v>
      </c>
      <c r="C73" s="794" t="s">
        <v>3065</v>
      </c>
      <c r="D73" s="795">
        <v>65</v>
      </c>
      <c r="E73" s="795">
        <v>0.08</v>
      </c>
      <c r="F73" s="800" t="s">
        <v>830</v>
      </c>
      <c r="G73" s="797">
        <v>4025</v>
      </c>
      <c r="H73" s="795">
        <v>5</v>
      </c>
      <c r="I73" s="798">
        <f t="shared" si="10"/>
        <v>78</v>
      </c>
      <c r="J73" s="799">
        <f t="shared" si="11"/>
        <v>313950</v>
      </c>
      <c r="K73" s="798">
        <f t="shared" si="12"/>
        <v>78</v>
      </c>
      <c r="L73" s="795">
        <f t="shared" si="13"/>
        <v>936</v>
      </c>
      <c r="M73" s="797">
        <f t="shared" si="14"/>
        <v>3767400</v>
      </c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spans="1:26" ht="14.25" customHeight="1">
      <c r="A74" s="793">
        <v>56</v>
      </c>
      <c r="B74" s="794" t="s">
        <v>3066</v>
      </c>
      <c r="C74" s="794" t="s">
        <v>3067</v>
      </c>
      <c r="D74" s="795">
        <v>65</v>
      </c>
      <c r="E74" s="795">
        <v>3.0000000000000001E-3</v>
      </c>
      <c r="F74" s="800" t="s">
        <v>2389</v>
      </c>
      <c r="G74" s="797">
        <v>66700</v>
      </c>
      <c r="H74" s="795">
        <v>3</v>
      </c>
      <c r="I74" s="798">
        <f t="shared" si="10"/>
        <v>1.7549999999999999</v>
      </c>
      <c r="J74" s="799">
        <f t="shared" si="11"/>
        <v>117058.5</v>
      </c>
      <c r="K74" s="798">
        <f t="shared" si="12"/>
        <v>1.7549999999999999</v>
      </c>
      <c r="L74" s="795">
        <f t="shared" si="13"/>
        <v>21.06</v>
      </c>
      <c r="M74" s="797">
        <f t="shared" si="14"/>
        <v>1404702</v>
      </c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ht="14.25" customHeight="1">
      <c r="A75" s="793">
        <v>57</v>
      </c>
      <c r="B75" s="794" t="s">
        <v>3068</v>
      </c>
      <c r="C75" s="794" t="s">
        <v>3067</v>
      </c>
      <c r="D75" s="795">
        <v>65</v>
      </c>
      <c r="E75" s="795">
        <v>2.5000000000000001E-3</v>
      </c>
      <c r="F75" s="800" t="s">
        <v>2389</v>
      </c>
      <c r="G75" s="797">
        <v>66700</v>
      </c>
      <c r="H75" s="795">
        <v>6</v>
      </c>
      <c r="I75" s="798">
        <f t="shared" si="10"/>
        <v>2.9249999999999998</v>
      </c>
      <c r="J75" s="799">
        <f t="shared" si="11"/>
        <v>195097.5</v>
      </c>
      <c r="K75" s="798">
        <f t="shared" si="12"/>
        <v>2.9249999999999998</v>
      </c>
      <c r="L75" s="795">
        <f t="shared" si="13"/>
        <v>35.099999999999994</v>
      </c>
      <c r="M75" s="797">
        <f t="shared" si="14"/>
        <v>2341170</v>
      </c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spans="1:26" ht="14.25" customHeight="1">
      <c r="A76" s="793">
        <v>58</v>
      </c>
      <c r="B76" s="794" t="s">
        <v>3069</v>
      </c>
      <c r="C76" s="794" t="s">
        <v>3070</v>
      </c>
      <c r="D76" s="795">
        <v>65</v>
      </c>
      <c r="E76" s="795">
        <v>5.0000000000000001E-3</v>
      </c>
      <c r="F76" s="800" t="s">
        <v>830</v>
      </c>
      <c r="G76" s="797">
        <v>20700</v>
      </c>
      <c r="H76" s="795">
        <v>6</v>
      </c>
      <c r="I76" s="798">
        <f t="shared" si="10"/>
        <v>5.85</v>
      </c>
      <c r="J76" s="799">
        <f t="shared" si="11"/>
        <v>121094.99999999999</v>
      </c>
      <c r="K76" s="798">
        <f t="shared" si="12"/>
        <v>5.85</v>
      </c>
      <c r="L76" s="795">
        <f t="shared" si="13"/>
        <v>70.199999999999989</v>
      </c>
      <c r="M76" s="797">
        <f t="shared" si="14"/>
        <v>1453139.9999999998</v>
      </c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spans="1:26" ht="14.25" customHeight="1">
      <c r="A77" s="793">
        <v>59</v>
      </c>
      <c r="B77" s="794" t="s">
        <v>3071</v>
      </c>
      <c r="C77" s="794" t="s">
        <v>3072</v>
      </c>
      <c r="D77" s="795">
        <v>10</v>
      </c>
      <c r="E77" s="795">
        <v>0.02</v>
      </c>
      <c r="F77" s="800" t="s">
        <v>2389</v>
      </c>
      <c r="G77" s="797">
        <v>88550</v>
      </c>
      <c r="H77" s="795">
        <v>1</v>
      </c>
      <c r="I77" s="798">
        <f t="shared" si="10"/>
        <v>0.6</v>
      </c>
      <c r="J77" s="799">
        <f t="shared" si="11"/>
        <v>53130</v>
      </c>
      <c r="K77" s="798">
        <f t="shared" si="12"/>
        <v>0.6</v>
      </c>
      <c r="L77" s="795">
        <f t="shared" si="13"/>
        <v>7.1999999999999993</v>
      </c>
      <c r="M77" s="797">
        <f t="shared" si="14"/>
        <v>637560</v>
      </c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ht="14.25" customHeight="1">
      <c r="A78" s="793">
        <v>60</v>
      </c>
      <c r="B78" s="794" t="s">
        <v>3073</v>
      </c>
      <c r="C78" s="794" t="s">
        <v>3074</v>
      </c>
      <c r="D78" s="795">
        <v>27</v>
      </c>
      <c r="E78" s="795">
        <v>0.02</v>
      </c>
      <c r="F78" s="800" t="s">
        <v>2243</v>
      </c>
      <c r="G78" s="797">
        <v>11500</v>
      </c>
      <c r="H78" s="795">
        <v>2</v>
      </c>
      <c r="I78" s="798">
        <f t="shared" si="10"/>
        <v>3.24</v>
      </c>
      <c r="J78" s="799">
        <f t="shared" si="11"/>
        <v>37260</v>
      </c>
      <c r="K78" s="798">
        <f t="shared" si="12"/>
        <v>3.24</v>
      </c>
      <c r="L78" s="795">
        <f t="shared" si="13"/>
        <v>38.880000000000003</v>
      </c>
      <c r="M78" s="797">
        <f t="shared" si="14"/>
        <v>447120</v>
      </c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spans="1:26" ht="14.25" customHeight="1">
      <c r="A79" s="793">
        <v>61</v>
      </c>
      <c r="B79" s="794" t="s">
        <v>3075</v>
      </c>
      <c r="C79" s="794" t="s">
        <v>3076</v>
      </c>
      <c r="D79" s="795">
        <v>30</v>
      </c>
      <c r="E79" s="795">
        <v>1.4999999999999999E-2</v>
      </c>
      <c r="F79" s="800" t="s">
        <v>830</v>
      </c>
      <c r="G79" s="797">
        <v>29900</v>
      </c>
      <c r="H79" s="795">
        <v>2</v>
      </c>
      <c r="I79" s="798">
        <f t="shared" si="10"/>
        <v>2.6999999999999997</v>
      </c>
      <c r="J79" s="799">
        <f t="shared" si="11"/>
        <v>80729.999999999985</v>
      </c>
      <c r="K79" s="798">
        <f t="shared" si="12"/>
        <v>2.6999999999999997</v>
      </c>
      <c r="L79" s="795">
        <f t="shared" si="13"/>
        <v>32.4</v>
      </c>
      <c r="M79" s="797">
        <f t="shared" si="14"/>
        <v>968759.99999999977</v>
      </c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spans="1:26" ht="14.25" customHeight="1">
      <c r="A80" s="793">
        <v>62</v>
      </c>
      <c r="B80" s="794" t="s">
        <v>3077</v>
      </c>
      <c r="C80" s="794" t="s">
        <v>3078</v>
      </c>
      <c r="D80" s="795">
        <v>10</v>
      </c>
      <c r="E80" s="795">
        <v>2.5000000000000001E-2</v>
      </c>
      <c r="F80" s="800" t="s">
        <v>2389</v>
      </c>
      <c r="G80" s="797">
        <v>40250</v>
      </c>
      <c r="H80" s="795">
        <v>1</v>
      </c>
      <c r="I80" s="798">
        <f t="shared" si="10"/>
        <v>0.75</v>
      </c>
      <c r="J80" s="799">
        <f t="shared" si="11"/>
        <v>30187.5</v>
      </c>
      <c r="K80" s="798">
        <f t="shared" si="12"/>
        <v>0.75</v>
      </c>
      <c r="L80" s="795">
        <f t="shared" si="13"/>
        <v>9</v>
      </c>
      <c r="M80" s="797">
        <f t="shared" si="14"/>
        <v>362250</v>
      </c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spans="1:26" ht="14.25" customHeight="1">
      <c r="A81" s="793">
        <v>63</v>
      </c>
      <c r="B81" s="794" t="s">
        <v>3079</v>
      </c>
      <c r="C81" s="794" t="s">
        <v>3080</v>
      </c>
      <c r="D81" s="795">
        <v>3</v>
      </c>
      <c r="E81" s="795">
        <v>3</v>
      </c>
      <c r="F81" s="800" t="s">
        <v>830</v>
      </c>
      <c r="G81" s="797">
        <v>460</v>
      </c>
      <c r="H81" s="795">
        <v>6</v>
      </c>
      <c r="I81" s="798">
        <f t="shared" si="10"/>
        <v>162</v>
      </c>
      <c r="J81" s="799">
        <f t="shared" si="11"/>
        <v>74520</v>
      </c>
      <c r="K81" s="798">
        <f t="shared" si="12"/>
        <v>162</v>
      </c>
      <c r="L81" s="795">
        <f t="shared" si="13"/>
        <v>1944</v>
      </c>
      <c r="M81" s="797">
        <f t="shared" si="14"/>
        <v>894240</v>
      </c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spans="1:26" ht="14.25" customHeight="1">
      <c r="A82" s="793">
        <v>64</v>
      </c>
      <c r="B82" s="794" t="s">
        <v>3081</v>
      </c>
      <c r="C82" s="794" t="s">
        <v>3082</v>
      </c>
      <c r="D82" s="795">
        <v>50</v>
      </c>
      <c r="E82" s="795">
        <v>5.0000000000000001E-3</v>
      </c>
      <c r="F82" s="800" t="s">
        <v>830</v>
      </c>
      <c r="G82" s="797">
        <v>33522.5</v>
      </c>
      <c r="H82" s="795">
        <v>10</v>
      </c>
      <c r="I82" s="798">
        <f t="shared" si="10"/>
        <v>7.5</v>
      </c>
      <c r="J82" s="799">
        <f t="shared" si="11"/>
        <v>251418.75</v>
      </c>
      <c r="K82" s="798">
        <f t="shared" si="12"/>
        <v>7.5</v>
      </c>
      <c r="L82" s="795">
        <f t="shared" si="13"/>
        <v>90</v>
      </c>
      <c r="M82" s="797">
        <f t="shared" si="14"/>
        <v>3017025</v>
      </c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spans="1:26" ht="14.25" customHeight="1">
      <c r="A83" s="793">
        <v>66</v>
      </c>
      <c r="B83" s="794" t="s">
        <v>3083</v>
      </c>
      <c r="C83" s="794" t="s">
        <v>3084</v>
      </c>
      <c r="D83" s="795">
        <v>8</v>
      </c>
      <c r="E83" s="795">
        <v>0.09</v>
      </c>
      <c r="F83" s="800" t="s">
        <v>830</v>
      </c>
      <c r="G83" s="797">
        <v>10350</v>
      </c>
      <c r="H83" s="795">
        <v>10</v>
      </c>
      <c r="I83" s="798">
        <f t="shared" si="10"/>
        <v>21.6</v>
      </c>
      <c r="J83" s="799">
        <f t="shared" si="11"/>
        <v>223560.00000000003</v>
      </c>
      <c r="K83" s="798">
        <f t="shared" si="12"/>
        <v>21.6</v>
      </c>
      <c r="L83" s="795">
        <f t="shared" si="13"/>
        <v>259.20000000000005</v>
      </c>
      <c r="M83" s="797">
        <f t="shared" si="14"/>
        <v>2682720.0000000005</v>
      </c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spans="1:26" ht="27" customHeight="1">
      <c r="A84" s="793">
        <v>67</v>
      </c>
      <c r="B84" s="794" t="s">
        <v>3085</v>
      </c>
      <c r="C84" s="794" t="s">
        <v>3086</v>
      </c>
      <c r="D84" s="795">
        <v>65</v>
      </c>
      <c r="E84" s="795">
        <v>0.02</v>
      </c>
      <c r="F84" s="800" t="s">
        <v>830</v>
      </c>
      <c r="G84" s="797">
        <v>5750</v>
      </c>
      <c r="H84" s="795">
        <v>3</v>
      </c>
      <c r="I84" s="798">
        <f t="shared" si="10"/>
        <v>11.7</v>
      </c>
      <c r="J84" s="799">
        <f t="shared" si="11"/>
        <v>67275</v>
      </c>
      <c r="K84" s="798">
        <f t="shared" si="12"/>
        <v>11.7</v>
      </c>
      <c r="L84" s="795">
        <f t="shared" si="13"/>
        <v>140.39999999999998</v>
      </c>
      <c r="M84" s="797">
        <f t="shared" si="14"/>
        <v>807300</v>
      </c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spans="1:26" ht="14.25" customHeight="1">
      <c r="A85" s="793">
        <v>68</v>
      </c>
      <c r="B85" s="794" t="s">
        <v>3087</v>
      </c>
      <c r="C85" s="794" t="s">
        <v>3088</v>
      </c>
      <c r="D85" s="795">
        <v>65</v>
      </c>
      <c r="E85" s="795">
        <v>6.0000000000000001E-3</v>
      </c>
      <c r="F85" s="800" t="s">
        <v>830</v>
      </c>
      <c r="G85" s="797">
        <v>18500</v>
      </c>
      <c r="H85" s="795">
        <v>5</v>
      </c>
      <c r="I85" s="798">
        <f t="shared" si="10"/>
        <v>5.85</v>
      </c>
      <c r="J85" s="799">
        <f t="shared" si="11"/>
        <v>108225</v>
      </c>
      <c r="K85" s="798">
        <f t="shared" si="12"/>
        <v>5.85</v>
      </c>
      <c r="L85" s="795">
        <f t="shared" si="13"/>
        <v>70.199999999999989</v>
      </c>
      <c r="M85" s="797">
        <f t="shared" si="14"/>
        <v>1298700</v>
      </c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spans="1:26" ht="14.25" customHeight="1">
      <c r="A86" s="793">
        <v>69</v>
      </c>
      <c r="B86" s="794" t="s">
        <v>3089</v>
      </c>
      <c r="C86" s="794" t="s">
        <v>3084</v>
      </c>
      <c r="D86" s="795">
        <v>65</v>
      </c>
      <c r="E86" s="795">
        <v>0.01</v>
      </c>
      <c r="F86" s="800" t="s">
        <v>830</v>
      </c>
      <c r="G86" s="797">
        <v>9200</v>
      </c>
      <c r="H86" s="795">
        <v>4</v>
      </c>
      <c r="I86" s="798">
        <f t="shared" si="10"/>
        <v>7.8</v>
      </c>
      <c r="J86" s="799">
        <f t="shared" si="11"/>
        <v>71760</v>
      </c>
      <c r="K86" s="798">
        <f t="shared" si="12"/>
        <v>7.8</v>
      </c>
      <c r="L86" s="795">
        <f t="shared" si="13"/>
        <v>93.6</v>
      </c>
      <c r="M86" s="797">
        <f t="shared" si="14"/>
        <v>861120</v>
      </c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ht="14.25" customHeight="1">
      <c r="A87" s="793">
        <v>70</v>
      </c>
      <c r="B87" s="794" t="s">
        <v>3090</v>
      </c>
      <c r="C87" s="794" t="s">
        <v>3091</v>
      </c>
      <c r="D87" s="795">
        <v>65</v>
      </c>
      <c r="E87" s="795">
        <v>0.01</v>
      </c>
      <c r="F87" s="800" t="s">
        <v>830</v>
      </c>
      <c r="G87" s="797">
        <v>15525</v>
      </c>
      <c r="H87" s="795">
        <v>8</v>
      </c>
      <c r="I87" s="798">
        <f t="shared" si="10"/>
        <v>15.6</v>
      </c>
      <c r="J87" s="799">
        <f t="shared" si="11"/>
        <v>242190</v>
      </c>
      <c r="K87" s="798">
        <f t="shared" si="12"/>
        <v>15.6</v>
      </c>
      <c r="L87" s="795">
        <f t="shared" si="13"/>
        <v>187.2</v>
      </c>
      <c r="M87" s="797">
        <f t="shared" si="14"/>
        <v>2906280</v>
      </c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spans="1:26" ht="14.25" customHeight="1">
      <c r="A88" s="793">
        <v>71</v>
      </c>
      <c r="B88" s="794" t="s">
        <v>3092</v>
      </c>
      <c r="C88" s="794" t="s">
        <v>3093</v>
      </c>
      <c r="D88" s="795">
        <v>65</v>
      </c>
      <c r="E88" s="795">
        <v>0.01</v>
      </c>
      <c r="F88" s="800" t="s">
        <v>3011</v>
      </c>
      <c r="G88" s="797">
        <v>1150</v>
      </c>
      <c r="H88" s="795">
        <v>5</v>
      </c>
      <c r="I88" s="798">
        <f t="shared" si="10"/>
        <v>9.75</v>
      </c>
      <c r="J88" s="799">
        <f t="shared" si="11"/>
        <v>11212.5</v>
      </c>
      <c r="K88" s="798">
        <f t="shared" si="12"/>
        <v>9.75</v>
      </c>
      <c r="L88" s="795">
        <f t="shared" si="13"/>
        <v>117</v>
      </c>
      <c r="M88" s="797">
        <f t="shared" si="14"/>
        <v>134550</v>
      </c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spans="1:26" ht="14.25" customHeight="1">
      <c r="A89" s="793">
        <v>72</v>
      </c>
      <c r="B89" s="794" t="s">
        <v>3094</v>
      </c>
      <c r="C89" s="794" t="s">
        <v>3095</v>
      </c>
      <c r="D89" s="795">
        <v>10</v>
      </c>
      <c r="E89" s="795">
        <v>0.2</v>
      </c>
      <c r="F89" s="800" t="s">
        <v>2345</v>
      </c>
      <c r="G89" s="797">
        <v>18400</v>
      </c>
      <c r="H89" s="795">
        <v>3</v>
      </c>
      <c r="I89" s="798">
        <f t="shared" si="10"/>
        <v>18</v>
      </c>
      <c r="J89" s="799">
        <f t="shared" si="11"/>
        <v>331200</v>
      </c>
      <c r="K89" s="798">
        <f t="shared" si="12"/>
        <v>18</v>
      </c>
      <c r="L89" s="795">
        <f t="shared" si="13"/>
        <v>216</v>
      </c>
      <c r="M89" s="797">
        <f t="shared" si="14"/>
        <v>3974400</v>
      </c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spans="1:26" ht="14.25" customHeight="1">
      <c r="A90" s="793">
        <v>73</v>
      </c>
      <c r="B90" s="794" t="s">
        <v>3096</v>
      </c>
      <c r="C90" s="794" t="s">
        <v>3019</v>
      </c>
      <c r="D90" s="795">
        <v>65</v>
      </c>
      <c r="E90" s="795">
        <v>1E-3</v>
      </c>
      <c r="F90" s="800" t="s">
        <v>901</v>
      </c>
      <c r="G90" s="797">
        <v>57500</v>
      </c>
      <c r="H90" s="795">
        <v>3</v>
      </c>
      <c r="I90" s="798">
        <f t="shared" si="10"/>
        <v>0.58499999999999996</v>
      </c>
      <c r="J90" s="799">
        <f t="shared" si="11"/>
        <v>33637.5</v>
      </c>
      <c r="K90" s="798">
        <f t="shared" si="12"/>
        <v>0.58499999999999996</v>
      </c>
      <c r="L90" s="795">
        <f t="shared" si="13"/>
        <v>7.02</v>
      </c>
      <c r="M90" s="797">
        <f t="shared" si="14"/>
        <v>403650</v>
      </c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spans="1:26" ht="14.25" customHeight="1">
      <c r="A91" s="803"/>
      <c r="B91" s="802" t="s">
        <v>2963</v>
      </c>
      <c r="C91" s="803"/>
      <c r="D91" s="803"/>
      <c r="E91" s="803"/>
      <c r="F91" s="803"/>
      <c r="G91" s="805"/>
      <c r="H91" s="803"/>
      <c r="I91" s="806"/>
      <c r="J91" s="807">
        <f>SUM(J40:J90)</f>
        <v>14733939</v>
      </c>
      <c r="K91" s="803"/>
      <c r="L91" s="803"/>
      <c r="M91" s="805">
        <f t="shared" si="14"/>
        <v>176807268</v>
      </c>
      <c r="N91" s="808"/>
      <c r="O91" s="808"/>
      <c r="P91" s="808"/>
      <c r="Q91" s="808"/>
      <c r="R91" s="808"/>
      <c r="S91" s="808"/>
      <c r="T91" s="808"/>
      <c r="U91" s="808"/>
      <c r="V91" s="808"/>
      <c r="W91" s="808"/>
      <c r="X91" s="808"/>
      <c r="Y91" s="808"/>
      <c r="Z91" s="808"/>
    </row>
    <row r="92" spans="1:26" ht="14.25" customHeight="1">
      <c r="A92" s="810"/>
      <c r="B92" s="811" t="s">
        <v>3097</v>
      </c>
      <c r="C92" s="810"/>
      <c r="D92" s="795"/>
      <c r="E92" s="795"/>
      <c r="F92" s="795"/>
      <c r="G92" s="797"/>
      <c r="H92" s="795"/>
      <c r="I92" s="798"/>
      <c r="J92" s="799"/>
      <c r="K92" s="795"/>
      <c r="L92" s="795"/>
      <c r="M92" s="797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spans="1:26" ht="14.25" customHeight="1">
      <c r="A93" s="793">
        <v>74</v>
      </c>
      <c r="B93" s="794" t="s">
        <v>3098</v>
      </c>
      <c r="C93" s="794" t="s">
        <v>3099</v>
      </c>
      <c r="D93" s="795">
        <v>65</v>
      </c>
      <c r="E93" s="795">
        <v>1E-4</v>
      </c>
      <c r="F93" s="795" t="s">
        <v>901</v>
      </c>
      <c r="G93" s="797">
        <v>230000</v>
      </c>
      <c r="H93" s="795">
        <v>5</v>
      </c>
      <c r="I93" s="798">
        <f t="shared" ref="I93:I104" si="15">3*D93*E93*H93</f>
        <v>9.7500000000000003E-2</v>
      </c>
      <c r="J93" s="799">
        <f t="shared" ref="J93:J104" si="16">I93*G93</f>
        <v>22425</v>
      </c>
      <c r="K93" s="798">
        <f t="shared" ref="K93:K104" si="17">I93</f>
        <v>9.7500000000000003E-2</v>
      </c>
      <c r="L93" s="795">
        <f t="shared" ref="L93:L104" si="18">12*K93</f>
        <v>1.17</v>
      </c>
      <c r="M93" s="797">
        <f t="shared" ref="M93:M105" si="19">12*J93</f>
        <v>269100</v>
      </c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spans="1:26" ht="14.25" customHeight="1">
      <c r="A94" s="793">
        <v>75</v>
      </c>
      <c r="B94" s="794" t="s">
        <v>3100</v>
      </c>
      <c r="C94" s="794" t="s">
        <v>3099</v>
      </c>
      <c r="D94" s="795">
        <v>65</v>
      </c>
      <c r="E94" s="795">
        <v>1E-4</v>
      </c>
      <c r="F94" s="795" t="s">
        <v>901</v>
      </c>
      <c r="G94" s="797">
        <v>115000</v>
      </c>
      <c r="H94" s="795">
        <v>3</v>
      </c>
      <c r="I94" s="798">
        <f t="shared" si="15"/>
        <v>5.8499999999999996E-2</v>
      </c>
      <c r="J94" s="799">
        <f t="shared" si="16"/>
        <v>6727.5</v>
      </c>
      <c r="K94" s="798">
        <f t="shared" si="17"/>
        <v>5.8499999999999996E-2</v>
      </c>
      <c r="L94" s="795">
        <f t="shared" si="18"/>
        <v>0.70199999999999996</v>
      </c>
      <c r="M94" s="797">
        <f t="shared" si="19"/>
        <v>80730</v>
      </c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spans="1:26" ht="14.25" customHeight="1">
      <c r="A95" s="793">
        <v>76</v>
      </c>
      <c r="B95" s="794" t="s">
        <v>3101</v>
      </c>
      <c r="C95" s="794" t="s">
        <v>3099</v>
      </c>
      <c r="D95" s="795">
        <v>65</v>
      </c>
      <c r="E95" s="795">
        <v>1E-4</v>
      </c>
      <c r="F95" s="795" t="s">
        <v>3102</v>
      </c>
      <c r="G95" s="797">
        <v>253000</v>
      </c>
      <c r="H95" s="795">
        <v>5</v>
      </c>
      <c r="I95" s="798">
        <f t="shared" si="15"/>
        <v>9.7500000000000003E-2</v>
      </c>
      <c r="J95" s="799">
        <f t="shared" si="16"/>
        <v>24667.5</v>
      </c>
      <c r="K95" s="798">
        <f t="shared" si="17"/>
        <v>9.7500000000000003E-2</v>
      </c>
      <c r="L95" s="795">
        <f t="shared" si="18"/>
        <v>1.17</v>
      </c>
      <c r="M95" s="797">
        <f t="shared" si="19"/>
        <v>296010</v>
      </c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spans="1:26" ht="14.25" customHeight="1">
      <c r="A96" s="793">
        <v>77</v>
      </c>
      <c r="B96" s="794" t="s">
        <v>3103</v>
      </c>
      <c r="C96" s="794" t="s">
        <v>3104</v>
      </c>
      <c r="D96" s="795">
        <v>65</v>
      </c>
      <c r="E96" s="795">
        <v>1E-4</v>
      </c>
      <c r="F96" s="795" t="s">
        <v>901</v>
      </c>
      <c r="G96" s="797">
        <v>172500</v>
      </c>
      <c r="H96" s="795">
        <v>5</v>
      </c>
      <c r="I96" s="798">
        <f t="shared" si="15"/>
        <v>9.7500000000000003E-2</v>
      </c>
      <c r="J96" s="799">
        <f t="shared" si="16"/>
        <v>16818.75</v>
      </c>
      <c r="K96" s="798">
        <f t="shared" si="17"/>
        <v>9.7500000000000003E-2</v>
      </c>
      <c r="L96" s="795">
        <f t="shared" si="18"/>
        <v>1.17</v>
      </c>
      <c r="M96" s="797">
        <f t="shared" si="19"/>
        <v>201825</v>
      </c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spans="1:26" ht="14.25" customHeight="1">
      <c r="A97" s="793">
        <v>78</v>
      </c>
      <c r="B97" s="794" t="s">
        <v>3105</v>
      </c>
      <c r="C97" s="794" t="s">
        <v>3099</v>
      </c>
      <c r="D97" s="795">
        <v>65</v>
      </c>
      <c r="E97" s="795">
        <v>1E-4</v>
      </c>
      <c r="F97" s="795" t="s">
        <v>901</v>
      </c>
      <c r="G97" s="797">
        <v>143750</v>
      </c>
      <c r="H97" s="795">
        <v>5</v>
      </c>
      <c r="I97" s="798">
        <f t="shared" si="15"/>
        <v>9.7500000000000003E-2</v>
      </c>
      <c r="J97" s="799">
        <f t="shared" si="16"/>
        <v>14015.625</v>
      </c>
      <c r="K97" s="798">
        <f t="shared" si="17"/>
        <v>9.7500000000000003E-2</v>
      </c>
      <c r="L97" s="795">
        <f t="shared" si="18"/>
        <v>1.17</v>
      </c>
      <c r="M97" s="797">
        <f t="shared" si="19"/>
        <v>168187.5</v>
      </c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spans="1:26" ht="14.25" customHeight="1">
      <c r="A98" s="793">
        <v>79</v>
      </c>
      <c r="B98" s="794" t="s">
        <v>3106</v>
      </c>
      <c r="C98" s="794" t="s">
        <v>3099</v>
      </c>
      <c r="D98" s="795">
        <v>65</v>
      </c>
      <c r="E98" s="795">
        <v>1E-4</v>
      </c>
      <c r="F98" s="795" t="s">
        <v>901</v>
      </c>
      <c r="G98" s="797">
        <v>207000</v>
      </c>
      <c r="H98" s="795">
        <v>5</v>
      </c>
      <c r="I98" s="798">
        <f t="shared" si="15"/>
        <v>9.7500000000000003E-2</v>
      </c>
      <c r="J98" s="799">
        <f t="shared" si="16"/>
        <v>20182.5</v>
      </c>
      <c r="K98" s="798">
        <f t="shared" si="17"/>
        <v>9.7500000000000003E-2</v>
      </c>
      <c r="L98" s="795">
        <f t="shared" si="18"/>
        <v>1.17</v>
      </c>
      <c r="M98" s="797">
        <f t="shared" si="19"/>
        <v>242190</v>
      </c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spans="1:26" ht="14.25" customHeight="1">
      <c r="A99" s="793">
        <v>80</v>
      </c>
      <c r="B99" s="794" t="s">
        <v>3107</v>
      </c>
      <c r="C99" s="794" t="s">
        <v>3099</v>
      </c>
      <c r="D99" s="795">
        <v>65</v>
      </c>
      <c r="E99" s="795">
        <v>1E-4</v>
      </c>
      <c r="F99" s="795" t="s">
        <v>901</v>
      </c>
      <c r="G99" s="797">
        <v>155250</v>
      </c>
      <c r="H99" s="795">
        <v>3</v>
      </c>
      <c r="I99" s="798">
        <f t="shared" si="15"/>
        <v>5.8499999999999996E-2</v>
      </c>
      <c r="J99" s="799">
        <f t="shared" si="16"/>
        <v>9082.125</v>
      </c>
      <c r="K99" s="798">
        <f t="shared" si="17"/>
        <v>5.8499999999999996E-2</v>
      </c>
      <c r="L99" s="795">
        <f t="shared" si="18"/>
        <v>0.70199999999999996</v>
      </c>
      <c r="M99" s="797">
        <f t="shared" si="19"/>
        <v>108985.5</v>
      </c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ht="14.25" customHeight="1">
      <c r="A100" s="793">
        <v>81</v>
      </c>
      <c r="B100" s="794" t="s">
        <v>3108</v>
      </c>
      <c r="C100" s="794" t="s">
        <v>3109</v>
      </c>
      <c r="D100" s="795">
        <v>65</v>
      </c>
      <c r="E100" s="795">
        <v>1E-3</v>
      </c>
      <c r="F100" s="795" t="s">
        <v>901</v>
      </c>
      <c r="G100" s="797">
        <v>65550</v>
      </c>
      <c r="H100" s="795">
        <v>15</v>
      </c>
      <c r="I100" s="798">
        <f t="shared" si="15"/>
        <v>2.9250000000000003</v>
      </c>
      <c r="J100" s="799">
        <f t="shared" si="16"/>
        <v>191733.75000000003</v>
      </c>
      <c r="K100" s="798">
        <f t="shared" si="17"/>
        <v>2.9250000000000003</v>
      </c>
      <c r="L100" s="795">
        <f t="shared" si="18"/>
        <v>35.1</v>
      </c>
      <c r="M100" s="797">
        <f t="shared" si="19"/>
        <v>2300805.0000000005</v>
      </c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spans="1:26" ht="14.25" customHeight="1">
      <c r="A101" s="793">
        <v>82</v>
      </c>
      <c r="B101" s="794" t="s">
        <v>3110</v>
      </c>
      <c r="C101" s="794" t="s">
        <v>3109</v>
      </c>
      <c r="D101" s="795">
        <v>65</v>
      </c>
      <c r="E101" s="795">
        <v>1E-4</v>
      </c>
      <c r="F101" s="795" t="s">
        <v>901</v>
      </c>
      <c r="G101" s="797">
        <v>40250</v>
      </c>
      <c r="H101" s="795">
        <v>20</v>
      </c>
      <c r="I101" s="798">
        <f t="shared" si="15"/>
        <v>0.39</v>
      </c>
      <c r="J101" s="799">
        <f t="shared" si="16"/>
        <v>15697.5</v>
      </c>
      <c r="K101" s="798">
        <f t="shared" si="17"/>
        <v>0.39</v>
      </c>
      <c r="L101" s="795">
        <f t="shared" si="18"/>
        <v>4.68</v>
      </c>
      <c r="M101" s="797">
        <f t="shared" si="19"/>
        <v>188370</v>
      </c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spans="1:26" ht="14.25" customHeight="1">
      <c r="A102" s="793">
        <v>83</v>
      </c>
      <c r="B102" s="794" t="s">
        <v>3111</v>
      </c>
      <c r="C102" s="794" t="s">
        <v>3112</v>
      </c>
      <c r="D102" s="795">
        <v>65</v>
      </c>
      <c r="E102" s="795">
        <v>1E-4</v>
      </c>
      <c r="F102" s="795" t="s">
        <v>901</v>
      </c>
      <c r="G102" s="797">
        <v>80500</v>
      </c>
      <c r="H102" s="795">
        <v>3</v>
      </c>
      <c r="I102" s="798">
        <f t="shared" si="15"/>
        <v>5.8499999999999996E-2</v>
      </c>
      <c r="J102" s="799">
        <f t="shared" si="16"/>
        <v>4709.25</v>
      </c>
      <c r="K102" s="798">
        <f t="shared" si="17"/>
        <v>5.8499999999999996E-2</v>
      </c>
      <c r="L102" s="795">
        <f t="shared" si="18"/>
        <v>0.70199999999999996</v>
      </c>
      <c r="M102" s="797">
        <f t="shared" si="19"/>
        <v>56511</v>
      </c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spans="1:26" ht="14.25" customHeight="1">
      <c r="A103" s="793">
        <v>84</v>
      </c>
      <c r="B103" s="794" t="s">
        <v>3113</v>
      </c>
      <c r="C103" s="794" t="s">
        <v>3109</v>
      </c>
      <c r="D103" s="795">
        <v>65</v>
      </c>
      <c r="E103" s="795">
        <v>2.0000000000000001E-4</v>
      </c>
      <c r="F103" s="795" t="s">
        <v>901</v>
      </c>
      <c r="G103" s="797">
        <v>207000</v>
      </c>
      <c r="H103" s="795">
        <v>20</v>
      </c>
      <c r="I103" s="798">
        <f t="shared" si="15"/>
        <v>0.78</v>
      </c>
      <c r="J103" s="799">
        <f t="shared" si="16"/>
        <v>161460</v>
      </c>
      <c r="K103" s="798">
        <f t="shared" si="17"/>
        <v>0.78</v>
      </c>
      <c r="L103" s="795">
        <f t="shared" si="18"/>
        <v>9.36</v>
      </c>
      <c r="M103" s="797">
        <f t="shared" si="19"/>
        <v>1937520</v>
      </c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spans="1:26" ht="14.25" customHeight="1">
      <c r="A104" s="793">
        <v>85</v>
      </c>
      <c r="B104" s="794" t="s">
        <v>3114</v>
      </c>
      <c r="C104" s="794" t="s">
        <v>3109</v>
      </c>
      <c r="D104" s="795">
        <v>65</v>
      </c>
      <c r="E104" s="795">
        <v>2.0000000000000001E-4</v>
      </c>
      <c r="F104" s="795" t="s">
        <v>901</v>
      </c>
      <c r="G104" s="797">
        <v>172500</v>
      </c>
      <c r="H104" s="795">
        <v>15</v>
      </c>
      <c r="I104" s="798">
        <f t="shared" si="15"/>
        <v>0.58499999999999996</v>
      </c>
      <c r="J104" s="799">
        <f t="shared" si="16"/>
        <v>100912.5</v>
      </c>
      <c r="K104" s="798">
        <f t="shared" si="17"/>
        <v>0.58499999999999996</v>
      </c>
      <c r="L104" s="795">
        <f t="shared" si="18"/>
        <v>7.02</v>
      </c>
      <c r="M104" s="797">
        <f t="shared" si="19"/>
        <v>1210950</v>
      </c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spans="1:26" ht="14.25" customHeight="1">
      <c r="A105" s="801"/>
      <c r="B105" s="802" t="s">
        <v>2963</v>
      </c>
      <c r="C105" s="802"/>
      <c r="D105" s="803"/>
      <c r="E105" s="803"/>
      <c r="F105" s="803"/>
      <c r="G105" s="805"/>
      <c r="H105" s="803"/>
      <c r="I105" s="806"/>
      <c r="J105" s="807">
        <f>SUM(J93:J104)</f>
        <v>588432</v>
      </c>
      <c r="K105" s="803"/>
      <c r="L105" s="803"/>
      <c r="M105" s="805">
        <f t="shared" si="19"/>
        <v>7061184</v>
      </c>
      <c r="N105" s="808"/>
      <c r="O105" s="808"/>
      <c r="P105" s="808"/>
      <c r="Q105" s="808"/>
      <c r="R105" s="808"/>
      <c r="S105" s="808"/>
      <c r="T105" s="808"/>
      <c r="U105" s="808"/>
      <c r="V105" s="808"/>
      <c r="W105" s="808"/>
      <c r="X105" s="808"/>
      <c r="Y105" s="808"/>
      <c r="Z105" s="808"/>
    </row>
    <row r="106" spans="1:26" ht="14.25" customHeight="1">
      <c r="A106" s="809" t="s">
        <v>3115</v>
      </c>
      <c r="B106" s="788"/>
      <c r="C106" s="788"/>
      <c r="D106" s="795"/>
      <c r="E106" s="795"/>
      <c r="F106" s="795"/>
      <c r="G106" s="797"/>
      <c r="H106" s="795"/>
      <c r="I106" s="798"/>
      <c r="J106" s="799"/>
      <c r="K106" s="795"/>
      <c r="L106" s="795"/>
      <c r="M106" s="797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spans="1:26" ht="14.25" customHeight="1">
      <c r="A107" s="810"/>
      <c r="B107" s="812" t="s">
        <v>3116</v>
      </c>
      <c r="C107" s="810"/>
      <c r="D107" s="795"/>
      <c r="E107" s="795"/>
      <c r="F107" s="795"/>
      <c r="G107" s="797"/>
      <c r="H107" s="795"/>
      <c r="I107" s="798"/>
      <c r="J107" s="799"/>
      <c r="K107" s="795"/>
      <c r="L107" s="795"/>
      <c r="M107" s="797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spans="1:26" ht="14.25" customHeight="1">
      <c r="A108" s="813">
        <v>86</v>
      </c>
      <c r="B108" s="814" t="s">
        <v>3117</v>
      </c>
      <c r="C108" s="788"/>
      <c r="D108" s="795">
        <v>65</v>
      </c>
      <c r="E108" s="795">
        <v>0.05</v>
      </c>
      <c r="F108" s="795" t="s">
        <v>901</v>
      </c>
      <c r="G108" s="797">
        <v>51750</v>
      </c>
      <c r="H108" s="795">
        <v>12</v>
      </c>
      <c r="I108" s="798">
        <f t="shared" ref="I108:I111" si="20">D108*E108*H108*3</f>
        <v>117</v>
      </c>
      <c r="J108" s="799">
        <f t="shared" ref="J108:J116" si="21">I108*G108</f>
        <v>6054750</v>
      </c>
      <c r="K108" s="798">
        <f t="shared" ref="K108:K116" si="22">I108</f>
        <v>117</v>
      </c>
      <c r="L108" s="795">
        <f t="shared" ref="L108:L116" si="23">12*K108</f>
        <v>1404</v>
      </c>
      <c r="M108" s="797">
        <f t="shared" ref="M108:M117" si="24">12*J108</f>
        <v>72657000</v>
      </c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spans="1:26" ht="14.25" customHeight="1">
      <c r="A109" s="813">
        <v>87</v>
      </c>
      <c r="B109" s="814" t="s">
        <v>3118</v>
      </c>
      <c r="C109" s="788"/>
      <c r="D109" s="795">
        <v>65</v>
      </c>
      <c r="E109" s="795">
        <v>2E-3</v>
      </c>
      <c r="F109" s="795" t="s">
        <v>901</v>
      </c>
      <c r="G109" s="797">
        <v>40250</v>
      </c>
      <c r="H109" s="795">
        <v>10</v>
      </c>
      <c r="I109" s="798">
        <f t="shared" si="20"/>
        <v>3.9000000000000004</v>
      </c>
      <c r="J109" s="799">
        <f t="shared" si="21"/>
        <v>156975</v>
      </c>
      <c r="K109" s="798">
        <f t="shared" si="22"/>
        <v>3.9000000000000004</v>
      </c>
      <c r="L109" s="795">
        <f t="shared" si="23"/>
        <v>46.800000000000004</v>
      </c>
      <c r="M109" s="797">
        <f t="shared" si="24"/>
        <v>1883700</v>
      </c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spans="1:26" ht="14.25" customHeight="1">
      <c r="A110" s="813">
        <v>88</v>
      </c>
      <c r="B110" s="814" t="s">
        <v>3119</v>
      </c>
      <c r="C110" s="788"/>
      <c r="D110" s="795">
        <v>65</v>
      </c>
      <c r="E110" s="795">
        <v>0.03</v>
      </c>
      <c r="F110" s="795" t="s">
        <v>901</v>
      </c>
      <c r="G110" s="797">
        <v>44850</v>
      </c>
      <c r="H110" s="795">
        <v>2.5</v>
      </c>
      <c r="I110" s="798">
        <f t="shared" si="20"/>
        <v>14.625</v>
      </c>
      <c r="J110" s="799">
        <f t="shared" si="21"/>
        <v>655931.25</v>
      </c>
      <c r="K110" s="798">
        <f t="shared" si="22"/>
        <v>14.625</v>
      </c>
      <c r="L110" s="795">
        <f t="shared" si="23"/>
        <v>175.5</v>
      </c>
      <c r="M110" s="797">
        <f t="shared" si="24"/>
        <v>7871175</v>
      </c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spans="1:26" ht="14.25" customHeight="1">
      <c r="A111" s="813">
        <v>89</v>
      </c>
      <c r="B111" s="814" t="s">
        <v>3120</v>
      </c>
      <c r="C111" s="788"/>
      <c r="D111" s="795">
        <v>65</v>
      </c>
      <c r="E111" s="795">
        <v>0.3</v>
      </c>
      <c r="F111" s="795" t="s">
        <v>3121</v>
      </c>
      <c r="G111" s="797">
        <v>10925</v>
      </c>
      <c r="H111" s="795">
        <v>2</v>
      </c>
      <c r="I111" s="798">
        <f t="shared" si="20"/>
        <v>117</v>
      </c>
      <c r="J111" s="799">
        <f t="shared" si="21"/>
        <v>1278225</v>
      </c>
      <c r="K111" s="798">
        <f t="shared" si="22"/>
        <v>117</v>
      </c>
      <c r="L111" s="795">
        <f t="shared" si="23"/>
        <v>1404</v>
      </c>
      <c r="M111" s="797">
        <f t="shared" si="24"/>
        <v>15338700</v>
      </c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spans="1:26" ht="14.25" customHeight="1">
      <c r="A112" s="813">
        <v>90</v>
      </c>
      <c r="B112" s="814" t="s">
        <v>3122</v>
      </c>
      <c r="C112" s="788"/>
      <c r="D112" s="795">
        <v>65</v>
      </c>
      <c r="E112" s="795">
        <v>0.05</v>
      </c>
      <c r="F112" s="795" t="s">
        <v>901</v>
      </c>
      <c r="G112" s="797">
        <v>149500</v>
      </c>
      <c r="H112" s="795">
        <v>1</v>
      </c>
      <c r="I112" s="798">
        <f>D112*E112*H112*1</f>
        <v>3.25</v>
      </c>
      <c r="J112" s="799">
        <f t="shared" si="21"/>
        <v>485875</v>
      </c>
      <c r="K112" s="798">
        <f t="shared" si="22"/>
        <v>3.25</v>
      </c>
      <c r="L112" s="795">
        <f t="shared" si="23"/>
        <v>39</v>
      </c>
      <c r="M112" s="797">
        <f t="shared" si="24"/>
        <v>5830500</v>
      </c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spans="1:26" ht="14.25" customHeight="1">
      <c r="A113" s="813">
        <v>91</v>
      </c>
      <c r="B113" s="814" t="s">
        <v>3123</v>
      </c>
      <c r="C113" s="788"/>
      <c r="D113" s="795">
        <v>65</v>
      </c>
      <c r="E113" s="795">
        <v>0.05</v>
      </c>
      <c r="F113" s="795" t="s">
        <v>901</v>
      </c>
      <c r="G113" s="797">
        <v>47150</v>
      </c>
      <c r="H113" s="795">
        <v>8</v>
      </c>
      <c r="I113" s="798">
        <f t="shared" ref="I113:I116" si="25">D113*E113*H113*3</f>
        <v>78</v>
      </c>
      <c r="J113" s="799">
        <f t="shared" si="21"/>
        <v>3677700</v>
      </c>
      <c r="K113" s="798">
        <f t="shared" si="22"/>
        <v>78</v>
      </c>
      <c r="L113" s="795">
        <f t="shared" si="23"/>
        <v>936</v>
      </c>
      <c r="M113" s="797">
        <f t="shared" si="24"/>
        <v>44132400</v>
      </c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6" ht="14.25" customHeight="1">
      <c r="A114" s="813">
        <v>92</v>
      </c>
      <c r="B114" s="814" t="s">
        <v>3124</v>
      </c>
      <c r="C114" s="788"/>
      <c r="D114" s="795">
        <v>35</v>
      </c>
      <c r="E114" s="795">
        <v>0.01</v>
      </c>
      <c r="F114" s="795" t="s">
        <v>2243</v>
      </c>
      <c r="G114" s="797">
        <v>40250</v>
      </c>
      <c r="H114" s="795">
        <v>6</v>
      </c>
      <c r="I114" s="798">
        <f t="shared" si="25"/>
        <v>6.3000000000000007</v>
      </c>
      <c r="J114" s="799">
        <f t="shared" si="21"/>
        <v>253575.00000000003</v>
      </c>
      <c r="K114" s="798">
        <f t="shared" si="22"/>
        <v>6.3000000000000007</v>
      </c>
      <c r="L114" s="795">
        <f t="shared" si="23"/>
        <v>75.600000000000009</v>
      </c>
      <c r="M114" s="797">
        <f t="shared" si="24"/>
        <v>3042900.0000000005</v>
      </c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spans="1:26" ht="14.25" customHeight="1">
      <c r="A115" s="813">
        <v>93</v>
      </c>
      <c r="B115" s="814" t="s">
        <v>3125</v>
      </c>
      <c r="C115" s="788"/>
      <c r="D115" s="795">
        <v>65</v>
      </c>
      <c r="E115" s="795">
        <v>6.25E-2</v>
      </c>
      <c r="F115" s="795" t="s">
        <v>901</v>
      </c>
      <c r="G115" s="797">
        <v>35800</v>
      </c>
      <c r="H115" s="795">
        <v>10</v>
      </c>
      <c r="I115" s="798">
        <f t="shared" si="25"/>
        <v>121.875</v>
      </c>
      <c r="J115" s="799">
        <f t="shared" si="21"/>
        <v>4363125</v>
      </c>
      <c r="K115" s="798">
        <f t="shared" si="22"/>
        <v>121.875</v>
      </c>
      <c r="L115" s="795">
        <f t="shared" si="23"/>
        <v>1462.5</v>
      </c>
      <c r="M115" s="797">
        <f t="shared" si="24"/>
        <v>52357500</v>
      </c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spans="1:26" ht="14.25" customHeight="1">
      <c r="A116" s="813">
        <v>94</v>
      </c>
      <c r="B116" s="814" t="s">
        <v>3126</v>
      </c>
      <c r="C116" s="788"/>
      <c r="D116" s="795">
        <v>65</v>
      </c>
      <c r="E116" s="795">
        <v>4</v>
      </c>
      <c r="F116" s="795" t="s">
        <v>3127</v>
      </c>
      <c r="G116" s="797">
        <v>575</v>
      </c>
      <c r="H116" s="795">
        <v>1.5</v>
      </c>
      <c r="I116" s="798">
        <f t="shared" si="25"/>
        <v>1170</v>
      </c>
      <c r="J116" s="799">
        <f t="shared" si="21"/>
        <v>672750</v>
      </c>
      <c r="K116" s="798">
        <f t="shared" si="22"/>
        <v>1170</v>
      </c>
      <c r="L116" s="795">
        <f t="shared" si="23"/>
        <v>14040</v>
      </c>
      <c r="M116" s="797">
        <f t="shared" si="24"/>
        <v>8073000</v>
      </c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spans="1:26" ht="14.25" customHeight="1">
      <c r="A117" s="815"/>
      <c r="B117" s="816" t="s">
        <v>2963</v>
      </c>
      <c r="C117" s="817"/>
      <c r="D117" s="803"/>
      <c r="E117" s="803"/>
      <c r="F117" s="803"/>
      <c r="G117" s="805"/>
      <c r="H117" s="803"/>
      <c r="I117" s="806"/>
      <c r="J117" s="807">
        <f>SUM(J108:J116)</f>
        <v>17598906.25</v>
      </c>
      <c r="K117" s="803"/>
      <c r="L117" s="803"/>
      <c r="M117" s="805">
        <f t="shared" si="24"/>
        <v>211186875</v>
      </c>
      <c r="N117" s="808"/>
      <c r="O117" s="808"/>
      <c r="P117" s="808"/>
      <c r="Q117" s="808"/>
      <c r="R117" s="808"/>
      <c r="S117" s="808"/>
      <c r="T117" s="808"/>
      <c r="U117" s="808"/>
      <c r="V117" s="808"/>
      <c r="W117" s="808"/>
      <c r="X117" s="808"/>
      <c r="Y117" s="808"/>
      <c r="Z117" s="808"/>
    </row>
    <row r="118" spans="1:26" ht="14.25" customHeight="1">
      <c r="A118" s="813"/>
      <c r="B118" s="812" t="s">
        <v>3128</v>
      </c>
      <c r="C118" s="788"/>
      <c r="D118" s="795"/>
      <c r="E118" s="795"/>
      <c r="F118" s="795"/>
      <c r="G118" s="797"/>
      <c r="H118" s="795"/>
      <c r="I118" s="798"/>
      <c r="J118" s="799"/>
      <c r="K118" s="795"/>
      <c r="L118" s="795"/>
      <c r="M118" s="797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spans="1:26" ht="14.25" customHeight="1">
      <c r="A119" s="813">
        <v>95</v>
      </c>
      <c r="B119" s="814" t="s">
        <v>3129</v>
      </c>
      <c r="C119" s="788"/>
      <c r="D119" s="795">
        <v>65</v>
      </c>
      <c r="E119" s="795">
        <v>0.5</v>
      </c>
      <c r="F119" s="795" t="s">
        <v>3130</v>
      </c>
      <c r="G119" s="797">
        <v>1150</v>
      </c>
      <c r="H119" s="795">
        <v>5</v>
      </c>
      <c r="I119" s="798">
        <f t="shared" ref="I119:I121" si="26">3*D119*E119*H119</f>
        <v>487.5</v>
      </c>
      <c r="J119" s="799">
        <f t="shared" ref="J119:J121" si="27">I119*G119</f>
        <v>560625</v>
      </c>
      <c r="K119" s="798">
        <f t="shared" ref="K119:K121" si="28">I119</f>
        <v>487.5</v>
      </c>
      <c r="L119" s="795">
        <f t="shared" ref="L119:L121" si="29">12*K119</f>
        <v>5850</v>
      </c>
      <c r="M119" s="797">
        <f t="shared" ref="M119:M121" si="30">12*J119</f>
        <v>6727500</v>
      </c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spans="1:26" ht="14.25" customHeight="1">
      <c r="A120" s="813">
        <v>96</v>
      </c>
      <c r="B120" s="814" t="s">
        <v>3131</v>
      </c>
      <c r="C120" s="788"/>
      <c r="D120" s="795">
        <v>65</v>
      </c>
      <c r="E120" s="795">
        <v>0.15</v>
      </c>
      <c r="F120" s="795" t="s">
        <v>3049</v>
      </c>
      <c r="G120" s="797">
        <v>5750</v>
      </c>
      <c r="H120" s="795">
        <v>10</v>
      </c>
      <c r="I120" s="798">
        <f t="shared" si="26"/>
        <v>292.5</v>
      </c>
      <c r="J120" s="799">
        <f t="shared" si="27"/>
        <v>1681875</v>
      </c>
      <c r="K120" s="798">
        <f t="shared" si="28"/>
        <v>292.5</v>
      </c>
      <c r="L120" s="795">
        <f t="shared" si="29"/>
        <v>3510</v>
      </c>
      <c r="M120" s="797">
        <f t="shared" si="30"/>
        <v>20182500</v>
      </c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spans="1:26" ht="14.25" customHeight="1">
      <c r="A121" s="813">
        <v>97</v>
      </c>
      <c r="B121" s="814" t="s">
        <v>3132</v>
      </c>
      <c r="C121" s="788"/>
      <c r="D121" s="795">
        <v>65</v>
      </c>
      <c r="E121" s="795">
        <v>7.0000000000000007E-2</v>
      </c>
      <c r="F121" s="795" t="s">
        <v>3049</v>
      </c>
      <c r="G121" s="797">
        <v>8050</v>
      </c>
      <c r="H121" s="795">
        <v>13</v>
      </c>
      <c r="I121" s="798">
        <f t="shared" si="26"/>
        <v>177.45000000000002</v>
      </c>
      <c r="J121" s="799">
        <f t="shared" si="27"/>
        <v>1428472.5000000002</v>
      </c>
      <c r="K121" s="798">
        <f t="shared" si="28"/>
        <v>177.45000000000002</v>
      </c>
      <c r="L121" s="795">
        <f t="shared" si="29"/>
        <v>2129.4</v>
      </c>
      <c r="M121" s="797">
        <f t="shared" si="30"/>
        <v>17141670.000000004</v>
      </c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spans="1:26" ht="14.25" customHeight="1">
      <c r="A122" s="815"/>
      <c r="B122" s="816" t="s">
        <v>2963</v>
      </c>
      <c r="C122" s="817"/>
      <c r="D122" s="803"/>
      <c r="E122" s="803"/>
      <c r="F122" s="803"/>
      <c r="G122" s="805"/>
      <c r="H122" s="803"/>
      <c r="I122" s="806"/>
      <c r="J122" s="807">
        <f>SUM(J119:J121)</f>
        <v>3670972.5</v>
      </c>
      <c r="K122" s="807"/>
      <c r="L122" s="807"/>
      <c r="M122" s="807">
        <f>SUM(M119:M121)</f>
        <v>44051670</v>
      </c>
      <c r="N122" s="808"/>
      <c r="O122" s="808"/>
      <c r="P122" s="808"/>
      <c r="Q122" s="808"/>
      <c r="R122" s="808"/>
      <c r="S122" s="808"/>
      <c r="T122" s="808"/>
      <c r="U122" s="808"/>
      <c r="V122" s="808"/>
      <c r="W122" s="808"/>
      <c r="X122" s="808"/>
      <c r="Y122" s="808"/>
      <c r="Z122" s="808"/>
    </row>
    <row r="123" spans="1:26" ht="14.25" customHeight="1">
      <c r="A123" s="788"/>
      <c r="B123" s="812" t="s">
        <v>3133</v>
      </c>
      <c r="C123" s="788"/>
      <c r="D123" s="795"/>
      <c r="E123" s="795"/>
      <c r="F123" s="795"/>
      <c r="G123" s="797"/>
      <c r="H123" s="795"/>
      <c r="I123" s="798"/>
      <c r="J123" s="799"/>
      <c r="K123" s="795"/>
      <c r="L123" s="795"/>
      <c r="M123" s="797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spans="1:26" ht="14.25" customHeight="1">
      <c r="A124" s="813">
        <v>98</v>
      </c>
      <c r="B124" s="814" t="s">
        <v>3134</v>
      </c>
      <c r="C124" s="788"/>
      <c r="D124" s="795">
        <v>65</v>
      </c>
      <c r="E124" s="795">
        <v>0.03</v>
      </c>
      <c r="F124" s="795" t="s">
        <v>3135</v>
      </c>
      <c r="G124" s="797">
        <v>4750</v>
      </c>
      <c r="H124" s="795">
        <v>3</v>
      </c>
      <c r="I124" s="798">
        <f t="shared" ref="I124:I157" si="31">3*D124*E124*H124</f>
        <v>17.549999999999997</v>
      </c>
      <c r="J124" s="799">
        <f t="shared" ref="J124:J157" si="32">I124*G124</f>
        <v>83362.499999999985</v>
      </c>
      <c r="K124" s="798">
        <f t="shared" ref="K124:K157" si="33">I124</f>
        <v>17.549999999999997</v>
      </c>
      <c r="L124" s="795">
        <f t="shared" ref="L124:L157" si="34">12*K124</f>
        <v>210.59999999999997</v>
      </c>
      <c r="M124" s="797">
        <f t="shared" ref="M124:M157" si="35">12*J124</f>
        <v>1000349.9999999998</v>
      </c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spans="1:26" ht="14.25" customHeight="1">
      <c r="A125" s="813">
        <v>99</v>
      </c>
      <c r="B125" s="814" t="s">
        <v>3136</v>
      </c>
      <c r="C125" s="788"/>
      <c r="D125" s="795">
        <v>65</v>
      </c>
      <c r="E125" s="795">
        <v>4.4999999999999998E-2</v>
      </c>
      <c r="F125" s="795" t="s">
        <v>901</v>
      </c>
      <c r="G125" s="797">
        <v>38250</v>
      </c>
      <c r="H125" s="795">
        <v>3</v>
      </c>
      <c r="I125" s="798">
        <f t="shared" si="31"/>
        <v>26.325000000000003</v>
      </c>
      <c r="J125" s="799">
        <f t="shared" si="32"/>
        <v>1006931.2500000001</v>
      </c>
      <c r="K125" s="798">
        <f t="shared" si="33"/>
        <v>26.325000000000003</v>
      </c>
      <c r="L125" s="795">
        <f t="shared" si="34"/>
        <v>315.90000000000003</v>
      </c>
      <c r="M125" s="797">
        <f t="shared" si="35"/>
        <v>12083175.000000002</v>
      </c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spans="1:26" ht="14.25" customHeight="1">
      <c r="A126" s="813">
        <v>100</v>
      </c>
      <c r="B126" s="814" t="s">
        <v>3137</v>
      </c>
      <c r="C126" s="788"/>
      <c r="D126" s="795">
        <v>65</v>
      </c>
      <c r="E126" s="795">
        <v>0.03</v>
      </c>
      <c r="F126" s="795" t="s">
        <v>901</v>
      </c>
      <c r="G126" s="797">
        <v>14675</v>
      </c>
      <c r="H126" s="795">
        <v>5</v>
      </c>
      <c r="I126" s="798">
        <f t="shared" si="31"/>
        <v>29.25</v>
      </c>
      <c r="J126" s="799">
        <f t="shared" si="32"/>
        <v>429243.75</v>
      </c>
      <c r="K126" s="798">
        <f t="shared" si="33"/>
        <v>29.25</v>
      </c>
      <c r="L126" s="795">
        <f t="shared" si="34"/>
        <v>351</v>
      </c>
      <c r="M126" s="797">
        <f t="shared" si="35"/>
        <v>5150925</v>
      </c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spans="1:26" ht="14.25" customHeight="1">
      <c r="A127" s="813">
        <v>101</v>
      </c>
      <c r="B127" s="814" t="s">
        <v>3138</v>
      </c>
      <c r="C127" s="788"/>
      <c r="D127" s="795">
        <v>5</v>
      </c>
      <c r="E127" s="795">
        <v>3.0000000000000001E-3</v>
      </c>
      <c r="F127" s="795" t="s">
        <v>901</v>
      </c>
      <c r="G127" s="797">
        <v>80500</v>
      </c>
      <c r="H127" s="795">
        <v>7</v>
      </c>
      <c r="I127" s="798">
        <f t="shared" si="31"/>
        <v>0.315</v>
      </c>
      <c r="J127" s="799">
        <f t="shared" si="32"/>
        <v>25357.5</v>
      </c>
      <c r="K127" s="798">
        <f t="shared" si="33"/>
        <v>0.315</v>
      </c>
      <c r="L127" s="795">
        <f t="shared" si="34"/>
        <v>3.7800000000000002</v>
      </c>
      <c r="M127" s="797">
        <f t="shared" si="35"/>
        <v>304290</v>
      </c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spans="1:26" ht="14.25" customHeight="1">
      <c r="A128" s="813">
        <v>102</v>
      </c>
      <c r="B128" s="814" t="s">
        <v>3139</v>
      </c>
      <c r="C128" s="788"/>
      <c r="D128" s="795">
        <v>65</v>
      </c>
      <c r="E128" s="795">
        <v>1E-3</v>
      </c>
      <c r="F128" s="795" t="s">
        <v>901</v>
      </c>
      <c r="G128" s="797">
        <v>80500</v>
      </c>
      <c r="H128" s="795">
        <v>2</v>
      </c>
      <c r="I128" s="798">
        <f t="shared" si="31"/>
        <v>0.39</v>
      </c>
      <c r="J128" s="799">
        <f t="shared" si="32"/>
        <v>31395</v>
      </c>
      <c r="K128" s="798">
        <f t="shared" si="33"/>
        <v>0.39</v>
      </c>
      <c r="L128" s="795">
        <f t="shared" si="34"/>
        <v>4.68</v>
      </c>
      <c r="M128" s="797">
        <f t="shared" si="35"/>
        <v>376740</v>
      </c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spans="1:26" ht="14.25" customHeight="1">
      <c r="A129" s="813">
        <v>103</v>
      </c>
      <c r="B129" s="814" t="s">
        <v>3140</v>
      </c>
      <c r="C129" s="788"/>
      <c r="D129" s="795">
        <v>65</v>
      </c>
      <c r="E129" s="795">
        <v>0.02</v>
      </c>
      <c r="F129" s="795" t="s">
        <v>901</v>
      </c>
      <c r="G129" s="797">
        <v>13950</v>
      </c>
      <c r="H129" s="795">
        <v>2</v>
      </c>
      <c r="I129" s="798">
        <f t="shared" si="31"/>
        <v>7.8</v>
      </c>
      <c r="J129" s="799">
        <f t="shared" si="32"/>
        <v>108810</v>
      </c>
      <c r="K129" s="798">
        <f t="shared" si="33"/>
        <v>7.8</v>
      </c>
      <c r="L129" s="795">
        <f t="shared" si="34"/>
        <v>93.6</v>
      </c>
      <c r="M129" s="797">
        <f t="shared" si="35"/>
        <v>1305720</v>
      </c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spans="1:26" ht="14.25" customHeight="1">
      <c r="A130" s="813">
        <v>104</v>
      </c>
      <c r="B130" s="814" t="s">
        <v>3141</v>
      </c>
      <c r="C130" s="788"/>
      <c r="D130" s="795">
        <v>65</v>
      </c>
      <c r="E130" s="795">
        <v>5.0000000000000001E-3</v>
      </c>
      <c r="F130" s="795" t="s">
        <v>3135</v>
      </c>
      <c r="G130" s="797">
        <v>8200</v>
      </c>
      <c r="H130" s="795">
        <v>8</v>
      </c>
      <c r="I130" s="798">
        <f t="shared" si="31"/>
        <v>7.8</v>
      </c>
      <c r="J130" s="799">
        <f t="shared" si="32"/>
        <v>63960</v>
      </c>
      <c r="K130" s="798">
        <f t="shared" si="33"/>
        <v>7.8</v>
      </c>
      <c r="L130" s="795">
        <f t="shared" si="34"/>
        <v>93.6</v>
      </c>
      <c r="M130" s="797">
        <f t="shared" si="35"/>
        <v>767520</v>
      </c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spans="1:26" ht="14.25" customHeight="1">
      <c r="A131" s="813">
        <v>105</v>
      </c>
      <c r="B131" s="814" t="s">
        <v>3142</v>
      </c>
      <c r="C131" s="788"/>
      <c r="D131" s="795">
        <v>65</v>
      </c>
      <c r="E131" s="795">
        <v>5.0000000000000001E-3</v>
      </c>
      <c r="F131" s="795" t="s">
        <v>901</v>
      </c>
      <c r="G131" s="797">
        <v>15100</v>
      </c>
      <c r="H131" s="795">
        <v>5</v>
      </c>
      <c r="I131" s="798">
        <f t="shared" si="31"/>
        <v>4.875</v>
      </c>
      <c r="J131" s="799">
        <f t="shared" si="32"/>
        <v>73612.5</v>
      </c>
      <c r="K131" s="798">
        <f t="shared" si="33"/>
        <v>4.875</v>
      </c>
      <c r="L131" s="795">
        <f t="shared" si="34"/>
        <v>58.5</v>
      </c>
      <c r="M131" s="797">
        <f t="shared" si="35"/>
        <v>883350</v>
      </c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spans="1:26" ht="14.25" customHeight="1">
      <c r="A132" s="813">
        <v>106</v>
      </c>
      <c r="B132" s="814" t="s">
        <v>3143</v>
      </c>
      <c r="C132" s="788"/>
      <c r="D132" s="795">
        <v>65</v>
      </c>
      <c r="E132" s="795">
        <v>1E-3</v>
      </c>
      <c r="F132" s="795" t="s">
        <v>901</v>
      </c>
      <c r="G132" s="797">
        <v>135000</v>
      </c>
      <c r="H132" s="795">
        <v>2</v>
      </c>
      <c r="I132" s="798">
        <f t="shared" si="31"/>
        <v>0.39</v>
      </c>
      <c r="J132" s="799">
        <f t="shared" si="32"/>
        <v>52650</v>
      </c>
      <c r="K132" s="798">
        <f t="shared" si="33"/>
        <v>0.39</v>
      </c>
      <c r="L132" s="795">
        <f t="shared" si="34"/>
        <v>4.68</v>
      </c>
      <c r="M132" s="797">
        <f t="shared" si="35"/>
        <v>631800</v>
      </c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spans="1:26" ht="14.25" customHeight="1">
      <c r="A133" s="813">
        <v>107</v>
      </c>
      <c r="B133" s="814" t="s">
        <v>3144</v>
      </c>
      <c r="C133" s="788"/>
      <c r="D133" s="795">
        <v>65</v>
      </c>
      <c r="E133" s="795">
        <v>1E-3</v>
      </c>
      <c r="F133" s="795" t="s">
        <v>901</v>
      </c>
      <c r="G133" s="797">
        <v>200000</v>
      </c>
      <c r="H133" s="795">
        <v>1</v>
      </c>
      <c r="I133" s="798">
        <f t="shared" si="31"/>
        <v>0.19500000000000001</v>
      </c>
      <c r="J133" s="799">
        <f t="shared" si="32"/>
        <v>39000</v>
      </c>
      <c r="K133" s="798">
        <f t="shared" si="33"/>
        <v>0.19500000000000001</v>
      </c>
      <c r="L133" s="795">
        <f t="shared" si="34"/>
        <v>2.34</v>
      </c>
      <c r="M133" s="797">
        <f t="shared" si="35"/>
        <v>468000</v>
      </c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spans="1:26" ht="14.25" customHeight="1">
      <c r="A134" s="813">
        <v>108</v>
      </c>
      <c r="B134" s="814" t="s">
        <v>3145</v>
      </c>
      <c r="C134" s="788"/>
      <c r="D134" s="795">
        <v>65</v>
      </c>
      <c r="E134" s="795">
        <v>0.03</v>
      </c>
      <c r="F134" s="795" t="s">
        <v>901</v>
      </c>
      <c r="G134" s="797">
        <v>22000</v>
      </c>
      <c r="H134" s="795">
        <v>1</v>
      </c>
      <c r="I134" s="798">
        <f t="shared" si="31"/>
        <v>5.85</v>
      </c>
      <c r="J134" s="799">
        <f t="shared" si="32"/>
        <v>128699.99999999999</v>
      </c>
      <c r="K134" s="798">
        <f t="shared" si="33"/>
        <v>5.85</v>
      </c>
      <c r="L134" s="795">
        <f t="shared" si="34"/>
        <v>70.199999999999989</v>
      </c>
      <c r="M134" s="797">
        <f t="shared" si="35"/>
        <v>1544399.9999999998</v>
      </c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spans="1:26" ht="14.25" customHeight="1">
      <c r="A135" s="813">
        <v>109</v>
      </c>
      <c r="B135" s="814" t="s">
        <v>3146</v>
      </c>
      <c r="C135" s="788"/>
      <c r="D135" s="795">
        <v>65</v>
      </c>
      <c r="E135" s="795">
        <v>0.03</v>
      </c>
      <c r="F135" s="795" t="s">
        <v>901</v>
      </c>
      <c r="G135" s="797">
        <v>21275</v>
      </c>
      <c r="H135" s="795">
        <v>2</v>
      </c>
      <c r="I135" s="798">
        <f t="shared" si="31"/>
        <v>11.7</v>
      </c>
      <c r="J135" s="799">
        <f t="shared" si="32"/>
        <v>248917.49999999997</v>
      </c>
      <c r="K135" s="798">
        <f t="shared" si="33"/>
        <v>11.7</v>
      </c>
      <c r="L135" s="795">
        <f t="shared" si="34"/>
        <v>140.39999999999998</v>
      </c>
      <c r="M135" s="797">
        <f t="shared" si="35"/>
        <v>2987009.9999999995</v>
      </c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spans="1:26" ht="14.25" customHeight="1">
      <c r="A136" s="813">
        <v>110</v>
      </c>
      <c r="B136" s="814" t="s">
        <v>3147</v>
      </c>
      <c r="C136" s="788"/>
      <c r="D136" s="795">
        <v>65</v>
      </c>
      <c r="E136" s="795">
        <v>0.03</v>
      </c>
      <c r="F136" s="795" t="s">
        <v>901</v>
      </c>
      <c r="G136" s="797">
        <v>15100</v>
      </c>
      <c r="H136" s="795">
        <v>2</v>
      </c>
      <c r="I136" s="798">
        <f t="shared" si="31"/>
        <v>11.7</v>
      </c>
      <c r="J136" s="799">
        <f t="shared" si="32"/>
        <v>176670</v>
      </c>
      <c r="K136" s="798">
        <f t="shared" si="33"/>
        <v>11.7</v>
      </c>
      <c r="L136" s="795">
        <f t="shared" si="34"/>
        <v>140.39999999999998</v>
      </c>
      <c r="M136" s="797">
        <f t="shared" si="35"/>
        <v>2120040</v>
      </c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spans="1:26" ht="14.25" customHeight="1">
      <c r="A137" s="813">
        <v>111</v>
      </c>
      <c r="B137" s="814" t="s">
        <v>3148</v>
      </c>
      <c r="C137" s="788"/>
      <c r="D137" s="795">
        <v>65</v>
      </c>
      <c r="E137" s="795">
        <v>5.0000000000000001E-3</v>
      </c>
      <c r="F137" s="795" t="s">
        <v>901</v>
      </c>
      <c r="G137" s="797">
        <v>62500</v>
      </c>
      <c r="H137" s="795">
        <v>1</v>
      </c>
      <c r="I137" s="798">
        <f t="shared" si="31"/>
        <v>0.97499999999999998</v>
      </c>
      <c r="J137" s="799">
        <f t="shared" si="32"/>
        <v>60937.5</v>
      </c>
      <c r="K137" s="798">
        <f t="shared" si="33"/>
        <v>0.97499999999999998</v>
      </c>
      <c r="L137" s="795">
        <f t="shared" si="34"/>
        <v>11.7</v>
      </c>
      <c r="M137" s="797">
        <f t="shared" si="35"/>
        <v>731250</v>
      </c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spans="1:26" ht="14.25" customHeight="1">
      <c r="A138" s="813">
        <v>112</v>
      </c>
      <c r="B138" s="814" t="s">
        <v>3149</v>
      </c>
      <c r="C138" s="788"/>
      <c r="D138" s="795">
        <v>65</v>
      </c>
      <c r="E138" s="795">
        <v>0.01</v>
      </c>
      <c r="F138" s="795" t="s">
        <v>901</v>
      </c>
      <c r="G138" s="797">
        <v>76250</v>
      </c>
      <c r="H138" s="795">
        <v>2</v>
      </c>
      <c r="I138" s="798">
        <f t="shared" si="31"/>
        <v>3.9</v>
      </c>
      <c r="J138" s="799">
        <f t="shared" si="32"/>
        <v>297375</v>
      </c>
      <c r="K138" s="798">
        <f t="shared" si="33"/>
        <v>3.9</v>
      </c>
      <c r="L138" s="795">
        <f t="shared" si="34"/>
        <v>46.8</v>
      </c>
      <c r="M138" s="797">
        <f t="shared" si="35"/>
        <v>3568500</v>
      </c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spans="1:26" ht="14.25" customHeight="1">
      <c r="A139" s="813">
        <v>113</v>
      </c>
      <c r="B139" s="814" t="s">
        <v>3150</v>
      </c>
      <c r="C139" s="788"/>
      <c r="D139" s="795">
        <v>65</v>
      </c>
      <c r="E139" s="795">
        <v>5.0000000000000001E-3</v>
      </c>
      <c r="F139" s="795" t="s">
        <v>3135</v>
      </c>
      <c r="G139" s="797">
        <v>6000</v>
      </c>
      <c r="H139" s="795">
        <v>5</v>
      </c>
      <c r="I139" s="798">
        <f t="shared" si="31"/>
        <v>4.875</v>
      </c>
      <c r="J139" s="799">
        <f t="shared" si="32"/>
        <v>29250</v>
      </c>
      <c r="K139" s="798">
        <f t="shared" si="33"/>
        <v>4.875</v>
      </c>
      <c r="L139" s="795">
        <f t="shared" si="34"/>
        <v>58.5</v>
      </c>
      <c r="M139" s="797">
        <f t="shared" si="35"/>
        <v>351000</v>
      </c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spans="1:26" ht="14.25" customHeight="1">
      <c r="A140" s="813">
        <v>114</v>
      </c>
      <c r="B140" s="814" t="s">
        <v>3151</v>
      </c>
      <c r="C140" s="788"/>
      <c r="D140" s="795">
        <v>65</v>
      </c>
      <c r="E140" s="795">
        <v>0.03</v>
      </c>
      <c r="F140" s="795" t="s">
        <v>901</v>
      </c>
      <c r="G140" s="797">
        <v>34500</v>
      </c>
      <c r="H140" s="795">
        <v>3</v>
      </c>
      <c r="I140" s="798">
        <f t="shared" si="31"/>
        <v>17.549999999999997</v>
      </c>
      <c r="J140" s="799">
        <f t="shared" si="32"/>
        <v>605474.99999999988</v>
      </c>
      <c r="K140" s="798">
        <f t="shared" si="33"/>
        <v>17.549999999999997</v>
      </c>
      <c r="L140" s="795">
        <f t="shared" si="34"/>
        <v>210.59999999999997</v>
      </c>
      <c r="M140" s="797">
        <f t="shared" si="35"/>
        <v>7265699.9999999981</v>
      </c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spans="1:26" ht="14.25" customHeight="1">
      <c r="A141" s="813">
        <v>115</v>
      </c>
      <c r="B141" s="814" t="s">
        <v>3152</v>
      </c>
      <c r="C141" s="788"/>
      <c r="D141" s="795">
        <v>65</v>
      </c>
      <c r="E141" s="795">
        <v>0.05</v>
      </c>
      <c r="F141" s="795" t="s">
        <v>901</v>
      </c>
      <c r="G141" s="797">
        <v>27600</v>
      </c>
      <c r="H141" s="795">
        <v>3</v>
      </c>
      <c r="I141" s="798">
        <f t="shared" si="31"/>
        <v>29.25</v>
      </c>
      <c r="J141" s="799">
        <f t="shared" si="32"/>
        <v>807300</v>
      </c>
      <c r="K141" s="798">
        <f t="shared" si="33"/>
        <v>29.25</v>
      </c>
      <c r="L141" s="795">
        <f t="shared" si="34"/>
        <v>351</v>
      </c>
      <c r="M141" s="797">
        <f t="shared" si="35"/>
        <v>9687600</v>
      </c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spans="1:26" ht="14.25" customHeight="1">
      <c r="A142" s="813">
        <v>116</v>
      </c>
      <c r="B142" s="814" t="s">
        <v>3153</v>
      </c>
      <c r="C142" s="788"/>
      <c r="D142" s="795">
        <v>65</v>
      </c>
      <c r="E142" s="795">
        <v>2.5000000000000001E-2</v>
      </c>
      <c r="F142" s="795" t="s">
        <v>901</v>
      </c>
      <c r="G142" s="797">
        <v>13800</v>
      </c>
      <c r="H142" s="795">
        <v>2</v>
      </c>
      <c r="I142" s="798">
        <f t="shared" si="31"/>
        <v>9.75</v>
      </c>
      <c r="J142" s="799">
        <f t="shared" si="32"/>
        <v>134550</v>
      </c>
      <c r="K142" s="798">
        <f t="shared" si="33"/>
        <v>9.75</v>
      </c>
      <c r="L142" s="795">
        <f t="shared" si="34"/>
        <v>117</v>
      </c>
      <c r="M142" s="797">
        <f t="shared" si="35"/>
        <v>1614600</v>
      </c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spans="1:26" ht="14.25" customHeight="1">
      <c r="A143" s="813">
        <v>117</v>
      </c>
      <c r="B143" s="814" t="s">
        <v>3154</v>
      </c>
      <c r="C143" s="788"/>
      <c r="D143" s="795">
        <v>65</v>
      </c>
      <c r="E143" s="795">
        <v>2.5000000000000001E-2</v>
      </c>
      <c r="F143" s="795" t="s">
        <v>901</v>
      </c>
      <c r="G143" s="797">
        <v>11500</v>
      </c>
      <c r="H143" s="795">
        <v>3</v>
      </c>
      <c r="I143" s="798">
        <f t="shared" si="31"/>
        <v>14.625</v>
      </c>
      <c r="J143" s="799">
        <f t="shared" si="32"/>
        <v>168187.5</v>
      </c>
      <c r="K143" s="798">
        <f t="shared" si="33"/>
        <v>14.625</v>
      </c>
      <c r="L143" s="795">
        <f t="shared" si="34"/>
        <v>175.5</v>
      </c>
      <c r="M143" s="797">
        <f t="shared" si="35"/>
        <v>2018250</v>
      </c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spans="1:26" ht="14.25" customHeight="1">
      <c r="A144" s="813">
        <v>118</v>
      </c>
      <c r="B144" s="814" t="s">
        <v>3155</v>
      </c>
      <c r="C144" s="788"/>
      <c r="D144" s="795">
        <v>65</v>
      </c>
      <c r="E144" s="795">
        <v>2.5000000000000001E-2</v>
      </c>
      <c r="F144" s="795" t="s">
        <v>901</v>
      </c>
      <c r="G144" s="797">
        <v>13800</v>
      </c>
      <c r="H144" s="795">
        <v>1</v>
      </c>
      <c r="I144" s="798">
        <f t="shared" si="31"/>
        <v>4.875</v>
      </c>
      <c r="J144" s="799">
        <f t="shared" si="32"/>
        <v>67275</v>
      </c>
      <c r="K144" s="798">
        <f t="shared" si="33"/>
        <v>4.875</v>
      </c>
      <c r="L144" s="795">
        <f t="shared" si="34"/>
        <v>58.5</v>
      </c>
      <c r="M144" s="797">
        <f t="shared" si="35"/>
        <v>807300</v>
      </c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spans="1:26" ht="14.25" customHeight="1">
      <c r="A145" s="813">
        <v>119</v>
      </c>
      <c r="B145" s="814" t="s">
        <v>3156</v>
      </c>
      <c r="C145" s="788"/>
      <c r="D145" s="795">
        <v>65</v>
      </c>
      <c r="E145" s="795">
        <v>0.03</v>
      </c>
      <c r="F145" s="795" t="s">
        <v>901</v>
      </c>
      <c r="G145" s="797">
        <v>13800</v>
      </c>
      <c r="H145" s="795">
        <v>5</v>
      </c>
      <c r="I145" s="798">
        <f t="shared" si="31"/>
        <v>29.25</v>
      </c>
      <c r="J145" s="799">
        <f t="shared" si="32"/>
        <v>403650</v>
      </c>
      <c r="K145" s="798">
        <f t="shared" si="33"/>
        <v>29.25</v>
      </c>
      <c r="L145" s="795">
        <f t="shared" si="34"/>
        <v>351</v>
      </c>
      <c r="M145" s="797">
        <f t="shared" si="35"/>
        <v>4843800</v>
      </c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spans="1:26" ht="14.25" customHeight="1">
      <c r="A146" s="813">
        <v>120</v>
      </c>
      <c r="B146" s="814" t="s">
        <v>3157</v>
      </c>
      <c r="C146" s="788"/>
      <c r="D146" s="795">
        <v>65</v>
      </c>
      <c r="E146" s="795">
        <v>2E-3</v>
      </c>
      <c r="F146" s="795" t="s">
        <v>901</v>
      </c>
      <c r="G146" s="797">
        <v>28750</v>
      </c>
      <c r="H146" s="795">
        <v>8</v>
      </c>
      <c r="I146" s="798">
        <f t="shared" si="31"/>
        <v>3.12</v>
      </c>
      <c r="J146" s="799">
        <f t="shared" si="32"/>
        <v>89700</v>
      </c>
      <c r="K146" s="798">
        <f t="shared" si="33"/>
        <v>3.12</v>
      </c>
      <c r="L146" s="795">
        <f t="shared" si="34"/>
        <v>37.44</v>
      </c>
      <c r="M146" s="797">
        <f t="shared" si="35"/>
        <v>1076400</v>
      </c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spans="1:26" ht="14.25" customHeight="1">
      <c r="A147" s="813">
        <v>121</v>
      </c>
      <c r="B147" s="814" t="s">
        <v>3158</v>
      </c>
      <c r="C147" s="788"/>
      <c r="D147" s="795">
        <v>65</v>
      </c>
      <c r="E147" s="795">
        <v>1E-3</v>
      </c>
      <c r="F147" s="795" t="s">
        <v>3135</v>
      </c>
      <c r="G147" s="797">
        <v>1150</v>
      </c>
      <c r="H147" s="795">
        <v>3</v>
      </c>
      <c r="I147" s="798">
        <f t="shared" si="31"/>
        <v>0.58499999999999996</v>
      </c>
      <c r="J147" s="799">
        <f t="shared" si="32"/>
        <v>672.75</v>
      </c>
      <c r="K147" s="798">
        <f t="shared" si="33"/>
        <v>0.58499999999999996</v>
      </c>
      <c r="L147" s="795">
        <f t="shared" si="34"/>
        <v>7.02</v>
      </c>
      <c r="M147" s="797">
        <f t="shared" si="35"/>
        <v>8073</v>
      </c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spans="1:26" ht="14.25" customHeight="1">
      <c r="A148" s="813">
        <v>122</v>
      </c>
      <c r="B148" s="814" t="s">
        <v>3159</v>
      </c>
      <c r="C148" s="788"/>
      <c r="D148" s="795">
        <v>65</v>
      </c>
      <c r="E148" s="795">
        <v>0.02</v>
      </c>
      <c r="F148" s="795" t="s">
        <v>901</v>
      </c>
      <c r="G148" s="797">
        <v>12650</v>
      </c>
      <c r="H148" s="795">
        <v>1</v>
      </c>
      <c r="I148" s="798">
        <f t="shared" si="31"/>
        <v>3.9</v>
      </c>
      <c r="J148" s="799">
        <f t="shared" si="32"/>
        <v>49335</v>
      </c>
      <c r="K148" s="798">
        <f t="shared" si="33"/>
        <v>3.9</v>
      </c>
      <c r="L148" s="795">
        <f t="shared" si="34"/>
        <v>46.8</v>
      </c>
      <c r="M148" s="797">
        <f t="shared" si="35"/>
        <v>592020</v>
      </c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spans="1:26" ht="14.25" customHeight="1">
      <c r="A149" s="813">
        <v>123</v>
      </c>
      <c r="B149" s="814" t="s">
        <v>3160</v>
      </c>
      <c r="C149" s="788"/>
      <c r="D149" s="795">
        <v>65</v>
      </c>
      <c r="E149" s="795">
        <v>0.02</v>
      </c>
      <c r="F149" s="795" t="s">
        <v>901</v>
      </c>
      <c r="G149" s="797">
        <v>14950</v>
      </c>
      <c r="H149" s="795">
        <v>3</v>
      </c>
      <c r="I149" s="798">
        <f t="shared" si="31"/>
        <v>11.7</v>
      </c>
      <c r="J149" s="799">
        <f t="shared" si="32"/>
        <v>174915</v>
      </c>
      <c r="K149" s="798">
        <f t="shared" si="33"/>
        <v>11.7</v>
      </c>
      <c r="L149" s="795">
        <f t="shared" si="34"/>
        <v>140.39999999999998</v>
      </c>
      <c r="M149" s="797">
        <f t="shared" si="35"/>
        <v>2098980</v>
      </c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spans="1:26" ht="14.25" customHeight="1">
      <c r="A150" s="813">
        <v>124</v>
      </c>
      <c r="B150" s="814" t="s">
        <v>3161</v>
      </c>
      <c r="C150" s="788"/>
      <c r="D150" s="795">
        <v>65</v>
      </c>
      <c r="E150" s="795">
        <v>0.02</v>
      </c>
      <c r="F150" s="795" t="s">
        <v>901</v>
      </c>
      <c r="G150" s="797">
        <v>15525</v>
      </c>
      <c r="H150" s="795">
        <v>2</v>
      </c>
      <c r="I150" s="798">
        <f t="shared" si="31"/>
        <v>7.8</v>
      </c>
      <c r="J150" s="799">
        <f t="shared" si="32"/>
        <v>121095</v>
      </c>
      <c r="K150" s="798">
        <f t="shared" si="33"/>
        <v>7.8</v>
      </c>
      <c r="L150" s="795">
        <f t="shared" si="34"/>
        <v>93.6</v>
      </c>
      <c r="M150" s="797">
        <f t="shared" si="35"/>
        <v>1453140</v>
      </c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spans="1:26" ht="14.25" customHeight="1">
      <c r="A151" s="813">
        <v>125</v>
      </c>
      <c r="B151" s="814" t="s">
        <v>3162</v>
      </c>
      <c r="C151" s="788"/>
      <c r="D151" s="795">
        <v>65</v>
      </c>
      <c r="E151" s="795">
        <v>2E-3</v>
      </c>
      <c r="F151" s="795" t="s">
        <v>901</v>
      </c>
      <c r="G151" s="797">
        <v>23000</v>
      </c>
      <c r="H151" s="795">
        <v>10</v>
      </c>
      <c r="I151" s="798">
        <f t="shared" si="31"/>
        <v>3.9000000000000004</v>
      </c>
      <c r="J151" s="799">
        <f t="shared" si="32"/>
        <v>89700.000000000015</v>
      </c>
      <c r="K151" s="798">
        <f t="shared" si="33"/>
        <v>3.9000000000000004</v>
      </c>
      <c r="L151" s="795">
        <f t="shared" si="34"/>
        <v>46.800000000000004</v>
      </c>
      <c r="M151" s="797">
        <f t="shared" si="35"/>
        <v>1076400.0000000002</v>
      </c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spans="1:26" ht="14.25" customHeight="1">
      <c r="A152" s="813">
        <v>126</v>
      </c>
      <c r="B152" s="814" t="s">
        <v>3163</v>
      </c>
      <c r="C152" s="788"/>
      <c r="D152" s="795">
        <v>65</v>
      </c>
      <c r="E152" s="795">
        <v>1E-3</v>
      </c>
      <c r="F152" s="795" t="s">
        <v>901</v>
      </c>
      <c r="G152" s="797">
        <v>46000</v>
      </c>
      <c r="H152" s="795">
        <v>5</v>
      </c>
      <c r="I152" s="798">
        <f t="shared" si="31"/>
        <v>0.97500000000000009</v>
      </c>
      <c r="J152" s="799">
        <f t="shared" si="32"/>
        <v>44850.000000000007</v>
      </c>
      <c r="K152" s="798">
        <f t="shared" si="33"/>
        <v>0.97500000000000009</v>
      </c>
      <c r="L152" s="795">
        <f t="shared" si="34"/>
        <v>11.700000000000001</v>
      </c>
      <c r="M152" s="797">
        <f t="shared" si="35"/>
        <v>538200.00000000012</v>
      </c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spans="1:26" ht="14.25" customHeight="1">
      <c r="A153" s="813">
        <v>127</v>
      </c>
      <c r="B153" s="814" t="s">
        <v>3164</v>
      </c>
      <c r="C153" s="788"/>
      <c r="D153" s="795">
        <v>65</v>
      </c>
      <c r="E153" s="795">
        <v>1.4999999999999999E-2</v>
      </c>
      <c r="F153" s="795" t="s">
        <v>901</v>
      </c>
      <c r="G153" s="797">
        <v>18400</v>
      </c>
      <c r="H153" s="795">
        <v>2</v>
      </c>
      <c r="I153" s="798">
        <f t="shared" si="31"/>
        <v>5.85</v>
      </c>
      <c r="J153" s="799">
        <f t="shared" si="32"/>
        <v>107640</v>
      </c>
      <c r="K153" s="798">
        <f t="shared" si="33"/>
        <v>5.85</v>
      </c>
      <c r="L153" s="795">
        <f t="shared" si="34"/>
        <v>70.199999999999989</v>
      </c>
      <c r="M153" s="797">
        <f t="shared" si="35"/>
        <v>1291680</v>
      </c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spans="1:26" ht="14.25" customHeight="1">
      <c r="A154" s="813">
        <v>128</v>
      </c>
      <c r="B154" s="814" t="s">
        <v>3165</v>
      </c>
      <c r="C154" s="788"/>
      <c r="D154" s="795">
        <v>65</v>
      </c>
      <c r="E154" s="795">
        <v>2.5000000000000001E-2</v>
      </c>
      <c r="F154" s="795" t="s">
        <v>901</v>
      </c>
      <c r="G154" s="797">
        <v>13800</v>
      </c>
      <c r="H154" s="795">
        <v>1</v>
      </c>
      <c r="I154" s="798">
        <f t="shared" si="31"/>
        <v>4.875</v>
      </c>
      <c r="J154" s="799">
        <f t="shared" si="32"/>
        <v>67275</v>
      </c>
      <c r="K154" s="798">
        <f t="shared" si="33"/>
        <v>4.875</v>
      </c>
      <c r="L154" s="795">
        <f t="shared" si="34"/>
        <v>58.5</v>
      </c>
      <c r="M154" s="797">
        <f t="shared" si="35"/>
        <v>807300</v>
      </c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spans="1:26" ht="14.25" customHeight="1">
      <c r="A155" s="813">
        <v>129</v>
      </c>
      <c r="B155" s="814" t="s">
        <v>3166</v>
      </c>
      <c r="C155" s="788"/>
      <c r="D155" s="795">
        <v>65</v>
      </c>
      <c r="E155" s="795">
        <v>0.01</v>
      </c>
      <c r="F155" s="795" t="s">
        <v>901</v>
      </c>
      <c r="G155" s="797">
        <v>21500</v>
      </c>
      <c r="H155" s="795">
        <v>10</v>
      </c>
      <c r="I155" s="798">
        <f t="shared" si="31"/>
        <v>19.5</v>
      </c>
      <c r="J155" s="799">
        <f t="shared" si="32"/>
        <v>419250</v>
      </c>
      <c r="K155" s="798">
        <f t="shared" si="33"/>
        <v>19.5</v>
      </c>
      <c r="L155" s="795">
        <f t="shared" si="34"/>
        <v>234</v>
      </c>
      <c r="M155" s="797">
        <f t="shared" si="35"/>
        <v>5031000</v>
      </c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spans="1:26" ht="14.25" customHeight="1">
      <c r="A156" s="813">
        <v>130</v>
      </c>
      <c r="B156" s="814" t="s">
        <v>3167</v>
      </c>
      <c r="C156" s="788"/>
      <c r="D156" s="795">
        <v>65</v>
      </c>
      <c r="E156" s="795">
        <v>2E-3</v>
      </c>
      <c r="F156" s="795" t="s">
        <v>901</v>
      </c>
      <c r="G156" s="797">
        <v>18500</v>
      </c>
      <c r="H156" s="795">
        <v>4</v>
      </c>
      <c r="I156" s="798">
        <f t="shared" si="31"/>
        <v>1.56</v>
      </c>
      <c r="J156" s="799">
        <f t="shared" si="32"/>
        <v>28860</v>
      </c>
      <c r="K156" s="798">
        <f t="shared" si="33"/>
        <v>1.56</v>
      </c>
      <c r="L156" s="795">
        <f t="shared" si="34"/>
        <v>18.72</v>
      </c>
      <c r="M156" s="797">
        <f t="shared" si="35"/>
        <v>346320</v>
      </c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spans="1:26" ht="14.25" customHeight="1">
      <c r="A157" s="813">
        <v>131</v>
      </c>
      <c r="B157" s="814" t="s">
        <v>3168</v>
      </c>
      <c r="C157" s="788"/>
      <c r="D157" s="795">
        <v>65</v>
      </c>
      <c r="E157" s="795">
        <v>2.5000000000000001E-2</v>
      </c>
      <c r="F157" s="795" t="s">
        <v>901</v>
      </c>
      <c r="G157" s="797">
        <v>14500</v>
      </c>
      <c r="H157" s="795">
        <v>27</v>
      </c>
      <c r="I157" s="798">
        <f t="shared" si="31"/>
        <v>131.625</v>
      </c>
      <c r="J157" s="799">
        <f t="shared" si="32"/>
        <v>1908562.5</v>
      </c>
      <c r="K157" s="798">
        <f t="shared" si="33"/>
        <v>131.625</v>
      </c>
      <c r="L157" s="795">
        <f t="shared" si="34"/>
        <v>1579.5</v>
      </c>
      <c r="M157" s="797">
        <f t="shared" si="35"/>
        <v>22902750</v>
      </c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spans="1:26" ht="14.25" customHeight="1">
      <c r="A158" s="815"/>
      <c r="B158" s="816" t="s">
        <v>2963</v>
      </c>
      <c r="C158" s="817"/>
      <c r="D158" s="803"/>
      <c r="E158" s="803"/>
      <c r="F158" s="803"/>
      <c r="G158" s="805"/>
      <c r="H158" s="803"/>
      <c r="I158" s="806"/>
      <c r="J158" s="807">
        <f>SUM(J124:J157)</f>
        <v>8144465.25</v>
      </c>
      <c r="K158" s="807"/>
      <c r="L158" s="807"/>
      <c r="M158" s="807">
        <f>SUM(M124:M157)</f>
        <v>97733583</v>
      </c>
      <c r="N158" s="808"/>
      <c r="O158" s="808"/>
      <c r="P158" s="808"/>
      <c r="Q158" s="808"/>
      <c r="R158" s="808"/>
      <c r="S158" s="808"/>
      <c r="T158" s="808"/>
      <c r="U158" s="808"/>
      <c r="V158" s="808"/>
      <c r="W158" s="808"/>
      <c r="X158" s="808"/>
      <c r="Y158" s="808"/>
      <c r="Z158" s="808"/>
    </row>
    <row r="159" spans="1:26" ht="14.25" customHeight="1">
      <c r="A159" s="788"/>
      <c r="B159" s="812" t="s">
        <v>3169</v>
      </c>
      <c r="C159" s="788"/>
      <c r="D159" s="795"/>
      <c r="E159" s="795"/>
      <c r="F159" s="795"/>
      <c r="G159" s="797"/>
      <c r="H159" s="795"/>
      <c r="I159" s="798"/>
      <c r="J159" s="799"/>
      <c r="K159" s="795"/>
      <c r="L159" s="795"/>
      <c r="M159" s="797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spans="1:26" ht="14.25" customHeight="1">
      <c r="A160" s="813">
        <v>132</v>
      </c>
      <c r="B160" s="814" t="s">
        <v>3170</v>
      </c>
      <c r="C160" s="788"/>
      <c r="D160" s="795">
        <v>3</v>
      </c>
      <c r="E160" s="795">
        <v>0.15</v>
      </c>
      <c r="F160" s="818" t="s">
        <v>901</v>
      </c>
      <c r="G160" s="797">
        <v>40000</v>
      </c>
      <c r="H160" s="795">
        <v>5</v>
      </c>
      <c r="I160" s="798">
        <f t="shared" ref="I160:I171" si="36">3*D160*E160*H160</f>
        <v>6.7499999999999991</v>
      </c>
      <c r="J160" s="799">
        <f t="shared" ref="J160:J171" si="37">I160*G160</f>
        <v>269999.99999999994</v>
      </c>
      <c r="K160" s="798">
        <f t="shared" ref="K160:K171" si="38">I160</f>
        <v>6.7499999999999991</v>
      </c>
      <c r="L160" s="795">
        <f t="shared" ref="L160:L171" si="39">12*K160</f>
        <v>80.999999999999986</v>
      </c>
      <c r="M160" s="797">
        <f t="shared" ref="M160:M172" si="40">12*J160</f>
        <v>3239999.9999999991</v>
      </c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spans="1:26" ht="14.25" customHeight="1">
      <c r="A161" s="813">
        <v>133</v>
      </c>
      <c r="B161" s="814" t="s">
        <v>3171</v>
      </c>
      <c r="C161" s="788"/>
      <c r="D161" s="795">
        <v>15</v>
      </c>
      <c r="E161" s="795">
        <v>0.1</v>
      </c>
      <c r="F161" s="818" t="s">
        <v>901</v>
      </c>
      <c r="G161" s="797">
        <v>20700</v>
      </c>
      <c r="H161" s="795">
        <v>2</v>
      </c>
      <c r="I161" s="798">
        <f t="shared" si="36"/>
        <v>9</v>
      </c>
      <c r="J161" s="799">
        <f t="shared" si="37"/>
        <v>186300</v>
      </c>
      <c r="K161" s="798">
        <f t="shared" si="38"/>
        <v>9</v>
      </c>
      <c r="L161" s="795">
        <f t="shared" si="39"/>
        <v>108</v>
      </c>
      <c r="M161" s="797">
        <f t="shared" si="40"/>
        <v>2235600</v>
      </c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spans="1:26" ht="14.25" customHeight="1">
      <c r="A162" s="813">
        <v>134</v>
      </c>
      <c r="B162" s="814" t="s">
        <v>3172</v>
      </c>
      <c r="C162" s="788"/>
      <c r="D162" s="795">
        <v>15</v>
      </c>
      <c r="E162" s="795">
        <v>0.1</v>
      </c>
      <c r="F162" s="818" t="s">
        <v>901</v>
      </c>
      <c r="G162" s="797">
        <v>10350</v>
      </c>
      <c r="H162" s="795">
        <v>2</v>
      </c>
      <c r="I162" s="798">
        <f t="shared" si="36"/>
        <v>9</v>
      </c>
      <c r="J162" s="799">
        <f t="shared" si="37"/>
        <v>93150</v>
      </c>
      <c r="K162" s="798">
        <f t="shared" si="38"/>
        <v>9</v>
      </c>
      <c r="L162" s="795">
        <f t="shared" si="39"/>
        <v>108</v>
      </c>
      <c r="M162" s="797">
        <f t="shared" si="40"/>
        <v>1117800</v>
      </c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spans="1:26" ht="14.25" customHeight="1">
      <c r="A163" s="813">
        <v>135</v>
      </c>
      <c r="B163" s="814" t="s">
        <v>3173</v>
      </c>
      <c r="C163" s="788"/>
      <c r="D163" s="795">
        <v>15</v>
      </c>
      <c r="E163" s="795">
        <v>0.1</v>
      </c>
      <c r="F163" s="818" t="s">
        <v>901</v>
      </c>
      <c r="G163" s="797">
        <v>28750</v>
      </c>
      <c r="H163" s="795">
        <v>2</v>
      </c>
      <c r="I163" s="798">
        <f t="shared" si="36"/>
        <v>9</v>
      </c>
      <c r="J163" s="799">
        <f t="shared" si="37"/>
        <v>258750</v>
      </c>
      <c r="K163" s="798">
        <f t="shared" si="38"/>
        <v>9</v>
      </c>
      <c r="L163" s="795">
        <f t="shared" si="39"/>
        <v>108</v>
      </c>
      <c r="M163" s="797">
        <f t="shared" si="40"/>
        <v>3105000</v>
      </c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spans="1:26" ht="14.25" customHeight="1">
      <c r="A164" s="813">
        <v>136</v>
      </c>
      <c r="B164" s="814" t="s">
        <v>3174</v>
      </c>
      <c r="C164" s="788"/>
      <c r="D164" s="795">
        <v>5</v>
      </c>
      <c r="E164" s="795">
        <v>0.1</v>
      </c>
      <c r="F164" s="818" t="s">
        <v>901</v>
      </c>
      <c r="G164" s="797">
        <v>20700</v>
      </c>
      <c r="H164" s="795">
        <v>6</v>
      </c>
      <c r="I164" s="798">
        <f t="shared" si="36"/>
        <v>9</v>
      </c>
      <c r="J164" s="799">
        <f t="shared" si="37"/>
        <v>186300</v>
      </c>
      <c r="K164" s="798">
        <f t="shared" si="38"/>
        <v>9</v>
      </c>
      <c r="L164" s="795">
        <f t="shared" si="39"/>
        <v>108</v>
      </c>
      <c r="M164" s="797">
        <f t="shared" si="40"/>
        <v>2235600</v>
      </c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spans="1:26" ht="14.25" customHeight="1">
      <c r="A165" s="813">
        <v>137</v>
      </c>
      <c r="B165" s="814" t="s">
        <v>3175</v>
      </c>
      <c r="C165" s="788"/>
      <c r="D165" s="795">
        <v>5</v>
      </c>
      <c r="E165" s="795">
        <v>0.02</v>
      </c>
      <c r="F165" s="818" t="s">
        <v>901</v>
      </c>
      <c r="G165" s="797">
        <v>25300</v>
      </c>
      <c r="H165" s="795">
        <v>5</v>
      </c>
      <c r="I165" s="798">
        <f t="shared" si="36"/>
        <v>1.5</v>
      </c>
      <c r="J165" s="799">
        <f t="shared" si="37"/>
        <v>37950</v>
      </c>
      <c r="K165" s="798">
        <f t="shared" si="38"/>
        <v>1.5</v>
      </c>
      <c r="L165" s="795">
        <f t="shared" si="39"/>
        <v>18</v>
      </c>
      <c r="M165" s="797">
        <f t="shared" si="40"/>
        <v>455400</v>
      </c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spans="1:26" ht="14.25" customHeight="1">
      <c r="A166" s="813">
        <v>138</v>
      </c>
      <c r="B166" s="814" t="s">
        <v>3176</v>
      </c>
      <c r="C166" s="788"/>
      <c r="D166" s="795">
        <v>10</v>
      </c>
      <c r="E166" s="795">
        <v>0.1</v>
      </c>
      <c r="F166" s="818" t="s">
        <v>901</v>
      </c>
      <c r="G166" s="797">
        <v>18400</v>
      </c>
      <c r="H166" s="795">
        <v>5</v>
      </c>
      <c r="I166" s="798">
        <f t="shared" si="36"/>
        <v>15</v>
      </c>
      <c r="J166" s="799">
        <f t="shared" si="37"/>
        <v>276000</v>
      </c>
      <c r="K166" s="798">
        <f t="shared" si="38"/>
        <v>15</v>
      </c>
      <c r="L166" s="795">
        <f t="shared" si="39"/>
        <v>180</v>
      </c>
      <c r="M166" s="797">
        <f t="shared" si="40"/>
        <v>3312000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spans="1:26" ht="14.25" customHeight="1">
      <c r="A167" s="813">
        <v>139</v>
      </c>
      <c r="B167" s="814" t="s">
        <v>3177</v>
      </c>
      <c r="C167" s="788"/>
      <c r="D167" s="795">
        <v>3</v>
      </c>
      <c r="E167" s="795">
        <v>0.15</v>
      </c>
      <c r="F167" s="819" t="s">
        <v>901</v>
      </c>
      <c r="G167" s="797">
        <v>40000</v>
      </c>
      <c r="H167" s="795">
        <v>5</v>
      </c>
      <c r="I167" s="798">
        <f t="shared" si="36"/>
        <v>6.7499999999999991</v>
      </c>
      <c r="J167" s="799">
        <f t="shared" si="37"/>
        <v>269999.99999999994</v>
      </c>
      <c r="K167" s="798">
        <f t="shared" si="38"/>
        <v>6.7499999999999991</v>
      </c>
      <c r="L167" s="795">
        <f t="shared" si="39"/>
        <v>80.999999999999986</v>
      </c>
      <c r="M167" s="797">
        <f t="shared" si="40"/>
        <v>3239999.9999999991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spans="1:26" ht="14.25" customHeight="1">
      <c r="A168" s="813">
        <v>140</v>
      </c>
      <c r="B168" s="814" t="s">
        <v>3178</v>
      </c>
      <c r="C168" s="788"/>
      <c r="D168" s="795">
        <v>65</v>
      </c>
      <c r="E168" s="795">
        <v>0.15</v>
      </c>
      <c r="F168" s="818" t="s">
        <v>901</v>
      </c>
      <c r="G168" s="797">
        <v>12000</v>
      </c>
      <c r="H168" s="795">
        <v>3.5</v>
      </c>
      <c r="I168" s="798">
        <f t="shared" si="36"/>
        <v>102.375</v>
      </c>
      <c r="J168" s="799">
        <f t="shared" si="37"/>
        <v>1228500</v>
      </c>
      <c r="K168" s="798">
        <f t="shared" si="38"/>
        <v>102.375</v>
      </c>
      <c r="L168" s="795">
        <f t="shared" si="39"/>
        <v>1228.5</v>
      </c>
      <c r="M168" s="797">
        <f t="shared" si="40"/>
        <v>14742000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spans="1:26" ht="14.25" customHeight="1">
      <c r="A169" s="813">
        <v>141</v>
      </c>
      <c r="B169" s="814" t="s">
        <v>3179</v>
      </c>
      <c r="C169" s="788"/>
      <c r="D169" s="795">
        <v>65</v>
      </c>
      <c r="E169" s="795">
        <v>6.5000000000000002E-2</v>
      </c>
      <c r="F169" s="818" t="s">
        <v>3180</v>
      </c>
      <c r="G169" s="797">
        <v>30000</v>
      </c>
      <c r="H169" s="795">
        <v>3</v>
      </c>
      <c r="I169" s="798">
        <f t="shared" si="36"/>
        <v>38.025000000000006</v>
      </c>
      <c r="J169" s="799">
        <f t="shared" si="37"/>
        <v>1140750.0000000002</v>
      </c>
      <c r="K169" s="798">
        <f t="shared" si="38"/>
        <v>38.025000000000006</v>
      </c>
      <c r="L169" s="795">
        <f t="shared" si="39"/>
        <v>456.30000000000007</v>
      </c>
      <c r="M169" s="797">
        <f t="shared" si="40"/>
        <v>13689000.000000004</v>
      </c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spans="1:26" ht="14.25" customHeight="1">
      <c r="A170" s="813">
        <v>142</v>
      </c>
      <c r="B170" s="814" t="s">
        <v>3181</v>
      </c>
      <c r="C170" s="788"/>
      <c r="D170" s="795">
        <v>65</v>
      </c>
      <c r="E170" s="795">
        <v>0.15</v>
      </c>
      <c r="F170" s="818" t="s">
        <v>901</v>
      </c>
      <c r="G170" s="797">
        <v>14000</v>
      </c>
      <c r="H170" s="795">
        <v>3</v>
      </c>
      <c r="I170" s="798">
        <f t="shared" si="36"/>
        <v>87.75</v>
      </c>
      <c r="J170" s="799">
        <f t="shared" si="37"/>
        <v>1228500</v>
      </c>
      <c r="K170" s="798">
        <f t="shared" si="38"/>
        <v>87.75</v>
      </c>
      <c r="L170" s="795">
        <f t="shared" si="39"/>
        <v>1053</v>
      </c>
      <c r="M170" s="797">
        <f t="shared" si="40"/>
        <v>14742000</v>
      </c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spans="1:26" ht="14.25" customHeight="1">
      <c r="A171" s="813">
        <v>143</v>
      </c>
      <c r="B171" s="814" t="s">
        <v>3182</v>
      </c>
      <c r="C171" s="788"/>
      <c r="D171" s="795">
        <v>30</v>
      </c>
      <c r="E171" s="795">
        <v>7.0000000000000007E-2</v>
      </c>
      <c r="F171" s="818" t="s">
        <v>3180</v>
      </c>
      <c r="G171" s="797">
        <v>25000</v>
      </c>
      <c r="H171" s="795">
        <v>2</v>
      </c>
      <c r="I171" s="798">
        <f t="shared" si="36"/>
        <v>12.600000000000001</v>
      </c>
      <c r="J171" s="799">
        <f t="shared" si="37"/>
        <v>315000.00000000006</v>
      </c>
      <c r="K171" s="798">
        <f t="shared" si="38"/>
        <v>12.600000000000001</v>
      </c>
      <c r="L171" s="795">
        <f t="shared" si="39"/>
        <v>151.20000000000002</v>
      </c>
      <c r="M171" s="797">
        <f t="shared" si="40"/>
        <v>3780000.0000000009</v>
      </c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spans="1:26" ht="14.25" customHeight="1">
      <c r="A172" s="815"/>
      <c r="B172" s="816" t="s">
        <v>2963</v>
      </c>
      <c r="C172" s="817"/>
      <c r="D172" s="803"/>
      <c r="E172" s="803"/>
      <c r="F172" s="820"/>
      <c r="G172" s="805"/>
      <c r="H172" s="803"/>
      <c r="I172" s="806"/>
      <c r="J172" s="807">
        <f>SUM(J160:J171)</f>
        <v>5491200</v>
      </c>
      <c r="K172" s="803"/>
      <c r="L172" s="803"/>
      <c r="M172" s="805">
        <f t="shared" si="40"/>
        <v>65894400</v>
      </c>
      <c r="N172" s="808"/>
      <c r="O172" s="808"/>
      <c r="P172" s="808"/>
      <c r="Q172" s="808"/>
      <c r="R172" s="808"/>
      <c r="S172" s="808"/>
      <c r="T172" s="808"/>
      <c r="U172" s="808"/>
      <c r="V172" s="808"/>
      <c r="W172" s="808"/>
      <c r="X172" s="808"/>
      <c r="Y172" s="808"/>
      <c r="Z172" s="808"/>
    </row>
    <row r="173" spans="1:26" ht="18.75" customHeight="1">
      <c r="A173" s="788"/>
      <c r="B173" s="812" t="s">
        <v>3183</v>
      </c>
      <c r="C173" s="788"/>
      <c r="D173" s="795"/>
      <c r="E173" s="795"/>
      <c r="F173" s="795"/>
      <c r="G173" s="797"/>
      <c r="H173" s="795"/>
      <c r="I173" s="798"/>
      <c r="J173" s="799"/>
      <c r="K173" s="795"/>
      <c r="L173" s="795"/>
      <c r="M173" s="797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spans="1:26" ht="14.25" customHeight="1">
      <c r="A174" s="813">
        <v>144</v>
      </c>
      <c r="B174" s="814" t="s">
        <v>3184</v>
      </c>
      <c r="C174" s="788"/>
      <c r="D174" s="795">
        <v>65</v>
      </c>
      <c r="E174" s="795">
        <v>1E-3</v>
      </c>
      <c r="F174" s="819" t="s">
        <v>830</v>
      </c>
      <c r="G174" s="797">
        <v>6000</v>
      </c>
      <c r="H174" s="795">
        <v>2</v>
      </c>
      <c r="I174" s="798">
        <f t="shared" ref="I174:I185" si="41">3*D174*E174*H174</f>
        <v>0.39</v>
      </c>
      <c r="J174" s="799">
        <f t="shared" ref="J174:J185" si="42">I174*G174</f>
        <v>2340</v>
      </c>
      <c r="K174" s="798">
        <f t="shared" ref="K174:K185" si="43">I174</f>
        <v>0.39</v>
      </c>
      <c r="L174" s="795">
        <f t="shared" ref="L174:L185" si="44">12*K174</f>
        <v>4.68</v>
      </c>
      <c r="M174" s="797">
        <f t="shared" ref="M174:M186" si="45">12*J174</f>
        <v>28080</v>
      </c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spans="1:26" ht="14.25" customHeight="1">
      <c r="A175" s="813">
        <v>145</v>
      </c>
      <c r="B175" s="814" t="s">
        <v>3185</v>
      </c>
      <c r="C175" s="788"/>
      <c r="D175" s="795">
        <v>65</v>
      </c>
      <c r="E175" s="795">
        <v>2E-3</v>
      </c>
      <c r="F175" s="818" t="s">
        <v>901</v>
      </c>
      <c r="G175" s="797">
        <v>42000</v>
      </c>
      <c r="H175" s="795">
        <v>8</v>
      </c>
      <c r="I175" s="798">
        <f t="shared" si="41"/>
        <v>3.12</v>
      </c>
      <c r="J175" s="799">
        <f t="shared" si="42"/>
        <v>131040</v>
      </c>
      <c r="K175" s="798">
        <f t="shared" si="43"/>
        <v>3.12</v>
      </c>
      <c r="L175" s="795">
        <f t="shared" si="44"/>
        <v>37.44</v>
      </c>
      <c r="M175" s="797">
        <f t="shared" si="45"/>
        <v>1572480</v>
      </c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spans="1:26" ht="14.25" customHeight="1">
      <c r="A176" s="813">
        <v>146</v>
      </c>
      <c r="B176" s="814" t="s">
        <v>3186</v>
      </c>
      <c r="C176" s="788"/>
      <c r="D176" s="795">
        <v>65</v>
      </c>
      <c r="E176" s="795">
        <v>2E-3</v>
      </c>
      <c r="F176" s="818" t="s">
        <v>901</v>
      </c>
      <c r="G176" s="797">
        <v>37200</v>
      </c>
      <c r="H176" s="795">
        <v>30</v>
      </c>
      <c r="I176" s="798">
        <f t="shared" si="41"/>
        <v>11.700000000000001</v>
      </c>
      <c r="J176" s="799">
        <f t="shared" si="42"/>
        <v>435240.00000000006</v>
      </c>
      <c r="K176" s="798">
        <f t="shared" si="43"/>
        <v>11.700000000000001</v>
      </c>
      <c r="L176" s="795">
        <f t="shared" si="44"/>
        <v>140.4</v>
      </c>
      <c r="M176" s="797">
        <f t="shared" si="45"/>
        <v>5222880.0000000009</v>
      </c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spans="1:26" ht="14.25" customHeight="1">
      <c r="A177" s="813">
        <v>147</v>
      </c>
      <c r="B177" s="814" t="s">
        <v>3187</v>
      </c>
      <c r="C177" s="788"/>
      <c r="D177" s="795">
        <v>65</v>
      </c>
      <c r="E177" s="795">
        <v>2.5000000000000001E-3</v>
      </c>
      <c r="F177" s="818" t="s">
        <v>901</v>
      </c>
      <c r="G177" s="797">
        <v>55500</v>
      </c>
      <c r="H177" s="795">
        <v>30</v>
      </c>
      <c r="I177" s="798">
        <f t="shared" si="41"/>
        <v>14.625</v>
      </c>
      <c r="J177" s="799">
        <f t="shared" si="42"/>
        <v>811687.5</v>
      </c>
      <c r="K177" s="798">
        <f t="shared" si="43"/>
        <v>14.625</v>
      </c>
      <c r="L177" s="795">
        <f t="shared" si="44"/>
        <v>175.5</v>
      </c>
      <c r="M177" s="797">
        <f t="shared" si="45"/>
        <v>9740250</v>
      </c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spans="1:26" ht="14.25" customHeight="1">
      <c r="A178" s="813">
        <v>148</v>
      </c>
      <c r="B178" s="814" t="s">
        <v>3188</v>
      </c>
      <c r="C178" s="788"/>
      <c r="D178" s="795">
        <v>65</v>
      </c>
      <c r="E178" s="795">
        <v>1E-4</v>
      </c>
      <c r="F178" s="818" t="s">
        <v>901</v>
      </c>
      <c r="G178" s="797">
        <v>20000</v>
      </c>
      <c r="H178" s="795">
        <v>10</v>
      </c>
      <c r="I178" s="798">
        <f t="shared" si="41"/>
        <v>0.19500000000000001</v>
      </c>
      <c r="J178" s="799">
        <f t="shared" si="42"/>
        <v>3900</v>
      </c>
      <c r="K178" s="798">
        <f t="shared" si="43"/>
        <v>0.19500000000000001</v>
      </c>
      <c r="L178" s="795">
        <f t="shared" si="44"/>
        <v>2.34</v>
      </c>
      <c r="M178" s="797">
        <f t="shared" si="45"/>
        <v>46800</v>
      </c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spans="1:26" ht="14.25" customHeight="1">
      <c r="A179" s="813">
        <v>149</v>
      </c>
      <c r="B179" s="814" t="s">
        <v>3189</v>
      </c>
      <c r="C179" s="788"/>
      <c r="D179" s="795">
        <v>65</v>
      </c>
      <c r="E179" s="795">
        <v>1E-3</v>
      </c>
      <c r="F179" s="818" t="s">
        <v>901</v>
      </c>
      <c r="G179" s="797">
        <v>32200</v>
      </c>
      <c r="H179" s="795">
        <v>6</v>
      </c>
      <c r="I179" s="798">
        <f t="shared" si="41"/>
        <v>1.17</v>
      </c>
      <c r="J179" s="799">
        <f t="shared" si="42"/>
        <v>37674</v>
      </c>
      <c r="K179" s="798">
        <f t="shared" si="43"/>
        <v>1.17</v>
      </c>
      <c r="L179" s="795">
        <f t="shared" si="44"/>
        <v>14.04</v>
      </c>
      <c r="M179" s="797">
        <f t="shared" si="45"/>
        <v>452088</v>
      </c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spans="1:26" ht="14.25" customHeight="1">
      <c r="A180" s="813">
        <v>150</v>
      </c>
      <c r="B180" s="814" t="s">
        <v>3190</v>
      </c>
      <c r="C180" s="788"/>
      <c r="D180" s="795">
        <v>65</v>
      </c>
      <c r="E180" s="795">
        <v>1E-3</v>
      </c>
      <c r="F180" s="818" t="s">
        <v>901</v>
      </c>
      <c r="G180" s="797">
        <v>36800</v>
      </c>
      <c r="H180" s="795">
        <v>4</v>
      </c>
      <c r="I180" s="798">
        <f t="shared" si="41"/>
        <v>0.78</v>
      </c>
      <c r="J180" s="799">
        <f t="shared" si="42"/>
        <v>28704</v>
      </c>
      <c r="K180" s="798">
        <f t="shared" si="43"/>
        <v>0.78</v>
      </c>
      <c r="L180" s="795">
        <f t="shared" si="44"/>
        <v>9.36</v>
      </c>
      <c r="M180" s="797">
        <f t="shared" si="45"/>
        <v>344448</v>
      </c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spans="1:26" ht="14.25" customHeight="1">
      <c r="A181" s="813">
        <v>151</v>
      </c>
      <c r="B181" s="814" t="s">
        <v>3191</v>
      </c>
      <c r="C181" s="788"/>
      <c r="D181" s="795">
        <v>65</v>
      </c>
      <c r="E181" s="795">
        <v>1E-3</v>
      </c>
      <c r="F181" s="818" t="s">
        <v>901</v>
      </c>
      <c r="G181" s="797">
        <v>34500</v>
      </c>
      <c r="H181" s="795">
        <v>4</v>
      </c>
      <c r="I181" s="798">
        <f t="shared" si="41"/>
        <v>0.78</v>
      </c>
      <c r="J181" s="799">
        <f t="shared" si="42"/>
        <v>26910</v>
      </c>
      <c r="K181" s="798">
        <f t="shared" si="43"/>
        <v>0.78</v>
      </c>
      <c r="L181" s="795">
        <f t="shared" si="44"/>
        <v>9.36</v>
      </c>
      <c r="M181" s="797">
        <f t="shared" si="45"/>
        <v>322920</v>
      </c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spans="1:26" ht="14.25" customHeight="1">
      <c r="A182" s="813">
        <v>152</v>
      </c>
      <c r="B182" s="814" t="s">
        <v>3192</v>
      </c>
      <c r="C182" s="788"/>
      <c r="D182" s="795">
        <v>65</v>
      </c>
      <c r="E182" s="795">
        <v>1E-3</v>
      </c>
      <c r="F182" s="818" t="s">
        <v>901</v>
      </c>
      <c r="G182" s="797">
        <v>17250</v>
      </c>
      <c r="H182" s="795">
        <v>10</v>
      </c>
      <c r="I182" s="798">
        <f t="shared" si="41"/>
        <v>1.9500000000000002</v>
      </c>
      <c r="J182" s="799">
        <f t="shared" si="42"/>
        <v>33637.5</v>
      </c>
      <c r="K182" s="798">
        <f t="shared" si="43"/>
        <v>1.9500000000000002</v>
      </c>
      <c r="L182" s="795">
        <f t="shared" si="44"/>
        <v>23.400000000000002</v>
      </c>
      <c r="M182" s="797">
        <f t="shared" si="45"/>
        <v>403650</v>
      </c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spans="1:26" ht="14.25" customHeight="1">
      <c r="A183" s="813">
        <v>153</v>
      </c>
      <c r="B183" s="814" t="s">
        <v>3193</v>
      </c>
      <c r="C183" s="788"/>
      <c r="D183" s="795">
        <v>65</v>
      </c>
      <c r="E183" s="795">
        <v>1E-3</v>
      </c>
      <c r="F183" s="818" t="s">
        <v>901</v>
      </c>
      <c r="G183" s="797">
        <v>8000</v>
      </c>
      <c r="H183" s="795">
        <v>10</v>
      </c>
      <c r="I183" s="798">
        <f t="shared" si="41"/>
        <v>1.9500000000000002</v>
      </c>
      <c r="J183" s="799">
        <f t="shared" si="42"/>
        <v>15600.000000000002</v>
      </c>
      <c r="K183" s="798">
        <f t="shared" si="43"/>
        <v>1.9500000000000002</v>
      </c>
      <c r="L183" s="795">
        <f t="shared" si="44"/>
        <v>23.400000000000002</v>
      </c>
      <c r="M183" s="797">
        <f t="shared" si="45"/>
        <v>187200.00000000003</v>
      </c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spans="1:26" ht="14.25" customHeight="1">
      <c r="A184" s="813">
        <v>154</v>
      </c>
      <c r="B184" s="814" t="s">
        <v>3194</v>
      </c>
      <c r="C184" s="788"/>
      <c r="D184" s="795">
        <v>65</v>
      </c>
      <c r="E184" s="795">
        <v>2.9999999999999997E-4</v>
      </c>
      <c r="F184" s="818" t="s">
        <v>901</v>
      </c>
      <c r="G184" s="797">
        <v>10000</v>
      </c>
      <c r="H184" s="795">
        <v>10</v>
      </c>
      <c r="I184" s="798">
        <f t="shared" si="41"/>
        <v>0.58499999999999996</v>
      </c>
      <c r="J184" s="799">
        <f t="shared" si="42"/>
        <v>5850</v>
      </c>
      <c r="K184" s="798">
        <f t="shared" si="43"/>
        <v>0.58499999999999996</v>
      </c>
      <c r="L184" s="795">
        <f t="shared" si="44"/>
        <v>7.02</v>
      </c>
      <c r="M184" s="797">
        <f t="shared" si="45"/>
        <v>70200</v>
      </c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spans="1:26" ht="14.25" customHeight="1">
      <c r="A185" s="813">
        <v>155</v>
      </c>
      <c r="B185" s="814" t="s">
        <v>3195</v>
      </c>
      <c r="C185" s="788"/>
      <c r="D185" s="795">
        <v>65</v>
      </c>
      <c r="E185" s="795">
        <v>1E-3</v>
      </c>
      <c r="F185" s="818" t="s">
        <v>901</v>
      </c>
      <c r="G185" s="797">
        <v>10000</v>
      </c>
      <c r="H185" s="795">
        <v>10</v>
      </c>
      <c r="I185" s="798">
        <f t="shared" si="41"/>
        <v>1.9500000000000002</v>
      </c>
      <c r="J185" s="799">
        <f t="shared" si="42"/>
        <v>19500</v>
      </c>
      <c r="K185" s="798">
        <f t="shared" si="43"/>
        <v>1.9500000000000002</v>
      </c>
      <c r="L185" s="795">
        <f t="shared" si="44"/>
        <v>23.400000000000002</v>
      </c>
      <c r="M185" s="797">
        <f t="shared" si="45"/>
        <v>234000</v>
      </c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spans="1:26" ht="14.25" customHeight="1">
      <c r="A186" s="815"/>
      <c r="B186" s="816" t="s">
        <v>2963</v>
      </c>
      <c r="C186" s="817"/>
      <c r="D186" s="803"/>
      <c r="E186" s="803"/>
      <c r="F186" s="820"/>
      <c r="G186" s="805"/>
      <c r="H186" s="803"/>
      <c r="I186" s="806"/>
      <c r="J186" s="807">
        <f>SUM(J174:J185)</f>
        <v>1552083</v>
      </c>
      <c r="K186" s="803"/>
      <c r="L186" s="803"/>
      <c r="M186" s="805">
        <f t="shared" si="45"/>
        <v>18624996</v>
      </c>
      <c r="N186" s="808"/>
      <c r="O186" s="808"/>
      <c r="P186" s="808"/>
      <c r="Q186" s="808"/>
      <c r="R186" s="808"/>
      <c r="S186" s="808"/>
      <c r="T186" s="808"/>
      <c r="U186" s="808"/>
      <c r="V186" s="808"/>
      <c r="W186" s="808"/>
      <c r="X186" s="808"/>
      <c r="Y186" s="808"/>
      <c r="Z186" s="808"/>
    </row>
    <row r="187" spans="1:26" ht="14.25" customHeight="1">
      <c r="A187" s="788"/>
      <c r="B187" s="812" t="s">
        <v>3196</v>
      </c>
      <c r="C187" s="788"/>
      <c r="D187" s="795"/>
      <c r="E187" s="795"/>
      <c r="F187" s="795"/>
      <c r="G187" s="797"/>
      <c r="H187" s="795"/>
      <c r="I187" s="798"/>
      <c r="J187" s="799"/>
      <c r="K187" s="795"/>
      <c r="L187" s="795"/>
      <c r="M187" s="797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spans="1:26" ht="14.25" customHeight="1">
      <c r="A188" s="788">
        <v>156</v>
      </c>
      <c r="B188" s="814" t="s">
        <v>3197</v>
      </c>
      <c r="C188" s="788"/>
      <c r="D188" s="795">
        <v>30</v>
      </c>
      <c r="E188" s="795">
        <v>0.02</v>
      </c>
      <c r="F188" s="818" t="s">
        <v>901</v>
      </c>
      <c r="G188" s="797">
        <v>5750</v>
      </c>
      <c r="H188" s="795">
        <v>3</v>
      </c>
      <c r="I188" s="798">
        <f t="shared" ref="I188:I189" si="46">3*D188*E188*H188</f>
        <v>5.4</v>
      </c>
      <c r="J188" s="799">
        <f t="shared" ref="J188:J189" si="47">I188*G188</f>
        <v>31050.000000000004</v>
      </c>
      <c r="K188" s="798">
        <f t="shared" ref="K188:K189" si="48">I188</f>
        <v>5.4</v>
      </c>
      <c r="L188" s="795">
        <f t="shared" ref="L188:L189" si="49">12*K188</f>
        <v>64.800000000000011</v>
      </c>
      <c r="M188" s="797">
        <f t="shared" ref="M188:M189" si="50">12*J188</f>
        <v>372600.00000000006</v>
      </c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spans="1:26" ht="14.25" customHeight="1">
      <c r="A189" s="788">
        <v>157</v>
      </c>
      <c r="B189" s="814" t="s">
        <v>3198</v>
      </c>
      <c r="C189" s="788"/>
      <c r="D189" s="795">
        <v>30</v>
      </c>
      <c r="E189" s="795">
        <v>0.02</v>
      </c>
      <c r="F189" s="818" t="s">
        <v>901</v>
      </c>
      <c r="G189" s="797">
        <v>8050</v>
      </c>
      <c r="H189" s="795">
        <v>3</v>
      </c>
      <c r="I189" s="798">
        <f t="shared" si="46"/>
        <v>5.4</v>
      </c>
      <c r="J189" s="799">
        <f t="shared" si="47"/>
        <v>43470</v>
      </c>
      <c r="K189" s="798">
        <f t="shared" si="48"/>
        <v>5.4</v>
      </c>
      <c r="L189" s="795">
        <f t="shared" si="49"/>
        <v>64.800000000000011</v>
      </c>
      <c r="M189" s="797">
        <f t="shared" si="50"/>
        <v>521640</v>
      </c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spans="1:26" ht="14.25" customHeight="1">
      <c r="A190" s="817"/>
      <c r="B190" s="816" t="s">
        <v>2963</v>
      </c>
      <c r="C190" s="817"/>
      <c r="D190" s="803"/>
      <c r="E190" s="803"/>
      <c r="F190" s="803"/>
      <c r="G190" s="805"/>
      <c r="H190" s="803"/>
      <c r="I190" s="806"/>
      <c r="J190" s="807">
        <f>SUM(J188:J189)</f>
        <v>74520</v>
      </c>
      <c r="K190" s="807"/>
      <c r="L190" s="807"/>
      <c r="M190" s="807">
        <f>SUM(M188:M189)</f>
        <v>894240</v>
      </c>
      <c r="N190" s="808"/>
      <c r="O190" s="808"/>
      <c r="P190" s="808"/>
      <c r="Q190" s="808"/>
      <c r="R190" s="808"/>
      <c r="S190" s="808"/>
      <c r="T190" s="808"/>
      <c r="U190" s="808"/>
      <c r="V190" s="808"/>
      <c r="W190" s="808"/>
      <c r="X190" s="808"/>
      <c r="Y190" s="808"/>
      <c r="Z190" s="808"/>
    </row>
    <row r="191" spans="1:26" ht="14.25" customHeight="1">
      <c r="A191" s="803" t="s">
        <v>3199</v>
      </c>
      <c r="B191" s="812"/>
      <c r="C191" s="788"/>
      <c r="D191" s="795"/>
      <c r="E191" s="795"/>
      <c r="F191" s="795"/>
      <c r="G191" s="797"/>
      <c r="H191" s="795"/>
      <c r="I191" s="798"/>
      <c r="J191" s="799"/>
      <c r="K191" s="795"/>
      <c r="L191" s="795"/>
      <c r="M191" s="797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spans="1:26" ht="14.25" customHeight="1">
      <c r="A192" s="788">
        <v>158</v>
      </c>
      <c r="B192" s="814" t="s">
        <v>3200</v>
      </c>
      <c r="C192" s="788"/>
      <c r="D192" s="795">
        <v>55</v>
      </c>
      <c r="E192" s="795">
        <v>1</v>
      </c>
      <c r="F192" s="818" t="s">
        <v>830</v>
      </c>
      <c r="G192" s="797">
        <v>2588</v>
      </c>
      <c r="H192" s="795">
        <v>10</v>
      </c>
      <c r="I192" s="798">
        <f>3*D192*E192*H192</f>
        <v>1650</v>
      </c>
      <c r="J192" s="799">
        <f>I192*G192</f>
        <v>4270200</v>
      </c>
      <c r="K192" s="798">
        <f>I192</f>
        <v>1650</v>
      </c>
      <c r="L192" s="795">
        <f>12*K192</f>
        <v>19800</v>
      </c>
      <c r="M192" s="797">
        <f>12*J192</f>
        <v>51242400</v>
      </c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spans="1:26" ht="14.25" customHeight="1">
      <c r="A193" s="788">
        <v>159</v>
      </c>
      <c r="B193" s="821" t="s">
        <v>3201</v>
      </c>
      <c r="C193" s="788"/>
      <c r="D193" s="795"/>
      <c r="E193" s="795"/>
      <c r="F193" s="795"/>
      <c r="G193" s="797"/>
      <c r="H193" s="795"/>
      <c r="I193" s="798"/>
      <c r="J193" s="799"/>
      <c r="K193" s="795"/>
      <c r="L193" s="795"/>
      <c r="M193" s="797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spans="1:26" ht="14.25" customHeight="1">
      <c r="A194" s="817"/>
      <c r="B194" s="816" t="s">
        <v>2963</v>
      </c>
      <c r="C194" s="817"/>
      <c r="D194" s="803"/>
      <c r="E194" s="803"/>
      <c r="F194" s="803"/>
      <c r="G194" s="805"/>
      <c r="H194" s="803"/>
      <c r="I194" s="806"/>
      <c r="J194" s="807">
        <f>SUM(J192:J193)</f>
        <v>4270200</v>
      </c>
      <c r="K194" s="807"/>
      <c r="L194" s="807"/>
      <c r="M194" s="807">
        <f>SUM(M192:M193)</f>
        <v>51242400</v>
      </c>
      <c r="N194" s="808"/>
      <c r="O194" s="808"/>
      <c r="P194" s="808"/>
      <c r="Q194" s="808"/>
      <c r="R194" s="808"/>
      <c r="S194" s="808"/>
      <c r="T194" s="808"/>
      <c r="U194" s="808"/>
      <c r="V194" s="808"/>
      <c r="W194" s="808"/>
      <c r="X194" s="808"/>
      <c r="Y194" s="808"/>
      <c r="Z194" s="808"/>
    </row>
    <row r="195" spans="1:26" ht="14.25" customHeight="1">
      <c r="A195" s="803" t="s">
        <v>3202</v>
      </c>
      <c r="B195" s="812"/>
      <c r="C195" s="788"/>
      <c r="D195" s="795"/>
      <c r="E195" s="795"/>
      <c r="F195" s="795"/>
      <c r="G195" s="797"/>
      <c r="H195" s="795"/>
      <c r="I195" s="798"/>
      <c r="J195" s="799"/>
      <c r="K195" s="795"/>
      <c r="L195" s="795"/>
      <c r="M195" s="797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spans="1:26" ht="14.25" customHeight="1">
      <c r="A196" s="793">
        <v>160</v>
      </c>
      <c r="B196" s="794" t="s">
        <v>3203</v>
      </c>
      <c r="C196" s="794" t="s">
        <v>3204</v>
      </c>
      <c r="D196" s="795">
        <v>15</v>
      </c>
      <c r="E196" s="795">
        <v>0.2</v>
      </c>
      <c r="F196" s="800" t="s">
        <v>2243</v>
      </c>
      <c r="G196" s="797">
        <v>11500</v>
      </c>
      <c r="H196" s="795">
        <v>2</v>
      </c>
      <c r="I196" s="798">
        <f t="shared" ref="I196:I202" si="51">3*D196*E196*H196</f>
        <v>18</v>
      </c>
      <c r="J196" s="799">
        <f t="shared" ref="J196:J202" si="52">I196*G196</f>
        <v>207000</v>
      </c>
      <c r="K196" s="798">
        <f t="shared" ref="K196:K202" si="53">I196</f>
        <v>18</v>
      </c>
      <c r="L196" s="795">
        <f t="shared" ref="L196:L202" si="54">12*K196</f>
        <v>216</v>
      </c>
      <c r="M196" s="797">
        <f t="shared" ref="M196:M203" si="55">12*J196</f>
        <v>2484000</v>
      </c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spans="1:26" ht="14.25" customHeight="1">
      <c r="A197" s="793">
        <v>162</v>
      </c>
      <c r="B197" s="822" t="s">
        <v>3205</v>
      </c>
      <c r="C197" s="788" t="s">
        <v>3206</v>
      </c>
      <c r="D197" s="795">
        <v>19</v>
      </c>
      <c r="E197" s="795">
        <v>1</v>
      </c>
      <c r="F197" s="823" t="s">
        <v>830</v>
      </c>
      <c r="G197" s="797">
        <v>4888</v>
      </c>
      <c r="H197" s="795">
        <v>9</v>
      </c>
      <c r="I197" s="798">
        <f t="shared" si="51"/>
        <v>513</v>
      </c>
      <c r="J197" s="799">
        <f t="shared" si="52"/>
        <v>2507544</v>
      </c>
      <c r="K197" s="798">
        <f t="shared" si="53"/>
        <v>513</v>
      </c>
      <c r="L197" s="795">
        <f t="shared" si="54"/>
        <v>6156</v>
      </c>
      <c r="M197" s="797">
        <f t="shared" si="55"/>
        <v>30090528</v>
      </c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spans="1:26" ht="14.25" customHeight="1">
      <c r="A198" s="793">
        <v>163</v>
      </c>
      <c r="B198" s="794" t="s">
        <v>3207</v>
      </c>
      <c r="C198" s="794" t="s">
        <v>3208</v>
      </c>
      <c r="D198" s="795">
        <v>10</v>
      </c>
      <c r="E198" s="795">
        <v>1</v>
      </c>
      <c r="F198" s="800" t="s">
        <v>830</v>
      </c>
      <c r="G198" s="797">
        <v>4585</v>
      </c>
      <c r="H198" s="795">
        <v>2</v>
      </c>
      <c r="I198" s="798">
        <f t="shared" si="51"/>
        <v>60</v>
      </c>
      <c r="J198" s="799">
        <f t="shared" si="52"/>
        <v>275100</v>
      </c>
      <c r="K198" s="798">
        <f t="shared" si="53"/>
        <v>60</v>
      </c>
      <c r="L198" s="795">
        <f t="shared" si="54"/>
        <v>720</v>
      </c>
      <c r="M198" s="797">
        <f t="shared" si="55"/>
        <v>3301200</v>
      </c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spans="1:26" ht="14.25" customHeight="1">
      <c r="A199" s="793">
        <v>164</v>
      </c>
      <c r="B199" s="794" t="s">
        <v>3209</v>
      </c>
      <c r="C199" s="794" t="s">
        <v>3210</v>
      </c>
      <c r="D199" s="795">
        <v>12</v>
      </c>
      <c r="E199" s="795">
        <v>1</v>
      </c>
      <c r="F199" s="800" t="s">
        <v>830</v>
      </c>
      <c r="G199" s="797">
        <v>5280</v>
      </c>
      <c r="H199" s="795">
        <v>1</v>
      </c>
      <c r="I199" s="798">
        <f t="shared" si="51"/>
        <v>36</v>
      </c>
      <c r="J199" s="799">
        <f t="shared" si="52"/>
        <v>190080</v>
      </c>
      <c r="K199" s="798">
        <f t="shared" si="53"/>
        <v>36</v>
      </c>
      <c r="L199" s="795">
        <f t="shared" si="54"/>
        <v>432</v>
      </c>
      <c r="M199" s="797">
        <f t="shared" si="55"/>
        <v>2280960</v>
      </c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spans="1:26" ht="14.25" customHeight="1">
      <c r="A200" s="793">
        <v>65</v>
      </c>
      <c r="B200" s="794" t="s">
        <v>3211</v>
      </c>
      <c r="C200" s="794" t="s">
        <v>3212</v>
      </c>
      <c r="D200" s="795">
        <v>24</v>
      </c>
      <c r="E200" s="795">
        <v>1</v>
      </c>
      <c r="F200" s="800" t="s">
        <v>830</v>
      </c>
      <c r="G200" s="797">
        <v>3180</v>
      </c>
      <c r="H200" s="795">
        <v>1</v>
      </c>
      <c r="I200" s="798">
        <f t="shared" si="51"/>
        <v>72</v>
      </c>
      <c r="J200" s="799">
        <f t="shared" si="52"/>
        <v>228960</v>
      </c>
      <c r="K200" s="798">
        <f t="shared" si="53"/>
        <v>72</v>
      </c>
      <c r="L200" s="795">
        <f t="shared" si="54"/>
        <v>864</v>
      </c>
      <c r="M200" s="797">
        <f t="shared" si="55"/>
        <v>2747520</v>
      </c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spans="1:26" ht="14.25" customHeight="1">
      <c r="A201" s="793">
        <v>165</v>
      </c>
      <c r="B201" s="794" t="s">
        <v>3213</v>
      </c>
      <c r="C201" s="794" t="s">
        <v>3214</v>
      </c>
      <c r="D201" s="795">
        <v>24</v>
      </c>
      <c r="E201" s="795">
        <v>1</v>
      </c>
      <c r="F201" s="800" t="s">
        <v>830</v>
      </c>
      <c r="G201" s="797">
        <v>3348</v>
      </c>
      <c r="H201" s="795">
        <v>1</v>
      </c>
      <c r="I201" s="798">
        <f t="shared" si="51"/>
        <v>72</v>
      </c>
      <c r="J201" s="799">
        <f t="shared" si="52"/>
        <v>241056</v>
      </c>
      <c r="K201" s="798">
        <f t="shared" si="53"/>
        <v>72</v>
      </c>
      <c r="L201" s="795">
        <f t="shared" si="54"/>
        <v>864</v>
      </c>
      <c r="M201" s="797">
        <f t="shared" si="55"/>
        <v>2892672</v>
      </c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spans="1:26" ht="14.25" customHeight="1">
      <c r="A202" s="793">
        <v>166</v>
      </c>
      <c r="B202" s="814" t="s">
        <v>3215</v>
      </c>
      <c r="C202" s="788" t="s">
        <v>3216</v>
      </c>
      <c r="D202" s="795">
        <v>1</v>
      </c>
      <c r="E202" s="795">
        <v>1</v>
      </c>
      <c r="F202" s="800" t="s">
        <v>830</v>
      </c>
      <c r="G202" s="797">
        <v>8050</v>
      </c>
      <c r="H202" s="795">
        <v>3</v>
      </c>
      <c r="I202" s="798">
        <f t="shared" si="51"/>
        <v>9</v>
      </c>
      <c r="J202" s="799">
        <f t="shared" si="52"/>
        <v>72450</v>
      </c>
      <c r="K202" s="798">
        <f t="shared" si="53"/>
        <v>9</v>
      </c>
      <c r="L202" s="795">
        <f t="shared" si="54"/>
        <v>108</v>
      </c>
      <c r="M202" s="797">
        <f t="shared" si="55"/>
        <v>869400</v>
      </c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spans="1:26" ht="14.25" customHeight="1">
      <c r="A203" s="803"/>
      <c r="B203" s="816" t="s">
        <v>2963</v>
      </c>
      <c r="C203" s="817"/>
      <c r="D203" s="803"/>
      <c r="E203" s="803"/>
      <c r="F203" s="803"/>
      <c r="G203" s="805"/>
      <c r="H203" s="803"/>
      <c r="I203" s="806"/>
      <c r="J203" s="807">
        <f>SUM(J196:J202)</f>
        <v>3722190</v>
      </c>
      <c r="K203" s="803"/>
      <c r="L203" s="803"/>
      <c r="M203" s="805">
        <f t="shared" si="55"/>
        <v>44666280</v>
      </c>
      <c r="N203" s="808"/>
      <c r="O203" s="808"/>
      <c r="P203" s="808"/>
      <c r="Q203" s="808"/>
      <c r="R203" s="808"/>
      <c r="S203" s="808"/>
      <c r="T203" s="808"/>
      <c r="U203" s="808"/>
      <c r="V203" s="808"/>
      <c r="W203" s="808"/>
      <c r="X203" s="808"/>
      <c r="Y203" s="808"/>
      <c r="Z203" s="808"/>
    </row>
    <row r="204" spans="1:26" ht="14.25" customHeight="1">
      <c r="A204" s="795" t="s">
        <v>3217</v>
      </c>
      <c r="B204" s="812"/>
      <c r="C204" s="788"/>
      <c r="D204" s="795"/>
      <c r="E204" s="795"/>
      <c r="F204" s="795"/>
      <c r="G204" s="797"/>
      <c r="H204" s="795"/>
      <c r="I204" s="798"/>
      <c r="J204" s="799"/>
      <c r="K204" s="795"/>
      <c r="L204" s="795"/>
      <c r="M204" s="797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spans="1:26" ht="14.25" customHeight="1">
      <c r="A205" s="788">
        <v>167</v>
      </c>
      <c r="B205" s="814" t="s">
        <v>3218</v>
      </c>
      <c r="C205" s="788" t="s">
        <v>3219</v>
      </c>
      <c r="D205" s="795">
        <v>3</v>
      </c>
      <c r="E205" s="795">
        <v>1</v>
      </c>
      <c r="F205" s="800" t="s">
        <v>830</v>
      </c>
      <c r="G205" s="797">
        <v>15000</v>
      </c>
      <c r="H205" s="795">
        <v>1</v>
      </c>
      <c r="I205" s="798">
        <f>3*D205*E205*H205</f>
        <v>9</v>
      </c>
      <c r="J205" s="799">
        <f>I205*G205</f>
        <v>135000</v>
      </c>
      <c r="K205" s="798">
        <f>I205</f>
        <v>9</v>
      </c>
      <c r="L205" s="795">
        <f>12*K205</f>
        <v>108</v>
      </c>
      <c r="M205" s="797">
        <f>12*J205</f>
        <v>1620000</v>
      </c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spans="1:26" ht="14.25" customHeight="1">
      <c r="A206" s="817"/>
      <c r="B206" s="816" t="s">
        <v>2963</v>
      </c>
      <c r="C206" s="817"/>
      <c r="D206" s="803"/>
      <c r="E206" s="803"/>
      <c r="F206" s="803"/>
      <c r="G206" s="805"/>
      <c r="H206" s="803"/>
      <c r="I206" s="806"/>
      <c r="J206" s="807">
        <f>J205</f>
        <v>135000</v>
      </c>
      <c r="K206" s="803"/>
      <c r="L206" s="803"/>
      <c r="M206" s="805">
        <f>M205</f>
        <v>1620000</v>
      </c>
      <c r="N206" s="808"/>
      <c r="O206" s="808"/>
      <c r="P206" s="808"/>
      <c r="Q206" s="808"/>
      <c r="R206" s="808"/>
      <c r="S206" s="808"/>
      <c r="T206" s="808"/>
      <c r="U206" s="808"/>
      <c r="V206" s="808"/>
      <c r="W206" s="808"/>
      <c r="X206" s="808"/>
      <c r="Y206" s="808"/>
      <c r="Z206" s="808"/>
    </row>
    <row r="207" spans="1:26" ht="14.25" customHeight="1">
      <c r="A207" s="788"/>
      <c r="B207" s="812"/>
      <c r="C207" s="788"/>
      <c r="D207" s="795"/>
      <c r="E207" s="795"/>
      <c r="F207" s="795"/>
      <c r="G207" s="797"/>
      <c r="H207" s="795"/>
      <c r="I207" s="798"/>
      <c r="J207" s="799"/>
      <c r="K207" s="795"/>
      <c r="L207" s="795"/>
      <c r="M207" s="797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spans="1:26" ht="15" customHeight="1">
      <c r="A208" s="980" t="s">
        <v>7</v>
      </c>
      <c r="B208" s="888"/>
      <c r="C208" s="888"/>
      <c r="D208" s="888"/>
      <c r="E208" s="888"/>
      <c r="F208" s="888"/>
      <c r="G208" s="888"/>
      <c r="H208" s="888"/>
      <c r="I208" s="889"/>
      <c r="J208" s="807">
        <f>J20+J38+J91+J105+J117+J122+J158+J172+J186+J190+J194+J203+J206</f>
        <v>74136913</v>
      </c>
      <c r="K208" s="807"/>
      <c r="L208" s="807"/>
      <c r="M208" s="807">
        <f>M20+M38+M91+M105+M117+M122+M158+M172+M186+M190+M194+M203+M206</f>
        <v>889642956</v>
      </c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spans="1:26" ht="14.25" customHeight="1">
      <c r="A209" s="12"/>
      <c r="B209" s="12"/>
      <c r="C209" s="12"/>
      <c r="D209" s="12"/>
      <c r="E209" s="12"/>
      <c r="F209" s="12"/>
      <c r="G209" s="824"/>
      <c r="H209" s="12"/>
      <c r="I209" s="825"/>
      <c r="J209" s="826"/>
      <c r="K209" s="12"/>
      <c r="L209" s="12"/>
      <c r="M209" s="824">
        <v>81509100</v>
      </c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spans="1:26" ht="14.25" customHeight="1">
      <c r="A210" s="12"/>
      <c r="B210" s="12"/>
      <c r="C210" s="12"/>
      <c r="D210" s="12"/>
      <c r="E210" s="12"/>
      <c r="F210" s="12"/>
      <c r="G210" s="824"/>
      <c r="H210" s="12"/>
      <c r="I210" s="825"/>
      <c r="J210" s="826"/>
      <c r="K210" s="12"/>
      <c r="L210" s="12"/>
      <c r="M210" s="824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spans="1:26" ht="14.25" customHeight="1">
      <c r="A211" s="12"/>
      <c r="B211" s="12"/>
      <c r="C211" s="12"/>
      <c r="D211" s="12"/>
      <c r="E211" s="12"/>
      <c r="F211" s="12"/>
      <c r="G211" s="824"/>
      <c r="H211" s="12"/>
      <c r="I211" s="825"/>
      <c r="J211" s="826"/>
      <c r="K211" s="12"/>
      <c r="L211" s="12"/>
      <c r="M211" s="824">
        <f>SUM(M208:M210)</f>
        <v>971152056</v>
      </c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spans="1:26" ht="14.25" customHeight="1">
      <c r="A212" s="12"/>
      <c r="B212" s="12"/>
      <c r="C212" s="12"/>
      <c r="D212" s="12"/>
      <c r="E212" s="12"/>
      <c r="F212" s="12"/>
      <c r="G212" s="824"/>
      <c r="H212" s="12"/>
      <c r="I212" s="825"/>
      <c r="J212" s="826"/>
      <c r="K212" s="12"/>
      <c r="L212" s="12"/>
      <c r="M212" s="824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spans="1:26" ht="14.25" customHeight="1">
      <c r="A213" s="12"/>
      <c r="B213" s="12"/>
      <c r="C213" s="12"/>
      <c r="D213" s="12"/>
      <c r="E213" s="12"/>
      <c r="F213" s="12"/>
      <c r="G213" s="824"/>
      <c r="H213" s="12"/>
      <c r="I213" s="825"/>
      <c r="J213" s="826"/>
      <c r="K213" s="12"/>
      <c r="L213" s="12"/>
      <c r="M213" s="824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spans="1:26" ht="14.25" customHeight="1">
      <c r="A214" s="12"/>
      <c r="B214" s="12"/>
      <c r="C214" s="12"/>
      <c r="D214" s="12"/>
      <c r="E214" s="12"/>
      <c r="F214" s="12"/>
      <c r="G214" s="824"/>
      <c r="H214" s="12"/>
      <c r="I214" s="825"/>
      <c r="J214" s="826"/>
      <c r="K214" s="12"/>
      <c r="L214" s="12"/>
      <c r="M214" s="824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spans="1:26" ht="14.25" customHeight="1">
      <c r="A215" s="12"/>
      <c r="B215" s="12"/>
      <c r="C215" s="12"/>
      <c r="D215" s="12"/>
      <c r="E215" s="12"/>
      <c r="F215" s="12"/>
      <c r="G215" s="824"/>
      <c r="H215" s="12"/>
      <c r="I215" s="825"/>
      <c r="J215" s="826"/>
      <c r="K215" s="12"/>
      <c r="L215" s="12"/>
      <c r="M215" s="824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spans="1:26" ht="14.25" customHeight="1">
      <c r="A216" s="12"/>
      <c r="B216" s="12"/>
      <c r="C216" s="12"/>
      <c r="D216" s="12"/>
      <c r="E216" s="12"/>
      <c r="F216" s="12"/>
      <c r="G216" s="824"/>
      <c r="H216" s="12"/>
      <c r="I216" s="825"/>
      <c r="J216" s="826"/>
      <c r="K216" s="12"/>
      <c r="L216" s="12"/>
      <c r="M216" s="824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spans="1:26" ht="14.25" customHeight="1">
      <c r="A217" s="12"/>
      <c r="B217" s="12"/>
      <c r="C217" s="12"/>
      <c r="D217" s="12"/>
      <c r="E217" s="12"/>
      <c r="F217" s="12"/>
      <c r="G217" s="824"/>
      <c r="H217" s="12"/>
      <c r="I217" s="825"/>
      <c r="J217" s="826"/>
      <c r="K217" s="12"/>
      <c r="L217" s="12"/>
      <c r="M217" s="824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spans="1:26" ht="14.25" customHeight="1">
      <c r="A218" s="12"/>
      <c r="B218" s="12"/>
      <c r="C218" s="12"/>
      <c r="D218" s="12"/>
      <c r="E218" s="12"/>
      <c r="F218" s="12"/>
      <c r="G218" s="824"/>
      <c r="H218" s="12"/>
      <c r="I218" s="825"/>
      <c r="J218" s="826"/>
      <c r="K218" s="12"/>
      <c r="L218" s="12"/>
      <c r="M218" s="824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spans="1:26" ht="14.25" customHeight="1">
      <c r="A219" s="12"/>
      <c r="B219" s="12"/>
      <c r="C219" s="12"/>
      <c r="D219" s="12"/>
      <c r="E219" s="12"/>
      <c r="F219" s="12"/>
      <c r="G219" s="824"/>
      <c r="H219" s="12"/>
      <c r="I219" s="825"/>
      <c r="J219" s="826"/>
      <c r="K219" s="12"/>
      <c r="L219" s="12"/>
      <c r="M219" s="824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spans="1:26" ht="14.25" customHeight="1">
      <c r="A220" s="12"/>
      <c r="B220" s="12"/>
      <c r="C220" s="12"/>
      <c r="D220" s="12"/>
      <c r="E220" s="12"/>
      <c r="F220" s="12"/>
      <c r="G220" s="824"/>
      <c r="H220" s="12"/>
      <c r="I220" s="825"/>
      <c r="J220" s="826"/>
      <c r="K220" s="12"/>
      <c r="L220" s="12"/>
      <c r="M220" s="824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spans="1:26" ht="14.25" customHeight="1">
      <c r="A221" s="12"/>
      <c r="B221" s="12"/>
      <c r="C221" s="12"/>
      <c r="D221" s="12"/>
      <c r="E221" s="12"/>
      <c r="F221" s="12"/>
      <c r="G221" s="824"/>
      <c r="H221" s="12"/>
      <c r="I221" s="825"/>
      <c r="J221" s="826"/>
      <c r="K221" s="12"/>
      <c r="L221" s="12"/>
      <c r="M221" s="824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spans="1:26" ht="14.25" customHeight="1">
      <c r="A222" s="12"/>
      <c r="B222" s="12"/>
      <c r="C222" s="12"/>
      <c r="D222" s="12"/>
      <c r="E222" s="12"/>
      <c r="F222" s="12"/>
      <c r="G222" s="824"/>
      <c r="H222" s="12"/>
      <c r="I222" s="825"/>
      <c r="J222" s="826"/>
      <c r="K222" s="12"/>
      <c r="L222" s="12"/>
      <c r="M222" s="824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spans="1:26" ht="14.25" customHeight="1">
      <c r="A223" s="12"/>
      <c r="B223" s="12"/>
      <c r="C223" s="12"/>
      <c r="D223" s="12"/>
      <c r="E223" s="12"/>
      <c r="F223" s="12"/>
      <c r="G223" s="824"/>
      <c r="H223" s="12"/>
      <c r="I223" s="825"/>
      <c r="J223" s="826"/>
      <c r="K223" s="12"/>
      <c r="L223" s="12"/>
      <c r="M223" s="824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spans="1:26" ht="14.25" customHeight="1">
      <c r="A224" s="12"/>
      <c r="B224" s="12"/>
      <c r="C224" s="12"/>
      <c r="D224" s="12"/>
      <c r="E224" s="12"/>
      <c r="F224" s="12"/>
      <c r="G224" s="824"/>
      <c r="H224" s="12"/>
      <c r="I224" s="825"/>
      <c r="J224" s="826"/>
      <c r="K224" s="12"/>
      <c r="L224" s="12"/>
      <c r="M224" s="824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spans="1:26" ht="14.25" customHeight="1">
      <c r="A225" s="12"/>
      <c r="B225" s="12"/>
      <c r="C225" s="12"/>
      <c r="D225" s="12"/>
      <c r="E225" s="12"/>
      <c r="F225" s="12"/>
      <c r="G225" s="824"/>
      <c r="H225" s="12"/>
      <c r="I225" s="825"/>
      <c r="J225" s="826"/>
      <c r="K225" s="12"/>
      <c r="L225" s="12"/>
      <c r="M225" s="824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spans="1:26" ht="14.25" customHeight="1">
      <c r="A226" s="12"/>
      <c r="B226" s="12"/>
      <c r="C226" s="12"/>
      <c r="D226" s="12"/>
      <c r="E226" s="12"/>
      <c r="F226" s="12"/>
      <c r="G226" s="824"/>
      <c r="H226" s="12"/>
      <c r="I226" s="825"/>
      <c r="J226" s="826"/>
      <c r="K226" s="12"/>
      <c r="L226" s="12"/>
      <c r="M226" s="824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spans="1:26" ht="14.25" customHeight="1">
      <c r="A227" s="12"/>
      <c r="B227" s="12"/>
      <c r="C227" s="12"/>
      <c r="D227" s="12"/>
      <c r="E227" s="12"/>
      <c r="F227" s="12"/>
      <c r="G227" s="824"/>
      <c r="H227" s="12"/>
      <c r="I227" s="825"/>
      <c r="J227" s="826"/>
      <c r="K227" s="12"/>
      <c r="L227" s="12"/>
      <c r="M227" s="824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spans="1:26" ht="14.25" customHeight="1">
      <c r="A228" s="12"/>
      <c r="B228" s="12"/>
      <c r="C228" s="12"/>
      <c r="D228" s="12"/>
      <c r="E228" s="12"/>
      <c r="F228" s="12"/>
      <c r="G228" s="824"/>
      <c r="H228" s="12"/>
      <c r="I228" s="825"/>
      <c r="J228" s="826"/>
      <c r="K228" s="12"/>
      <c r="L228" s="12"/>
      <c r="M228" s="824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spans="1:26" ht="14.25" customHeight="1">
      <c r="A229" s="12"/>
      <c r="B229" s="12"/>
      <c r="C229" s="12"/>
      <c r="D229" s="12"/>
      <c r="E229" s="12"/>
      <c r="F229" s="12"/>
      <c r="G229" s="824"/>
      <c r="H229" s="12"/>
      <c r="I229" s="825"/>
      <c r="J229" s="826"/>
      <c r="K229" s="12"/>
      <c r="L229" s="12"/>
      <c r="M229" s="824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spans="1:26" ht="14.25" customHeight="1">
      <c r="A230" s="12"/>
      <c r="B230" s="12"/>
      <c r="C230" s="12"/>
      <c r="D230" s="12"/>
      <c r="E230" s="12"/>
      <c r="F230" s="12"/>
      <c r="G230" s="824"/>
      <c r="H230" s="12"/>
      <c r="I230" s="825"/>
      <c r="J230" s="826"/>
      <c r="K230" s="12"/>
      <c r="L230" s="12"/>
      <c r="M230" s="824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spans="1:26" ht="14.25" customHeight="1">
      <c r="A231" s="12"/>
      <c r="B231" s="12"/>
      <c r="C231" s="12"/>
      <c r="D231" s="12"/>
      <c r="E231" s="12"/>
      <c r="F231" s="12"/>
      <c r="G231" s="824"/>
      <c r="H231" s="12"/>
      <c r="I231" s="825"/>
      <c r="J231" s="826"/>
      <c r="K231" s="12"/>
      <c r="L231" s="12"/>
      <c r="M231" s="824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spans="1:26" ht="14.25" customHeight="1">
      <c r="A232" s="12"/>
      <c r="B232" s="12"/>
      <c r="C232" s="12"/>
      <c r="D232" s="12"/>
      <c r="E232" s="12"/>
      <c r="F232" s="12"/>
      <c r="G232" s="824"/>
      <c r="H232" s="12"/>
      <c r="I232" s="825"/>
      <c r="J232" s="826"/>
      <c r="K232" s="12"/>
      <c r="L232" s="12"/>
      <c r="M232" s="824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spans="1:26" ht="14.25" customHeight="1">
      <c r="A233" s="12"/>
      <c r="B233" s="12"/>
      <c r="C233" s="12"/>
      <c r="D233" s="12"/>
      <c r="E233" s="12"/>
      <c r="F233" s="12"/>
      <c r="G233" s="824"/>
      <c r="H233" s="12"/>
      <c r="I233" s="825"/>
      <c r="J233" s="826"/>
      <c r="K233" s="12"/>
      <c r="L233" s="12"/>
      <c r="M233" s="824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spans="1:26" ht="14.25" customHeight="1">
      <c r="A234" s="12"/>
      <c r="B234" s="12"/>
      <c r="C234" s="12"/>
      <c r="D234" s="12"/>
      <c r="E234" s="12"/>
      <c r="F234" s="12"/>
      <c r="G234" s="824"/>
      <c r="H234" s="12"/>
      <c r="I234" s="825"/>
      <c r="J234" s="826"/>
      <c r="K234" s="12"/>
      <c r="L234" s="12"/>
      <c r="M234" s="824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spans="1:26" ht="14.25" customHeight="1">
      <c r="A235" s="12"/>
      <c r="B235" s="12"/>
      <c r="C235" s="12"/>
      <c r="D235" s="12"/>
      <c r="E235" s="12"/>
      <c r="F235" s="12"/>
      <c r="G235" s="824"/>
      <c r="H235" s="12"/>
      <c r="I235" s="825"/>
      <c r="J235" s="826"/>
      <c r="K235" s="12"/>
      <c r="L235" s="12"/>
      <c r="M235" s="824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spans="1:26" ht="14.25" customHeight="1">
      <c r="A236" s="12"/>
      <c r="B236" s="12"/>
      <c r="C236" s="12"/>
      <c r="D236" s="12"/>
      <c r="E236" s="12"/>
      <c r="F236" s="12"/>
      <c r="G236" s="824"/>
      <c r="H236" s="12"/>
      <c r="I236" s="825"/>
      <c r="J236" s="826"/>
      <c r="K236" s="12"/>
      <c r="L236" s="12"/>
      <c r="M236" s="824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spans="1:26" ht="14.25" customHeight="1">
      <c r="A237" s="12"/>
      <c r="B237" s="12"/>
      <c r="C237" s="12"/>
      <c r="D237" s="12"/>
      <c r="E237" s="12"/>
      <c r="F237" s="12"/>
      <c r="G237" s="824"/>
      <c r="H237" s="12"/>
      <c r="I237" s="825"/>
      <c r="J237" s="826"/>
      <c r="K237" s="12"/>
      <c r="L237" s="12"/>
      <c r="M237" s="824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spans="1:26" ht="14.25" customHeight="1">
      <c r="A238" s="12"/>
      <c r="B238" s="12"/>
      <c r="C238" s="12"/>
      <c r="D238" s="12"/>
      <c r="E238" s="12"/>
      <c r="F238" s="12"/>
      <c r="G238" s="824"/>
      <c r="H238" s="12"/>
      <c r="I238" s="825"/>
      <c r="J238" s="826"/>
      <c r="K238" s="12"/>
      <c r="L238" s="12"/>
      <c r="M238" s="824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spans="1:26" ht="14.25" customHeight="1">
      <c r="A239" s="12"/>
      <c r="B239" s="12"/>
      <c r="C239" s="12"/>
      <c r="D239" s="12"/>
      <c r="E239" s="12"/>
      <c r="F239" s="12"/>
      <c r="G239" s="824"/>
      <c r="H239" s="12"/>
      <c r="I239" s="825"/>
      <c r="J239" s="826"/>
      <c r="K239" s="12"/>
      <c r="L239" s="12"/>
      <c r="M239" s="824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spans="1:26" ht="14.25" customHeight="1">
      <c r="A240" s="12"/>
      <c r="B240" s="12"/>
      <c r="C240" s="12"/>
      <c r="D240" s="12"/>
      <c r="E240" s="12"/>
      <c r="F240" s="12"/>
      <c r="G240" s="824"/>
      <c r="H240" s="12"/>
      <c r="I240" s="825"/>
      <c r="J240" s="826"/>
      <c r="K240" s="12"/>
      <c r="L240" s="12"/>
      <c r="M240" s="824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spans="1:26" ht="14.25" customHeight="1">
      <c r="A241" s="12"/>
      <c r="B241" s="12"/>
      <c r="C241" s="12"/>
      <c r="D241" s="12"/>
      <c r="E241" s="12"/>
      <c r="F241" s="12"/>
      <c r="G241" s="824"/>
      <c r="H241" s="12"/>
      <c r="I241" s="825"/>
      <c r="J241" s="826"/>
      <c r="K241" s="12"/>
      <c r="L241" s="12"/>
      <c r="M241" s="824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spans="1:26" ht="14.25" customHeight="1">
      <c r="A242" s="12"/>
      <c r="B242" s="12"/>
      <c r="C242" s="12"/>
      <c r="D242" s="12"/>
      <c r="E242" s="12"/>
      <c r="F242" s="12"/>
      <c r="G242" s="824"/>
      <c r="H242" s="12"/>
      <c r="I242" s="825"/>
      <c r="J242" s="826"/>
      <c r="K242" s="12"/>
      <c r="L242" s="12"/>
      <c r="M242" s="824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spans="1:26" ht="14.25" customHeight="1">
      <c r="A243" s="12"/>
      <c r="B243" s="12"/>
      <c r="C243" s="12"/>
      <c r="D243" s="12"/>
      <c r="E243" s="12"/>
      <c r="F243" s="12"/>
      <c r="G243" s="824"/>
      <c r="H243" s="12"/>
      <c r="I243" s="825"/>
      <c r="J243" s="826"/>
      <c r="K243" s="12"/>
      <c r="L243" s="12"/>
      <c r="M243" s="824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spans="1:26" ht="14.25" customHeight="1">
      <c r="A244" s="12"/>
      <c r="B244" s="12"/>
      <c r="C244" s="12"/>
      <c r="D244" s="12"/>
      <c r="E244" s="12"/>
      <c r="F244" s="12"/>
      <c r="G244" s="824"/>
      <c r="H244" s="12"/>
      <c r="I244" s="825"/>
      <c r="J244" s="826"/>
      <c r="K244" s="12"/>
      <c r="L244" s="12"/>
      <c r="M244" s="824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spans="1:26" ht="14.25" customHeight="1">
      <c r="A245" s="12"/>
      <c r="B245" s="12"/>
      <c r="C245" s="12"/>
      <c r="D245" s="12"/>
      <c r="E245" s="12"/>
      <c r="F245" s="12"/>
      <c r="G245" s="824"/>
      <c r="H245" s="12"/>
      <c r="I245" s="825"/>
      <c r="J245" s="826"/>
      <c r="K245" s="12"/>
      <c r="L245" s="12"/>
      <c r="M245" s="824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spans="1:26" ht="14.25" customHeight="1">
      <c r="A246" s="12"/>
      <c r="B246" s="12"/>
      <c r="C246" s="12"/>
      <c r="D246" s="12"/>
      <c r="E246" s="12"/>
      <c r="F246" s="12"/>
      <c r="G246" s="824"/>
      <c r="H246" s="12"/>
      <c r="I246" s="825"/>
      <c r="J246" s="826"/>
      <c r="K246" s="12"/>
      <c r="L246" s="12"/>
      <c r="M246" s="824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spans="1:26" ht="14.25" customHeight="1">
      <c r="A247" s="12"/>
      <c r="B247" s="12"/>
      <c r="C247" s="12"/>
      <c r="D247" s="12"/>
      <c r="E247" s="12"/>
      <c r="F247" s="12"/>
      <c r="G247" s="824"/>
      <c r="H247" s="12"/>
      <c r="I247" s="825"/>
      <c r="J247" s="826"/>
      <c r="K247" s="12"/>
      <c r="L247" s="12"/>
      <c r="M247" s="824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spans="1:26" ht="14.25" customHeight="1">
      <c r="A248" s="12"/>
      <c r="B248" s="12"/>
      <c r="C248" s="12"/>
      <c r="D248" s="12"/>
      <c r="E248" s="12"/>
      <c r="F248" s="12"/>
      <c r="G248" s="824"/>
      <c r="H248" s="12"/>
      <c r="I248" s="825"/>
      <c r="J248" s="826"/>
      <c r="K248" s="12"/>
      <c r="L248" s="12"/>
      <c r="M248" s="824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spans="1:26" ht="14.25" customHeight="1">
      <c r="A249" s="12"/>
      <c r="B249" s="12"/>
      <c r="C249" s="12"/>
      <c r="D249" s="12"/>
      <c r="E249" s="12"/>
      <c r="F249" s="12"/>
      <c r="G249" s="824"/>
      <c r="H249" s="12"/>
      <c r="I249" s="825"/>
      <c r="J249" s="826"/>
      <c r="K249" s="12"/>
      <c r="L249" s="12"/>
      <c r="M249" s="824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spans="1:26" ht="14.25" customHeight="1">
      <c r="A250" s="12"/>
      <c r="B250" s="12"/>
      <c r="C250" s="12"/>
      <c r="D250" s="12"/>
      <c r="E250" s="12"/>
      <c r="F250" s="12"/>
      <c r="G250" s="824"/>
      <c r="H250" s="12"/>
      <c r="I250" s="825"/>
      <c r="J250" s="826"/>
      <c r="K250" s="12"/>
      <c r="L250" s="12"/>
      <c r="M250" s="824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spans="1:26" ht="14.25" customHeight="1">
      <c r="A251" s="12"/>
      <c r="B251" s="12"/>
      <c r="C251" s="12"/>
      <c r="D251" s="12"/>
      <c r="E251" s="12"/>
      <c r="F251" s="12"/>
      <c r="G251" s="824"/>
      <c r="H251" s="12"/>
      <c r="I251" s="825"/>
      <c r="J251" s="826"/>
      <c r="K251" s="12"/>
      <c r="L251" s="12"/>
      <c r="M251" s="824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spans="1:26" ht="14.25" customHeight="1">
      <c r="A252" s="12"/>
      <c r="B252" s="12"/>
      <c r="C252" s="12"/>
      <c r="D252" s="12"/>
      <c r="E252" s="12"/>
      <c r="F252" s="12"/>
      <c r="G252" s="824"/>
      <c r="H252" s="12"/>
      <c r="I252" s="825"/>
      <c r="J252" s="826"/>
      <c r="K252" s="12"/>
      <c r="L252" s="12"/>
      <c r="M252" s="824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spans="1:26" ht="14.25" customHeight="1">
      <c r="A253" s="12"/>
      <c r="B253" s="12"/>
      <c r="C253" s="12"/>
      <c r="D253" s="12"/>
      <c r="E253" s="12"/>
      <c r="F253" s="12"/>
      <c r="G253" s="824"/>
      <c r="H253" s="12"/>
      <c r="I253" s="825"/>
      <c r="J253" s="826"/>
      <c r="K253" s="12"/>
      <c r="L253" s="12"/>
      <c r="M253" s="824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spans="1:26" ht="14.25" customHeight="1">
      <c r="A254" s="12"/>
      <c r="B254" s="12"/>
      <c r="C254" s="12"/>
      <c r="D254" s="12"/>
      <c r="E254" s="12"/>
      <c r="F254" s="12"/>
      <c r="G254" s="824"/>
      <c r="H254" s="12"/>
      <c r="I254" s="825"/>
      <c r="J254" s="826"/>
      <c r="K254" s="12"/>
      <c r="L254" s="12"/>
      <c r="M254" s="824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spans="1:26" ht="14.25" customHeight="1">
      <c r="A255" s="12"/>
      <c r="B255" s="12"/>
      <c r="C255" s="12"/>
      <c r="D255" s="12"/>
      <c r="E255" s="12"/>
      <c r="F255" s="12"/>
      <c r="G255" s="824"/>
      <c r="H255" s="12"/>
      <c r="I255" s="825"/>
      <c r="J255" s="826"/>
      <c r="K255" s="12"/>
      <c r="L255" s="12"/>
      <c r="M255" s="824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spans="1:26" ht="14.25" customHeight="1">
      <c r="A256" s="12"/>
      <c r="B256" s="12"/>
      <c r="C256" s="12"/>
      <c r="D256" s="12"/>
      <c r="E256" s="12"/>
      <c r="F256" s="12"/>
      <c r="G256" s="824"/>
      <c r="H256" s="12"/>
      <c r="I256" s="825"/>
      <c r="J256" s="826"/>
      <c r="K256" s="12"/>
      <c r="L256" s="12"/>
      <c r="M256" s="824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spans="1:26" ht="14.25" customHeight="1">
      <c r="A257" s="12"/>
      <c r="B257" s="12"/>
      <c r="C257" s="12"/>
      <c r="D257" s="12"/>
      <c r="E257" s="12"/>
      <c r="F257" s="12"/>
      <c r="G257" s="824"/>
      <c r="H257" s="12"/>
      <c r="I257" s="825"/>
      <c r="J257" s="826"/>
      <c r="K257" s="12"/>
      <c r="L257" s="12"/>
      <c r="M257" s="824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spans="1:26" ht="14.25" customHeight="1">
      <c r="A258" s="12"/>
      <c r="B258" s="12"/>
      <c r="C258" s="12"/>
      <c r="D258" s="12"/>
      <c r="E258" s="12"/>
      <c r="F258" s="12"/>
      <c r="G258" s="824"/>
      <c r="H258" s="12"/>
      <c r="I258" s="825"/>
      <c r="J258" s="826"/>
      <c r="K258" s="12"/>
      <c r="L258" s="12"/>
      <c r="M258" s="824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spans="1:26" ht="14.25" customHeight="1">
      <c r="A259" s="12"/>
      <c r="B259" s="12"/>
      <c r="C259" s="12"/>
      <c r="D259" s="12"/>
      <c r="E259" s="12"/>
      <c r="F259" s="12"/>
      <c r="G259" s="824"/>
      <c r="H259" s="12"/>
      <c r="I259" s="825"/>
      <c r="J259" s="826"/>
      <c r="K259" s="12"/>
      <c r="L259" s="12"/>
      <c r="M259" s="824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spans="1:26" ht="14.25" customHeight="1">
      <c r="A260" s="12"/>
      <c r="B260" s="12"/>
      <c r="C260" s="12"/>
      <c r="D260" s="12"/>
      <c r="E260" s="12"/>
      <c r="F260" s="12"/>
      <c r="G260" s="824"/>
      <c r="H260" s="12"/>
      <c r="I260" s="825"/>
      <c r="J260" s="826"/>
      <c r="K260" s="12"/>
      <c r="L260" s="12"/>
      <c r="M260" s="824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spans="1:26" ht="14.25" customHeight="1">
      <c r="A261" s="12"/>
      <c r="B261" s="12"/>
      <c r="C261" s="12"/>
      <c r="D261" s="12"/>
      <c r="E261" s="12"/>
      <c r="F261" s="12"/>
      <c r="G261" s="824"/>
      <c r="H261" s="12"/>
      <c r="I261" s="825"/>
      <c r="J261" s="826"/>
      <c r="K261" s="12"/>
      <c r="L261" s="12"/>
      <c r="M261" s="824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spans="1:26" ht="14.25" customHeight="1">
      <c r="A262" s="12"/>
      <c r="B262" s="12"/>
      <c r="C262" s="12"/>
      <c r="D262" s="12"/>
      <c r="E262" s="12"/>
      <c r="F262" s="12"/>
      <c r="G262" s="824"/>
      <c r="H262" s="12"/>
      <c r="I262" s="825"/>
      <c r="J262" s="826"/>
      <c r="K262" s="12"/>
      <c r="L262" s="12"/>
      <c r="M262" s="824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spans="1:26" ht="14.25" customHeight="1">
      <c r="A263" s="12"/>
      <c r="B263" s="12"/>
      <c r="C263" s="12"/>
      <c r="D263" s="12"/>
      <c r="E263" s="12"/>
      <c r="F263" s="12"/>
      <c r="G263" s="824"/>
      <c r="H263" s="12"/>
      <c r="I263" s="825"/>
      <c r="J263" s="826"/>
      <c r="K263" s="12"/>
      <c r="L263" s="12"/>
      <c r="M263" s="824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spans="1:26" ht="14.25" customHeight="1">
      <c r="A264" s="12"/>
      <c r="B264" s="12"/>
      <c r="C264" s="12"/>
      <c r="D264" s="12"/>
      <c r="E264" s="12"/>
      <c r="F264" s="12"/>
      <c r="G264" s="824"/>
      <c r="H264" s="12"/>
      <c r="I264" s="825"/>
      <c r="J264" s="826"/>
      <c r="K264" s="12"/>
      <c r="L264" s="12"/>
      <c r="M264" s="824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spans="1:26" ht="14.25" customHeight="1">
      <c r="A265" s="12"/>
      <c r="B265" s="12"/>
      <c r="C265" s="12"/>
      <c r="D265" s="12"/>
      <c r="E265" s="12"/>
      <c r="F265" s="12"/>
      <c r="G265" s="824"/>
      <c r="H265" s="12"/>
      <c r="I265" s="825"/>
      <c r="J265" s="826"/>
      <c r="K265" s="12"/>
      <c r="L265" s="12"/>
      <c r="M265" s="824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spans="1:26" ht="14.25" customHeight="1">
      <c r="A266" s="12"/>
      <c r="B266" s="12"/>
      <c r="C266" s="12"/>
      <c r="D266" s="12"/>
      <c r="E266" s="12"/>
      <c r="F266" s="12"/>
      <c r="G266" s="824"/>
      <c r="H266" s="12"/>
      <c r="I266" s="825"/>
      <c r="J266" s="826"/>
      <c r="K266" s="12"/>
      <c r="L266" s="12"/>
      <c r="M266" s="824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spans="1:26" ht="14.25" customHeight="1">
      <c r="A267" s="12"/>
      <c r="B267" s="12"/>
      <c r="C267" s="12"/>
      <c r="D267" s="12"/>
      <c r="E267" s="12"/>
      <c r="F267" s="12"/>
      <c r="G267" s="824"/>
      <c r="H267" s="12"/>
      <c r="I267" s="825"/>
      <c r="J267" s="826"/>
      <c r="K267" s="12"/>
      <c r="L267" s="12"/>
      <c r="M267" s="824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spans="1:26" ht="14.25" customHeight="1">
      <c r="A268" s="12"/>
      <c r="B268" s="12"/>
      <c r="C268" s="12"/>
      <c r="D268" s="12"/>
      <c r="E268" s="12"/>
      <c r="F268" s="12"/>
      <c r="G268" s="824"/>
      <c r="H268" s="12"/>
      <c r="I268" s="825"/>
      <c r="J268" s="826"/>
      <c r="K268" s="12"/>
      <c r="L268" s="12"/>
      <c r="M268" s="824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spans="1:26" ht="14.25" customHeight="1">
      <c r="A269" s="12"/>
      <c r="B269" s="12"/>
      <c r="C269" s="12"/>
      <c r="D269" s="12"/>
      <c r="E269" s="12"/>
      <c r="F269" s="12"/>
      <c r="G269" s="824"/>
      <c r="H269" s="12"/>
      <c r="I269" s="825"/>
      <c r="J269" s="826"/>
      <c r="K269" s="12"/>
      <c r="L269" s="12"/>
      <c r="M269" s="824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spans="1:26" ht="14.25" customHeight="1">
      <c r="A270" s="12"/>
      <c r="B270" s="12"/>
      <c r="C270" s="12"/>
      <c r="D270" s="12"/>
      <c r="E270" s="12"/>
      <c r="F270" s="12"/>
      <c r="G270" s="824"/>
      <c r="H270" s="12"/>
      <c r="I270" s="825"/>
      <c r="J270" s="826"/>
      <c r="K270" s="12"/>
      <c r="L270" s="12"/>
      <c r="M270" s="824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spans="1:26" ht="14.25" customHeight="1">
      <c r="A271" s="12"/>
      <c r="B271" s="12"/>
      <c r="C271" s="12"/>
      <c r="D271" s="12"/>
      <c r="E271" s="12"/>
      <c r="F271" s="12"/>
      <c r="G271" s="824"/>
      <c r="H271" s="12"/>
      <c r="I271" s="825"/>
      <c r="J271" s="826"/>
      <c r="K271" s="12"/>
      <c r="L271" s="12"/>
      <c r="M271" s="824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spans="1:26" ht="14.25" customHeight="1">
      <c r="A272" s="12"/>
      <c r="B272" s="12"/>
      <c r="C272" s="12"/>
      <c r="D272" s="12"/>
      <c r="E272" s="12"/>
      <c r="F272" s="12"/>
      <c r="G272" s="824"/>
      <c r="H272" s="12"/>
      <c r="I272" s="825"/>
      <c r="J272" s="826"/>
      <c r="K272" s="12"/>
      <c r="L272" s="12"/>
      <c r="M272" s="824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spans="1:26" ht="14.25" customHeight="1">
      <c r="A273" s="12"/>
      <c r="B273" s="12"/>
      <c r="C273" s="12"/>
      <c r="D273" s="12"/>
      <c r="E273" s="12"/>
      <c r="F273" s="12"/>
      <c r="G273" s="824"/>
      <c r="H273" s="12"/>
      <c r="I273" s="825"/>
      <c r="J273" s="826"/>
      <c r="K273" s="12"/>
      <c r="L273" s="12"/>
      <c r="M273" s="824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spans="1:26" ht="14.25" customHeight="1">
      <c r="A274" s="12"/>
      <c r="B274" s="12"/>
      <c r="C274" s="12"/>
      <c r="D274" s="12"/>
      <c r="E274" s="12"/>
      <c r="F274" s="12"/>
      <c r="G274" s="824"/>
      <c r="H274" s="12"/>
      <c r="I274" s="825"/>
      <c r="J274" s="826"/>
      <c r="K274" s="12"/>
      <c r="L274" s="12"/>
      <c r="M274" s="824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spans="1:26" ht="14.25" customHeight="1">
      <c r="A275" s="12"/>
      <c r="B275" s="12"/>
      <c r="C275" s="12"/>
      <c r="D275" s="12"/>
      <c r="E275" s="12"/>
      <c r="F275" s="12"/>
      <c r="G275" s="824"/>
      <c r="H275" s="12"/>
      <c r="I275" s="825"/>
      <c r="J275" s="826"/>
      <c r="K275" s="12"/>
      <c r="L275" s="12"/>
      <c r="M275" s="824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spans="1:26" ht="14.25" customHeight="1">
      <c r="A276" s="12"/>
      <c r="B276" s="12"/>
      <c r="C276" s="12"/>
      <c r="D276" s="12"/>
      <c r="E276" s="12"/>
      <c r="F276" s="12"/>
      <c r="G276" s="824"/>
      <c r="H276" s="12"/>
      <c r="I276" s="825"/>
      <c r="J276" s="826"/>
      <c r="K276" s="12"/>
      <c r="L276" s="12"/>
      <c r="M276" s="824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spans="1:26" ht="14.25" customHeight="1">
      <c r="A277" s="12"/>
      <c r="B277" s="12"/>
      <c r="C277" s="12"/>
      <c r="D277" s="12"/>
      <c r="E277" s="12"/>
      <c r="F277" s="12"/>
      <c r="G277" s="824"/>
      <c r="H277" s="12"/>
      <c r="I277" s="825"/>
      <c r="J277" s="826"/>
      <c r="K277" s="12"/>
      <c r="L277" s="12"/>
      <c r="M277" s="824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spans="1:26" ht="14.25" customHeight="1">
      <c r="A278" s="12"/>
      <c r="B278" s="12"/>
      <c r="C278" s="12"/>
      <c r="D278" s="12"/>
      <c r="E278" s="12"/>
      <c r="F278" s="12"/>
      <c r="G278" s="824"/>
      <c r="H278" s="12"/>
      <c r="I278" s="825"/>
      <c r="J278" s="826"/>
      <c r="K278" s="12"/>
      <c r="L278" s="12"/>
      <c r="M278" s="824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spans="1:26" ht="14.25" customHeight="1">
      <c r="A279" s="12"/>
      <c r="B279" s="12"/>
      <c r="C279" s="12"/>
      <c r="D279" s="12"/>
      <c r="E279" s="12"/>
      <c r="F279" s="12"/>
      <c r="G279" s="824"/>
      <c r="H279" s="12"/>
      <c r="I279" s="825"/>
      <c r="J279" s="826"/>
      <c r="K279" s="12"/>
      <c r="L279" s="12"/>
      <c r="M279" s="824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spans="1:26" ht="14.25" customHeight="1">
      <c r="A280" s="12"/>
      <c r="B280" s="12"/>
      <c r="C280" s="12"/>
      <c r="D280" s="12"/>
      <c r="E280" s="12"/>
      <c r="F280" s="12"/>
      <c r="G280" s="824"/>
      <c r="H280" s="12"/>
      <c r="I280" s="825"/>
      <c r="J280" s="826"/>
      <c r="K280" s="12"/>
      <c r="L280" s="12"/>
      <c r="M280" s="824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spans="1:26" ht="14.25" customHeight="1">
      <c r="A281" s="12"/>
      <c r="B281" s="12"/>
      <c r="C281" s="12"/>
      <c r="D281" s="12"/>
      <c r="E281" s="12"/>
      <c r="F281" s="12"/>
      <c r="G281" s="824"/>
      <c r="H281" s="12"/>
      <c r="I281" s="825"/>
      <c r="J281" s="826"/>
      <c r="K281" s="12"/>
      <c r="L281" s="12"/>
      <c r="M281" s="824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spans="1:26" ht="14.25" customHeight="1">
      <c r="A282" s="12"/>
      <c r="B282" s="12"/>
      <c r="C282" s="12"/>
      <c r="D282" s="12"/>
      <c r="E282" s="12"/>
      <c r="F282" s="12"/>
      <c r="G282" s="824"/>
      <c r="H282" s="12"/>
      <c r="I282" s="825"/>
      <c r="J282" s="826"/>
      <c r="K282" s="12"/>
      <c r="L282" s="12"/>
      <c r="M282" s="824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spans="1:26" ht="14.25" customHeight="1">
      <c r="A283" s="12"/>
      <c r="B283" s="12"/>
      <c r="C283" s="12"/>
      <c r="D283" s="12"/>
      <c r="E283" s="12"/>
      <c r="F283" s="12"/>
      <c r="G283" s="824"/>
      <c r="H283" s="12"/>
      <c r="I283" s="825"/>
      <c r="J283" s="826"/>
      <c r="K283" s="12"/>
      <c r="L283" s="12"/>
      <c r="M283" s="824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spans="1:26" ht="14.25" customHeight="1">
      <c r="A284" s="12"/>
      <c r="B284" s="12"/>
      <c r="C284" s="12"/>
      <c r="D284" s="12"/>
      <c r="E284" s="12"/>
      <c r="F284" s="12"/>
      <c r="G284" s="824"/>
      <c r="H284" s="12"/>
      <c r="I284" s="825"/>
      <c r="J284" s="826"/>
      <c r="K284" s="12"/>
      <c r="L284" s="12"/>
      <c r="M284" s="824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spans="1:26" ht="14.25" customHeight="1">
      <c r="A285" s="12"/>
      <c r="B285" s="12"/>
      <c r="C285" s="12"/>
      <c r="D285" s="12"/>
      <c r="E285" s="12"/>
      <c r="F285" s="12"/>
      <c r="G285" s="824"/>
      <c r="H285" s="12"/>
      <c r="I285" s="825"/>
      <c r="J285" s="826"/>
      <c r="K285" s="12"/>
      <c r="L285" s="12"/>
      <c r="M285" s="824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spans="1:26" ht="14.25" customHeight="1">
      <c r="A286" s="12"/>
      <c r="B286" s="12"/>
      <c r="C286" s="12"/>
      <c r="D286" s="12"/>
      <c r="E286" s="12"/>
      <c r="F286" s="12"/>
      <c r="G286" s="824"/>
      <c r="H286" s="12"/>
      <c r="I286" s="825"/>
      <c r="J286" s="826"/>
      <c r="K286" s="12"/>
      <c r="L286" s="12"/>
      <c r="M286" s="824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spans="1:26" ht="14.25" customHeight="1">
      <c r="A287" s="12"/>
      <c r="B287" s="12"/>
      <c r="C287" s="12"/>
      <c r="D287" s="12"/>
      <c r="E287" s="12"/>
      <c r="F287" s="12"/>
      <c r="G287" s="824"/>
      <c r="H287" s="12"/>
      <c r="I287" s="825"/>
      <c r="J287" s="826"/>
      <c r="K287" s="12"/>
      <c r="L287" s="12"/>
      <c r="M287" s="824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spans="1:26" ht="14.25" customHeight="1">
      <c r="A288" s="12"/>
      <c r="B288" s="12"/>
      <c r="C288" s="12"/>
      <c r="D288" s="12"/>
      <c r="E288" s="12"/>
      <c r="F288" s="12"/>
      <c r="G288" s="824"/>
      <c r="H288" s="12"/>
      <c r="I288" s="825"/>
      <c r="J288" s="826"/>
      <c r="K288" s="12"/>
      <c r="L288" s="12"/>
      <c r="M288" s="824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spans="1:26" ht="14.25" customHeight="1">
      <c r="A289" s="12"/>
      <c r="B289" s="12"/>
      <c r="C289" s="12"/>
      <c r="D289" s="12"/>
      <c r="E289" s="12"/>
      <c r="F289" s="12"/>
      <c r="G289" s="824"/>
      <c r="H289" s="12"/>
      <c r="I289" s="825"/>
      <c r="J289" s="826"/>
      <c r="K289" s="12"/>
      <c r="L289" s="12"/>
      <c r="M289" s="824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spans="1:26" ht="14.25" customHeight="1">
      <c r="A290" s="12"/>
      <c r="B290" s="12"/>
      <c r="C290" s="12"/>
      <c r="D290" s="12"/>
      <c r="E290" s="12"/>
      <c r="F290" s="12"/>
      <c r="G290" s="824"/>
      <c r="H290" s="12"/>
      <c r="I290" s="825"/>
      <c r="J290" s="826"/>
      <c r="K290" s="12"/>
      <c r="L290" s="12"/>
      <c r="M290" s="824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spans="1:26" ht="14.25" customHeight="1">
      <c r="A291" s="12"/>
      <c r="B291" s="12"/>
      <c r="C291" s="12"/>
      <c r="D291" s="12"/>
      <c r="E291" s="12"/>
      <c r="F291" s="12"/>
      <c r="G291" s="824"/>
      <c r="H291" s="12"/>
      <c r="I291" s="825"/>
      <c r="J291" s="826"/>
      <c r="K291" s="12"/>
      <c r="L291" s="12"/>
      <c r="M291" s="824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spans="1:26" ht="14.25" customHeight="1">
      <c r="A292" s="12"/>
      <c r="B292" s="12"/>
      <c r="C292" s="12"/>
      <c r="D292" s="12"/>
      <c r="E292" s="12"/>
      <c r="F292" s="12"/>
      <c r="G292" s="824"/>
      <c r="H292" s="12"/>
      <c r="I292" s="825"/>
      <c r="J292" s="826"/>
      <c r="K292" s="12"/>
      <c r="L292" s="12"/>
      <c r="M292" s="824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spans="1:26" ht="14.25" customHeight="1">
      <c r="A293" s="12"/>
      <c r="B293" s="12"/>
      <c r="C293" s="12"/>
      <c r="D293" s="12"/>
      <c r="E293" s="12"/>
      <c r="F293" s="12"/>
      <c r="G293" s="824"/>
      <c r="H293" s="12"/>
      <c r="I293" s="825"/>
      <c r="J293" s="826"/>
      <c r="K293" s="12"/>
      <c r="L293" s="12"/>
      <c r="M293" s="824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spans="1:26" ht="14.25" customHeight="1">
      <c r="A294" s="12"/>
      <c r="B294" s="12"/>
      <c r="C294" s="12"/>
      <c r="D294" s="12"/>
      <c r="E294" s="12"/>
      <c r="F294" s="12"/>
      <c r="G294" s="824"/>
      <c r="H294" s="12"/>
      <c r="I294" s="825"/>
      <c r="J294" s="826"/>
      <c r="K294" s="12"/>
      <c r="L294" s="12"/>
      <c r="M294" s="824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spans="1:26" ht="14.25" customHeight="1">
      <c r="A295" s="12"/>
      <c r="B295" s="12"/>
      <c r="C295" s="12"/>
      <c r="D295" s="12"/>
      <c r="E295" s="12"/>
      <c r="F295" s="12"/>
      <c r="G295" s="824"/>
      <c r="H295" s="12"/>
      <c r="I295" s="825"/>
      <c r="J295" s="826"/>
      <c r="K295" s="12"/>
      <c r="L295" s="12"/>
      <c r="M295" s="824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spans="1:26" ht="14.25" customHeight="1">
      <c r="A296" s="12"/>
      <c r="B296" s="12"/>
      <c r="C296" s="12"/>
      <c r="D296" s="12"/>
      <c r="E296" s="12"/>
      <c r="F296" s="12"/>
      <c r="G296" s="824"/>
      <c r="H296" s="12"/>
      <c r="I296" s="825"/>
      <c r="J296" s="826"/>
      <c r="K296" s="12"/>
      <c r="L296" s="12"/>
      <c r="M296" s="824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spans="1:26" ht="14.25" customHeight="1">
      <c r="A297" s="12"/>
      <c r="B297" s="12"/>
      <c r="C297" s="12"/>
      <c r="D297" s="12"/>
      <c r="E297" s="12"/>
      <c r="F297" s="12"/>
      <c r="G297" s="824"/>
      <c r="H297" s="12"/>
      <c r="I297" s="825"/>
      <c r="J297" s="826"/>
      <c r="K297" s="12"/>
      <c r="L297" s="12"/>
      <c r="M297" s="824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spans="1:26" ht="14.25" customHeight="1">
      <c r="A298" s="12"/>
      <c r="B298" s="12"/>
      <c r="C298" s="12"/>
      <c r="D298" s="12"/>
      <c r="E298" s="12"/>
      <c r="F298" s="12"/>
      <c r="G298" s="824"/>
      <c r="H298" s="12"/>
      <c r="I298" s="825"/>
      <c r="J298" s="826"/>
      <c r="K298" s="12"/>
      <c r="L298" s="12"/>
      <c r="M298" s="824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spans="1:26" ht="14.25" customHeight="1">
      <c r="A299" s="12"/>
      <c r="B299" s="12"/>
      <c r="C299" s="12"/>
      <c r="D299" s="12"/>
      <c r="E299" s="12"/>
      <c r="F299" s="12"/>
      <c r="G299" s="824"/>
      <c r="H299" s="12"/>
      <c r="I299" s="825"/>
      <c r="J299" s="826"/>
      <c r="K299" s="12"/>
      <c r="L299" s="12"/>
      <c r="M299" s="824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spans="1:26" ht="14.25" customHeight="1">
      <c r="A300" s="12"/>
      <c r="B300" s="12"/>
      <c r="C300" s="12"/>
      <c r="D300" s="12"/>
      <c r="E300" s="12"/>
      <c r="F300" s="12"/>
      <c r="G300" s="824"/>
      <c r="H300" s="12"/>
      <c r="I300" s="825"/>
      <c r="J300" s="826"/>
      <c r="K300" s="12"/>
      <c r="L300" s="12"/>
      <c r="M300" s="824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spans="1:26" ht="14.25" customHeight="1">
      <c r="A301" s="12"/>
      <c r="B301" s="12"/>
      <c r="C301" s="12"/>
      <c r="D301" s="12"/>
      <c r="E301" s="12"/>
      <c r="F301" s="12"/>
      <c r="G301" s="824"/>
      <c r="H301" s="12"/>
      <c r="I301" s="825"/>
      <c r="J301" s="826"/>
      <c r="K301" s="12"/>
      <c r="L301" s="12"/>
      <c r="M301" s="824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spans="1:26" ht="14.25" customHeight="1">
      <c r="A302" s="12"/>
      <c r="B302" s="12"/>
      <c r="C302" s="12"/>
      <c r="D302" s="12"/>
      <c r="E302" s="12"/>
      <c r="F302" s="12"/>
      <c r="G302" s="824"/>
      <c r="H302" s="12"/>
      <c r="I302" s="825"/>
      <c r="J302" s="826"/>
      <c r="K302" s="12"/>
      <c r="L302" s="12"/>
      <c r="M302" s="824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spans="1:26" ht="14.25" customHeight="1">
      <c r="A303" s="12"/>
      <c r="B303" s="12"/>
      <c r="C303" s="12"/>
      <c r="D303" s="12"/>
      <c r="E303" s="12"/>
      <c r="F303" s="12"/>
      <c r="G303" s="824"/>
      <c r="H303" s="12"/>
      <c r="I303" s="825"/>
      <c r="J303" s="826"/>
      <c r="K303" s="12"/>
      <c r="L303" s="12"/>
      <c r="M303" s="824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spans="1:26" ht="14.25" customHeight="1">
      <c r="A304" s="12"/>
      <c r="B304" s="12"/>
      <c r="C304" s="12"/>
      <c r="D304" s="12"/>
      <c r="E304" s="12"/>
      <c r="F304" s="12"/>
      <c r="G304" s="824"/>
      <c r="H304" s="12"/>
      <c r="I304" s="825"/>
      <c r="J304" s="826"/>
      <c r="K304" s="12"/>
      <c r="L304" s="12"/>
      <c r="M304" s="824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spans="1:26" ht="14.25" customHeight="1">
      <c r="A305" s="12"/>
      <c r="B305" s="12"/>
      <c r="C305" s="12"/>
      <c r="D305" s="12"/>
      <c r="E305" s="12"/>
      <c r="F305" s="12"/>
      <c r="G305" s="824"/>
      <c r="H305" s="12"/>
      <c r="I305" s="825"/>
      <c r="J305" s="826"/>
      <c r="K305" s="12"/>
      <c r="L305" s="12"/>
      <c r="M305" s="824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spans="1:26" ht="14.25" customHeight="1">
      <c r="A306" s="12"/>
      <c r="B306" s="12"/>
      <c r="C306" s="12"/>
      <c r="D306" s="12"/>
      <c r="E306" s="12"/>
      <c r="F306" s="12"/>
      <c r="G306" s="824"/>
      <c r="H306" s="12"/>
      <c r="I306" s="825"/>
      <c r="J306" s="826"/>
      <c r="K306" s="12"/>
      <c r="L306" s="12"/>
      <c r="M306" s="824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spans="1:26" ht="14.25" customHeight="1">
      <c r="A307" s="12"/>
      <c r="B307" s="12"/>
      <c r="C307" s="12"/>
      <c r="D307" s="12"/>
      <c r="E307" s="12"/>
      <c r="F307" s="12"/>
      <c r="G307" s="824"/>
      <c r="H307" s="12"/>
      <c r="I307" s="825"/>
      <c r="J307" s="826"/>
      <c r="K307" s="12"/>
      <c r="L307" s="12"/>
      <c r="M307" s="824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spans="1:26" ht="14.25" customHeight="1">
      <c r="A308" s="12"/>
      <c r="B308" s="12"/>
      <c r="C308" s="12"/>
      <c r="D308" s="12"/>
      <c r="E308" s="12"/>
      <c r="F308" s="12"/>
      <c r="G308" s="824"/>
      <c r="H308" s="12"/>
      <c r="I308" s="825"/>
      <c r="J308" s="826"/>
      <c r="K308" s="12"/>
      <c r="L308" s="12"/>
      <c r="M308" s="824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spans="1:26" ht="14.25" customHeight="1">
      <c r="A309" s="12"/>
      <c r="B309" s="12"/>
      <c r="C309" s="12"/>
      <c r="D309" s="12"/>
      <c r="E309" s="12"/>
      <c r="F309" s="12"/>
      <c r="G309" s="824"/>
      <c r="H309" s="12"/>
      <c r="I309" s="825"/>
      <c r="J309" s="826"/>
      <c r="K309" s="12"/>
      <c r="L309" s="12"/>
      <c r="M309" s="824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spans="1:26" ht="14.25" customHeight="1">
      <c r="A310" s="12"/>
      <c r="B310" s="12"/>
      <c r="C310" s="12"/>
      <c r="D310" s="12"/>
      <c r="E310" s="12"/>
      <c r="F310" s="12"/>
      <c r="G310" s="824"/>
      <c r="H310" s="12"/>
      <c r="I310" s="825"/>
      <c r="J310" s="826"/>
      <c r="K310" s="12"/>
      <c r="L310" s="12"/>
      <c r="M310" s="824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spans="1:26" ht="14.25" customHeight="1">
      <c r="A311" s="12"/>
      <c r="B311" s="12"/>
      <c r="C311" s="12"/>
      <c r="D311" s="12"/>
      <c r="E311" s="12"/>
      <c r="F311" s="12"/>
      <c r="G311" s="824"/>
      <c r="H311" s="12"/>
      <c r="I311" s="825"/>
      <c r="J311" s="826"/>
      <c r="K311" s="12"/>
      <c r="L311" s="12"/>
      <c r="M311" s="824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spans="1:26" ht="14.25" customHeight="1">
      <c r="A312" s="12"/>
      <c r="B312" s="12"/>
      <c r="C312" s="12"/>
      <c r="D312" s="12"/>
      <c r="E312" s="12"/>
      <c r="F312" s="12"/>
      <c r="G312" s="824"/>
      <c r="H312" s="12"/>
      <c r="I312" s="825"/>
      <c r="J312" s="826"/>
      <c r="K312" s="12"/>
      <c r="L312" s="12"/>
      <c r="M312" s="824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spans="1:26" ht="14.25" customHeight="1">
      <c r="A313" s="12"/>
      <c r="B313" s="12"/>
      <c r="C313" s="12"/>
      <c r="D313" s="12"/>
      <c r="E313" s="12"/>
      <c r="F313" s="12"/>
      <c r="G313" s="824"/>
      <c r="H313" s="12"/>
      <c r="I313" s="825"/>
      <c r="J313" s="826"/>
      <c r="K313" s="12"/>
      <c r="L313" s="12"/>
      <c r="M313" s="824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spans="1:26" ht="14.25" customHeight="1">
      <c r="A314" s="12"/>
      <c r="B314" s="12"/>
      <c r="C314" s="12"/>
      <c r="D314" s="12"/>
      <c r="E314" s="12"/>
      <c r="F314" s="12"/>
      <c r="G314" s="824"/>
      <c r="H314" s="12"/>
      <c r="I314" s="825"/>
      <c r="J314" s="826"/>
      <c r="K314" s="12"/>
      <c r="L314" s="12"/>
      <c r="M314" s="824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spans="1:26" ht="14.25" customHeight="1">
      <c r="A315" s="12"/>
      <c r="B315" s="12"/>
      <c r="C315" s="12"/>
      <c r="D315" s="12"/>
      <c r="E315" s="12"/>
      <c r="F315" s="12"/>
      <c r="G315" s="824"/>
      <c r="H315" s="12"/>
      <c r="I315" s="825"/>
      <c r="J315" s="826"/>
      <c r="K315" s="12"/>
      <c r="L315" s="12"/>
      <c r="M315" s="824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spans="1:26" ht="14.25" customHeight="1">
      <c r="A316" s="12"/>
      <c r="B316" s="12"/>
      <c r="C316" s="12"/>
      <c r="D316" s="12"/>
      <c r="E316" s="12"/>
      <c r="F316" s="12"/>
      <c r="G316" s="824"/>
      <c r="H316" s="12"/>
      <c r="I316" s="825"/>
      <c r="J316" s="826"/>
      <c r="K316" s="12"/>
      <c r="L316" s="12"/>
      <c r="M316" s="824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spans="1:26" ht="14.25" customHeight="1">
      <c r="A317" s="12"/>
      <c r="B317" s="12"/>
      <c r="C317" s="12"/>
      <c r="D317" s="12"/>
      <c r="E317" s="12"/>
      <c r="F317" s="12"/>
      <c r="G317" s="824"/>
      <c r="H317" s="12"/>
      <c r="I317" s="825"/>
      <c r="J317" s="826"/>
      <c r="K317" s="12"/>
      <c r="L317" s="12"/>
      <c r="M317" s="824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spans="1:26" ht="14.25" customHeight="1">
      <c r="A318" s="12"/>
      <c r="B318" s="12"/>
      <c r="C318" s="12"/>
      <c r="D318" s="12"/>
      <c r="E318" s="12"/>
      <c r="F318" s="12"/>
      <c r="G318" s="824"/>
      <c r="H318" s="12"/>
      <c r="I318" s="825"/>
      <c r="J318" s="826"/>
      <c r="K318" s="12"/>
      <c r="L318" s="12"/>
      <c r="M318" s="824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spans="1:26" ht="14.25" customHeight="1">
      <c r="A319" s="12"/>
      <c r="B319" s="12"/>
      <c r="C319" s="12"/>
      <c r="D319" s="12"/>
      <c r="E319" s="12"/>
      <c r="F319" s="12"/>
      <c r="G319" s="824"/>
      <c r="H319" s="12"/>
      <c r="I319" s="825"/>
      <c r="J319" s="826"/>
      <c r="K319" s="12"/>
      <c r="L319" s="12"/>
      <c r="M319" s="824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spans="1:26" ht="14.25" customHeight="1">
      <c r="A320" s="12"/>
      <c r="B320" s="12"/>
      <c r="C320" s="12"/>
      <c r="D320" s="12"/>
      <c r="E320" s="12"/>
      <c r="F320" s="12"/>
      <c r="G320" s="824"/>
      <c r="H320" s="12"/>
      <c r="I320" s="825"/>
      <c r="J320" s="826"/>
      <c r="K320" s="12"/>
      <c r="L320" s="12"/>
      <c r="M320" s="824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spans="1:26" ht="14.25" customHeight="1">
      <c r="A321" s="12"/>
      <c r="B321" s="12"/>
      <c r="C321" s="12"/>
      <c r="D321" s="12"/>
      <c r="E321" s="12"/>
      <c r="F321" s="12"/>
      <c r="G321" s="824"/>
      <c r="H321" s="12"/>
      <c r="I321" s="825"/>
      <c r="J321" s="826"/>
      <c r="K321" s="12"/>
      <c r="L321" s="12"/>
      <c r="M321" s="824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spans="1:26" ht="14.25" customHeight="1">
      <c r="A322" s="12"/>
      <c r="B322" s="12"/>
      <c r="C322" s="12"/>
      <c r="D322" s="12"/>
      <c r="E322" s="12"/>
      <c r="F322" s="12"/>
      <c r="G322" s="824"/>
      <c r="H322" s="12"/>
      <c r="I322" s="825"/>
      <c r="J322" s="826"/>
      <c r="K322" s="12"/>
      <c r="L322" s="12"/>
      <c r="M322" s="824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spans="1:26" ht="14.25" customHeight="1">
      <c r="A323" s="12"/>
      <c r="B323" s="12"/>
      <c r="C323" s="12"/>
      <c r="D323" s="12"/>
      <c r="E323" s="12"/>
      <c r="F323" s="12"/>
      <c r="G323" s="824"/>
      <c r="H323" s="12"/>
      <c r="I323" s="825"/>
      <c r="J323" s="826"/>
      <c r="K323" s="12"/>
      <c r="L323" s="12"/>
      <c r="M323" s="824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spans="1:26" ht="14.25" customHeight="1">
      <c r="A324" s="12"/>
      <c r="B324" s="12"/>
      <c r="C324" s="12"/>
      <c r="D324" s="12"/>
      <c r="E324" s="12"/>
      <c r="F324" s="12"/>
      <c r="G324" s="824"/>
      <c r="H324" s="12"/>
      <c r="I324" s="825"/>
      <c r="J324" s="826"/>
      <c r="K324" s="12"/>
      <c r="L324" s="12"/>
      <c r="M324" s="824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spans="1:26" ht="14.25" customHeight="1">
      <c r="A325" s="12"/>
      <c r="B325" s="12"/>
      <c r="C325" s="12"/>
      <c r="D325" s="12"/>
      <c r="E325" s="12"/>
      <c r="F325" s="12"/>
      <c r="G325" s="824"/>
      <c r="H325" s="12"/>
      <c r="I325" s="825"/>
      <c r="J325" s="826"/>
      <c r="K325" s="12"/>
      <c r="L325" s="12"/>
      <c r="M325" s="824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spans="1:26" ht="14.25" customHeight="1">
      <c r="A326" s="12"/>
      <c r="B326" s="12"/>
      <c r="C326" s="12"/>
      <c r="D326" s="12"/>
      <c r="E326" s="12"/>
      <c r="F326" s="12"/>
      <c r="G326" s="824"/>
      <c r="H326" s="12"/>
      <c r="I326" s="825"/>
      <c r="J326" s="826"/>
      <c r="K326" s="12"/>
      <c r="L326" s="12"/>
      <c r="M326" s="824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spans="1:26" ht="14.25" customHeight="1">
      <c r="A327" s="12"/>
      <c r="B327" s="12"/>
      <c r="C327" s="12"/>
      <c r="D327" s="12"/>
      <c r="E327" s="12"/>
      <c r="F327" s="12"/>
      <c r="G327" s="824"/>
      <c r="H327" s="12"/>
      <c r="I327" s="825"/>
      <c r="J327" s="826"/>
      <c r="K327" s="12"/>
      <c r="L327" s="12"/>
      <c r="M327" s="824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spans="1:26" ht="14.25" customHeight="1">
      <c r="A328" s="12"/>
      <c r="B328" s="12"/>
      <c r="C328" s="12"/>
      <c r="D328" s="12"/>
      <c r="E328" s="12"/>
      <c r="F328" s="12"/>
      <c r="G328" s="824"/>
      <c r="H328" s="12"/>
      <c r="I328" s="825"/>
      <c r="J328" s="826"/>
      <c r="K328" s="12"/>
      <c r="L328" s="12"/>
      <c r="M328" s="824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spans="1:26" ht="14.25" customHeight="1">
      <c r="A329" s="12"/>
      <c r="B329" s="12"/>
      <c r="C329" s="12"/>
      <c r="D329" s="12"/>
      <c r="E329" s="12"/>
      <c r="F329" s="12"/>
      <c r="G329" s="824"/>
      <c r="H329" s="12"/>
      <c r="I329" s="825"/>
      <c r="J329" s="826"/>
      <c r="K329" s="12"/>
      <c r="L329" s="12"/>
      <c r="M329" s="824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spans="1:26" ht="14.25" customHeight="1">
      <c r="A330" s="12"/>
      <c r="B330" s="12"/>
      <c r="C330" s="12"/>
      <c r="D330" s="12"/>
      <c r="E330" s="12"/>
      <c r="F330" s="12"/>
      <c r="G330" s="824"/>
      <c r="H330" s="12"/>
      <c r="I330" s="825"/>
      <c r="J330" s="826"/>
      <c r="K330" s="12"/>
      <c r="L330" s="12"/>
      <c r="M330" s="824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spans="1:26" ht="14.25" customHeight="1">
      <c r="A331" s="12"/>
      <c r="B331" s="12"/>
      <c r="C331" s="12"/>
      <c r="D331" s="12"/>
      <c r="E331" s="12"/>
      <c r="F331" s="12"/>
      <c r="G331" s="824"/>
      <c r="H331" s="12"/>
      <c r="I331" s="825"/>
      <c r="J331" s="826"/>
      <c r="K331" s="12"/>
      <c r="L331" s="12"/>
      <c r="M331" s="824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spans="1:26" ht="14.25" customHeight="1">
      <c r="A332" s="12"/>
      <c r="B332" s="12"/>
      <c r="C332" s="12"/>
      <c r="D332" s="12"/>
      <c r="E332" s="12"/>
      <c r="F332" s="12"/>
      <c r="G332" s="824"/>
      <c r="H332" s="12"/>
      <c r="I332" s="825"/>
      <c r="J332" s="826"/>
      <c r="K332" s="12"/>
      <c r="L332" s="12"/>
      <c r="M332" s="824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spans="1:26" ht="14.25" customHeight="1">
      <c r="A333" s="12"/>
      <c r="B333" s="12"/>
      <c r="C333" s="12"/>
      <c r="D333" s="12"/>
      <c r="E333" s="12"/>
      <c r="F333" s="12"/>
      <c r="G333" s="824"/>
      <c r="H333" s="12"/>
      <c r="I333" s="825"/>
      <c r="J333" s="826"/>
      <c r="K333" s="12"/>
      <c r="L333" s="12"/>
      <c r="M333" s="824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spans="1:26" ht="14.25" customHeight="1">
      <c r="A334" s="12"/>
      <c r="B334" s="12"/>
      <c r="C334" s="12"/>
      <c r="D334" s="12"/>
      <c r="E334" s="12"/>
      <c r="F334" s="12"/>
      <c r="G334" s="824"/>
      <c r="H334" s="12"/>
      <c r="I334" s="825"/>
      <c r="J334" s="826"/>
      <c r="K334" s="12"/>
      <c r="L334" s="12"/>
      <c r="M334" s="824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spans="1:26" ht="14.25" customHeight="1">
      <c r="A335" s="12"/>
      <c r="B335" s="12"/>
      <c r="C335" s="12"/>
      <c r="D335" s="12"/>
      <c r="E335" s="12"/>
      <c r="F335" s="12"/>
      <c r="G335" s="824"/>
      <c r="H335" s="12"/>
      <c r="I335" s="825"/>
      <c r="J335" s="826"/>
      <c r="K335" s="12"/>
      <c r="L335" s="12"/>
      <c r="M335" s="824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spans="1:26" ht="14.25" customHeight="1">
      <c r="A336" s="12"/>
      <c r="B336" s="12"/>
      <c r="C336" s="12"/>
      <c r="D336" s="12"/>
      <c r="E336" s="12"/>
      <c r="F336" s="12"/>
      <c r="G336" s="824"/>
      <c r="H336" s="12"/>
      <c r="I336" s="825"/>
      <c r="J336" s="826"/>
      <c r="K336" s="12"/>
      <c r="L336" s="12"/>
      <c r="M336" s="824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spans="1:26" ht="14.25" customHeight="1">
      <c r="A337" s="12"/>
      <c r="B337" s="12"/>
      <c r="C337" s="12"/>
      <c r="D337" s="12"/>
      <c r="E337" s="12"/>
      <c r="F337" s="12"/>
      <c r="G337" s="824"/>
      <c r="H337" s="12"/>
      <c r="I337" s="825"/>
      <c r="J337" s="826"/>
      <c r="K337" s="12"/>
      <c r="L337" s="12"/>
      <c r="M337" s="824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spans="1:26" ht="14.25" customHeight="1">
      <c r="A338" s="12"/>
      <c r="B338" s="12"/>
      <c r="C338" s="12"/>
      <c r="D338" s="12"/>
      <c r="E338" s="12"/>
      <c r="F338" s="12"/>
      <c r="G338" s="824"/>
      <c r="H338" s="12"/>
      <c r="I338" s="825"/>
      <c r="J338" s="826"/>
      <c r="K338" s="12"/>
      <c r="L338" s="12"/>
      <c r="M338" s="824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spans="1:26" ht="14.25" customHeight="1">
      <c r="A339" s="12"/>
      <c r="B339" s="12"/>
      <c r="C339" s="12"/>
      <c r="D339" s="12"/>
      <c r="E339" s="12"/>
      <c r="F339" s="12"/>
      <c r="G339" s="824"/>
      <c r="H339" s="12"/>
      <c r="I339" s="825"/>
      <c r="J339" s="826"/>
      <c r="K339" s="12"/>
      <c r="L339" s="12"/>
      <c r="M339" s="824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spans="1:26" ht="14.25" customHeight="1">
      <c r="A340" s="12"/>
      <c r="B340" s="12"/>
      <c r="C340" s="12"/>
      <c r="D340" s="12"/>
      <c r="E340" s="12"/>
      <c r="F340" s="12"/>
      <c r="G340" s="824"/>
      <c r="H340" s="12"/>
      <c r="I340" s="825"/>
      <c r="J340" s="826"/>
      <c r="K340" s="12"/>
      <c r="L340" s="12"/>
      <c r="M340" s="824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spans="1:26" ht="14.25" customHeight="1">
      <c r="A341" s="12"/>
      <c r="B341" s="12"/>
      <c r="C341" s="12"/>
      <c r="D341" s="12"/>
      <c r="E341" s="12"/>
      <c r="F341" s="12"/>
      <c r="G341" s="824"/>
      <c r="H341" s="12"/>
      <c r="I341" s="825"/>
      <c r="J341" s="826"/>
      <c r="K341" s="12"/>
      <c r="L341" s="12"/>
      <c r="M341" s="824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spans="1:26" ht="14.25" customHeight="1">
      <c r="A342" s="12"/>
      <c r="B342" s="12"/>
      <c r="C342" s="12"/>
      <c r="D342" s="12"/>
      <c r="E342" s="12"/>
      <c r="F342" s="12"/>
      <c r="G342" s="824"/>
      <c r="H342" s="12"/>
      <c r="I342" s="825"/>
      <c r="J342" s="826"/>
      <c r="K342" s="12"/>
      <c r="L342" s="12"/>
      <c r="M342" s="824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spans="1:26" ht="14.25" customHeight="1">
      <c r="A343" s="12"/>
      <c r="B343" s="12"/>
      <c r="C343" s="12"/>
      <c r="D343" s="12"/>
      <c r="E343" s="12"/>
      <c r="F343" s="12"/>
      <c r="G343" s="824"/>
      <c r="H343" s="12"/>
      <c r="I343" s="825"/>
      <c r="J343" s="826"/>
      <c r="K343" s="12"/>
      <c r="L343" s="12"/>
      <c r="M343" s="824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spans="1:26" ht="14.25" customHeight="1">
      <c r="A344" s="12"/>
      <c r="B344" s="12"/>
      <c r="C344" s="12"/>
      <c r="D344" s="12"/>
      <c r="E344" s="12"/>
      <c r="F344" s="12"/>
      <c r="G344" s="824"/>
      <c r="H344" s="12"/>
      <c r="I344" s="825"/>
      <c r="J344" s="826"/>
      <c r="K344" s="12"/>
      <c r="L344" s="12"/>
      <c r="M344" s="824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spans="1:26" ht="14.25" customHeight="1">
      <c r="A345" s="12"/>
      <c r="B345" s="12"/>
      <c r="C345" s="12"/>
      <c r="D345" s="12"/>
      <c r="E345" s="12"/>
      <c r="F345" s="12"/>
      <c r="G345" s="824"/>
      <c r="H345" s="12"/>
      <c r="I345" s="825"/>
      <c r="J345" s="826"/>
      <c r="K345" s="12"/>
      <c r="L345" s="12"/>
      <c r="M345" s="824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spans="1:26" ht="14.25" customHeight="1">
      <c r="A346" s="12"/>
      <c r="B346" s="12"/>
      <c r="C346" s="12"/>
      <c r="D346" s="12"/>
      <c r="E346" s="12"/>
      <c r="F346" s="12"/>
      <c r="G346" s="824"/>
      <c r="H346" s="12"/>
      <c r="I346" s="825"/>
      <c r="J346" s="826"/>
      <c r="K346" s="12"/>
      <c r="L346" s="12"/>
      <c r="M346" s="824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spans="1:26" ht="14.25" customHeight="1">
      <c r="A347" s="12"/>
      <c r="B347" s="12"/>
      <c r="C347" s="12"/>
      <c r="D347" s="12"/>
      <c r="E347" s="12"/>
      <c r="F347" s="12"/>
      <c r="G347" s="824"/>
      <c r="H347" s="12"/>
      <c r="I347" s="825"/>
      <c r="J347" s="826"/>
      <c r="K347" s="12"/>
      <c r="L347" s="12"/>
      <c r="M347" s="824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spans="1:26" ht="14.25" customHeight="1">
      <c r="A348" s="12"/>
      <c r="B348" s="12"/>
      <c r="C348" s="12"/>
      <c r="D348" s="12"/>
      <c r="E348" s="12"/>
      <c r="F348" s="12"/>
      <c r="G348" s="824"/>
      <c r="H348" s="12"/>
      <c r="I348" s="825"/>
      <c r="J348" s="826"/>
      <c r="K348" s="12"/>
      <c r="L348" s="12"/>
      <c r="M348" s="824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spans="1:26" ht="14.25" customHeight="1">
      <c r="A349" s="12"/>
      <c r="B349" s="12"/>
      <c r="C349" s="12"/>
      <c r="D349" s="12"/>
      <c r="E349" s="12"/>
      <c r="F349" s="12"/>
      <c r="G349" s="824"/>
      <c r="H349" s="12"/>
      <c r="I349" s="825"/>
      <c r="J349" s="826"/>
      <c r="K349" s="12"/>
      <c r="L349" s="12"/>
      <c r="M349" s="824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spans="1:26" ht="14.25" customHeight="1">
      <c r="A350" s="12"/>
      <c r="B350" s="12"/>
      <c r="C350" s="12"/>
      <c r="D350" s="12"/>
      <c r="E350" s="12"/>
      <c r="F350" s="12"/>
      <c r="G350" s="824"/>
      <c r="H350" s="12"/>
      <c r="I350" s="825"/>
      <c r="J350" s="826"/>
      <c r="K350" s="12"/>
      <c r="L350" s="12"/>
      <c r="M350" s="824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spans="1:26" ht="14.25" customHeight="1">
      <c r="A351" s="12"/>
      <c r="B351" s="12"/>
      <c r="C351" s="12"/>
      <c r="D351" s="12"/>
      <c r="E351" s="12"/>
      <c r="F351" s="12"/>
      <c r="G351" s="824"/>
      <c r="H351" s="12"/>
      <c r="I351" s="825"/>
      <c r="J351" s="826"/>
      <c r="K351" s="12"/>
      <c r="L351" s="12"/>
      <c r="M351" s="824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spans="1:26" ht="14.25" customHeight="1">
      <c r="A352" s="12"/>
      <c r="B352" s="12"/>
      <c r="C352" s="12"/>
      <c r="D352" s="12"/>
      <c r="E352" s="12"/>
      <c r="F352" s="12"/>
      <c r="G352" s="824"/>
      <c r="H352" s="12"/>
      <c r="I352" s="825"/>
      <c r="J352" s="826"/>
      <c r="K352" s="12"/>
      <c r="L352" s="12"/>
      <c r="M352" s="824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spans="1:26" ht="14.25" customHeight="1">
      <c r="A353" s="12"/>
      <c r="B353" s="12"/>
      <c r="C353" s="12"/>
      <c r="D353" s="12"/>
      <c r="E353" s="12"/>
      <c r="F353" s="12"/>
      <c r="G353" s="824"/>
      <c r="H353" s="12"/>
      <c r="I353" s="825"/>
      <c r="J353" s="826"/>
      <c r="K353" s="12"/>
      <c r="L353" s="12"/>
      <c r="M353" s="824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spans="1:26" ht="14.25" customHeight="1">
      <c r="A354" s="12"/>
      <c r="B354" s="12"/>
      <c r="C354" s="12"/>
      <c r="D354" s="12"/>
      <c r="E354" s="12"/>
      <c r="F354" s="12"/>
      <c r="G354" s="824"/>
      <c r="H354" s="12"/>
      <c r="I354" s="825"/>
      <c r="J354" s="826"/>
      <c r="K354" s="12"/>
      <c r="L354" s="12"/>
      <c r="M354" s="824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spans="1:26" ht="14.25" customHeight="1">
      <c r="A355" s="12"/>
      <c r="B355" s="12"/>
      <c r="C355" s="12"/>
      <c r="D355" s="12"/>
      <c r="E355" s="12"/>
      <c r="F355" s="12"/>
      <c r="G355" s="824"/>
      <c r="H355" s="12"/>
      <c r="I355" s="825"/>
      <c r="J355" s="826"/>
      <c r="K355" s="12"/>
      <c r="L355" s="12"/>
      <c r="M355" s="824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spans="1:26" ht="14.25" customHeight="1">
      <c r="A356" s="12"/>
      <c r="B356" s="12"/>
      <c r="C356" s="12"/>
      <c r="D356" s="12"/>
      <c r="E356" s="12"/>
      <c r="F356" s="12"/>
      <c r="G356" s="824"/>
      <c r="H356" s="12"/>
      <c r="I356" s="825"/>
      <c r="J356" s="826"/>
      <c r="K356" s="12"/>
      <c r="L356" s="12"/>
      <c r="M356" s="824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spans="1:26" ht="14.25" customHeight="1">
      <c r="A357" s="12"/>
      <c r="B357" s="12"/>
      <c r="C357" s="12"/>
      <c r="D357" s="12"/>
      <c r="E357" s="12"/>
      <c r="F357" s="12"/>
      <c r="G357" s="824"/>
      <c r="H357" s="12"/>
      <c r="I357" s="825"/>
      <c r="J357" s="826"/>
      <c r="K357" s="12"/>
      <c r="L357" s="12"/>
      <c r="M357" s="824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spans="1:26" ht="14.25" customHeight="1">
      <c r="A358" s="12"/>
      <c r="B358" s="12"/>
      <c r="C358" s="12"/>
      <c r="D358" s="12"/>
      <c r="E358" s="12"/>
      <c r="F358" s="12"/>
      <c r="G358" s="824"/>
      <c r="H358" s="12"/>
      <c r="I358" s="825"/>
      <c r="J358" s="826"/>
      <c r="K358" s="12"/>
      <c r="L358" s="12"/>
      <c r="M358" s="824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spans="1:26" ht="14.25" customHeight="1">
      <c r="A359" s="12"/>
      <c r="B359" s="12"/>
      <c r="C359" s="12"/>
      <c r="D359" s="12"/>
      <c r="E359" s="12"/>
      <c r="F359" s="12"/>
      <c r="G359" s="824"/>
      <c r="H359" s="12"/>
      <c r="I359" s="825"/>
      <c r="J359" s="826"/>
      <c r="K359" s="12"/>
      <c r="L359" s="12"/>
      <c r="M359" s="824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spans="1:26" ht="14.25" customHeight="1">
      <c r="A360" s="12"/>
      <c r="B360" s="12"/>
      <c r="C360" s="12"/>
      <c r="D360" s="12"/>
      <c r="E360" s="12"/>
      <c r="F360" s="12"/>
      <c r="G360" s="824"/>
      <c r="H360" s="12"/>
      <c r="I360" s="825"/>
      <c r="J360" s="826"/>
      <c r="K360" s="12"/>
      <c r="L360" s="12"/>
      <c r="M360" s="824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spans="1:26" ht="14.25" customHeight="1">
      <c r="A361" s="12"/>
      <c r="B361" s="12"/>
      <c r="C361" s="12"/>
      <c r="D361" s="12"/>
      <c r="E361" s="12"/>
      <c r="F361" s="12"/>
      <c r="G361" s="824"/>
      <c r="H361" s="12"/>
      <c r="I361" s="825"/>
      <c r="J361" s="826"/>
      <c r="K361" s="12"/>
      <c r="L361" s="12"/>
      <c r="M361" s="824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spans="1:26" ht="14.25" customHeight="1">
      <c r="A362" s="12"/>
      <c r="B362" s="12"/>
      <c r="C362" s="12"/>
      <c r="D362" s="12"/>
      <c r="E362" s="12"/>
      <c r="F362" s="12"/>
      <c r="G362" s="824"/>
      <c r="H362" s="12"/>
      <c r="I362" s="825"/>
      <c r="J362" s="826"/>
      <c r="K362" s="12"/>
      <c r="L362" s="12"/>
      <c r="M362" s="824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spans="1:26" ht="14.25" customHeight="1">
      <c r="A363" s="12"/>
      <c r="B363" s="12"/>
      <c r="C363" s="12"/>
      <c r="D363" s="12"/>
      <c r="E363" s="12"/>
      <c r="F363" s="12"/>
      <c r="G363" s="824"/>
      <c r="H363" s="12"/>
      <c r="I363" s="825"/>
      <c r="J363" s="826"/>
      <c r="K363" s="12"/>
      <c r="L363" s="12"/>
      <c r="M363" s="824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spans="1:26" ht="14.25" customHeight="1">
      <c r="A364" s="12"/>
      <c r="B364" s="12"/>
      <c r="C364" s="12"/>
      <c r="D364" s="12"/>
      <c r="E364" s="12"/>
      <c r="F364" s="12"/>
      <c r="G364" s="824"/>
      <c r="H364" s="12"/>
      <c r="I364" s="825"/>
      <c r="J364" s="826"/>
      <c r="K364" s="12"/>
      <c r="L364" s="12"/>
      <c r="M364" s="824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spans="1:26" ht="14.25" customHeight="1">
      <c r="A365" s="12"/>
      <c r="B365" s="12"/>
      <c r="C365" s="12"/>
      <c r="D365" s="12"/>
      <c r="E365" s="12"/>
      <c r="F365" s="12"/>
      <c r="G365" s="824"/>
      <c r="H365" s="12"/>
      <c r="I365" s="825"/>
      <c r="J365" s="826"/>
      <c r="K365" s="12"/>
      <c r="L365" s="12"/>
      <c r="M365" s="824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spans="1:26" ht="14.25" customHeight="1">
      <c r="A366" s="12"/>
      <c r="B366" s="12"/>
      <c r="C366" s="12"/>
      <c r="D366" s="12"/>
      <c r="E366" s="12"/>
      <c r="F366" s="12"/>
      <c r="G366" s="824"/>
      <c r="H366" s="12"/>
      <c r="I366" s="825"/>
      <c r="J366" s="826"/>
      <c r="K366" s="12"/>
      <c r="L366" s="12"/>
      <c r="M366" s="824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spans="1:26" ht="14.25" customHeight="1">
      <c r="A367" s="12"/>
      <c r="B367" s="12"/>
      <c r="C367" s="12"/>
      <c r="D367" s="12"/>
      <c r="E367" s="12"/>
      <c r="F367" s="12"/>
      <c r="G367" s="824"/>
      <c r="H367" s="12"/>
      <c r="I367" s="825"/>
      <c r="J367" s="826"/>
      <c r="K367" s="12"/>
      <c r="L367" s="12"/>
      <c r="M367" s="824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spans="1:26" ht="14.25" customHeight="1">
      <c r="A368" s="12"/>
      <c r="B368" s="12"/>
      <c r="C368" s="12"/>
      <c r="D368" s="12"/>
      <c r="E368" s="12"/>
      <c r="F368" s="12"/>
      <c r="G368" s="824"/>
      <c r="H368" s="12"/>
      <c r="I368" s="825"/>
      <c r="J368" s="826"/>
      <c r="K368" s="12"/>
      <c r="L368" s="12"/>
      <c r="M368" s="824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spans="1:26" ht="14.25" customHeight="1">
      <c r="A369" s="12"/>
      <c r="B369" s="12"/>
      <c r="C369" s="12"/>
      <c r="D369" s="12"/>
      <c r="E369" s="12"/>
      <c r="F369" s="12"/>
      <c r="G369" s="824"/>
      <c r="H369" s="12"/>
      <c r="I369" s="825"/>
      <c r="J369" s="826"/>
      <c r="K369" s="12"/>
      <c r="L369" s="12"/>
      <c r="M369" s="824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spans="1:26" ht="14.25" customHeight="1">
      <c r="A370" s="12"/>
      <c r="B370" s="12"/>
      <c r="C370" s="12"/>
      <c r="D370" s="12"/>
      <c r="E370" s="12"/>
      <c r="F370" s="12"/>
      <c r="G370" s="824"/>
      <c r="H370" s="12"/>
      <c r="I370" s="825"/>
      <c r="J370" s="826"/>
      <c r="K370" s="12"/>
      <c r="L370" s="12"/>
      <c r="M370" s="824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spans="1:26" ht="14.25" customHeight="1">
      <c r="A371" s="12"/>
      <c r="B371" s="12"/>
      <c r="C371" s="12"/>
      <c r="D371" s="12"/>
      <c r="E371" s="12"/>
      <c r="F371" s="12"/>
      <c r="G371" s="824"/>
      <c r="H371" s="12"/>
      <c r="I371" s="825"/>
      <c r="J371" s="826"/>
      <c r="K371" s="12"/>
      <c r="L371" s="12"/>
      <c r="M371" s="824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spans="1:26" ht="14.25" customHeight="1">
      <c r="A372" s="12"/>
      <c r="B372" s="12"/>
      <c r="C372" s="12"/>
      <c r="D372" s="12"/>
      <c r="E372" s="12"/>
      <c r="F372" s="12"/>
      <c r="G372" s="824"/>
      <c r="H372" s="12"/>
      <c r="I372" s="825"/>
      <c r="J372" s="826"/>
      <c r="K372" s="12"/>
      <c r="L372" s="12"/>
      <c r="M372" s="824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spans="1:26" ht="14.25" customHeight="1">
      <c r="A373" s="12"/>
      <c r="B373" s="12"/>
      <c r="C373" s="12"/>
      <c r="D373" s="12"/>
      <c r="E373" s="12"/>
      <c r="F373" s="12"/>
      <c r="G373" s="824"/>
      <c r="H373" s="12"/>
      <c r="I373" s="825"/>
      <c r="J373" s="826"/>
      <c r="K373" s="12"/>
      <c r="L373" s="12"/>
      <c r="M373" s="824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spans="1:26" ht="14.25" customHeight="1">
      <c r="A374" s="12"/>
      <c r="B374" s="12"/>
      <c r="C374" s="12"/>
      <c r="D374" s="12"/>
      <c r="E374" s="12"/>
      <c r="F374" s="12"/>
      <c r="G374" s="824"/>
      <c r="H374" s="12"/>
      <c r="I374" s="825"/>
      <c r="J374" s="826"/>
      <c r="K374" s="12"/>
      <c r="L374" s="12"/>
      <c r="M374" s="824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spans="1:26" ht="14.25" customHeight="1">
      <c r="A375" s="12"/>
      <c r="B375" s="12"/>
      <c r="C375" s="12"/>
      <c r="D375" s="12"/>
      <c r="E375" s="12"/>
      <c r="F375" s="12"/>
      <c r="G375" s="824"/>
      <c r="H375" s="12"/>
      <c r="I375" s="825"/>
      <c r="J375" s="826"/>
      <c r="K375" s="12"/>
      <c r="L375" s="12"/>
      <c r="M375" s="824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spans="1:26" ht="14.25" customHeight="1">
      <c r="A376" s="12"/>
      <c r="B376" s="12"/>
      <c r="C376" s="12"/>
      <c r="D376" s="12"/>
      <c r="E376" s="12"/>
      <c r="F376" s="12"/>
      <c r="G376" s="824"/>
      <c r="H376" s="12"/>
      <c r="I376" s="825"/>
      <c r="J376" s="826"/>
      <c r="K376" s="12"/>
      <c r="L376" s="12"/>
      <c r="M376" s="824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spans="1:26" ht="14.25" customHeight="1">
      <c r="A377" s="12"/>
      <c r="B377" s="12"/>
      <c r="C377" s="12"/>
      <c r="D377" s="12"/>
      <c r="E377" s="12"/>
      <c r="F377" s="12"/>
      <c r="G377" s="824"/>
      <c r="H377" s="12"/>
      <c r="I377" s="825"/>
      <c r="J377" s="826"/>
      <c r="K377" s="12"/>
      <c r="L377" s="12"/>
      <c r="M377" s="824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spans="1:26" ht="14.25" customHeight="1">
      <c r="A378" s="12"/>
      <c r="B378" s="12"/>
      <c r="C378" s="12"/>
      <c r="D378" s="12"/>
      <c r="E378" s="12"/>
      <c r="F378" s="12"/>
      <c r="G378" s="824"/>
      <c r="H378" s="12"/>
      <c r="I378" s="825"/>
      <c r="J378" s="826"/>
      <c r="K378" s="12"/>
      <c r="L378" s="12"/>
      <c r="M378" s="824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spans="1:26" ht="14.25" customHeight="1">
      <c r="A379" s="12"/>
      <c r="B379" s="12"/>
      <c r="C379" s="12"/>
      <c r="D379" s="12"/>
      <c r="E379" s="12"/>
      <c r="F379" s="12"/>
      <c r="G379" s="824"/>
      <c r="H379" s="12"/>
      <c r="I379" s="825"/>
      <c r="J379" s="826"/>
      <c r="K379" s="12"/>
      <c r="L379" s="12"/>
      <c r="M379" s="824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spans="1:26" ht="14.25" customHeight="1">
      <c r="A380" s="12"/>
      <c r="B380" s="12"/>
      <c r="C380" s="12"/>
      <c r="D380" s="12"/>
      <c r="E380" s="12"/>
      <c r="F380" s="12"/>
      <c r="G380" s="824"/>
      <c r="H380" s="12"/>
      <c r="I380" s="825"/>
      <c r="J380" s="826"/>
      <c r="K380" s="12"/>
      <c r="L380" s="12"/>
      <c r="M380" s="824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spans="1:26" ht="14.25" customHeight="1">
      <c r="A381" s="12"/>
      <c r="B381" s="12"/>
      <c r="C381" s="12"/>
      <c r="D381" s="12"/>
      <c r="E381" s="12"/>
      <c r="F381" s="12"/>
      <c r="G381" s="824"/>
      <c r="H381" s="12"/>
      <c r="I381" s="825"/>
      <c r="J381" s="826"/>
      <c r="K381" s="12"/>
      <c r="L381" s="12"/>
      <c r="M381" s="824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spans="1:26" ht="14.25" customHeight="1">
      <c r="A382" s="12"/>
      <c r="B382" s="12"/>
      <c r="C382" s="12"/>
      <c r="D382" s="12"/>
      <c r="E382" s="12"/>
      <c r="F382" s="12"/>
      <c r="G382" s="824"/>
      <c r="H382" s="12"/>
      <c r="I382" s="825"/>
      <c r="J382" s="826"/>
      <c r="K382" s="12"/>
      <c r="L382" s="12"/>
      <c r="M382" s="824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spans="1:26" ht="14.25" customHeight="1">
      <c r="A383" s="12"/>
      <c r="B383" s="12"/>
      <c r="C383" s="12"/>
      <c r="D383" s="12"/>
      <c r="E383" s="12"/>
      <c r="F383" s="12"/>
      <c r="G383" s="824"/>
      <c r="H383" s="12"/>
      <c r="I383" s="825"/>
      <c r="J383" s="826"/>
      <c r="K383" s="12"/>
      <c r="L383" s="12"/>
      <c r="M383" s="824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spans="1:26" ht="14.25" customHeight="1">
      <c r="A384" s="12"/>
      <c r="B384" s="12"/>
      <c r="C384" s="12"/>
      <c r="D384" s="12"/>
      <c r="E384" s="12"/>
      <c r="F384" s="12"/>
      <c r="G384" s="824"/>
      <c r="H384" s="12"/>
      <c r="I384" s="825"/>
      <c r="J384" s="826"/>
      <c r="K384" s="12"/>
      <c r="L384" s="12"/>
      <c r="M384" s="824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spans="1:26" ht="14.25" customHeight="1">
      <c r="A385" s="12"/>
      <c r="B385" s="12"/>
      <c r="C385" s="12"/>
      <c r="D385" s="12"/>
      <c r="E385" s="12"/>
      <c r="F385" s="12"/>
      <c r="G385" s="824"/>
      <c r="H385" s="12"/>
      <c r="I385" s="825"/>
      <c r="J385" s="826"/>
      <c r="K385" s="12"/>
      <c r="L385" s="12"/>
      <c r="M385" s="824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spans="1:26" ht="14.25" customHeight="1">
      <c r="A386" s="12"/>
      <c r="B386" s="12"/>
      <c r="C386" s="12"/>
      <c r="D386" s="12"/>
      <c r="E386" s="12"/>
      <c r="F386" s="12"/>
      <c r="G386" s="824"/>
      <c r="H386" s="12"/>
      <c r="I386" s="825"/>
      <c r="J386" s="826"/>
      <c r="K386" s="12"/>
      <c r="L386" s="12"/>
      <c r="M386" s="824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spans="1:26" ht="14.25" customHeight="1">
      <c r="A387" s="12"/>
      <c r="B387" s="12"/>
      <c r="C387" s="12"/>
      <c r="D387" s="12"/>
      <c r="E387" s="12"/>
      <c r="F387" s="12"/>
      <c r="G387" s="824"/>
      <c r="H387" s="12"/>
      <c r="I387" s="825"/>
      <c r="J387" s="826"/>
      <c r="K387" s="12"/>
      <c r="L387" s="12"/>
      <c r="M387" s="824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spans="1:26" ht="14.25" customHeight="1">
      <c r="A388" s="12"/>
      <c r="B388" s="12"/>
      <c r="C388" s="12"/>
      <c r="D388" s="12"/>
      <c r="E388" s="12"/>
      <c r="F388" s="12"/>
      <c r="G388" s="824"/>
      <c r="H388" s="12"/>
      <c r="I388" s="825"/>
      <c r="J388" s="826"/>
      <c r="K388" s="12"/>
      <c r="L388" s="12"/>
      <c r="M388" s="824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spans="1:26" ht="14.25" customHeight="1">
      <c r="A389" s="12"/>
      <c r="B389" s="12"/>
      <c r="C389" s="12"/>
      <c r="D389" s="12"/>
      <c r="E389" s="12"/>
      <c r="F389" s="12"/>
      <c r="G389" s="824"/>
      <c r="H389" s="12"/>
      <c r="I389" s="825"/>
      <c r="J389" s="826"/>
      <c r="K389" s="12"/>
      <c r="L389" s="12"/>
      <c r="M389" s="824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spans="1:26" ht="14.25" customHeight="1">
      <c r="A390" s="12"/>
      <c r="B390" s="12"/>
      <c r="C390" s="12"/>
      <c r="D390" s="12"/>
      <c r="E390" s="12"/>
      <c r="F390" s="12"/>
      <c r="G390" s="824"/>
      <c r="H390" s="12"/>
      <c r="I390" s="825"/>
      <c r="J390" s="826"/>
      <c r="K390" s="12"/>
      <c r="L390" s="12"/>
      <c r="M390" s="824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spans="1:26" ht="14.25" customHeight="1">
      <c r="A391" s="12"/>
      <c r="B391" s="12"/>
      <c r="C391" s="12"/>
      <c r="D391" s="12"/>
      <c r="E391" s="12"/>
      <c r="F391" s="12"/>
      <c r="G391" s="824"/>
      <c r="H391" s="12"/>
      <c r="I391" s="825"/>
      <c r="J391" s="826"/>
      <c r="K391" s="12"/>
      <c r="L391" s="12"/>
      <c r="M391" s="824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spans="1:26" ht="14.25" customHeight="1">
      <c r="A392" s="12"/>
      <c r="B392" s="12"/>
      <c r="C392" s="12"/>
      <c r="D392" s="12"/>
      <c r="E392" s="12"/>
      <c r="F392" s="12"/>
      <c r="G392" s="824"/>
      <c r="H392" s="12"/>
      <c r="I392" s="825"/>
      <c r="J392" s="826"/>
      <c r="K392" s="12"/>
      <c r="L392" s="12"/>
      <c r="M392" s="824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spans="1:26" ht="14.25" customHeight="1">
      <c r="A393" s="12"/>
      <c r="B393" s="12"/>
      <c r="C393" s="12"/>
      <c r="D393" s="12"/>
      <c r="E393" s="12"/>
      <c r="F393" s="12"/>
      <c r="G393" s="824"/>
      <c r="H393" s="12"/>
      <c r="I393" s="825"/>
      <c r="J393" s="826"/>
      <c r="K393" s="12"/>
      <c r="L393" s="12"/>
      <c r="M393" s="824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spans="1:26" ht="14.25" customHeight="1">
      <c r="A394" s="12"/>
      <c r="B394" s="12"/>
      <c r="C394" s="12"/>
      <c r="D394" s="12"/>
      <c r="E394" s="12"/>
      <c r="F394" s="12"/>
      <c r="G394" s="824"/>
      <c r="H394" s="12"/>
      <c r="I394" s="825"/>
      <c r="J394" s="826"/>
      <c r="K394" s="12"/>
      <c r="L394" s="12"/>
      <c r="M394" s="824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spans="1:26" ht="14.25" customHeight="1">
      <c r="A395" s="12"/>
      <c r="B395" s="12"/>
      <c r="C395" s="12"/>
      <c r="D395" s="12"/>
      <c r="E395" s="12"/>
      <c r="F395" s="12"/>
      <c r="G395" s="824"/>
      <c r="H395" s="12"/>
      <c r="I395" s="825"/>
      <c r="J395" s="826"/>
      <c r="K395" s="12"/>
      <c r="L395" s="12"/>
      <c r="M395" s="824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spans="1:26" ht="14.25" customHeight="1">
      <c r="A396" s="12"/>
      <c r="B396" s="12"/>
      <c r="C396" s="12"/>
      <c r="D396" s="12"/>
      <c r="E396" s="12"/>
      <c r="F396" s="12"/>
      <c r="G396" s="824"/>
      <c r="H396" s="12"/>
      <c r="I396" s="825"/>
      <c r="J396" s="826"/>
      <c r="K396" s="12"/>
      <c r="L396" s="12"/>
      <c r="M396" s="824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spans="1:26" ht="14.25" customHeight="1">
      <c r="A397" s="12"/>
      <c r="B397" s="12"/>
      <c r="C397" s="12"/>
      <c r="D397" s="12"/>
      <c r="E397" s="12"/>
      <c r="F397" s="12"/>
      <c r="G397" s="824"/>
      <c r="H397" s="12"/>
      <c r="I397" s="825"/>
      <c r="J397" s="826"/>
      <c r="K397" s="12"/>
      <c r="L397" s="12"/>
      <c r="M397" s="824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spans="1:26" ht="14.25" customHeight="1">
      <c r="A398" s="12"/>
      <c r="B398" s="12"/>
      <c r="C398" s="12"/>
      <c r="D398" s="12"/>
      <c r="E398" s="12"/>
      <c r="F398" s="12"/>
      <c r="G398" s="824"/>
      <c r="H398" s="12"/>
      <c r="I398" s="825"/>
      <c r="J398" s="826"/>
      <c r="K398" s="12"/>
      <c r="L398" s="12"/>
      <c r="M398" s="824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spans="1:26" ht="14.25" customHeight="1">
      <c r="A399" s="12"/>
      <c r="B399" s="12"/>
      <c r="C399" s="12"/>
      <c r="D399" s="12"/>
      <c r="E399" s="12"/>
      <c r="F399" s="12"/>
      <c r="G399" s="824"/>
      <c r="H399" s="12"/>
      <c r="I399" s="825"/>
      <c r="J399" s="826"/>
      <c r="K399" s="12"/>
      <c r="L399" s="12"/>
      <c r="M399" s="824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spans="1:26" ht="14.25" customHeight="1">
      <c r="A400" s="12"/>
      <c r="B400" s="12"/>
      <c r="C400" s="12"/>
      <c r="D400" s="12"/>
      <c r="E400" s="12"/>
      <c r="F400" s="12"/>
      <c r="G400" s="824"/>
      <c r="H400" s="12"/>
      <c r="I400" s="825"/>
      <c r="J400" s="826"/>
      <c r="K400" s="12"/>
      <c r="L400" s="12"/>
      <c r="M400" s="824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spans="1:26" ht="14.25" customHeight="1">
      <c r="A401" s="12"/>
      <c r="B401" s="12"/>
      <c r="C401" s="12"/>
      <c r="D401" s="12"/>
      <c r="E401" s="12"/>
      <c r="F401" s="12"/>
      <c r="G401" s="824"/>
      <c r="H401" s="12"/>
      <c r="I401" s="825"/>
      <c r="J401" s="826"/>
      <c r="K401" s="12"/>
      <c r="L401" s="12"/>
      <c r="M401" s="824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spans="1:26" ht="14.25" customHeight="1">
      <c r="A402" s="12"/>
      <c r="B402" s="12"/>
      <c r="C402" s="12"/>
      <c r="D402" s="12"/>
      <c r="E402" s="12"/>
      <c r="F402" s="12"/>
      <c r="G402" s="824"/>
      <c r="H402" s="12"/>
      <c r="I402" s="825"/>
      <c r="J402" s="826"/>
      <c r="K402" s="12"/>
      <c r="L402" s="12"/>
      <c r="M402" s="824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spans="1:26" ht="14.25" customHeight="1">
      <c r="A403" s="12"/>
      <c r="B403" s="12"/>
      <c r="C403" s="12"/>
      <c r="D403" s="12"/>
      <c r="E403" s="12"/>
      <c r="F403" s="12"/>
      <c r="G403" s="824"/>
      <c r="H403" s="12"/>
      <c r="I403" s="825"/>
      <c r="J403" s="826"/>
      <c r="K403" s="12"/>
      <c r="L403" s="12"/>
      <c r="M403" s="824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spans="1:26" ht="14.25" customHeight="1">
      <c r="A404" s="12"/>
      <c r="B404" s="12"/>
      <c r="C404" s="12"/>
      <c r="D404" s="12"/>
      <c r="E404" s="12"/>
      <c r="F404" s="12"/>
      <c r="G404" s="824"/>
      <c r="H404" s="12"/>
      <c r="I404" s="825"/>
      <c r="J404" s="826"/>
      <c r="K404" s="12"/>
      <c r="L404" s="12"/>
      <c r="M404" s="824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spans="1:26" ht="14.25" customHeight="1">
      <c r="A405" s="12"/>
      <c r="B405" s="12"/>
      <c r="C405" s="12"/>
      <c r="D405" s="12"/>
      <c r="E405" s="12"/>
      <c r="F405" s="12"/>
      <c r="G405" s="824"/>
      <c r="H405" s="12"/>
      <c r="I405" s="825"/>
      <c r="J405" s="826"/>
      <c r="K405" s="12"/>
      <c r="L405" s="12"/>
      <c r="M405" s="824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spans="1:26" ht="14.25" customHeight="1">
      <c r="A406" s="12"/>
      <c r="B406" s="12"/>
      <c r="C406" s="12"/>
      <c r="D406" s="12"/>
      <c r="E406" s="12"/>
      <c r="F406" s="12"/>
      <c r="G406" s="824"/>
      <c r="H406" s="12"/>
      <c r="I406" s="825"/>
      <c r="J406" s="826"/>
      <c r="K406" s="12"/>
      <c r="L406" s="12"/>
      <c r="M406" s="824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spans="1:26" ht="14.25" customHeight="1">
      <c r="A407" s="12"/>
      <c r="B407" s="12"/>
      <c r="C407" s="12"/>
      <c r="D407" s="12"/>
      <c r="E407" s="12"/>
      <c r="F407" s="12"/>
      <c r="G407" s="824"/>
      <c r="H407" s="12"/>
      <c r="I407" s="825"/>
      <c r="J407" s="826"/>
      <c r="K407" s="12"/>
      <c r="L407" s="12"/>
      <c r="M407" s="824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spans="1:26" ht="14.25" customHeight="1">
      <c r="A408" s="12"/>
      <c r="B408" s="12"/>
      <c r="C408" s="12"/>
      <c r="D408" s="12"/>
      <c r="E408" s="12"/>
      <c r="F408" s="12"/>
      <c r="G408" s="824"/>
      <c r="H408" s="12"/>
      <c r="I408" s="825"/>
      <c r="J408" s="826"/>
      <c r="K408" s="12"/>
      <c r="L408" s="12"/>
      <c r="M408" s="824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spans="1:26" ht="14.25" customHeight="1">
      <c r="A409" s="12"/>
      <c r="B409" s="12"/>
      <c r="C409" s="12"/>
      <c r="D409" s="12"/>
      <c r="E409" s="12"/>
      <c r="F409" s="12"/>
      <c r="G409" s="824"/>
      <c r="H409" s="12"/>
      <c r="I409" s="825"/>
      <c r="J409" s="826"/>
      <c r="K409" s="12"/>
      <c r="L409" s="12"/>
      <c r="M409" s="824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spans="1:26" ht="14.25" customHeight="1">
      <c r="A410" s="12"/>
      <c r="B410" s="12"/>
      <c r="C410" s="12"/>
      <c r="D410" s="12"/>
      <c r="E410" s="12"/>
      <c r="F410" s="12"/>
      <c r="G410" s="824"/>
      <c r="H410" s="12"/>
      <c r="I410" s="825"/>
      <c r="J410" s="826"/>
      <c r="K410" s="12"/>
      <c r="L410" s="12"/>
      <c r="M410" s="824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spans="1:26" ht="14.25" customHeight="1">
      <c r="A411" s="12"/>
      <c r="B411" s="12"/>
      <c r="C411" s="12"/>
      <c r="D411" s="12"/>
      <c r="E411" s="12"/>
      <c r="F411" s="12"/>
      <c r="G411" s="824"/>
      <c r="H411" s="12"/>
      <c r="I411" s="825"/>
      <c r="J411" s="826"/>
      <c r="K411" s="12"/>
      <c r="L411" s="12"/>
      <c r="M411" s="824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spans="1:26" ht="14.25" customHeight="1">
      <c r="A412" s="12"/>
      <c r="B412" s="12"/>
      <c r="C412" s="12"/>
      <c r="D412" s="12"/>
      <c r="E412" s="12"/>
      <c r="F412" s="12"/>
      <c r="G412" s="824"/>
      <c r="H412" s="12"/>
      <c r="I412" s="825"/>
      <c r="J412" s="826"/>
      <c r="K412" s="12"/>
      <c r="L412" s="12"/>
      <c r="M412" s="824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spans="1:26" ht="14.25" customHeight="1">
      <c r="A413" s="12"/>
      <c r="B413" s="12"/>
      <c r="C413" s="12"/>
      <c r="D413" s="12"/>
      <c r="E413" s="12"/>
      <c r="F413" s="12"/>
      <c r="G413" s="824"/>
      <c r="H413" s="12"/>
      <c r="I413" s="825"/>
      <c r="J413" s="826"/>
      <c r="K413" s="12"/>
      <c r="L413" s="12"/>
      <c r="M413" s="824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spans="1:26" ht="14.25" customHeight="1">
      <c r="A414" s="12"/>
      <c r="B414" s="12"/>
      <c r="C414" s="12"/>
      <c r="D414" s="12"/>
      <c r="E414" s="12"/>
      <c r="F414" s="12"/>
      <c r="G414" s="824"/>
      <c r="H414" s="12"/>
      <c r="I414" s="825"/>
      <c r="J414" s="826"/>
      <c r="K414" s="12"/>
      <c r="L414" s="12"/>
      <c r="M414" s="824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spans="1:26" ht="14.25" customHeight="1">
      <c r="A415" s="12"/>
      <c r="B415" s="12"/>
      <c r="C415" s="12"/>
      <c r="D415" s="12"/>
      <c r="E415" s="12"/>
      <c r="F415" s="12"/>
      <c r="G415" s="824"/>
      <c r="H415" s="12"/>
      <c r="I415" s="825"/>
      <c r="J415" s="826"/>
      <c r="K415" s="12"/>
      <c r="L415" s="12"/>
      <c r="M415" s="824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spans="1:26" ht="14.25" customHeight="1">
      <c r="A416" s="12"/>
      <c r="B416" s="12"/>
      <c r="C416" s="12"/>
      <c r="D416" s="12"/>
      <c r="E416" s="12"/>
      <c r="F416" s="12"/>
      <c r="G416" s="824"/>
      <c r="H416" s="12"/>
      <c r="I416" s="825"/>
      <c r="J416" s="826"/>
      <c r="K416" s="12"/>
      <c r="L416" s="12"/>
      <c r="M416" s="824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spans="1:26" ht="14.25" customHeight="1">
      <c r="A417" s="12"/>
      <c r="B417" s="12"/>
      <c r="C417" s="12"/>
      <c r="D417" s="12"/>
      <c r="E417" s="12"/>
      <c r="F417" s="12"/>
      <c r="G417" s="824"/>
      <c r="H417" s="12"/>
      <c r="I417" s="825"/>
      <c r="J417" s="826"/>
      <c r="K417" s="12"/>
      <c r="L417" s="12"/>
      <c r="M417" s="824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spans="1:26" ht="14.25" customHeight="1">
      <c r="A418" s="12"/>
      <c r="B418" s="12"/>
      <c r="C418" s="12"/>
      <c r="D418" s="12"/>
      <c r="E418" s="12"/>
      <c r="F418" s="12"/>
      <c r="G418" s="824"/>
      <c r="H418" s="12"/>
      <c r="I418" s="825"/>
      <c r="J418" s="826"/>
      <c r="K418" s="12"/>
      <c r="L418" s="12"/>
      <c r="M418" s="824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spans="1:26" ht="14.25" customHeight="1">
      <c r="A419" s="12"/>
      <c r="B419" s="12"/>
      <c r="C419" s="12"/>
      <c r="D419" s="12"/>
      <c r="E419" s="12"/>
      <c r="F419" s="12"/>
      <c r="G419" s="824"/>
      <c r="H419" s="12"/>
      <c r="I419" s="825"/>
      <c r="J419" s="826"/>
      <c r="K419" s="12"/>
      <c r="L419" s="12"/>
      <c r="M419" s="824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spans="1:26" ht="14.25" customHeight="1">
      <c r="A420" s="12"/>
      <c r="B420" s="12"/>
      <c r="C420" s="12"/>
      <c r="D420" s="12"/>
      <c r="E420" s="12"/>
      <c r="F420" s="12"/>
      <c r="G420" s="824"/>
      <c r="H420" s="12"/>
      <c r="I420" s="825"/>
      <c r="J420" s="826"/>
      <c r="K420" s="12"/>
      <c r="L420" s="12"/>
      <c r="M420" s="824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spans="1:26" ht="14.25" customHeight="1">
      <c r="A421" s="12"/>
      <c r="B421" s="12"/>
      <c r="C421" s="12"/>
      <c r="D421" s="12"/>
      <c r="E421" s="12"/>
      <c r="F421" s="12"/>
      <c r="G421" s="824"/>
      <c r="H421" s="12"/>
      <c r="I421" s="825"/>
      <c r="J421" s="826"/>
      <c r="K421" s="12"/>
      <c r="L421" s="12"/>
      <c r="M421" s="824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spans="1:26" ht="14.25" customHeight="1">
      <c r="A422" s="12"/>
      <c r="B422" s="12"/>
      <c r="C422" s="12"/>
      <c r="D422" s="12"/>
      <c r="E422" s="12"/>
      <c r="F422" s="12"/>
      <c r="G422" s="824"/>
      <c r="H422" s="12"/>
      <c r="I422" s="825"/>
      <c r="J422" s="826"/>
      <c r="K422" s="12"/>
      <c r="L422" s="12"/>
      <c r="M422" s="824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spans="1:26" ht="14.25" customHeight="1">
      <c r="A423" s="12"/>
      <c r="B423" s="12"/>
      <c r="C423" s="12"/>
      <c r="D423" s="12"/>
      <c r="E423" s="12"/>
      <c r="F423" s="12"/>
      <c r="G423" s="824"/>
      <c r="H423" s="12"/>
      <c r="I423" s="825"/>
      <c r="J423" s="826"/>
      <c r="K423" s="12"/>
      <c r="L423" s="12"/>
      <c r="M423" s="824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spans="1:26" ht="14.25" customHeight="1">
      <c r="A424" s="12"/>
      <c r="B424" s="12"/>
      <c r="C424" s="12"/>
      <c r="D424" s="12"/>
      <c r="E424" s="12"/>
      <c r="F424" s="12"/>
      <c r="G424" s="824"/>
      <c r="H424" s="12"/>
      <c r="I424" s="825"/>
      <c r="J424" s="826"/>
      <c r="K424" s="12"/>
      <c r="L424" s="12"/>
      <c r="M424" s="824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spans="1:26" ht="14.25" customHeight="1">
      <c r="A425" s="12"/>
      <c r="B425" s="12"/>
      <c r="C425" s="12"/>
      <c r="D425" s="12"/>
      <c r="E425" s="12"/>
      <c r="F425" s="12"/>
      <c r="G425" s="824"/>
      <c r="H425" s="12"/>
      <c r="I425" s="825"/>
      <c r="J425" s="826"/>
      <c r="K425" s="12"/>
      <c r="L425" s="12"/>
      <c r="M425" s="824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spans="1:26" ht="14.25" customHeight="1">
      <c r="A426" s="12"/>
      <c r="B426" s="12"/>
      <c r="C426" s="12"/>
      <c r="D426" s="12"/>
      <c r="E426" s="12"/>
      <c r="F426" s="12"/>
      <c r="G426" s="824"/>
      <c r="H426" s="12"/>
      <c r="I426" s="825"/>
      <c r="J426" s="826"/>
      <c r="K426" s="12"/>
      <c r="L426" s="12"/>
      <c r="M426" s="824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spans="1:26" ht="14.25" customHeight="1">
      <c r="A427" s="12"/>
      <c r="B427" s="12"/>
      <c r="C427" s="12"/>
      <c r="D427" s="12"/>
      <c r="E427" s="12"/>
      <c r="F427" s="12"/>
      <c r="G427" s="824"/>
      <c r="H427" s="12"/>
      <c r="I427" s="825"/>
      <c r="J427" s="826"/>
      <c r="K427" s="12"/>
      <c r="L427" s="12"/>
      <c r="M427" s="824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spans="1:26" ht="14.25" customHeight="1">
      <c r="A428" s="12"/>
      <c r="B428" s="12"/>
      <c r="C428" s="12"/>
      <c r="D428" s="12"/>
      <c r="E428" s="12"/>
      <c r="F428" s="12"/>
      <c r="G428" s="824"/>
      <c r="H428" s="12"/>
      <c r="I428" s="825"/>
      <c r="J428" s="826"/>
      <c r="K428" s="12"/>
      <c r="L428" s="12"/>
      <c r="M428" s="824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spans="1:26" ht="14.25" customHeight="1">
      <c r="A429" s="12"/>
      <c r="B429" s="12"/>
      <c r="C429" s="12"/>
      <c r="D429" s="12"/>
      <c r="E429" s="12"/>
      <c r="F429" s="12"/>
      <c r="G429" s="824"/>
      <c r="H429" s="12"/>
      <c r="I429" s="825"/>
      <c r="J429" s="826"/>
      <c r="K429" s="12"/>
      <c r="L429" s="12"/>
      <c r="M429" s="824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spans="1:26" ht="14.25" customHeight="1">
      <c r="A430" s="12"/>
      <c r="B430" s="12"/>
      <c r="C430" s="12"/>
      <c r="D430" s="12"/>
      <c r="E430" s="12"/>
      <c r="F430" s="12"/>
      <c r="G430" s="824"/>
      <c r="H430" s="12"/>
      <c r="I430" s="825"/>
      <c r="J430" s="826"/>
      <c r="K430" s="12"/>
      <c r="L430" s="12"/>
      <c r="M430" s="824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spans="1:26" ht="14.25" customHeight="1">
      <c r="A431" s="12"/>
      <c r="B431" s="12"/>
      <c r="C431" s="12"/>
      <c r="D431" s="12"/>
      <c r="E431" s="12"/>
      <c r="F431" s="12"/>
      <c r="G431" s="824"/>
      <c r="H431" s="12"/>
      <c r="I431" s="825"/>
      <c r="J431" s="826"/>
      <c r="K431" s="12"/>
      <c r="L431" s="12"/>
      <c r="M431" s="824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spans="1:26" ht="14.25" customHeight="1">
      <c r="A432" s="12"/>
      <c r="B432" s="12"/>
      <c r="C432" s="12"/>
      <c r="D432" s="12"/>
      <c r="E432" s="12"/>
      <c r="F432" s="12"/>
      <c r="G432" s="824"/>
      <c r="H432" s="12"/>
      <c r="I432" s="825"/>
      <c r="J432" s="826"/>
      <c r="K432" s="12"/>
      <c r="L432" s="12"/>
      <c r="M432" s="824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spans="1:26" ht="14.25" customHeight="1">
      <c r="A433" s="12"/>
      <c r="B433" s="12"/>
      <c r="C433" s="12"/>
      <c r="D433" s="12"/>
      <c r="E433" s="12"/>
      <c r="F433" s="12"/>
      <c r="G433" s="824"/>
      <c r="H433" s="12"/>
      <c r="I433" s="825"/>
      <c r="J433" s="826"/>
      <c r="K433" s="12"/>
      <c r="L433" s="12"/>
      <c r="M433" s="824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spans="1:26" ht="14.25" customHeight="1">
      <c r="A434" s="12"/>
      <c r="B434" s="12"/>
      <c r="C434" s="12"/>
      <c r="D434" s="12"/>
      <c r="E434" s="12"/>
      <c r="F434" s="12"/>
      <c r="G434" s="824"/>
      <c r="H434" s="12"/>
      <c r="I434" s="825"/>
      <c r="J434" s="826"/>
      <c r="K434" s="12"/>
      <c r="L434" s="12"/>
      <c r="M434" s="824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spans="1:26" ht="14.25" customHeight="1">
      <c r="A435" s="12"/>
      <c r="B435" s="12"/>
      <c r="C435" s="12"/>
      <c r="D435" s="12"/>
      <c r="E435" s="12"/>
      <c r="F435" s="12"/>
      <c r="G435" s="824"/>
      <c r="H435" s="12"/>
      <c r="I435" s="825"/>
      <c r="J435" s="826"/>
      <c r="K435" s="12"/>
      <c r="L435" s="12"/>
      <c r="M435" s="824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spans="1:26" ht="14.25" customHeight="1">
      <c r="A436" s="12"/>
      <c r="B436" s="12"/>
      <c r="C436" s="12"/>
      <c r="D436" s="12"/>
      <c r="E436" s="12"/>
      <c r="F436" s="12"/>
      <c r="G436" s="824"/>
      <c r="H436" s="12"/>
      <c r="I436" s="825"/>
      <c r="J436" s="826"/>
      <c r="K436" s="12"/>
      <c r="L436" s="12"/>
      <c r="M436" s="824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spans="1:26" ht="14.25" customHeight="1">
      <c r="A437" s="12"/>
      <c r="B437" s="12"/>
      <c r="C437" s="12"/>
      <c r="D437" s="12"/>
      <c r="E437" s="12"/>
      <c r="F437" s="12"/>
      <c r="G437" s="824"/>
      <c r="H437" s="12"/>
      <c r="I437" s="825"/>
      <c r="J437" s="826"/>
      <c r="K437" s="12"/>
      <c r="L437" s="12"/>
      <c r="M437" s="824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spans="1:26" ht="14.25" customHeight="1">
      <c r="A438" s="12"/>
      <c r="B438" s="12"/>
      <c r="C438" s="12"/>
      <c r="D438" s="12"/>
      <c r="E438" s="12"/>
      <c r="F438" s="12"/>
      <c r="G438" s="824"/>
      <c r="H438" s="12"/>
      <c r="I438" s="825"/>
      <c r="J438" s="826"/>
      <c r="K438" s="12"/>
      <c r="L438" s="12"/>
      <c r="M438" s="824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spans="1:26" ht="14.25" customHeight="1">
      <c r="A439" s="12"/>
      <c r="B439" s="12"/>
      <c r="C439" s="12"/>
      <c r="D439" s="12"/>
      <c r="E439" s="12"/>
      <c r="F439" s="12"/>
      <c r="G439" s="824"/>
      <c r="H439" s="12"/>
      <c r="I439" s="825"/>
      <c r="J439" s="826"/>
      <c r="K439" s="12"/>
      <c r="L439" s="12"/>
      <c r="M439" s="824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spans="1:26" ht="14.25" customHeight="1">
      <c r="A440" s="12"/>
      <c r="B440" s="12"/>
      <c r="C440" s="12"/>
      <c r="D440" s="12"/>
      <c r="E440" s="12"/>
      <c r="F440" s="12"/>
      <c r="G440" s="824"/>
      <c r="H440" s="12"/>
      <c r="I440" s="825"/>
      <c r="J440" s="826"/>
      <c r="K440" s="12"/>
      <c r="L440" s="12"/>
      <c r="M440" s="824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spans="1:26" ht="14.25" customHeight="1">
      <c r="A441" s="12"/>
      <c r="B441" s="12"/>
      <c r="C441" s="12"/>
      <c r="D441" s="12"/>
      <c r="E441" s="12"/>
      <c r="F441" s="12"/>
      <c r="G441" s="824"/>
      <c r="H441" s="12"/>
      <c r="I441" s="825"/>
      <c r="J441" s="826"/>
      <c r="K441" s="12"/>
      <c r="L441" s="12"/>
      <c r="M441" s="824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spans="1:26" ht="14.25" customHeight="1">
      <c r="A442" s="12"/>
      <c r="B442" s="12"/>
      <c r="C442" s="12"/>
      <c r="D442" s="12"/>
      <c r="E442" s="12"/>
      <c r="F442" s="12"/>
      <c r="G442" s="824"/>
      <c r="H442" s="12"/>
      <c r="I442" s="825"/>
      <c r="J442" s="826"/>
      <c r="K442" s="12"/>
      <c r="L442" s="12"/>
      <c r="M442" s="824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spans="1:26" ht="14.25" customHeight="1">
      <c r="A443" s="12"/>
      <c r="B443" s="12"/>
      <c r="C443" s="12"/>
      <c r="D443" s="12"/>
      <c r="E443" s="12"/>
      <c r="F443" s="12"/>
      <c r="G443" s="824"/>
      <c r="H443" s="12"/>
      <c r="I443" s="825"/>
      <c r="J443" s="826"/>
      <c r="K443" s="12"/>
      <c r="L443" s="12"/>
      <c r="M443" s="824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spans="1:26" ht="14.25" customHeight="1">
      <c r="A444" s="12"/>
      <c r="B444" s="12"/>
      <c r="C444" s="12"/>
      <c r="D444" s="12"/>
      <c r="E444" s="12"/>
      <c r="F444" s="12"/>
      <c r="G444" s="824"/>
      <c r="H444" s="12"/>
      <c r="I444" s="825"/>
      <c r="J444" s="826"/>
      <c r="K444" s="12"/>
      <c r="L444" s="12"/>
      <c r="M444" s="824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spans="1:26" ht="14.25" customHeight="1">
      <c r="A445" s="12"/>
      <c r="B445" s="12"/>
      <c r="C445" s="12"/>
      <c r="D445" s="12"/>
      <c r="E445" s="12"/>
      <c r="F445" s="12"/>
      <c r="G445" s="824"/>
      <c r="H445" s="12"/>
      <c r="I445" s="825"/>
      <c r="J445" s="826"/>
      <c r="K445" s="12"/>
      <c r="L445" s="12"/>
      <c r="M445" s="824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spans="1:26" ht="14.25" customHeight="1">
      <c r="A446" s="12"/>
      <c r="B446" s="12"/>
      <c r="C446" s="12"/>
      <c r="D446" s="12"/>
      <c r="E446" s="12"/>
      <c r="F446" s="12"/>
      <c r="G446" s="824"/>
      <c r="H446" s="12"/>
      <c r="I446" s="825"/>
      <c r="J446" s="826"/>
      <c r="K446" s="12"/>
      <c r="L446" s="12"/>
      <c r="M446" s="824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spans="1:26" ht="14.25" customHeight="1">
      <c r="A447" s="12"/>
      <c r="B447" s="12"/>
      <c r="C447" s="12"/>
      <c r="D447" s="12"/>
      <c r="E447" s="12"/>
      <c r="F447" s="12"/>
      <c r="G447" s="824"/>
      <c r="H447" s="12"/>
      <c r="I447" s="825"/>
      <c r="J447" s="826"/>
      <c r="K447" s="12"/>
      <c r="L447" s="12"/>
      <c r="M447" s="824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spans="1:26" ht="14.25" customHeight="1">
      <c r="A448" s="12"/>
      <c r="B448" s="12"/>
      <c r="C448" s="12"/>
      <c r="D448" s="12"/>
      <c r="E448" s="12"/>
      <c r="F448" s="12"/>
      <c r="G448" s="824"/>
      <c r="H448" s="12"/>
      <c r="I448" s="825"/>
      <c r="J448" s="826"/>
      <c r="K448" s="12"/>
      <c r="L448" s="12"/>
      <c r="M448" s="824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spans="1:26" ht="14.25" customHeight="1">
      <c r="A449" s="12"/>
      <c r="B449" s="12"/>
      <c r="C449" s="12"/>
      <c r="D449" s="12"/>
      <c r="E449" s="12"/>
      <c r="F449" s="12"/>
      <c r="G449" s="824"/>
      <c r="H449" s="12"/>
      <c r="I449" s="825"/>
      <c r="J449" s="826"/>
      <c r="K449" s="12"/>
      <c r="L449" s="12"/>
      <c r="M449" s="824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spans="1:26" ht="14.25" customHeight="1">
      <c r="A450" s="12"/>
      <c r="B450" s="12"/>
      <c r="C450" s="12"/>
      <c r="D450" s="12"/>
      <c r="E450" s="12"/>
      <c r="F450" s="12"/>
      <c r="G450" s="824"/>
      <c r="H450" s="12"/>
      <c r="I450" s="825"/>
      <c r="J450" s="826"/>
      <c r="K450" s="12"/>
      <c r="L450" s="12"/>
      <c r="M450" s="824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spans="1:26" ht="14.25" customHeight="1">
      <c r="A451" s="12"/>
      <c r="B451" s="12"/>
      <c r="C451" s="12"/>
      <c r="D451" s="12"/>
      <c r="E451" s="12"/>
      <c r="F451" s="12"/>
      <c r="G451" s="824"/>
      <c r="H451" s="12"/>
      <c r="I451" s="825"/>
      <c r="J451" s="826"/>
      <c r="K451" s="12"/>
      <c r="L451" s="12"/>
      <c r="M451" s="824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spans="1:26" ht="14.25" customHeight="1">
      <c r="A452" s="12"/>
      <c r="B452" s="12"/>
      <c r="C452" s="12"/>
      <c r="D452" s="12"/>
      <c r="E452" s="12"/>
      <c r="F452" s="12"/>
      <c r="G452" s="824"/>
      <c r="H452" s="12"/>
      <c r="I452" s="825"/>
      <c r="J452" s="826"/>
      <c r="K452" s="12"/>
      <c r="L452" s="12"/>
      <c r="M452" s="824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spans="1:26" ht="14.25" customHeight="1">
      <c r="A453" s="12"/>
      <c r="B453" s="12"/>
      <c r="C453" s="12"/>
      <c r="D453" s="12"/>
      <c r="E453" s="12"/>
      <c r="F453" s="12"/>
      <c r="G453" s="824"/>
      <c r="H453" s="12"/>
      <c r="I453" s="825"/>
      <c r="J453" s="826"/>
      <c r="K453" s="12"/>
      <c r="L453" s="12"/>
      <c r="M453" s="824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spans="1:26" ht="14.25" customHeight="1">
      <c r="A454" s="12"/>
      <c r="B454" s="12"/>
      <c r="C454" s="12"/>
      <c r="D454" s="12"/>
      <c r="E454" s="12"/>
      <c r="F454" s="12"/>
      <c r="G454" s="824"/>
      <c r="H454" s="12"/>
      <c r="I454" s="825"/>
      <c r="J454" s="826"/>
      <c r="K454" s="12"/>
      <c r="L454" s="12"/>
      <c r="M454" s="824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spans="1:26" ht="14.25" customHeight="1">
      <c r="A455" s="12"/>
      <c r="B455" s="12"/>
      <c r="C455" s="12"/>
      <c r="D455" s="12"/>
      <c r="E455" s="12"/>
      <c r="F455" s="12"/>
      <c r="G455" s="824"/>
      <c r="H455" s="12"/>
      <c r="I455" s="825"/>
      <c r="J455" s="826"/>
      <c r="K455" s="12"/>
      <c r="L455" s="12"/>
      <c r="M455" s="824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spans="1:26" ht="14.25" customHeight="1">
      <c r="A456" s="12"/>
      <c r="B456" s="12"/>
      <c r="C456" s="12"/>
      <c r="D456" s="12"/>
      <c r="E456" s="12"/>
      <c r="F456" s="12"/>
      <c r="G456" s="824"/>
      <c r="H456" s="12"/>
      <c r="I456" s="825"/>
      <c r="J456" s="826"/>
      <c r="K456" s="12"/>
      <c r="L456" s="12"/>
      <c r="M456" s="824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spans="1:26" ht="14.25" customHeight="1">
      <c r="A457" s="12"/>
      <c r="B457" s="12"/>
      <c r="C457" s="12"/>
      <c r="D457" s="12"/>
      <c r="E457" s="12"/>
      <c r="F457" s="12"/>
      <c r="G457" s="824"/>
      <c r="H457" s="12"/>
      <c r="I457" s="825"/>
      <c r="J457" s="826"/>
      <c r="K457" s="12"/>
      <c r="L457" s="12"/>
      <c r="M457" s="824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spans="1:26" ht="14.25" customHeight="1">
      <c r="A458" s="12"/>
      <c r="B458" s="12"/>
      <c r="C458" s="12"/>
      <c r="D458" s="12"/>
      <c r="E458" s="12"/>
      <c r="F458" s="12"/>
      <c r="G458" s="824"/>
      <c r="H458" s="12"/>
      <c r="I458" s="825"/>
      <c r="J458" s="826"/>
      <c r="K458" s="12"/>
      <c r="L458" s="12"/>
      <c r="M458" s="824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spans="1:26" ht="14.25" customHeight="1">
      <c r="A459" s="12"/>
      <c r="B459" s="12"/>
      <c r="C459" s="12"/>
      <c r="D459" s="12"/>
      <c r="E459" s="12"/>
      <c r="F459" s="12"/>
      <c r="G459" s="824"/>
      <c r="H459" s="12"/>
      <c r="I459" s="825"/>
      <c r="J459" s="826"/>
      <c r="K459" s="12"/>
      <c r="L459" s="12"/>
      <c r="M459" s="824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spans="1:26" ht="14.25" customHeight="1">
      <c r="A460" s="12"/>
      <c r="B460" s="12"/>
      <c r="C460" s="12"/>
      <c r="D460" s="12"/>
      <c r="E460" s="12"/>
      <c r="F460" s="12"/>
      <c r="G460" s="824"/>
      <c r="H460" s="12"/>
      <c r="I460" s="825"/>
      <c r="J460" s="826"/>
      <c r="K460" s="12"/>
      <c r="L460" s="12"/>
      <c r="M460" s="824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spans="1:26" ht="14.25" customHeight="1">
      <c r="A461" s="12"/>
      <c r="B461" s="12"/>
      <c r="C461" s="12"/>
      <c r="D461" s="12"/>
      <c r="E461" s="12"/>
      <c r="F461" s="12"/>
      <c r="G461" s="824"/>
      <c r="H461" s="12"/>
      <c r="I461" s="825"/>
      <c r="J461" s="826"/>
      <c r="K461" s="12"/>
      <c r="L461" s="12"/>
      <c r="M461" s="824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spans="1:26" ht="14.25" customHeight="1">
      <c r="A462" s="12"/>
      <c r="B462" s="12"/>
      <c r="C462" s="12"/>
      <c r="D462" s="12"/>
      <c r="E462" s="12"/>
      <c r="F462" s="12"/>
      <c r="G462" s="824"/>
      <c r="H462" s="12"/>
      <c r="I462" s="825"/>
      <c r="J462" s="826"/>
      <c r="K462" s="12"/>
      <c r="L462" s="12"/>
      <c r="M462" s="824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spans="1:26" ht="14.25" customHeight="1">
      <c r="A463" s="12"/>
      <c r="B463" s="12"/>
      <c r="C463" s="12"/>
      <c r="D463" s="12"/>
      <c r="E463" s="12"/>
      <c r="F463" s="12"/>
      <c r="G463" s="824"/>
      <c r="H463" s="12"/>
      <c r="I463" s="825"/>
      <c r="J463" s="826"/>
      <c r="K463" s="12"/>
      <c r="L463" s="12"/>
      <c r="M463" s="824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spans="1:26" ht="14.25" customHeight="1">
      <c r="A464" s="12"/>
      <c r="B464" s="12"/>
      <c r="C464" s="12"/>
      <c r="D464" s="12"/>
      <c r="E464" s="12"/>
      <c r="F464" s="12"/>
      <c r="G464" s="824"/>
      <c r="H464" s="12"/>
      <c r="I464" s="825"/>
      <c r="J464" s="826"/>
      <c r="K464" s="12"/>
      <c r="L464" s="12"/>
      <c r="M464" s="824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spans="1:26" ht="14.25" customHeight="1">
      <c r="A465" s="12"/>
      <c r="B465" s="12"/>
      <c r="C465" s="12"/>
      <c r="D465" s="12"/>
      <c r="E465" s="12"/>
      <c r="F465" s="12"/>
      <c r="G465" s="824"/>
      <c r="H465" s="12"/>
      <c r="I465" s="825"/>
      <c r="J465" s="826"/>
      <c r="K465" s="12"/>
      <c r="L465" s="12"/>
      <c r="M465" s="824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spans="1:26" ht="14.25" customHeight="1">
      <c r="A466" s="12"/>
      <c r="B466" s="12"/>
      <c r="C466" s="12"/>
      <c r="D466" s="12"/>
      <c r="E466" s="12"/>
      <c r="F466" s="12"/>
      <c r="G466" s="824"/>
      <c r="H466" s="12"/>
      <c r="I466" s="825"/>
      <c r="J466" s="826"/>
      <c r="K466" s="12"/>
      <c r="L466" s="12"/>
      <c r="M466" s="824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spans="1:26" ht="14.25" customHeight="1">
      <c r="A467" s="12"/>
      <c r="B467" s="12"/>
      <c r="C467" s="12"/>
      <c r="D467" s="12"/>
      <c r="E467" s="12"/>
      <c r="F467" s="12"/>
      <c r="G467" s="824"/>
      <c r="H467" s="12"/>
      <c r="I467" s="825"/>
      <c r="J467" s="826"/>
      <c r="K467" s="12"/>
      <c r="L467" s="12"/>
      <c r="M467" s="824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spans="1:26" ht="14.25" customHeight="1">
      <c r="A468" s="12"/>
      <c r="B468" s="12"/>
      <c r="C468" s="12"/>
      <c r="D468" s="12"/>
      <c r="E468" s="12"/>
      <c r="F468" s="12"/>
      <c r="G468" s="824"/>
      <c r="H468" s="12"/>
      <c r="I468" s="825"/>
      <c r="J468" s="826"/>
      <c r="K468" s="12"/>
      <c r="L468" s="12"/>
      <c r="M468" s="824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spans="1:26" ht="14.25" customHeight="1">
      <c r="A469" s="12"/>
      <c r="B469" s="12"/>
      <c r="C469" s="12"/>
      <c r="D469" s="12"/>
      <c r="E469" s="12"/>
      <c r="F469" s="12"/>
      <c r="G469" s="824"/>
      <c r="H469" s="12"/>
      <c r="I469" s="825"/>
      <c r="J469" s="826"/>
      <c r="K469" s="12"/>
      <c r="L469" s="12"/>
      <c r="M469" s="824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spans="1:26" ht="14.25" customHeight="1">
      <c r="A470" s="12"/>
      <c r="B470" s="12"/>
      <c r="C470" s="12"/>
      <c r="D470" s="12"/>
      <c r="E470" s="12"/>
      <c r="F470" s="12"/>
      <c r="G470" s="824"/>
      <c r="H470" s="12"/>
      <c r="I470" s="825"/>
      <c r="J470" s="826"/>
      <c r="K470" s="12"/>
      <c r="L470" s="12"/>
      <c r="M470" s="824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spans="1:26" ht="14.25" customHeight="1">
      <c r="A471" s="12"/>
      <c r="B471" s="12"/>
      <c r="C471" s="12"/>
      <c r="D471" s="12"/>
      <c r="E471" s="12"/>
      <c r="F471" s="12"/>
      <c r="G471" s="824"/>
      <c r="H471" s="12"/>
      <c r="I471" s="825"/>
      <c r="J471" s="826"/>
      <c r="K471" s="12"/>
      <c r="L471" s="12"/>
      <c r="M471" s="824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spans="1:26" ht="14.25" customHeight="1">
      <c r="A472" s="12"/>
      <c r="B472" s="12"/>
      <c r="C472" s="12"/>
      <c r="D472" s="12"/>
      <c r="E472" s="12"/>
      <c r="F472" s="12"/>
      <c r="G472" s="824"/>
      <c r="H472" s="12"/>
      <c r="I472" s="825"/>
      <c r="J472" s="826"/>
      <c r="K472" s="12"/>
      <c r="L472" s="12"/>
      <c r="M472" s="824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spans="1:26" ht="14.25" customHeight="1">
      <c r="A473" s="12"/>
      <c r="B473" s="12"/>
      <c r="C473" s="12"/>
      <c r="D473" s="12"/>
      <c r="E473" s="12"/>
      <c r="F473" s="12"/>
      <c r="G473" s="824"/>
      <c r="H473" s="12"/>
      <c r="I473" s="825"/>
      <c r="J473" s="826"/>
      <c r="K473" s="12"/>
      <c r="L473" s="12"/>
      <c r="M473" s="824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spans="1:26" ht="14.25" customHeight="1">
      <c r="A474" s="12"/>
      <c r="B474" s="12"/>
      <c r="C474" s="12"/>
      <c r="D474" s="12"/>
      <c r="E474" s="12"/>
      <c r="F474" s="12"/>
      <c r="G474" s="824"/>
      <c r="H474" s="12"/>
      <c r="I474" s="825"/>
      <c r="J474" s="826"/>
      <c r="K474" s="12"/>
      <c r="L474" s="12"/>
      <c r="M474" s="824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spans="1:26" ht="14.25" customHeight="1">
      <c r="A475" s="12"/>
      <c r="B475" s="12"/>
      <c r="C475" s="12"/>
      <c r="D475" s="12"/>
      <c r="E475" s="12"/>
      <c r="F475" s="12"/>
      <c r="G475" s="824"/>
      <c r="H475" s="12"/>
      <c r="I475" s="825"/>
      <c r="J475" s="826"/>
      <c r="K475" s="12"/>
      <c r="L475" s="12"/>
      <c r="M475" s="824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spans="1:26" ht="14.25" customHeight="1">
      <c r="A476" s="12"/>
      <c r="B476" s="12"/>
      <c r="C476" s="12"/>
      <c r="D476" s="12"/>
      <c r="E476" s="12"/>
      <c r="F476" s="12"/>
      <c r="G476" s="824"/>
      <c r="H476" s="12"/>
      <c r="I476" s="825"/>
      <c r="J476" s="826"/>
      <c r="K476" s="12"/>
      <c r="L476" s="12"/>
      <c r="M476" s="824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spans="1:26" ht="14.25" customHeight="1">
      <c r="A477" s="12"/>
      <c r="B477" s="12"/>
      <c r="C477" s="12"/>
      <c r="D477" s="12"/>
      <c r="E477" s="12"/>
      <c r="F477" s="12"/>
      <c r="G477" s="824"/>
      <c r="H477" s="12"/>
      <c r="I477" s="825"/>
      <c r="J477" s="826"/>
      <c r="K477" s="12"/>
      <c r="L477" s="12"/>
      <c r="M477" s="824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spans="1:26" ht="14.25" customHeight="1">
      <c r="A478" s="12"/>
      <c r="B478" s="12"/>
      <c r="C478" s="12"/>
      <c r="D478" s="12"/>
      <c r="E478" s="12"/>
      <c r="F478" s="12"/>
      <c r="G478" s="824"/>
      <c r="H478" s="12"/>
      <c r="I478" s="825"/>
      <c r="J478" s="826"/>
      <c r="K478" s="12"/>
      <c r="L478" s="12"/>
      <c r="M478" s="824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spans="1:26" ht="14.25" customHeight="1">
      <c r="A479" s="12"/>
      <c r="B479" s="12"/>
      <c r="C479" s="12"/>
      <c r="D479" s="12"/>
      <c r="E479" s="12"/>
      <c r="F479" s="12"/>
      <c r="G479" s="824"/>
      <c r="H479" s="12"/>
      <c r="I479" s="825"/>
      <c r="J479" s="826"/>
      <c r="K479" s="12"/>
      <c r="L479" s="12"/>
      <c r="M479" s="824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spans="1:26" ht="14.25" customHeight="1">
      <c r="A480" s="12"/>
      <c r="B480" s="12"/>
      <c r="C480" s="12"/>
      <c r="D480" s="12"/>
      <c r="E480" s="12"/>
      <c r="F480" s="12"/>
      <c r="G480" s="824"/>
      <c r="H480" s="12"/>
      <c r="I480" s="825"/>
      <c r="J480" s="826"/>
      <c r="K480" s="12"/>
      <c r="L480" s="12"/>
      <c r="M480" s="824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spans="1:26" ht="14.25" customHeight="1">
      <c r="A481" s="12"/>
      <c r="B481" s="12"/>
      <c r="C481" s="12"/>
      <c r="D481" s="12"/>
      <c r="E481" s="12"/>
      <c r="F481" s="12"/>
      <c r="G481" s="824"/>
      <c r="H481" s="12"/>
      <c r="I481" s="825"/>
      <c r="J481" s="826"/>
      <c r="K481" s="12"/>
      <c r="L481" s="12"/>
      <c r="M481" s="824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spans="1:26" ht="14.25" customHeight="1">
      <c r="A482" s="12"/>
      <c r="B482" s="12"/>
      <c r="C482" s="12"/>
      <c r="D482" s="12"/>
      <c r="E482" s="12"/>
      <c r="F482" s="12"/>
      <c r="G482" s="824"/>
      <c r="H482" s="12"/>
      <c r="I482" s="825"/>
      <c r="J482" s="826"/>
      <c r="K482" s="12"/>
      <c r="L482" s="12"/>
      <c r="M482" s="824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spans="1:26" ht="14.25" customHeight="1">
      <c r="A483" s="12"/>
      <c r="B483" s="12"/>
      <c r="C483" s="12"/>
      <c r="D483" s="12"/>
      <c r="E483" s="12"/>
      <c r="F483" s="12"/>
      <c r="G483" s="824"/>
      <c r="H483" s="12"/>
      <c r="I483" s="825"/>
      <c r="J483" s="826"/>
      <c r="K483" s="12"/>
      <c r="L483" s="12"/>
      <c r="M483" s="824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spans="1:26" ht="14.25" customHeight="1">
      <c r="A484" s="12"/>
      <c r="B484" s="12"/>
      <c r="C484" s="12"/>
      <c r="D484" s="12"/>
      <c r="E484" s="12"/>
      <c r="F484" s="12"/>
      <c r="G484" s="824"/>
      <c r="H484" s="12"/>
      <c r="I484" s="825"/>
      <c r="J484" s="826"/>
      <c r="K484" s="12"/>
      <c r="L484" s="12"/>
      <c r="M484" s="824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spans="1:26" ht="14.25" customHeight="1">
      <c r="A485" s="12"/>
      <c r="B485" s="12"/>
      <c r="C485" s="12"/>
      <c r="D485" s="12"/>
      <c r="E485" s="12"/>
      <c r="F485" s="12"/>
      <c r="G485" s="824"/>
      <c r="H485" s="12"/>
      <c r="I485" s="825"/>
      <c r="J485" s="826"/>
      <c r="K485" s="12"/>
      <c r="L485" s="12"/>
      <c r="M485" s="824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spans="1:26" ht="14.25" customHeight="1">
      <c r="A486" s="12"/>
      <c r="B486" s="12"/>
      <c r="C486" s="12"/>
      <c r="D486" s="12"/>
      <c r="E486" s="12"/>
      <c r="F486" s="12"/>
      <c r="G486" s="824"/>
      <c r="H486" s="12"/>
      <c r="I486" s="825"/>
      <c r="J486" s="826"/>
      <c r="K486" s="12"/>
      <c r="L486" s="12"/>
      <c r="M486" s="824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spans="1:26" ht="14.25" customHeight="1">
      <c r="A487" s="12"/>
      <c r="B487" s="12"/>
      <c r="C487" s="12"/>
      <c r="D487" s="12"/>
      <c r="E487" s="12"/>
      <c r="F487" s="12"/>
      <c r="G487" s="824"/>
      <c r="H487" s="12"/>
      <c r="I487" s="825"/>
      <c r="J487" s="826"/>
      <c r="K487" s="12"/>
      <c r="L487" s="12"/>
      <c r="M487" s="824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spans="1:26" ht="14.25" customHeight="1">
      <c r="A488" s="12"/>
      <c r="B488" s="12"/>
      <c r="C488" s="12"/>
      <c r="D488" s="12"/>
      <c r="E488" s="12"/>
      <c r="F488" s="12"/>
      <c r="G488" s="824"/>
      <c r="H488" s="12"/>
      <c r="I488" s="825"/>
      <c r="J488" s="826"/>
      <c r="K488" s="12"/>
      <c r="L488" s="12"/>
      <c r="M488" s="824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spans="1:26" ht="14.25" customHeight="1">
      <c r="A489" s="12"/>
      <c r="B489" s="12"/>
      <c r="C489" s="12"/>
      <c r="D489" s="12"/>
      <c r="E489" s="12"/>
      <c r="F489" s="12"/>
      <c r="G489" s="824"/>
      <c r="H489" s="12"/>
      <c r="I489" s="825"/>
      <c r="J489" s="826"/>
      <c r="K489" s="12"/>
      <c r="L489" s="12"/>
      <c r="M489" s="824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spans="1:26" ht="14.25" customHeight="1">
      <c r="A490" s="12"/>
      <c r="B490" s="12"/>
      <c r="C490" s="12"/>
      <c r="D490" s="12"/>
      <c r="E490" s="12"/>
      <c r="F490" s="12"/>
      <c r="G490" s="824"/>
      <c r="H490" s="12"/>
      <c r="I490" s="825"/>
      <c r="J490" s="826"/>
      <c r="K490" s="12"/>
      <c r="L490" s="12"/>
      <c r="M490" s="824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spans="1:26" ht="14.25" customHeight="1">
      <c r="A491" s="12"/>
      <c r="B491" s="12"/>
      <c r="C491" s="12"/>
      <c r="D491" s="12"/>
      <c r="E491" s="12"/>
      <c r="F491" s="12"/>
      <c r="G491" s="824"/>
      <c r="H491" s="12"/>
      <c r="I491" s="825"/>
      <c r="J491" s="826"/>
      <c r="K491" s="12"/>
      <c r="L491" s="12"/>
      <c r="M491" s="824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spans="1:26" ht="14.25" customHeight="1">
      <c r="A492" s="12"/>
      <c r="B492" s="12"/>
      <c r="C492" s="12"/>
      <c r="D492" s="12"/>
      <c r="E492" s="12"/>
      <c r="F492" s="12"/>
      <c r="G492" s="824"/>
      <c r="H492" s="12"/>
      <c r="I492" s="825"/>
      <c r="J492" s="826"/>
      <c r="K492" s="12"/>
      <c r="L492" s="12"/>
      <c r="M492" s="824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spans="1:26" ht="14.25" customHeight="1">
      <c r="A493" s="12"/>
      <c r="B493" s="12"/>
      <c r="C493" s="12"/>
      <c r="D493" s="12"/>
      <c r="E493" s="12"/>
      <c r="F493" s="12"/>
      <c r="G493" s="824"/>
      <c r="H493" s="12"/>
      <c r="I493" s="825"/>
      <c r="J493" s="826"/>
      <c r="K493" s="12"/>
      <c r="L493" s="12"/>
      <c r="M493" s="824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spans="1:26" ht="14.25" customHeight="1">
      <c r="A494" s="12"/>
      <c r="B494" s="12"/>
      <c r="C494" s="12"/>
      <c r="D494" s="12"/>
      <c r="E494" s="12"/>
      <c r="F494" s="12"/>
      <c r="G494" s="824"/>
      <c r="H494" s="12"/>
      <c r="I494" s="825"/>
      <c r="J494" s="826"/>
      <c r="K494" s="12"/>
      <c r="L494" s="12"/>
      <c r="M494" s="824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spans="1:26" ht="14.25" customHeight="1">
      <c r="A495" s="12"/>
      <c r="B495" s="12"/>
      <c r="C495" s="12"/>
      <c r="D495" s="12"/>
      <c r="E495" s="12"/>
      <c r="F495" s="12"/>
      <c r="G495" s="824"/>
      <c r="H495" s="12"/>
      <c r="I495" s="825"/>
      <c r="J495" s="826"/>
      <c r="K495" s="12"/>
      <c r="L495" s="12"/>
      <c r="M495" s="824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spans="1:26" ht="14.25" customHeight="1">
      <c r="A496" s="12"/>
      <c r="B496" s="12"/>
      <c r="C496" s="12"/>
      <c r="D496" s="12"/>
      <c r="E496" s="12"/>
      <c r="F496" s="12"/>
      <c r="G496" s="824"/>
      <c r="H496" s="12"/>
      <c r="I496" s="825"/>
      <c r="J496" s="826"/>
      <c r="K496" s="12"/>
      <c r="L496" s="12"/>
      <c r="M496" s="824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spans="1:26" ht="14.25" customHeight="1">
      <c r="A497" s="12"/>
      <c r="B497" s="12"/>
      <c r="C497" s="12"/>
      <c r="D497" s="12"/>
      <c r="E497" s="12"/>
      <c r="F497" s="12"/>
      <c r="G497" s="824"/>
      <c r="H497" s="12"/>
      <c r="I497" s="825"/>
      <c r="J497" s="826"/>
      <c r="K497" s="12"/>
      <c r="L497" s="12"/>
      <c r="M497" s="824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spans="1:26" ht="14.25" customHeight="1">
      <c r="A498" s="12"/>
      <c r="B498" s="12"/>
      <c r="C498" s="12"/>
      <c r="D498" s="12"/>
      <c r="E498" s="12"/>
      <c r="F498" s="12"/>
      <c r="G498" s="824"/>
      <c r="H498" s="12"/>
      <c r="I498" s="825"/>
      <c r="J498" s="826"/>
      <c r="K498" s="12"/>
      <c r="L498" s="12"/>
      <c r="M498" s="824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spans="1:26" ht="14.25" customHeight="1">
      <c r="A499" s="12"/>
      <c r="B499" s="12"/>
      <c r="C499" s="12"/>
      <c r="D499" s="12"/>
      <c r="E499" s="12"/>
      <c r="F499" s="12"/>
      <c r="G499" s="824"/>
      <c r="H499" s="12"/>
      <c r="I499" s="825"/>
      <c r="J499" s="826"/>
      <c r="K499" s="12"/>
      <c r="L499" s="12"/>
      <c r="M499" s="824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spans="1:26" ht="14.25" customHeight="1">
      <c r="A500" s="12"/>
      <c r="B500" s="12"/>
      <c r="C500" s="12"/>
      <c r="D500" s="12"/>
      <c r="E500" s="12"/>
      <c r="F500" s="12"/>
      <c r="G500" s="824"/>
      <c r="H500" s="12"/>
      <c r="I500" s="825"/>
      <c r="J500" s="826"/>
      <c r="K500" s="12"/>
      <c r="L500" s="12"/>
      <c r="M500" s="824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spans="1:26" ht="14.25" customHeight="1">
      <c r="A501" s="12"/>
      <c r="B501" s="12"/>
      <c r="C501" s="12"/>
      <c r="D501" s="12"/>
      <c r="E501" s="12"/>
      <c r="F501" s="12"/>
      <c r="G501" s="824"/>
      <c r="H501" s="12"/>
      <c r="I501" s="825"/>
      <c r="J501" s="826"/>
      <c r="K501" s="12"/>
      <c r="L501" s="12"/>
      <c r="M501" s="824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spans="1:26" ht="14.25" customHeight="1">
      <c r="A502" s="12"/>
      <c r="B502" s="12"/>
      <c r="C502" s="12"/>
      <c r="D502" s="12"/>
      <c r="E502" s="12"/>
      <c r="F502" s="12"/>
      <c r="G502" s="824"/>
      <c r="H502" s="12"/>
      <c r="I502" s="825"/>
      <c r="J502" s="826"/>
      <c r="K502" s="12"/>
      <c r="L502" s="12"/>
      <c r="M502" s="824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spans="1:26" ht="14.25" customHeight="1">
      <c r="A503" s="12"/>
      <c r="B503" s="12"/>
      <c r="C503" s="12"/>
      <c r="D503" s="12"/>
      <c r="E503" s="12"/>
      <c r="F503" s="12"/>
      <c r="G503" s="824"/>
      <c r="H503" s="12"/>
      <c r="I503" s="825"/>
      <c r="J503" s="826"/>
      <c r="K503" s="12"/>
      <c r="L503" s="12"/>
      <c r="M503" s="824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spans="1:26" ht="14.25" customHeight="1">
      <c r="A504" s="12"/>
      <c r="B504" s="12"/>
      <c r="C504" s="12"/>
      <c r="D504" s="12"/>
      <c r="E504" s="12"/>
      <c r="F504" s="12"/>
      <c r="G504" s="824"/>
      <c r="H504" s="12"/>
      <c r="I504" s="825"/>
      <c r="J504" s="826"/>
      <c r="K504" s="12"/>
      <c r="L504" s="12"/>
      <c r="M504" s="824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spans="1:26" ht="14.25" customHeight="1">
      <c r="A505" s="12"/>
      <c r="B505" s="12"/>
      <c r="C505" s="12"/>
      <c r="D505" s="12"/>
      <c r="E505" s="12"/>
      <c r="F505" s="12"/>
      <c r="G505" s="824"/>
      <c r="H505" s="12"/>
      <c r="I505" s="825"/>
      <c r="J505" s="826"/>
      <c r="K505" s="12"/>
      <c r="L505" s="12"/>
      <c r="M505" s="824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spans="1:26" ht="14.25" customHeight="1">
      <c r="A506" s="12"/>
      <c r="B506" s="12"/>
      <c r="C506" s="12"/>
      <c r="D506" s="12"/>
      <c r="E506" s="12"/>
      <c r="F506" s="12"/>
      <c r="G506" s="824"/>
      <c r="H506" s="12"/>
      <c r="I506" s="825"/>
      <c r="J506" s="826"/>
      <c r="K506" s="12"/>
      <c r="L506" s="12"/>
      <c r="M506" s="824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spans="1:26" ht="14.25" customHeight="1">
      <c r="A507" s="12"/>
      <c r="B507" s="12"/>
      <c r="C507" s="12"/>
      <c r="D507" s="12"/>
      <c r="E507" s="12"/>
      <c r="F507" s="12"/>
      <c r="G507" s="824"/>
      <c r="H507" s="12"/>
      <c r="I507" s="825"/>
      <c r="J507" s="826"/>
      <c r="K507" s="12"/>
      <c r="L507" s="12"/>
      <c r="M507" s="824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spans="1:26" ht="14.25" customHeight="1">
      <c r="A508" s="12"/>
      <c r="B508" s="12"/>
      <c r="C508" s="12"/>
      <c r="D508" s="12"/>
      <c r="E508" s="12"/>
      <c r="F508" s="12"/>
      <c r="G508" s="824"/>
      <c r="H508" s="12"/>
      <c r="I508" s="825"/>
      <c r="J508" s="826"/>
      <c r="K508" s="12"/>
      <c r="L508" s="12"/>
      <c r="M508" s="824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spans="1:26" ht="14.25" customHeight="1">
      <c r="A509" s="12"/>
      <c r="B509" s="12"/>
      <c r="C509" s="12"/>
      <c r="D509" s="12"/>
      <c r="E509" s="12"/>
      <c r="F509" s="12"/>
      <c r="G509" s="824"/>
      <c r="H509" s="12"/>
      <c r="I509" s="825"/>
      <c r="J509" s="826"/>
      <c r="K509" s="12"/>
      <c r="L509" s="12"/>
      <c r="M509" s="824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spans="1:26" ht="14.25" customHeight="1">
      <c r="A510" s="12"/>
      <c r="B510" s="12"/>
      <c r="C510" s="12"/>
      <c r="D510" s="12"/>
      <c r="E510" s="12"/>
      <c r="F510" s="12"/>
      <c r="G510" s="824"/>
      <c r="H510" s="12"/>
      <c r="I510" s="825"/>
      <c r="J510" s="826"/>
      <c r="K510" s="12"/>
      <c r="L510" s="12"/>
      <c r="M510" s="824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spans="1:26" ht="14.25" customHeight="1">
      <c r="A511" s="12"/>
      <c r="B511" s="12"/>
      <c r="C511" s="12"/>
      <c r="D511" s="12"/>
      <c r="E511" s="12"/>
      <c r="F511" s="12"/>
      <c r="G511" s="824"/>
      <c r="H511" s="12"/>
      <c r="I511" s="825"/>
      <c r="J511" s="826"/>
      <c r="K511" s="12"/>
      <c r="L511" s="12"/>
      <c r="M511" s="824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spans="1:26" ht="14.25" customHeight="1">
      <c r="A512" s="12"/>
      <c r="B512" s="12"/>
      <c r="C512" s="12"/>
      <c r="D512" s="12"/>
      <c r="E512" s="12"/>
      <c r="F512" s="12"/>
      <c r="G512" s="824"/>
      <c r="H512" s="12"/>
      <c r="I512" s="825"/>
      <c r="J512" s="826"/>
      <c r="K512" s="12"/>
      <c r="L512" s="12"/>
      <c r="M512" s="824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spans="1:26" ht="14.25" customHeight="1">
      <c r="A513" s="12"/>
      <c r="B513" s="12"/>
      <c r="C513" s="12"/>
      <c r="D513" s="12"/>
      <c r="E513" s="12"/>
      <c r="F513" s="12"/>
      <c r="G513" s="824"/>
      <c r="H513" s="12"/>
      <c r="I513" s="825"/>
      <c r="J513" s="826"/>
      <c r="K513" s="12"/>
      <c r="L513" s="12"/>
      <c r="M513" s="824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spans="1:26" ht="14.25" customHeight="1">
      <c r="A514" s="12"/>
      <c r="B514" s="12"/>
      <c r="C514" s="12"/>
      <c r="D514" s="12"/>
      <c r="E514" s="12"/>
      <c r="F514" s="12"/>
      <c r="G514" s="824"/>
      <c r="H514" s="12"/>
      <c r="I514" s="825"/>
      <c r="J514" s="826"/>
      <c r="K514" s="12"/>
      <c r="L514" s="12"/>
      <c r="M514" s="824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spans="1:26" ht="14.25" customHeight="1">
      <c r="A515" s="12"/>
      <c r="B515" s="12"/>
      <c r="C515" s="12"/>
      <c r="D515" s="12"/>
      <c r="E515" s="12"/>
      <c r="F515" s="12"/>
      <c r="G515" s="824"/>
      <c r="H515" s="12"/>
      <c r="I515" s="825"/>
      <c r="J515" s="826"/>
      <c r="K515" s="12"/>
      <c r="L515" s="12"/>
      <c r="M515" s="824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spans="1:26" ht="14.25" customHeight="1">
      <c r="A516" s="12"/>
      <c r="B516" s="12"/>
      <c r="C516" s="12"/>
      <c r="D516" s="12"/>
      <c r="E516" s="12"/>
      <c r="F516" s="12"/>
      <c r="G516" s="824"/>
      <c r="H516" s="12"/>
      <c r="I516" s="825"/>
      <c r="J516" s="826"/>
      <c r="K516" s="12"/>
      <c r="L516" s="12"/>
      <c r="M516" s="824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spans="1:26" ht="14.25" customHeight="1">
      <c r="A517" s="12"/>
      <c r="B517" s="12"/>
      <c r="C517" s="12"/>
      <c r="D517" s="12"/>
      <c r="E517" s="12"/>
      <c r="F517" s="12"/>
      <c r="G517" s="824"/>
      <c r="H517" s="12"/>
      <c r="I517" s="825"/>
      <c r="J517" s="826"/>
      <c r="K517" s="12"/>
      <c r="L517" s="12"/>
      <c r="M517" s="824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spans="1:26" ht="14.25" customHeight="1">
      <c r="A518" s="12"/>
      <c r="B518" s="12"/>
      <c r="C518" s="12"/>
      <c r="D518" s="12"/>
      <c r="E518" s="12"/>
      <c r="F518" s="12"/>
      <c r="G518" s="824"/>
      <c r="H518" s="12"/>
      <c r="I518" s="825"/>
      <c r="J518" s="826"/>
      <c r="K518" s="12"/>
      <c r="L518" s="12"/>
      <c r="M518" s="824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spans="1:26" ht="14.25" customHeight="1">
      <c r="A519" s="12"/>
      <c r="B519" s="12"/>
      <c r="C519" s="12"/>
      <c r="D519" s="12"/>
      <c r="E519" s="12"/>
      <c r="F519" s="12"/>
      <c r="G519" s="824"/>
      <c r="H519" s="12"/>
      <c r="I519" s="825"/>
      <c r="J519" s="826"/>
      <c r="K519" s="12"/>
      <c r="L519" s="12"/>
      <c r="M519" s="824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spans="1:26" ht="14.25" customHeight="1">
      <c r="A520" s="12"/>
      <c r="B520" s="12"/>
      <c r="C520" s="12"/>
      <c r="D520" s="12"/>
      <c r="E520" s="12"/>
      <c r="F520" s="12"/>
      <c r="G520" s="824"/>
      <c r="H520" s="12"/>
      <c r="I520" s="825"/>
      <c r="J520" s="826"/>
      <c r="K520" s="12"/>
      <c r="L520" s="12"/>
      <c r="M520" s="824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spans="1:26" ht="14.25" customHeight="1">
      <c r="A521" s="12"/>
      <c r="B521" s="12"/>
      <c r="C521" s="12"/>
      <c r="D521" s="12"/>
      <c r="E521" s="12"/>
      <c r="F521" s="12"/>
      <c r="G521" s="824"/>
      <c r="H521" s="12"/>
      <c r="I521" s="825"/>
      <c r="J521" s="826"/>
      <c r="K521" s="12"/>
      <c r="L521" s="12"/>
      <c r="M521" s="824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spans="1:26" ht="14.25" customHeight="1">
      <c r="A522" s="12"/>
      <c r="B522" s="12"/>
      <c r="C522" s="12"/>
      <c r="D522" s="12"/>
      <c r="E522" s="12"/>
      <c r="F522" s="12"/>
      <c r="G522" s="824"/>
      <c r="H522" s="12"/>
      <c r="I522" s="825"/>
      <c r="J522" s="826"/>
      <c r="K522" s="12"/>
      <c r="L522" s="12"/>
      <c r="M522" s="824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spans="1:26" ht="14.25" customHeight="1">
      <c r="A523" s="12"/>
      <c r="B523" s="12"/>
      <c r="C523" s="12"/>
      <c r="D523" s="12"/>
      <c r="E523" s="12"/>
      <c r="F523" s="12"/>
      <c r="G523" s="824"/>
      <c r="H523" s="12"/>
      <c r="I523" s="825"/>
      <c r="J523" s="826"/>
      <c r="K523" s="12"/>
      <c r="L523" s="12"/>
      <c r="M523" s="824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spans="1:26" ht="14.25" customHeight="1">
      <c r="A524" s="12"/>
      <c r="B524" s="12"/>
      <c r="C524" s="12"/>
      <c r="D524" s="12"/>
      <c r="E524" s="12"/>
      <c r="F524" s="12"/>
      <c r="G524" s="824"/>
      <c r="H524" s="12"/>
      <c r="I524" s="825"/>
      <c r="J524" s="826"/>
      <c r="K524" s="12"/>
      <c r="L524" s="12"/>
      <c r="M524" s="824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spans="1:26" ht="14.25" customHeight="1">
      <c r="A525" s="12"/>
      <c r="B525" s="12"/>
      <c r="C525" s="12"/>
      <c r="D525" s="12"/>
      <c r="E525" s="12"/>
      <c r="F525" s="12"/>
      <c r="G525" s="824"/>
      <c r="H525" s="12"/>
      <c r="I525" s="825"/>
      <c r="J525" s="826"/>
      <c r="K525" s="12"/>
      <c r="L525" s="12"/>
      <c r="M525" s="824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spans="1:26" ht="14.25" customHeight="1">
      <c r="A526" s="12"/>
      <c r="B526" s="12"/>
      <c r="C526" s="12"/>
      <c r="D526" s="12"/>
      <c r="E526" s="12"/>
      <c r="F526" s="12"/>
      <c r="G526" s="824"/>
      <c r="H526" s="12"/>
      <c r="I526" s="825"/>
      <c r="J526" s="826"/>
      <c r="K526" s="12"/>
      <c r="L526" s="12"/>
      <c r="M526" s="824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spans="1:26" ht="14.25" customHeight="1">
      <c r="A527" s="12"/>
      <c r="B527" s="12"/>
      <c r="C527" s="12"/>
      <c r="D527" s="12"/>
      <c r="E527" s="12"/>
      <c r="F527" s="12"/>
      <c r="G527" s="824"/>
      <c r="H527" s="12"/>
      <c r="I527" s="825"/>
      <c r="J527" s="826"/>
      <c r="K527" s="12"/>
      <c r="L527" s="12"/>
      <c r="M527" s="824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spans="1:26" ht="14.25" customHeight="1">
      <c r="A528" s="12"/>
      <c r="B528" s="12"/>
      <c r="C528" s="12"/>
      <c r="D528" s="12"/>
      <c r="E528" s="12"/>
      <c r="F528" s="12"/>
      <c r="G528" s="824"/>
      <c r="H528" s="12"/>
      <c r="I528" s="825"/>
      <c r="J528" s="826"/>
      <c r="K528" s="12"/>
      <c r="L528" s="12"/>
      <c r="M528" s="824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spans="1:26" ht="14.25" customHeight="1">
      <c r="A529" s="12"/>
      <c r="B529" s="12"/>
      <c r="C529" s="12"/>
      <c r="D529" s="12"/>
      <c r="E529" s="12"/>
      <c r="F529" s="12"/>
      <c r="G529" s="824"/>
      <c r="H529" s="12"/>
      <c r="I529" s="825"/>
      <c r="J529" s="826"/>
      <c r="K529" s="12"/>
      <c r="L529" s="12"/>
      <c r="M529" s="824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spans="1:26" ht="14.25" customHeight="1">
      <c r="A530" s="12"/>
      <c r="B530" s="12"/>
      <c r="C530" s="12"/>
      <c r="D530" s="12"/>
      <c r="E530" s="12"/>
      <c r="F530" s="12"/>
      <c r="G530" s="824"/>
      <c r="H530" s="12"/>
      <c r="I530" s="825"/>
      <c r="J530" s="826"/>
      <c r="K530" s="12"/>
      <c r="L530" s="12"/>
      <c r="M530" s="824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spans="1:26" ht="14.25" customHeight="1">
      <c r="A531" s="12"/>
      <c r="B531" s="12"/>
      <c r="C531" s="12"/>
      <c r="D531" s="12"/>
      <c r="E531" s="12"/>
      <c r="F531" s="12"/>
      <c r="G531" s="824"/>
      <c r="H531" s="12"/>
      <c r="I531" s="825"/>
      <c r="J531" s="826"/>
      <c r="K531" s="12"/>
      <c r="L531" s="12"/>
      <c r="M531" s="824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spans="1:26" ht="14.25" customHeight="1">
      <c r="A532" s="12"/>
      <c r="B532" s="12"/>
      <c r="C532" s="12"/>
      <c r="D532" s="12"/>
      <c r="E532" s="12"/>
      <c r="F532" s="12"/>
      <c r="G532" s="824"/>
      <c r="H532" s="12"/>
      <c r="I532" s="825"/>
      <c r="J532" s="826"/>
      <c r="K532" s="12"/>
      <c r="L532" s="12"/>
      <c r="M532" s="824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spans="1:26" ht="14.25" customHeight="1">
      <c r="A533" s="12"/>
      <c r="B533" s="12"/>
      <c r="C533" s="12"/>
      <c r="D533" s="12"/>
      <c r="E533" s="12"/>
      <c r="F533" s="12"/>
      <c r="G533" s="824"/>
      <c r="H533" s="12"/>
      <c r="I533" s="825"/>
      <c r="J533" s="826"/>
      <c r="K533" s="12"/>
      <c r="L533" s="12"/>
      <c r="M533" s="824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spans="1:26" ht="14.25" customHeight="1">
      <c r="A534" s="12"/>
      <c r="B534" s="12"/>
      <c r="C534" s="12"/>
      <c r="D534" s="12"/>
      <c r="E534" s="12"/>
      <c r="F534" s="12"/>
      <c r="G534" s="824"/>
      <c r="H534" s="12"/>
      <c r="I534" s="825"/>
      <c r="J534" s="826"/>
      <c r="K534" s="12"/>
      <c r="L534" s="12"/>
      <c r="M534" s="824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spans="1:26" ht="14.25" customHeight="1">
      <c r="A535" s="12"/>
      <c r="B535" s="12"/>
      <c r="C535" s="12"/>
      <c r="D535" s="12"/>
      <c r="E535" s="12"/>
      <c r="F535" s="12"/>
      <c r="G535" s="824"/>
      <c r="H535" s="12"/>
      <c r="I535" s="825"/>
      <c r="J535" s="826"/>
      <c r="K535" s="12"/>
      <c r="L535" s="12"/>
      <c r="M535" s="824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spans="1:26" ht="14.25" customHeight="1">
      <c r="A536" s="12"/>
      <c r="B536" s="12"/>
      <c r="C536" s="12"/>
      <c r="D536" s="12"/>
      <c r="E536" s="12"/>
      <c r="F536" s="12"/>
      <c r="G536" s="824"/>
      <c r="H536" s="12"/>
      <c r="I536" s="825"/>
      <c r="J536" s="826"/>
      <c r="K536" s="12"/>
      <c r="L536" s="12"/>
      <c r="M536" s="824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spans="1:26" ht="14.25" customHeight="1">
      <c r="A537" s="12"/>
      <c r="B537" s="12"/>
      <c r="C537" s="12"/>
      <c r="D537" s="12"/>
      <c r="E537" s="12"/>
      <c r="F537" s="12"/>
      <c r="G537" s="824"/>
      <c r="H537" s="12"/>
      <c r="I537" s="825"/>
      <c r="J537" s="826"/>
      <c r="K537" s="12"/>
      <c r="L537" s="12"/>
      <c r="M537" s="824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spans="1:26" ht="14.25" customHeight="1">
      <c r="A538" s="12"/>
      <c r="B538" s="12"/>
      <c r="C538" s="12"/>
      <c r="D538" s="12"/>
      <c r="E538" s="12"/>
      <c r="F538" s="12"/>
      <c r="G538" s="824"/>
      <c r="H538" s="12"/>
      <c r="I538" s="825"/>
      <c r="J538" s="826"/>
      <c r="K538" s="12"/>
      <c r="L538" s="12"/>
      <c r="M538" s="824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spans="1:26" ht="14.25" customHeight="1">
      <c r="A539" s="12"/>
      <c r="B539" s="12"/>
      <c r="C539" s="12"/>
      <c r="D539" s="12"/>
      <c r="E539" s="12"/>
      <c r="F539" s="12"/>
      <c r="G539" s="824"/>
      <c r="H539" s="12"/>
      <c r="I539" s="825"/>
      <c r="J539" s="826"/>
      <c r="K539" s="12"/>
      <c r="L539" s="12"/>
      <c r="M539" s="824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spans="1:26" ht="14.25" customHeight="1">
      <c r="A540" s="12"/>
      <c r="B540" s="12"/>
      <c r="C540" s="12"/>
      <c r="D540" s="12"/>
      <c r="E540" s="12"/>
      <c r="F540" s="12"/>
      <c r="G540" s="824"/>
      <c r="H540" s="12"/>
      <c r="I540" s="825"/>
      <c r="J540" s="826"/>
      <c r="K540" s="12"/>
      <c r="L540" s="12"/>
      <c r="M540" s="824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spans="1:26" ht="14.25" customHeight="1">
      <c r="A541" s="12"/>
      <c r="B541" s="12"/>
      <c r="C541" s="12"/>
      <c r="D541" s="12"/>
      <c r="E541" s="12"/>
      <c r="F541" s="12"/>
      <c r="G541" s="824"/>
      <c r="H541" s="12"/>
      <c r="I541" s="825"/>
      <c r="J541" s="826"/>
      <c r="K541" s="12"/>
      <c r="L541" s="12"/>
      <c r="M541" s="824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spans="1:26" ht="14.25" customHeight="1">
      <c r="A542" s="12"/>
      <c r="B542" s="12"/>
      <c r="C542" s="12"/>
      <c r="D542" s="12"/>
      <c r="E542" s="12"/>
      <c r="F542" s="12"/>
      <c r="G542" s="824"/>
      <c r="H542" s="12"/>
      <c r="I542" s="825"/>
      <c r="J542" s="826"/>
      <c r="K542" s="12"/>
      <c r="L542" s="12"/>
      <c r="M542" s="824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spans="1:26" ht="14.25" customHeight="1">
      <c r="A543" s="12"/>
      <c r="B543" s="12"/>
      <c r="C543" s="12"/>
      <c r="D543" s="12"/>
      <c r="E543" s="12"/>
      <c r="F543" s="12"/>
      <c r="G543" s="824"/>
      <c r="H543" s="12"/>
      <c r="I543" s="825"/>
      <c r="J543" s="826"/>
      <c r="K543" s="12"/>
      <c r="L543" s="12"/>
      <c r="M543" s="824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spans="1:26" ht="14.25" customHeight="1">
      <c r="A544" s="12"/>
      <c r="B544" s="12"/>
      <c r="C544" s="12"/>
      <c r="D544" s="12"/>
      <c r="E544" s="12"/>
      <c r="F544" s="12"/>
      <c r="G544" s="824"/>
      <c r="H544" s="12"/>
      <c r="I544" s="825"/>
      <c r="J544" s="826"/>
      <c r="K544" s="12"/>
      <c r="L544" s="12"/>
      <c r="M544" s="824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spans="1:26" ht="14.25" customHeight="1">
      <c r="A545" s="12"/>
      <c r="B545" s="12"/>
      <c r="C545" s="12"/>
      <c r="D545" s="12"/>
      <c r="E545" s="12"/>
      <c r="F545" s="12"/>
      <c r="G545" s="824"/>
      <c r="H545" s="12"/>
      <c r="I545" s="825"/>
      <c r="J545" s="826"/>
      <c r="K545" s="12"/>
      <c r="L545" s="12"/>
      <c r="M545" s="824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spans="1:26" ht="14.25" customHeight="1">
      <c r="A546" s="12"/>
      <c r="B546" s="12"/>
      <c r="C546" s="12"/>
      <c r="D546" s="12"/>
      <c r="E546" s="12"/>
      <c r="F546" s="12"/>
      <c r="G546" s="824"/>
      <c r="H546" s="12"/>
      <c r="I546" s="825"/>
      <c r="J546" s="826"/>
      <c r="K546" s="12"/>
      <c r="L546" s="12"/>
      <c r="M546" s="824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spans="1:26" ht="14.25" customHeight="1">
      <c r="A547" s="12"/>
      <c r="B547" s="12"/>
      <c r="C547" s="12"/>
      <c r="D547" s="12"/>
      <c r="E547" s="12"/>
      <c r="F547" s="12"/>
      <c r="G547" s="824"/>
      <c r="H547" s="12"/>
      <c r="I547" s="825"/>
      <c r="J547" s="826"/>
      <c r="K547" s="12"/>
      <c r="L547" s="12"/>
      <c r="M547" s="824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spans="1:26" ht="14.25" customHeight="1">
      <c r="A548" s="12"/>
      <c r="B548" s="12"/>
      <c r="C548" s="12"/>
      <c r="D548" s="12"/>
      <c r="E548" s="12"/>
      <c r="F548" s="12"/>
      <c r="G548" s="824"/>
      <c r="H548" s="12"/>
      <c r="I548" s="825"/>
      <c r="J548" s="826"/>
      <c r="K548" s="12"/>
      <c r="L548" s="12"/>
      <c r="M548" s="824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spans="1:26" ht="14.25" customHeight="1">
      <c r="A549" s="12"/>
      <c r="B549" s="12"/>
      <c r="C549" s="12"/>
      <c r="D549" s="12"/>
      <c r="E549" s="12"/>
      <c r="F549" s="12"/>
      <c r="G549" s="824"/>
      <c r="H549" s="12"/>
      <c r="I549" s="825"/>
      <c r="J549" s="826"/>
      <c r="K549" s="12"/>
      <c r="L549" s="12"/>
      <c r="M549" s="824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spans="1:26" ht="14.25" customHeight="1">
      <c r="A550" s="12"/>
      <c r="B550" s="12"/>
      <c r="C550" s="12"/>
      <c r="D550" s="12"/>
      <c r="E550" s="12"/>
      <c r="F550" s="12"/>
      <c r="G550" s="824"/>
      <c r="H550" s="12"/>
      <c r="I550" s="825"/>
      <c r="J550" s="826"/>
      <c r="K550" s="12"/>
      <c r="L550" s="12"/>
      <c r="M550" s="824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spans="1:26" ht="14.25" customHeight="1">
      <c r="A551" s="12"/>
      <c r="B551" s="12"/>
      <c r="C551" s="12"/>
      <c r="D551" s="12"/>
      <c r="E551" s="12"/>
      <c r="F551" s="12"/>
      <c r="G551" s="824"/>
      <c r="H551" s="12"/>
      <c r="I551" s="825"/>
      <c r="J551" s="826"/>
      <c r="K551" s="12"/>
      <c r="L551" s="12"/>
      <c r="M551" s="824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spans="1:26" ht="14.25" customHeight="1">
      <c r="A552" s="12"/>
      <c r="B552" s="12"/>
      <c r="C552" s="12"/>
      <c r="D552" s="12"/>
      <c r="E552" s="12"/>
      <c r="F552" s="12"/>
      <c r="G552" s="824"/>
      <c r="H552" s="12"/>
      <c r="I552" s="825"/>
      <c r="J552" s="826"/>
      <c r="K552" s="12"/>
      <c r="L552" s="12"/>
      <c r="M552" s="824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spans="1:26" ht="14.25" customHeight="1">
      <c r="A553" s="12"/>
      <c r="B553" s="12"/>
      <c r="C553" s="12"/>
      <c r="D553" s="12"/>
      <c r="E553" s="12"/>
      <c r="F553" s="12"/>
      <c r="G553" s="824"/>
      <c r="H553" s="12"/>
      <c r="I553" s="825"/>
      <c r="J553" s="826"/>
      <c r="K553" s="12"/>
      <c r="L553" s="12"/>
      <c r="M553" s="824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spans="1:26" ht="14.25" customHeight="1">
      <c r="A554" s="12"/>
      <c r="B554" s="12"/>
      <c r="C554" s="12"/>
      <c r="D554" s="12"/>
      <c r="E554" s="12"/>
      <c r="F554" s="12"/>
      <c r="G554" s="824"/>
      <c r="H554" s="12"/>
      <c r="I554" s="825"/>
      <c r="J554" s="826"/>
      <c r="K554" s="12"/>
      <c r="L554" s="12"/>
      <c r="M554" s="824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spans="1:26" ht="14.25" customHeight="1">
      <c r="A555" s="12"/>
      <c r="B555" s="12"/>
      <c r="C555" s="12"/>
      <c r="D555" s="12"/>
      <c r="E555" s="12"/>
      <c r="F555" s="12"/>
      <c r="G555" s="824"/>
      <c r="H555" s="12"/>
      <c r="I555" s="825"/>
      <c r="J555" s="826"/>
      <c r="K555" s="12"/>
      <c r="L555" s="12"/>
      <c r="M555" s="824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spans="1:26" ht="14.25" customHeight="1">
      <c r="A556" s="12"/>
      <c r="B556" s="12"/>
      <c r="C556" s="12"/>
      <c r="D556" s="12"/>
      <c r="E556" s="12"/>
      <c r="F556" s="12"/>
      <c r="G556" s="824"/>
      <c r="H556" s="12"/>
      <c r="I556" s="825"/>
      <c r="J556" s="826"/>
      <c r="K556" s="12"/>
      <c r="L556" s="12"/>
      <c r="M556" s="824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spans="1:26" ht="14.25" customHeight="1">
      <c r="A557" s="12"/>
      <c r="B557" s="12"/>
      <c r="C557" s="12"/>
      <c r="D557" s="12"/>
      <c r="E557" s="12"/>
      <c r="F557" s="12"/>
      <c r="G557" s="824"/>
      <c r="H557" s="12"/>
      <c r="I557" s="825"/>
      <c r="J557" s="826"/>
      <c r="K557" s="12"/>
      <c r="L557" s="12"/>
      <c r="M557" s="824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spans="1:26" ht="14.25" customHeight="1">
      <c r="A558" s="12"/>
      <c r="B558" s="12"/>
      <c r="C558" s="12"/>
      <c r="D558" s="12"/>
      <c r="E558" s="12"/>
      <c r="F558" s="12"/>
      <c r="G558" s="824"/>
      <c r="H558" s="12"/>
      <c r="I558" s="825"/>
      <c r="J558" s="826"/>
      <c r="K558" s="12"/>
      <c r="L558" s="12"/>
      <c r="M558" s="824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spans="1:26" ht="14.25" customHeight="1">
      <c r="A559" s="12"/>
      <c r="B559" s="12"/>
      <c r="C559" s="12"/>
      <c r="D559" s="12"/>
      <c r="E559" s="12"/>
      <c r="F559" s="12"/>
      <c r="G559" s="824"/>
      <c r="H559" s="12"/>
      <c r="I559" s="825"/>
      <c r="J559" s="826"/>
      <c r="K559" s="12"/>
      <c r="L559" s="12"/>
      <c r="M559" s="824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spans="1:26" ht="14.25" customHeight="1">
      <c r="A560" s="12"/>
      <c r="B560" s="12"/>
      <c r="C560" s="12"/>
      <c r="D560" s="12"/>
      <c r="E560" s="12"/>
      <c r="F560" s="12"/>
      <c r="G560" s="824"/>
      <c r="H560" s="12"/>
      <c r="I560" s="825"/>
      <c r="J560" s="826"/>
      <c r="K560" s="12"/>
      <c r="L560" s="12"/>
      <c r="M560" s="824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spans="1:26" ht="14.25" customHeight="1">
      <c r="A561" s="12"/>
      <c r="B561" s="12"/>
      <c r="C561" s="12"/>
      <c r="D561" s="12"/>
      <c r="E561" s="12"/>
      <c r="F561" s="12"/>
      <c r="G561" s="824"/>
      <c r="H561" s="12"/>
      <c r="I561" s="825"/>
      <c r="J561" s="826"/>
      <c r="K561" s="12"/>
      <c r="L561" s="12"/>
      <c r="M561" s="824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spans="1:26" ht="14.25" customHeight="1">
      <c r="A562" s="12"/>
      <c r="B562" s="12"/>
      <c r="C562" s="12"/>
      <c r="D562" s="12"/>
      <c r="E562" s="12"/>
      <c r="F562" s="12"/>
      <c r="G562" s="824"/>
      <c r="H562" s="12"/>
      <c r="I562" s="825"/>
      <c r="J562" s="826"/>
      <c r="K562" s="12"/>
      <c r="L562" s="12"/>
      <c r="M562" s="824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spans="1:26" ht="14.25" customHeight="1">
      <c r="A563" s="12"/>
      <c r="B563" s="12"/>
      <c r="C563" s="12"/>
      <c r="D563" s="12"/>
      <c r="E563" s="12"/>
      <c r="F563" s="12"/>
      <c r="G563" s="824"/>
      <c r="H563" s="12"/>
      <c r="I563" s="825"/>
      <c r="J563" s="826"/>
      <c r="K563" s="12"/>
      <c r="L563" s="12"/>
      <c r="M563" s="824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spans="1:26" ht="14.25" customHeight="1">
      <c r="A564" s="12"/>
      <c r="B564" s="12"/>
      <c r="C564" s="12"/>
      <c r="D564" s="12"/>
      <c r="E564" s="12"/>
      <c r="F564" s="12"/>
      <c r="G564" s="824"/>
      <c r="H564" s="12"/>
      <c r="I564" s="825"/>
      <c r="J564" s="826"/>
      <c r="K564" s="12"/>
      <c r="L564" s="12"/>
      <c r="M564" s="824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spans="1:26" ht="14.25" customHeight="1">
      <c r="A565" s="12"/>
      <c r="B565" s="12"/>
      <c r="C565" s="12"/>
      <c r="D565" s="12"/>
      <c r="E565" s="12"/>
      <c r="F565" s="12"/>
      <c r="G565" s="824"/>
      <c r="H565" s="12"/>
      <c r="I565" s="825"/>
      <c r="J565" s="826"/>
      <c r="K565" s="12"/>
      <c r="L565" s="12"/>
      <c r="M565" s="824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spans="1:26" ht="14.25" customHeight="1">
      <c r="A566" s="12"/>
      <c r="B566" s="12"/>
      <c r="C566" s="12"/>
      <c r="D566" s="12"/>
      <c r="E566" s="12"/>
      <c r="F566" s="12"/>
      <c r="G566" s="824"/>
      <c r="H566" s="12"/>
      <c r="I566" s="825"/>
      <c r="J566" s="826"/>
      <c r="K566" s="12"/>
      <c r="L566" s="12"/>
      <c r="M566" s="824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spans="1:26" ht="14.25" customHeight="1">
      <c r="A567" s="12"/>
      <c r="B567" s="12"/>
      <c r="C567" s="12"/>
      <c r="D567" s="12"/>
      <c r="E567" s="12"/>
      <c r="F567" s="12"/>
      <c r="G567" s="824"/>
      <c r="H567" s="12"/>
      <c r="I567" s="825"/>
      <c r="J567" s="826"/>
      <c r="K567" s="12"/>
      <c r="L567" s="12"/>
      <c r="M567" s="824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spans="1:26" ht="14.25" customHeight="1">
      <c r="A568" s="12"/>
      <c r="B568" s="12"/>
      <c r="C568" s="12"/>
      <c r="D568" s="12"/>
      <c r="E568" s="12"/>
      <c r="F568" s="12"/>
      <c r="G568" s="824"/>
      <c r="H568" s="12"/>
      <c r="I568" s="825"/>
      <c r="J568" s="826"/>
      <c r="K568" s="12"/>
      <c r="L568" s="12"/>
      <c r="M568" s="824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spans="1:26" ht="14.25" customHeight="1">
      <c r="A569" s="12"/>
      <c r="B569" s="12"/>
      <c r="C569" s="12"/>
      <c r="D569" s="12"/>
      <c r="E569" s="12"/>
      <c r="F569" s="12"/>
      <c r="G569" s="824"/>
      <c r="H569" s="12"/>
      <c r="I569" s="825"/>
      <c r="J569" s="826"/>
      <c r="K569" s="12"/>
      <c r="L569" s="12"/>
      <c r="M569" s="824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spans="1:26" ht="14.25" customHeight="1">
      <c r="A570" s="12"/>
      <c r="B570" s="12"/>
      <c r="C570" s="12"/>
      <c r="D570" s="12"/>
      <c r="E570" s="12"/>
      <c r="F570" s="12"/>
      <c r="G570" s="824"/>
      <c r="H570" s="12"/>
      <c r="I570" s="825"/>
      <c r="J570" s="826"/>
      <c r="K570" s="12"/>
      <c r="L570" s="12"/>
      <c r="M570" s="824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spans="1:26" ht="14.25" customHeight="1">
      <c r="A571" s="12"/>
      <c r="B571" s="12"/>
      <c r="C571" s="12"/>
      <c r="D571" s="12"/>
      <c r="E571" s="12"/>
      <c r="F571" s="12"/>
      <c r="G571" s="824"/>
      <c r="H571" s="12"/>
      <c r="I571" s="825"/>
      <c r="J571" s="826"/>
      <c r="K571" s="12"/>
      <c r="L571" s="12"/>
      <c r="M571" s="824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spans="1:26" ht="14.25" customHeight="1">
      <c r="A572" s="12"/>
      <c r="B572" s="12"/>
      <c r="C572" s="12"/>
      <c r="D572" s="12"/>
      <c r="E572" s="12"/>
      <c r="F572" s="12"/>
      <c r="G572" s="824"/>
      <c r="H572" s="12"/>
      <c r="I572" s="825"/>
      <c r="J572" s="826"/>
      <c r="K572" s="12"/>
      <c r="L572" s="12"/>
      <c r="M572" s="824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spans="1:26" ht="14.25" customHeight="1">
      <c r="A573" s="12"/>
      <c r="B573" s="12"/>
      <c r="C573" s="12"/>
      <c r="D573" s="12"/>
      <c r="E573" s="12"/>
      <c r="F573" s="12"/>
      <c r="G573" s="824"/>
      <c r="H573" s="12"/>
      <c r="I573" s="825"/>
      <c r="J573" s="826"/>
      <c r="K573" s="12"/>
      <c r="L573" s="12"/>
      <c r="M573" s="824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spans="1:26" ht="14.25" customHeight="1">
      <c r="A574" s="12"/>
      <c r="B574" s="12"/>
      <c r="C574" s="12"/>
      <c r="D574" s="12"/>
      <c r="E574" s="12"/>
      <c r="F574" s="12"/>
      <c r="G574" s="824"/>
      <c r="H574" s="12"/>
      <c r="I574" s="825"/>
      <c r="J574" s="826"/>
      <c r="K574" s="12"/>
      <c r="L574" s="12"/>
      <c r="M574" s="824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spans="1:26" ht="14.25" customHeight="1">
      <c r="A575" s="12"/>
      <c r="B575" s="12"/>
      <c r="C575" s="12"/>
      <c r="D575" s="12"/>
      <c r="E575" s="12"/>
      <c r="F575" s="12"/>
      <c r="G575" s="824"/>
      <c r="H575" s="12"/>
      <c r="I575" s="825"/>
      <c r="J575" s="826"/>
      <c r="K575" s="12"/>
      <c r="L575" s="12"/>
      <c r="M575" s="824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spans="1:26" ht="14.25" customHeight="1">
      <c r="A576" s="12"/>
      <c r="B576" s="12"/>
      <c r="C576" s="12"/>
      <c r="D576" s="12"/>
      <c r="E576" s="12"/>
      <c r="F576" s="12"/>
      <c r="G576" s="824"/>
      <c r="H576" s="12"/>
      <c r="I576" s="825"/>
      <c r="J576" s="826"/>
      <c r="K576" s="12"/>
      <c r="L576" s="12"/>
      <c r="M576" s="824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spans="1:26" ht="14.25" customHeight="1">
      <c r="A577" s="12"/>
      <c r="B577" s="12"/>
      <c r="C577" s="12"/>
      <c r="D577" s="12"/>
      <c r="E577" s="12"/>
      <c r="F577" s="12"/>
      <c r="G577" s="824"/>
      <c r="H577" s="12"/>
      <c r="I577" s="825"/>
      <c r="J577" s="826"/>
      <c r="K577" s="12"/>
      <c r="L577" s="12"/>
      <c r="M577" s="824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spans="1:26" ht="14.25" customHeight="1">
      <c r="A578" s="12"/>
      <c r="B578" s="12"/>
      <c r="C578" s="12"/>
      <c r="D578" s="12"/>
      <c r="E578" s="12"/>
      <c r="F578" s="12"/>
      <c r="G578" s="824"/>
      <c r="H578" s="12"/>
      <c r="I578" s="825"/>
      <c r="J578" s="826"/>
      <c r="K578" s="12"/>
      <c r="L578" s="12"/>
      <c r="M578" s="824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spans="1:26" ht="14.25" customHeight="1">
      <c r="A579" s="12"/>
      <c r="B579" s="12"/>
      <c r="C579" s="12"/>
      <c r="D579" s="12"/>
      <c r="E579" s="12"/>
      <c r="F579" s="12"/>
      <c r="G579" s="824"/>
      <c r="H579" s="12"/>
      <c r="I579" s="825"/>
      <c r="J579" s="826"/>
      <c r="K579" s="12"/>
      <c r="L579" s="12"/>
      <c r="M579" s="824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spans="1:26" ht="14.25" customHeight="1">
      <c r="A580" s="12"/>
      <c r="B580" s="12"/>
      <c r="C580" s="12"/>
      <c r="D580" s="12"/>
      <c r="E580" s="12"/>
      <c r="F580" s="12"/>
      <c r="G580" s="824"/>
      <c r="H580" s="12"/>
      <c r="I580" s="825"/>
      <c r="J580" s="826"/>
      <c r="K580" s="12"/>
      <c r="L580" s="12"/>
      <c r="M580" s="824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spans="1:26" ht="14.25" customHeight="1">
      <c r="A581" s="12"/>
      <c r="B581" s="12"/>
      <c r="C581" s="12"/>
      <c r="D581" s="12"/>
      <c r="E581" s="12"/>
      <c r="F581" s="12"/>
      <c r="G581" s="824"/>
      <c r="H581" s="12"/>
      <c r="I581" s="825"/>
      <c r="J581" s="826"/>
      <c r="K581" s="12"/>
      <c r="L581" s="12"/>
      <c r="M581" s="824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spans="1:26" ht="14.25" customHeight="1">
      <c r="A582" s="12"/>
      <c r="B582" s="12"/>
      <c r="C582" s="12"/>
      <c r="D582" s="12"/>
      <c r="E582" s="12"/>
      <c r="F582" s="12"/>
      <c r="G582" s="824"/>
      <c r="H582" s="12"/>
      <c r="I582" s="825"/>
      <c r="J582" s="826"/>
      <c r="K582" s="12"/>
      <c r="L582" s="12"/>
      <c r="M582" s="824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spans="1:26" ht="14.25" customHeight="1">
      <c r="A583" s="12"/>
      <c r="B583" s="12"/>
      <c r="C583" s="12"/>
      <c r="D583" s="12"/>
      <c r="E583" s="12"/>
      <c r="F583" s="12"/>
      <c r="G583" s="824"/>
      <c r="H583" s="12"/>
      <c r="I583" s="825"/>
      <c r="J583" s="826"/>
      <c r="K583" s="12"/>
      <c r="L583" s="12"/>
      <c r="M583" s="824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spans="1:26" ht="14.25" customHeight="1">
      <c r="A584" s="12"/>
      <c r="B584" s="12"/>
      <c r="C584" s="12"/>
      <c r="D584" s="12"/>
      <c r="E584" s="12"/>
      <c r="F584" s="12"/>
      <c r="G584" s="824"/>
      <c r="H584" s="12"/>
      <c r="I584" s="825"/>
      <c r="J584" s="826"/>
      <c r="K584" s="12"/>
      <c r="L584" s="12"/>
      <c r="M584" s="824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spans="1:26" ht="14.25" customHeight="1">
      <c r="A585" s="12"/>
      <c r="B585" s="12"/>
      <c r="C585" s="12"/>
      <c r="D585" s="12"/>
      <c r="E585" s="12"/>
      <c r="F585" s="12"/>
      <c r="G585" s="824"/>
      <c r="H585" s="12"/>
      <c r="I585" s="825"/>
      <c r="J585" s="826"/>
      <c r="K585" s="12"/>
      <c r="L585" s="12"/>
      <c r="M585" s="824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spans="1:26" ht="14.25" customHeight="1">
      <c r="A586" s="12"/>
      <c r="B586" s="12"/>
      <c r="C586" s="12"/>
      <c r="D586" s="12"/>
      <c r="E586" s="12"/>
      <c r="F586" s="12"/>
      <c r="G586" s="824"/>
      <c r="H586" s="12"/>
      <c r="I586" s="825"/>
      <c r="J586" s="826"/>
      <c r="K586" s="12"/>
      <c r="L586" s="12"/>
      <c r="M586" s="824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spans="1:26" ht="14.25" customHeight="1">
      <c r="A587" s="12"/>
      <c r="B587" s="12"/>
      <c r="C587" s="12"/>
      <c r="D587" s="12"/>
      <c r="E587" s="12"/>
      <c r="F587" s="12"/>
      <c r="G587" s="824"/>
      <c r="H587" s="12"/>
      <c r="I587" s="825"/>
      <c r="J587" s="826"/>
      <c r="K587" s="12"/>
      <c r="L587" s="12"/>
      <c r="M587" s="824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spans="1:26" ht="14.25" customHeight="1">
      <c r="A588" s="12"/>
      <c r="B588" s="12"/>
      <c r="C588" s="12"/>
      <c r="D588" s="12"/>
      <c r="E588" s="12"/>
      <c r="F588" s="12"/>
      <c r="G588" s="824"/>
      <c r="H588" s="12"/>
      <c r="I588" s="825"/>
      <c r="J588" s="826"/>
      <c r="K588" s="12"/>
      <c r="L588" s="12"/>
      <c r="M588" s="824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spans="1:26" ht="14.25" customHeight="1">
      <c r="A589" s="12"/>
      <c r="B589" s="12"/>
      <c r="C589" s="12"/>
      <c r="D589" s="12"/>
      <c r="E589" s="12"/>
      <c r="F589" s="12"/>
      <c r="G589" s="824"/>
      <c r="H589" s="12"/>
      <c r="I589" s="825"/>
      <c r="J589" s="826"/>
      <c r="K589" s="12"/>
      <c r="L589" s="12"/>
      <c r="M589" s="824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spans="1:26" ht="14.25" customHeight="1">
      <c r="A590" s="12"/>
      <c r="B590" s="12"/>
      <c r="C590" s="12"/>
      <c r="D590" s="12"/>
      <c r="E590" s="12"/>
      <c r="F590" s="12"/>
      <c r="G590" s="824"/>
      <c r="H590" s="12"/>
      <c r="I590" s="825"/>
      <c r="J590" s="826"/>
      <c r="K590" s="12"/>
      <c r="L590" s="12"/>
      <c r="M590" s="824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spans="1:26" ht="14.25" customHeight="1">
      <c r="A591" s="12"/>
      <c r="B591" s="12"/>
      <c r="C591" s="12"/>
      <c r="D591" s="12"/>
      <c r="E591" s="12"/>
      <c r="F591" s="12"/>
      <c r="G591" s="824"/>
      <c r="H591" s="12"/>
      <c r="I591" s="825"/>
      <c r="J591" s="826"/>
      <c r="K591" s="12"/>
      <c r="L591" s="12"/>
      <c r="M591" s="824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spans="1:26" ht="14.25" customHeight="1">
      <c r="A592" s="12"/>
      <c r="B592" s="12"/>
      <c r="C592" s="12"/>
      <c r="D592" s="12"/>
      <c r="E592" s="12"/>
      <c r="F592" s="12"/>
      <c r="G592" s="824"/>
      <c r="H592" s="12"/>
      <c r="I592" s="825"/>
      <c r="J592" s="826"/>
      <c r="K592" s="12"/>
      <c r="L592" s="12"/>
      <c r="M592" s="824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spans="1:26" ht="14.25" customHeight="1">
      <c r="A593" s="12"/>
      <c r="B593" s="12"/>
      <c r="C593" s="12"/>
      <c r="D593" s="12"/>
      <c r="E593" s="12"/>
      <c r="F593" s="12"/>
      <c r="G593" s="824"/>
      <c r="H593" s="12"/>
      <c r="I593" s="825"/>
      <c r="J593" s="826"/>
      <c r="K593" s="12"/>
      <c r="L593" s="12"/>
      <c r="M593" s="824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spans="1:26" ht="14.25" customHeight="1">
      <c r="A594" s="12"/>
      <c r="B594" s="12"/>
      <c r="C594" s="12"/>
      <c r="D594" s="12"/>
      <c r="E594" s="12"/>
      <c r="F594" s="12"/>
      <c r="G594" s="824"/>
      <c r="H594" s="12"/>
      <c r="I594" s="825"/>
      <c r="J594" s="826"/>
      <c r="K594" s="12"/>
      <c r="L594" s="12"/>
      <c r="M594" s="824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spans="1:26" ht="14.25" customHeight="1">
      <c r="A595" s="12"/>
      <c r="B595" s="12"/>
      <c r="C595" s="12"/>
      <c r="D595" s="12"/>
      <c r="E595" s="12"/>
      <c r="F595" s="12"/>
      <c r="G595" s="824"/>
      <c r="H595" s="12"/>
      <c r="I595" s="825"/>
      <c r="J595" s="826"/>
      <c r="K595" s="12"/>
      <c r="L595" s="12"/>
      <c r="M595" s="824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spans="1:26" ht="14.25" customHeight="1">
      <c r="A596" s="12"/>
      <c r="B596" s="12"/>
      <c r="C596" s="12"/>
      <c r="D596" s="12"/>
      <c r="E596" s="12"/>
      <c r="F596" s="12"/>
      <c r="G596" s="824"/>
      <c r="H596" s="12"/>
      <c r="I596" s="825"/>
      <c r="J596" s="826"/>
      <c r="K596" s="12"/>
      <c r="L596" s="12"/>
      <c r="M596" s="824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spans="1:26" ht="14.25" customHeight="1">
      <c r="A597" s="12"/>
      <c r="B597" s="12"/>
      <c r="C597" s="12"/>
      <c r="D597" s="12"/>
      <c r="E597" s="12"/>
      <c r="F597" s="12"/>
      <c r="G597" s="824"/>
      <c r="H597" s="12"/>
      <c r="I597" s="825"/>
      <c r="J597" s="826"/>
      <c r="K597" s="12"/>
      <c r="L597" s="12"/>
      <c r="M597" s="824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spans="1:26" ht="14.25" customHeight="1">
      <c r="A598" s="12"/>
      <c r="B598" s="12"/>
      <c r="C598" s="12"/>
      <c r="D598" s="12"/>
      <c r="E598" s="12"/>
      <c r="F598" s="12"/>
      <c r="G598" s="824"/>
      <c r="H598" s="12"/>
      <c r="I598" s="825"/>
      <c r="J598" s="826"/>
      <c r="K598" s="12"/>
      <c r="L598" s="12"/>
      <c r="M598" s="824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spans="1:26" ht="14.25" customHeight="1">
      <c r="A599" s="12"/>
      <c r="B599" s="12"/>
      <c r="C599" s="12"/>
      <c r="D599" s="12"/>
      <c r="E599" s="12"/>
      <c r="F599" s="12"/>
      <c r="G599" s="824"/>
      <c r="H599" s="12"/>
      <c r="I599" s="825"/>
      <c r="J599" s="826"/>
      <c r="K599" s="12"/>
      <c r="L599" s="12"/>
      <c r="M599" s="824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spans="1:26" ht="14.25" customHeight="1">
      <c r="A600" s="12"/>
      <c r="B600" s="12"/>
      <c r="C600" s="12"/>
      <c r="D600" s="12"/>
      <c r="E600" s="12"/>
      <c r="F600" s="12"/>
      <c r="G600" s="824"/>
      <c r="H600" s="12"/>
      <c r="I600" s="825"/>
      <c r="J600" s="826"/>
      <c r="K600" s="12"/>
      <c r="L600" s="12"/>
      <c r="M600" s="824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spans="1:26" ht="14.25" customHeight="1">
      <c r="A601" s="12"/>
      <c r="B601" s="12"/>
      <c r="C601" s="12"/>
      <c r="D601" s="12"/>
      <c r="E601" s="12"/>
      <c r="F601" s="12"/>
      <c r="G601" s="824"/>
      <c r="H601" s="12"/>
      <c r="I601" s="825"/>
      <c r="J601" s="826"/>
      <c r="K601" s="12"/>
      <c r="L601" s="12"/>
      <c r="M601" s="824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spans="1:26" ht="14.25" customHeight="1">
      <c r="A602" s="12"/>
      <c r="B602" s="12"/>
      <c r="C602" s="12"/>
      <c r="D602" s="12"/>
      <c r="E602" s="12"/>
      <c r="F602" s="12"/>
      <c r="G602" s="824"/>
      <c r="H602" s="12"/>
      <c r="I602" s="825"/>
      <c r="J602" s="826"/>
      <c r="K602" s="12"/>
      <c r="L602" s="12"/>
      <c r="M602" s="824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spans="1:26" ht="14.25" customHeight="1">
      <c r="A603" s="12"/>
      <c r="B603" s="12"/>
      <c r="C603" s="12"/>
      <c r="D603" s="12"/>
      <c r="E603" s="12"/>
      <c r="F603" s="12"/>
      <c r="G603" s="824"/>
      <c r="H603" s="12"/>
      <c r="I603" s="825"/>
      <c r="J603" s="826"/>
      <c r="K603" s="12"/>
      <c r="L603" s="12"/>
      <c r="M603" s="824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spans="1:26" ht="14.25" customHeight="1">
      <c r="A604" s="12"/>
      <c r="B604" s="12"/>
      <c r="C604" s="12"/>
      <c r="D604" s="12"/>
      <c r="E604" s="12"/>
      <c r="F604" s="12"/>
      <c r="G604" s="824"/>
      <c r="H604" s="12"/>
      <c r="I604" s="825"/>
      <c r="J604" s="826"/>
      <c r="K604" s="12"/>
      <c r="L604" s="12"/>
      <c r="M604" s="824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spans="1:26" ht="14.25" customHeight="1">
      <c r="A605" s="12"/>
      <c r="B605" s="12"/>
      <c r="C605" s="12"/>
      <c r="D605" s="12"/>
      <c r="E605" s="12"/>
      <c r="F605" s="12"/>
      <c r="G605" s="824"/>
      <c r="H605" s="12"/>
      <c r="I605" s="825"/>
      <c r="J605" s="826"/>
      <c r="K605" s="12"/>
      <c r="L605" s="12"/>
      <c r="M605" s="824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spans="1:26" ht="14.25" customHeight="1">
      <c r="A606" s="12"/>
      <c r="B606" s="12"/>
      <c r="C606" s="12"/>
      <c r="D606" s="12"/>
      <c r="E606" s="12"/>
      <c r="F606" s="12"/>
      <c r="G606" s="824"/>
      <c r="H606" s="12"/>
      <c r="I606" s="825"/>
      <c r="J606" s="826"/>
      <c r="K606" s="12"/>
      <c r="L606" s="12"/>
      <c r="M606" s="824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spans="1:26" ht="14.25" customHeight="1">
      <c r="A607" s="12"/>
      <c r="B607" s="12"/>
      <c r="C607" s="12"/>
      <c r="D607" s="12"/>
      <c r="E607" s="12"/>
      <c r="F607" s="12"/>
      <c r="G607" s="824"/>
      <c r="H607" s="12"/>
      <c r="I607" s="825"/>
      <c r="J607" s="826"/>
      <c r="K607" s="12"/>
      <c r="L607" s="12"/>
      <c r="M607" s="824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spans="1:26" ht="14.25" customHeight="1">
      <c r="A608" s="12"/>
      <c r="B608" s="12"/>
      <c r="C608" s="12"/>
      <c r="D608" s="12"/>
      <c r="E608" s="12"/>
      <c r="F608" s="12"/>
      <c r="G608" s="824"/>
      <c r="H608" s="12"/>
      <c r="I608" s="825"/>
      <c r="J608" s="826"/>
      <c r="K608" s="12"/>
      <c r="L608" s="12"/>
      <c r="M608" s="824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spans="1:26" ht="14.25" customHeight="1">
      <c r="A609" s="12"/>
      <c r="B609" s="12"/>
      <c r="C609" s="12"/>
      <c r="D609" s="12"/>
      <c r="E609" s="12"/>
      <c r="F609" s="12"/>
      <c r="G609" s="824"/>
      <c r="H609" s="12"/>
      <c r="I609" s="825"/>
      <c r="J609" s="826"/>
      <c r="K609" s="12"/>
      <c r="L609" s="12"/>
      <c r="M609" s="824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spans="1:26" ht="14.25" customHeight="1">
      <c r="A610" s="12"/>
      <c r="B610" s="12"/>
      <c r="C610" s="12"/>
      <c r="D610" s="12"/>
      <c r="E610" s="12"/>
      <c r="F610" s="12"/>
      <c r="G610" s="824"/>
      <c r="H610" s="12"/>
      <c r="I610" s="825"/>
      <c r="J610" s="826"/>
      <c r="K610" s="12"/>
      <c r="L610" s="12"/>
      <c r="M610" s="824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spans="1:26" ht="14.25" customHeight="1">
      <c r="A611" s="12"/>
      <c r="B611" s="12"/>
      <c r="C611" s="12"/>
      <c r="D611" s="12"/>
      <c r="E611" s="12"/>
      <c r="F611" s="12"/>
      <c r="G611" s="824"/>
      <c r="H611" s="12"/>
      <c r="I611" s="825"/>
      <c r="J611" s="826"/>
      <c r="K611" s="12"/>
      <c r="L611" s="12"/>
      <c r="M611" s="824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spans="1:26" ht="14.25" customHeight="1">
      <c r="A612" s="12"/>
      <c r="B612" s="12"/>
      <c r="C612" s="12"/>
      <c r="D612" s="12"/>
      <c r="E612" s="12"/>
      <c r="F612" s="12"/>
      <c r="G612" s="824"/>
      <c r="H612" s="12"/>
      <c r="I612" s="825"/>
      <c r="J612" s="826"/>
      <c r="K612" s="12"/>
      <c r="L612" s="12"/>
      <c r="M612" s="824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spans="1:26" ht="14.25" customHeight="1">
      <c r="A613" s="12"/>
      <c r="B613" s="12"/>
      <c r="C613" s="12"/>
      <c r="D613" s="12"/>
      <c r="E613" s="12"/>
      <c r="F613" s="12"/>
      <c r="G613" s="824"/>
      <c r="H613" s="12"/>
      <c r="I613" s="825"/>
      <c r="J613" s="826"/>
      <c r="K613" s="12"/>
      <c r="L613" s="12"/>
      <c r="M613" s="824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spans="1:26" ht="14.25" customHeight="1">
      <c r="A614" s="12"/>
      <c r="B614" s="12"/>
      <c r="C614" s="12"/>
      <c r="D614" s="12"/>
      <c r="E614" s="12"/>
      <c r="F614" s="12"/>
      <c r="G614" s="824"/>
      <c r="H614" s="12"/>
      <c r="I614" s="825"/>
      <c r="J614" s="826"/>
      <c r="K614" s="12"/>
      <c r="L614" s="12"/>
      <c r="M614" s="824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spans="1:26" ht="14.25" customHeight="1">
      <c r="A615" s="12"/>
      <c r="B615" s="12"/>
      <c r="C615" s="12"/>
      <c r="D615" s="12"/>
      <c r="E615" s="12"/>
      <c r="F615" s="12"/>
      <c r="G615" s="824"/>
      <c r="H615" s="12"/>
      <c r="I615" s="825"/>
      <c r="J615" s="826"/>
      <c r="K615" s="12"/>
      <c r="L615" s="12"/>
      <c r="M615" s="824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spans="1:26" ht="14.25" customHeight="1">
      <c r="A616" s="12"/>
      <c r="B616" s="12"/>
      <c r="C616" s="12"/>
      <c r="D616" s="12"/>
      <c r="E616" s="12"/>
      <c r="F616" s="12"/>
      <c r="G616" s="824"/>
      <c r="H616" s="12"/>
      <c r="I616" s="825"/>
      <c r="J616" s="826"/>
      <c r="K616" s="12"/>
      <c r="L616" s="12"/>
      <c r="M616" s="824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spans="1:26" ht="14.25" customHeight="1">
      <c r="A617" s="12"/>
      <c r="B617" s="12"/>
      <c r="C617" s="12"/>
      <c r="D617" s="12"/>
      <c r="E617" s="12"/>
      <c r="F617" s="12"/>
      <c r="G617" s="824"/>
      <c r="H617" s="12"/>
      <c r="I617" s="825"/>
      <c r="J617" s="826"/>
      <c r="K617" s="12"/>
      <c r="L617" s="12"/>
      <c r="M617" s="824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spans="1:26" ht="14.25" customHeight="1">
      <c r="A618" s="12"/>
      <c r="B618" s="12"/>
      <c r="C618" s="12"/>
      <c r="D618" s="12"/>
      <c r="E618" s="12"/>
      <c r="F618" s="12"/>
      <c r="G618" s="824"/>
      <c r="H618" s="12"/>
      <c r="I618" s="825"/>
      <c r="J618" s="826"/>
      <c r="K618" s="12"/>
      <c r="L618" s="12"/>
      <c r="M618" s="824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spans="1:26" ht="14.25" customHeight="1">
      <c r="A619" s="12"/>
      <c r="B619" s="12"/>
      <c r="C619" s="12"/>
      <c r="D619" s="12"/>
      <c r="E619" s="12"/>
      <c r="F619" s="12"/>
      <c r="G619" s="824"/>
      <c r="H619" s="12"/>
      <c r="I619" s="825"/>
      <c r="J619" s="826"/>
      <c r="K619" s="12"/>
      <c r="L619" s="12"/>
      <c r="M619" s="824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spans="1:26" ht="14.25" customHeight="1">
      <c r="A620" s="12"/>
      <c r="B620" s="12"/>
      <c r="C620" s="12"/>
      <c r="D620" s="12"/>
      <c r="E620" s="12"/>
      <c r="F620" s="12"/>
      <c r="G620" s="824"/>
      <c r="H620" s="12"/>
      <c r="I620" s="825"/>
      <c r="J620" s="826"/>
      <c r="K620" s="12"/>
      <c r="L620" s="12"/>
      <c r="M620" s="824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spans="1:26" ht="14.25" customHeight="1">
      <c r="A621" s="12"/>
      <c r="B621" s="12"/>
      <c r="C621" s="12"/>
      <c r="D621" s="12"/>
      <c r="E621" s="12"/>
      <c r="F621" s="12"/>
      <c r="G621" s="824"/>
      <c r="H621" s="12"/>
      <c r="I621" s="825"/>
      <c r="J621" s="826"/>
      <c r="K621" s="12"/>
      <c r="L621" s="12"/>
      <c r="M621" s="824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spans="1:26" ht="14.25" customHeight="1">
      <c r="A622" s="12"/>
      <c r="B622" s="12"/>
      <c r="C622" s="12"/>
      <c r="D622" s="12"/>
      <c r="E622" s="12"/>
      <c r="F622" s="12"/>
      <c r="G622" s="824"/>
      <c r="H622" s="12"/>
      <c r="I622" s="825"/>
      <c r="J622" s="826"/>
      <c r="K622" s="12"/>
      <c r="L622" s="12"/>
      <c r="M622" s="824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spans="1:26" ht="14.25" customHeight="1">
      <c r="A623" s="12"/>
      <c r="B623" s="12"/>
      <c r="C623" s="12"/>
      <c r="D623" s="12"/>
      <c r="E623" s="12"/>
      <c r="F623" s="12"/>
      <c r="G623" s="824"/>
      <c r="H623" s="12"/>
      <c r="I623" s="825"/>
      <c r="J623" s="826"/>
      <c r="K623" s="12"/>
      <c r="L623" s="12"/>
      <c r="M623" s="824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spans="1:26" ht="14.25" customHeight="1">
      <c r="A624" s="12"/>
      <c r="B624" s="12"/>
      <c r="C624" s="12"/>
      <c r="D624" s="12"/>
      <c r="E624" s="12"/>
      <c r="F624" s="12"/>
      <c r="G624" s="824"/>
      <c r="H624" s="12"/>
      <c r="I624" s="825"/>
      <c r="J624" s="826"/>
      <c r="K624" s="12"/>
      <c r="L624" s="12"/>
      <c r="M624" s="824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spans="1:26" ht="14.25" customHeight="1">
      <c r="A625" s="12"/>
      <c r="B625" s="12"/>
      <c r="C625" s="12"/>
      <c r="D625" s="12"/>
      <c r="E625" s="12"/>
      <c r="F625" s="12"/>
      <c r="G625" s="824"/>
      <c r="H625" s="12"/>
      <c r="I625" s="825"/>
      <c r="J625" s="826"/>
      <c r="K625" s="12"/>
      <c r="L625" s="12"/>
      <c r="M625" s="824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spans="1:26" ht="14.25" customHeight="1">
      <c r="A626" s="12"/>
      <c r="B626" s="12"/>
      <c r="C626" s="12"/>
      <c r="D626" s="12"/>
      <c r="E626" s="12"/>
      <c r="F626" s="12"/>
      <c r="G626" s="824"/>
      <c r="H626" s="12"/>
      <c r="I626" s="825"/>
      <c r="J626" s="826"/>
      <c r="K626" s="12"/>
      <c r="L626" s="12"/>
      <c r="M626" s="824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spans="1:26" ht="14.25" customHeight="1">
      <c r="A627" s="12"/>
      <c r="B627" s="12"/>
      <c r="C627" s="12"/>
      <c r="D627" s="12"/>
      <c r="E627" s="12"/>
      <c r="F627" s="12"/>
      <c r="G627" s="824"/>
      <c r="H627" s="12"/>
      <c r="I627" s="825"/>
      <c r="J627" s="826"/>
      <c r="K627" s="12"/>
      <c r="L627" s="12"/>
      <c r="M627" s="824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spans="1:26" ht="14.25" customHeight="1">
      <c r="A628" s="12"/>
      <c r="B628" s="12"/>
      <c r="C628" s="12"/>
      <c r="D628" s="12"/>
      <c r="E628" s="12"/>
      <c r="F628" s="12"/>
      <c r="G628" s="824"/>
      <c r="H628" s="12"/>
      <c r="I628" s="825"/>
      <c r="J628" s="826"/>
      <c r="K628" s="12"/>
      <c r="L628" s="12"/>
      <c r="M628" s="824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spans="1:26" ht="14.25" customHeight="1">
      <c r="A629" s="12"/>
      <c r="B629" s="12"/>
      <c r="C629" s="12"/>
      <c r="D629" s="12"/>
      <c r="E629" s="12"/>
      <c r="F629" s="12"/>
      <c r="G629" s="824"/>
      <c r="H629" s="12"/>
      <c r="I629" s="825"/>
      <c r="J629" s="826"/>
      <c r="K629" s="12"/>
      <c r="L629" s="12"/>
      <c r="M629" s="824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spans="1:26" ht="14.25" customHeight="1">
      <c r="A630" s="12"/>
      <c r="B630" s="12"/>
      <c r="C630" s="12"/>
      <c r="D630" s="12"/>
      <c r="E630" s="12"/>
      <c r="F630" s="12"/>
      <c r="G630" s="824"/>
      <c r="H630" s="12"/>
      <c r="I630" s="825"/>
      <c r="J630" s="826"/>
      <c r="K630" s="12"/>
      <c r="L630" s="12"/>
      <c r="M630" s="824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spans="1:26" ht="14.25" customHeight="1">
      <c r="A631" s="12"/>
      <c r="B631" s="12"/>
      <c r="C631" s="12"/>
      <c r="D631" s="12"/>
      <c r="E631" s="12"/>
      <c r="F631" s="12"/>
      <c r="G631" s="824"/>
      <c r="H631" s="12"/>
      <c r="I631" s="825"/>
      <c r="J631" s="826"/>
      <c r="K631" s="12"/>
      <c r="L631" s="12"/>
      <c r="M631" s="824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spans="1:26" ht="14.25" customHeight="1">
      <c r="A632" s="12"/>
      <c r="B632" s="12"/>
      <c r="C632" s="12"/>
      <c r="D632" s="12"/>
      <c r="E632" s="12"/>
      <c r="F632" s="12"/>
      <c r="G632" s="824"/>
      <c r="H632" s="12"/>
      <c r="I632" s="825"/>
      <c r="J632" s="826"/>
      <c r="K632" s="12"/>
      <c r="L632" s="12"/>
      <c r="M632" s="824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spans="1:26" ht="14.25" customHeight="1">
      <c r="A633" s="12"/>
      <c r="B633" s="12"/>
      <c r="C633" s="12"/>
      <c r="D633" s="12"/>
      <c r="E633" s="12"/>
      <c r="F633" s="12"/>
      <c r="G633" s="824"/>
      <c r="H633" s="12"/>
      <c r="I633" s="825"/>
      <c r="J633" s="826"/>
      <c r="K633" s="12"/>
      <c r="L633" s="12"/>
      <c r="M633" s="824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spans="1:26" ht="14.25" customHeight="1">
      <c r="A634" s="12"/>
      <c r="B634" s="12"/>
      <c r="C634" s="12"/>
      <c r="D634" s="12"/>
      <c r="E634" s="12"/>
      <c r="F634" s="12"/>
      <c r="G634" s="824"/>
      <c r="H634" s="12"/>
      <c r="I634" s="825"/>
      <c r="J634" s="826"/>
      <c r="K634" s="12"/>
      <c r="L634" s="12"/>
      <c r="M634" s="824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spans="1:26" ht="14.25" customHeight="1">
      <c r="A635" s="12"/>
      <c r="B635" s="12"/>
      <c r="C635" s="12"/>
      <c r="D635" s="12"/>
      <c r="E635" s="12"/>
      <c r="F635" s="12"/>
      <c r="G635" s="824"/>
      <c r="H635" s="12"/>
      <c r="I635" s="825"/>
      <c r="J635" s="826"/>
      <c r="K635" s="12"/>
      <c r="L635" s="12"/>
      <c r="M635" s="824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spans="1:26" ht="14.25" customHeight="1">
      <c r="A636" s="12"/>
      <c r="B636" s="12"/>
      <c r="C636" s="12"/>
      <c r="D636" s="12"/>
      <c r="E636" s="12"/>
      <c r="F636" s="12"/>
      <c r="G636" s="824"/>
      <c r="H636" s="12"/>
      <c r="I636" s="825"/>
      <c r="J636" s="826"/>
      <c r="K636" s="12"/>
      <c r="L636" s="12"/>
      <c r="M636" s="824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spans="1:26" ht="14.25" customHeight="1">
      <c r="A637" s="12"/>
      <c r="B637" s="12"/>
      <c r="C637" s="12"/>
      <c r="D637" s="12"/>
      <c r="E637" s="12"/>
      <c r="F637" s="12"/>
      <c r="G637" s="824"/>
      <c r="H637" s="12"/>
      <c r="I637" s="825"/>
      <c r="J637" s="826"/>
      <c r="K637" s="12"/>
      <c r="L637" s="12"/>
      <c r="M637" s="824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spans="1:26" ht="14.25" customHeight="1">
      <c r="A638" s="12"/>
      <c r="B638" s="12"/>
      <c r="C638" s="12"/>
      <c r="D638" s="12"/>
      <c r="E638" s="12"/>
      <c r="F638" s="12"/>
      <c r="G638" s="824"/>
      <c r="H638" s="12"/>
      <c r="I638" s="825"/>
      <c r="J638" s="826"/>
      <c r="K638" s="12"/>
      <c r="L638" s="12"/>
      <c r="M638" s="824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spans="1:26" ht="14.25" customHeight="1">
      <c r="A639" s="12"/>
      <c r="B639" s="12"/>
      <c r="C639" s="12"/>
      <c r="D639" s="12"/>
      <c r="E639" s="12"/>
      <c r="F639" s="12"/>
      <c r="G639" s="824"/>
      <c r="H639" s="12"/>
      <c r="I639" s="825"/>
      <c r="J639" s="826"/>
      <c r="K639" s="12"/>
      <c r="L639" s="12"/>
      <c r="M639" s="824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spans="1:26" ht="14.25" customHeight="1">
      <c r="A640" s="12"/>
      <c r="B640" s="12"/>
      <c r="C640" s="12"/>
      <c r="D640" s="12"/>
      <c r="E640" s="12"/>
      <c r="F640" s="12"/>
      <c r="G640" s="824"/>
      <c r="H640" s="12"/>
      <c r="I640" s="825"/>
      <c r="J640" s="826"/>
      <c r="K640" s="12"/>
      <c r="L640" s="12"/>
      <c r="M640" s="824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spans="1:26" ht="14.25" customHeight="1">
      <c r="A641" s="12"/>
      <c r="B641" s="12"/>
      <c r="C641" s="12"/>
      <c r="D641" s="12"/>
      <c r="E641" s="12"/>
      <c r="F641" s="12"/>
      <c r="G641" s="824"/>
      <c r="H641" s="12"/>
      <c r="I641" s="825"/>
      <c r="J641" s="826"/>
      <c r="K641" s="12"/>
      <c r="L641" s="12"/>
      <c r="M641" s="824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spans="1:26" ht="14.25" customHeight="1">
      <c r="A642" s="12"/>
      <c r="B642" s="12"/>
      <c r="C642" s="12"/>
      <c r="D642" s="12"/>
      <c r="E642" s="12"/>
      <c r="F642" s="12"/>
      <c r="G642" s="824"/>
      <c r="H642" s="12"/>
      <c r="I642" s="825"/>
      <c r="J642" s="826"/>
      <c r="K642" s="12"/>
      <c r="L642" s="12"/>
      <c r="M642" s="824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spans="1:26" ht="14.25" customHeight="1">
      <c r="A643" s="12"/>
      <c r="B643" s="12"/>
      <c r="C643" s="12"/>
      <c r="D643" s="12"/>
      <c r="E643" s="12"/>
      <c r="F643" s="12"/>
      <c r="G643" s="824"/>
      <c r="H643" s="12"/>
      <c r="I643" s="825"/>
      <c r="J643" s="826"/>
      <c r="K643" s="12"/>
      <c r="L643" s="12"/>
      <c r="M643" s="824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spans="1:26" ht="14.25" customHeight="1">
      <c r="A644" s="12"/>
      <c r="B644" s="12"/>
      <c r="C644" s="12"/>
      <c r="D644" s="12"/>
      <c r="E644" s="12"/>
      <c r="F644" s="12"/>
      <c r="G644" s="824"/>
      <c r="H644" s="12"/>
      <c r="I644" s="825"/>
      <c r="J644" s="826"/>
      <c r="K644" s="12"/>
      <c r="L644" s="12"/>
      <c r="M644" s="824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spans="1:26" ht="14.25" customHeight="1">
      <c r="A645" s="12"/>
      <c r="B645" s="12"/>
      <c r="C645" s="12"/>
      <c r="D645" s="12"/>
      <c r="E645" s="12"/>
      <c r="F645" s="12"/>
      <c r="G645" s="824"/>
      <c r="H645" s="12"/>
      <c r="I645" s="825"/>
      <c r="J645" s="826"/>
      <c r="K645" s="12"/>
      <c r="L645" s="12"/>
      <c r="M645" s="824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spans="1:26" ht="14.25" customHeight="1">
      <c r="A646" s="12"/>
      <c r="B646" s="12"/>
      <c r="C646" s="12"/>
      <c r="D646" s="12"/>
      <c r="E646" s="12"/>
      <c r="F646" s="12"/>
      <c r="G646" s="824"/>
      <c r="H646" s="12"/>
      <c r="I646" s="825"/>
      <c r="J646" s="826"/>
      <c r="K646" s="12"/>
      <c r="L646" s="12"/>
      <c r="M646" s="824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spans="1:26" ht="14.25" customHeight="1">
      <c r="A647" s="12"/>
      <c r="B647" s="12"/>
      <c r="C647" s="12"/>
      <c r="D647" s="12"/>
      <c r="E647" s="12"/>
      <c r="F647" s="12"/>
      <c r="G647" s="824"/>
      <c r="H647" s="12"/>
      <c r="I647" s="825"/>
      <c r="J647" s="826"/>
      <c r="K647" s="12"/>
      <c r="L647" s="12"/>
      <c r="M647" s="824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spans="1:26" ht="14.25" customHeight="1">
      <c r="A648" s="12"/>
      <c r="B648" s="12"/>
      <c r="C648" s="12"/>
      <c r="D648" s="12"/>
      <c r="E648" s="12"/>
      <c r="F648" s="12"/>
      <c r="G648" s="824"/>
      <c r="H648" s="12"/>
      <c r="I648" s="825"/>
      <c r="J648" s="826"/>
      <c r="K648" s="12"/>
      <c r="L648" s="12"/>
      <c r="M648" s="824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spans="1:26" ht="14.25" customHeight="1">
      <c r="A649" s="12"/>
      <c r="B649" s="12"/>
      <c r="C649" s="12"/>
      <c r="D649" s="12"/>
      <c r="E649" s="12"/>
      <c r="F649" s="12"/>
      <c r="G649" s="824"/>
      <c r="H649" s="12"/>
      <c r="I649" s="825"/>
      <c r="J649" s="826"/>
      <c r="K649" s="12"/>
      <c r="L649" s="12"/>
      <c r="M649" s="824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spans="1:26" ht="14.25" customHeight="1">
      <c r="A650" s="12"/>
      <c r="B650" s="12"/>
      <c r="C650" s="12"/>
      <c r="D650" s="12"/>
      <c r="E650" s="12"/>
      <c r="F650" s="12"/>
      <c r="G650" s="824"/>
      <c r="H650" s="12"/>
      <c r="I650" s="825"/>
      <c r="J650" s="826"/>
      <c r="K650" s="12"/>
      <c r="L650" s="12"/>
      <c r="M650" s="824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spans="1:26" ht="14.25" customHeight="1">
      <c r="A651" s="12"/>
      <c r="B651" s="12"/>
      <c r="C651" s="12"/>
      <c r="D651" s="12"/>
      <c r="E651" s="12"/>
      <c r="F651" s="12"/>
      <c r="G651" s="824"/>
      <c r="H651" s="12"/>
      <c r="I651" s="825"/>
      <c r="J651" s="826"/>
      <c r="K651" s="12"/>
      <c r="L651" s="12"/>
      <c r="M651" s="824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spans="1:26" ht="14.25" customHeight="1">
      <c r="A652" s="12"/>
      <c r="B652" s="12"/>
      <c r="C652" s="12"/>
      <c r="D652" s="12"/>
      <c r="E652" s="12"/>
      <c r="F652" s="12"/>
      <c r="G652" s="824"/>
      <c r="H652" s="12"/>
      <c r="I652" s="825"/>
      <c r="J652" s="826"/>
      <c r="K652" s="12"/>
      <c r="L652" s="12"/>
      <c r="M652" s="824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spans="1:26" ht="14.25" customHeight="1">
      <c r="A653" s="12"/>
      <c r="B653" s="12"/>
      <c r="C653" s="12"/>
      <c r="D653" s="12"/>
      <c r="E653" s="12"/>
      <c r="F653" s="12"/>
      <c r="G653" s="824"/>
      <c r="H653" s="12"/>
      <c r="I653" s="825"/>
      <c r="J653" s="826"/>
      <c r="K653" s="12"/>
      <c r="L653" s="12"/>
      <c r="M653" s="824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spans="1:26" ht="14.25" customHeight="1">
      <c r="A654" s="12"/>
      <c r="B654" s="12"/>
      <c r="C654" s="12"/>
      <c r="D654" s="12"/>
      <c r="E654" s="12"/>
      <c r="F654" s="12"/>
      <c r="G654" s="824"/>
      <c r="H654" s="12"/>
      <c r="I654" s="825"/>
      <c r="J654" s="826"/>
      <c r="K654" s="12"/>
      <c r="L654" s="12"/>
      <c r="M654" s="824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spans="1:26" ht="14.25" customHeight="1">
      <c r="A655" s="12"/>
      <c r="B655" s="12"/>
      <c r="C655" s="12"/>
      <c r="D655" s="12"/>
      <c r="E655" s="12"/>
      <c r="F655" s="12"/>
      <c r="G655" s="824"/>
      <c r="H655" s="12"/>
      <c r="I655" s="825"/>
      <c r="J655" s="826"/>
      <c r="K655" s="12"/>
      <c r="L655" s="12"/>
      <c r="M655" s="824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spans="1:26" ht="14.25" customHeight="1">
      <c r="A656" s="12"/>
      <c r="B656" s="12"/>
      <c r="C656" s="12"/>
      <c r="D656" s="12"/>
      <c r="E656" s="12"/>
      <c r="F656" s="12"/>
      <c r="G656" s="824"/>
      <c r="H656" s="12"/>
      <c r="I656" s="825"/>
      <c r="J656" s="826"/>
      <c r="K656" s="12"/>
      <c r="L656" s="12"/>
      <c r="M656" s="824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spans="1:26" ht="14.25" customHeight="1">
      <c r="A657" s="12"/>
      <c r="B657" s="12"/>
      <c r="C657" s="12"/>
      <c r="D657" s="12"/>
      <c r="E657" s="12"/>
      <c r="F657" s="12"/>
      <c r="G657" s="824"/>
      <c r="H657" s="12"/>
      <c r="I657" s="825"/>
      <c r="J657" s="826"/>
      <c r="K657" s="12"/>
      <c r="L657" s="12"/>
      <c r="M657" s="824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spans="1:26" ht="14.25" customHeight="1">
      <c r="A658" s="12"/>
      <c r="B658" s="12"/>
      <c r="C658" s="12"/>
      <c r="D658" s="12"/>
      <c r="E658" s="12"/>
      <c r="F658" s="12"/>
      <c r="G658" s="824"/>
      <c r="H658" s="12"/>
      <c r="I658" s="825"/>
      <c r="J658" s="826"/>
      <c r="K658" s="12"/>
      <c r="L658" s="12"/>
      <c r="M658" s="824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spans="1:26" ht="14.25" customHeight="1">
      <c r="A659" s="12"/>
      <c r="B659" s="12"/>
      <c r="C659" s="12"/>
      <c r="D659" s="12"/>
      <c r="E659" s="12"/>
      <c r="F659" s="12"/>
      <c r="G659" s="824"/>
      <c r="H659" s="12"/>
      <c r="I659" s="825"/>
      <c r="J659" s="826"/>
      <c r="K659" s="12"/>
      <c r="L659" s="12"/>
      <c r="M659" s="824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spans="1:26" ht="14.25" customHeight="1">
      <c r="A660" s="12"/>
      <c r="B660" s="12"/>
      <c r="C660" s="12"/>
      <c r="D660" s="12"/>
      <c r="E660" s="12"/>
      <c r="F660" s="12"/>
      <c r="G660" s="824"/>
      <c r="H660" s="12"/>
      <c r="I660" s="825"/>
      <c r="J660" s="826"/>
      <c r="K660" s="12"/>
      <c r="L660" s="12"/>
      <c r="M660" s="824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spans="1:26" ht="14.25" customHeight="1">
      <c r="A661" s="12"/>
      <c r="B661" s="12"/>
      <c r="C661" s="12"/>
      <c r="D661" s="12"/>
      <c r="E661" s="12"/>
      <c r="F661" s="12"/>
      <c r="G661" s="824"/>
      <c r="H661" s="12"/>
      <c r="I661" s="825"/>
      <c r="J661" s="826"/>
      <c r="K661" s="12"/>
      <c r="L661" s="12"/>
      <c r="M661" s="824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spans="1:26" ht="14.25" customHeight="1">
      <c r="A662" s="12"/>
      <c r="B662" s="12"/>
      <c r="C662" s="12"/>
      <c r="D662" s="12"/>
      <c r="E662" s="12"/>
      <c r="F662" s="12"/>
      <c r="G662" s="824"/>
      <c r="H662" s="12"/>
      <c r="I662" s="825"/>
      <c r="J662" s="826"/>
      <c r="K662" s="12"/>
      <c r="L662" s="12"/>
      <c r="M662" s="824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spans="1:26" ht="14.25" customHeight="1">
      <c r="A663" s="12"/>
      <c r="B663" s="12"/>
      <c r="C663" s="12"/>
      <c r="D663" s="12"/>
      <c r="E663" s="12"/>
      <c r="F663" s="12"/>
      <c r="G663" s="824"/>
      <c r="H663" s="12"/>
      <c r="I663" s="825"/>
      <c r="J663" s="826"/>
      <c r="K663" s="12"/>
      <c r="L663" s="12"/>
      <c r="M663" s="824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spans="1:26" ht="14.25" customHeight="1">
      <c r="A664" s="12"/>
      <c r="B664" s="12"/>
      <c r="C664" s="12"/>
      <c r="D664" s="12"/>
      <c r="E664" s="12"/>
      <c r="F664" s="12"/>
      <c r="G664" s="824"/>
      <c r="H664" s="12"/>
      <c r="I664" s="825"/>
      <c r="J664" s="826"/>
      <c r="K664" s="12"/>
      <c r="L664" s="12"/>
      <c r="M664" s="824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spans="1:26" ht="14.25" customHeight="1">
      <c r="A665" s="12"/>
      <c r="B665" s="12"/>
      <c r="C665" s="12"/>
      <c r="D665" s="12"/>
      <c r="E665" s="12"/>
      <c r="F665" s="12"/>
      <c r="G665" s="824"/>
      <c r="H665" s="12"/>
      <c r="I665" s="825"/>
      <c r="J665" s="826"/>
      <c r="K665" s="12"/>
      <c r="L665" s="12"/>
      <c r="M665" s="824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spans="1:26" ht="14.25" customHeight="1">
      <c r="A666" s="12"/>
      <c r="B666" s="12"/>
      <c r="C666" s="12"/>
      <c r="D666" s="12"/>
      <c r="E666" s="12"/>
      <c r="F666" s="12"/>
      <c r="G666" s="824"/>
      <c r="H666" s="12"/>
      <c r="I666" s="825"/>
      <c r="J666" s="826"/>
      <c r="K666" s="12"/>
      <c r="L666" s="12"/>
      <c r="M666" s="824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spans="1:26" ht="14.25" customHeight="1">
      <c r="A667" s="12"/>
      <c r="B667" s="12"/>
      <c r="C667" s="12"/>
      <c r="D667" s="12"/>
      <c r="E667" s="12"/>
      <c r="F667" s="12"/>
      <c r="G667" s="824"/>
      <c r="H667" s="12"/>
      <c r="I667" s="825"/>
      <c r="J667" s="826"/>
      <c r="K667" s="12"/>
      <c r="L667" s="12"/>
      <c r="M667" s="824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spans="1:26" ht="14.25" customHeight="1">
      <c r="A668" s="12"/>
      <c r="B668" s="12"/>
      <c r="C668" s="12"/>
      <c r="D668" s="12"/>
      <c r="E668" s="12"/>
      <c r="F668" s="12"/>
      <c r="G668" s="824"/>
      <c r="H668" s="12"/>
      <c r="I668" s="825"/>
      <c r="J668" s="826"/>
      <c r="K668" s="12"/>
      <c r="L668" s="12"/>
      <c r="M668" s="824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spans="1:26" ht="14.25" customHeight="1">
      <c r="A669" s="12"/>
      <c r="B669" s="12"/>
      <c r="C669" s="12"/>
      <c r="D669" s="12"/>
      <c r="E669" s="12"/>
      <c r="F669" s="12"/>
      <c r="G669" s="824"/>
      <c r="H669" s="12"/>
      <c r="I669" s="825"/>
      <c r="J669" s="826"/>
      <c r="K669" s="12"/>
      <c r="L669" s="12"/>
      <c r="M669" s="824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spans="1:26" ht="14.25" customHeight="1">
      <c r="A670" s="12"/>
      <c r="B670" s="12"/>
      <c r="C670" s="12"/>
      <c r="D670" s="12"/>
      <c r="E670" s="12"/>
      <c r="F670" s="12"/>
      <c r="G670" s="824"/>
      <c r="H670" s="12"/>
      <c r="I670" s="825"/>
      <c r="J670" s="826"/>
      <c r="K670" s="12"/>
      <c r="L670" s="12"/>
      <c r="M670" s="824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spans="1:26" ht="14.25" customHeight="1">
      <c r="A671" s="12"/>
      <c r="B671" s="12"/>
      <c r="C671" s="12"/>
      <c r="D671" s="12"/>
      <c r="E671" s="12"/>
      <c r="F671" s="12"/>
      <c r="G671" s="824"/>
      <c r="H671" s="12"/>
      <c r="I671" s="825"/>
      <c r="J671" s="826"/>
      <c r="K671" s="12"/>
      <c r="L671" s="12"/>
      <c r="M671" s="824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spans="1:26" ht="14.25" customHeight="1">
      <c r="A672" s="12"/>
      <c r="B672" s="12"/>
      <c r="C672" s="12"/>
      <c r="D672" s="12"/>
      <c r="E672" s="12"/>
      <c r="F672" s="12"/>
      <c r="G672" s="824"/>
      <c r="H672" s="12"/>
      <c r="I672" s="825"/>
      <c r="J672" s="826"/>
      <c r="K672" s="12"/>
      <c r="L672" s="12"/>
      <c r="M672" s="824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spans="1:26" ht="14.25" customHeight="1">
      <c r="A673" s="12"/>
      <c r="B673" s="12"/>
      <c r="C673" s="12"/>
      <c r="D673" s="12"/>
      <c r="E673" s="12"/>
      <c r="F673" s="12"/>
      <c r="G673" s="824"/>
      <c r="H673" s="12"/>
      <c r="I673" s="825"/>
      <c r="J673" s="826"/>
      <c r="K673" s="12"/>
      <c r="L673" s="12"/>
      <c r="M673" s="824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spans="1:26" ht="14.25" customHeight="1">
      <c r="A674" s="12"/>
      <c r="B674" s="12"/>
      <c r="C674" s="12"/>
      <c r="D674" s="12"/>
      <c r="E674" s="12"/>
      <c r="F674" s="12"/>
      <c r="G674" s="824"/>
      <c r="H674" s="12"/>
      <c r="I674" s="825"/>
      <c r="J674" s="826"/>
      <c r="K674" s="12"/>
      <c r="L674" s="12"/>
      <c r="M674" s="824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spans="1:26" ht="14.25" customHeight="1">
      <c r="A675" s="12"/>
      <c r="B675" s="12"/>
      <c r="C675" s="12"/>
      <c r="D675" s="12"/>
      <c r="E675" s="12"/>
      <c r="F675" s="12"/>
      <c r="G675" s="824"/>
      <c r="H675" s="12"/>
      <c r="I675" s="825"/>
      <c r="J675" s="826"/>
      <c r="K675" s="12"/>
      <c r="L675" s="12"/>
      <c r="M675" s="824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spans="1:26" ht="14.25" customHeight="1">
      <c r="A676" s="12"/>
      <c r="B676" s="12"/>
      <c r="C676" s="12"/>
      <c r="D676" s="12"/>
      <c r="E676" s="12"/>
      <c r="F676" s="12"/>
      <c r="G676" s="824"/>
      <c r="H676" s="12"/>
      <c r="I676" s="825"/>
      <c r="J676" s="826"/>
      <c r="K676" s="12"/>
      <c r="L676" s="12"/>
      <c r="M676" s="824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spans="1:26" ht="14.25" customHeight="1">
      <c r="A677" s="12"/>
      <c r="B677" s="12"/>
      <c r="C677" s="12"/>
      <c r="D677" s="12"/>
      <c r="E677" s="12"/>
      <c r="F677" s="12"/>
      <c r="G677" s="824"/>
      <c r="H677" s="12"/>
      <c r="I677" s="825"/>
      <c r="J677" s="826"/>
      <c r="K677" s="12"/>
      <c r="L677" s="12"/>
      <c r="M677" s="824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spans="1:26" ht="14.25" customHeight="1">
      <c r="A678" s="12"/>
      <c r="B678" s="12"/>
      <c r="C678" s="12"/>
      <c r="D678" s="12"/>
      <c r="E678" s="12"/>
      <c r="F678" s="12"/>
      <c r="G678" s="824"/>
      <c r="H678" s="12"/>
      <c r="I678" s="825"/>
      <c r="J678" s="826"/>
      <c r="K678" s="12"/>
      <c r="L678" s="12"/>
      <c r="M678" s="824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spans="1:26" ht="14.25" customHeight="1">
      <c r="A679" s="12"/>
      <c r="B679" s="12"/>
      <c r="C679" s="12"/>
      <c r="D679" s="12"/>
      <c r="E679" s="12"/>
      <c r="F679" s="12"/>
      <c r="G679" s="824"/>
      <c r="H679" s="12"/>
      <c r="I679" s="825"/>
      <c r="J679" s="826"/>
      <c r="K679" s="12"/>
      <c r="L679" s="12"/>
      <c r="M679" s="824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spans="1:26" ht="14.25" customHeight="1">
      <c r="A680" s="12"/>
      <c r="B680" s="12"/>
      <c r="C680" s="12"/>
      <c r="D680" s="12"/>
      <c r="E680" s="12"/>
      <c r="F680" s="12"/>
      <c r="G680" s="824"/>
      <c r="H680" s="12"/>
      <c r="I680" s="825"/>
      <c r="J680" s="826"/>
      <c r="K680" s="12"/>
      <c r="L680" s="12"/>
      <c r="M680" s="824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spans="1:26" ht="14.25" customHeight="1">
      <c r="A681" s="12"/>
      <c r="B681" s="12"/>
      <c r="C681" s="12"/>
      <c r="D681" s="12"/>
      <c r="E681" s="12"/>
      <c r="F681" s="12"/>
      <c r="G681" s="824"/>
      <c r="H681" s="12"/>
      <c r="I681" s="825"/>
      <c r="J681" s="826"/>
      <c r="K681" s="12"/>
      <c r="L681" s="12"/>
      <c r="M681" s="824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spans="1:26" ht="14.25" customHeight="1">
      <c r="A682" s="12"/>
      <c r="B682" s="12"/>
      <c r="C682" s="12"/>
      <c r="D682" s="12"/>
      <c r="E682" s="12"/>
      <c r="F682" s="12"/>
      <c r="G682" s="824"/>
      <c r="H682" s="12"/>
      <c r="I682" s="825"/>
      <c r="J682" s="826"/>
      <c r="K682" s="12"/>
      <c r="L682" s="12"/>
      <c r="M682" s="824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spans="1:26" ht="14.25" customHeight="1">
      <c r="A683" s="12"/>
      <c r="B683" s="12"/>
      <c r="C683" s="12"/>
      <c r="D683" s="12"/>
      <c r="E683" s="12"/>
      <c r="F683" s="12"/>
      <c r="G683" s="824"/>
      <c r="H683" s="12"/>
      <c r="I683" s="825"/>
      <c r="J683" s="826"/>
      <c r="K683" s="12"/>
      <c r="L683" s="12"/>
      <c r="M683" s="824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spans="1:26" ht="14.25" customHeight="1">
      <c r="A684" s="12"/>
      <c r="B684" s="12"/>
      <c r="C684" s="12"/>
      <c r="D684" s="12"/>
      <c r="E684" s="12"/>
      <c r="F684" s="12"/>
      <c r="G684" s="824"/>
      <c r="H684" s="12"/>
      <c r="I684" s="825"/>
      <c r="J684" s="826"/>
      <c r="K684" s="12"/>
      <c r="L684" s="12"/>
      <c r="M684" s="824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spans="1:26" ht="14.25" customHeight="1">
      <c r="A685" s="12"/>
      <c r="B685" s="12"/>
      <c r="C685" s="12"/>
      <c r="D685" s="12"/>
      <c r="E685" s="12"/>
      <c r="F685" s="12"/>
      <c r="G685" s="824"/>
      <c r="H685" s="12"/>
      <c r="I685" s="825"/>
      <c r="J685" s="826"/>
      <c r="K685" s="12"/>
      <c r="L685" s="12"/>
      <c r="M685" s="824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spans="1:26" ht="14.25" customHeight="1">
      <c r="A686" s="12"/>
      <c r="B686" s="12"/>
      <c r="C686" s="12"/>
      <c r="D686" s="12"/>
      <c r="E686" s="12"/>
      <c r="F686" s="12"/>
      <c r="G686" s="824"/>
      <c r="H686" s="12"/>
      <c r="I686" s="825"/>
      <c r="J686" s="826"/>
      <c r="K686" s="12"/>
      <c r="L686" s="12"/>
      <c r="M686" s="824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spans="1:26" ht="14.25" customHeight="1">
      <c r="A687" s="12"/>
      <c r="B687" s="12"/>
      <c r="C687" s="12"/>
      <c r="D687" s="12"/>
      <c r="E687" s="12"/>
      <c r="F687" s="12"/>
      <c r="G687" s="824"/>
      <c r="H687" s="12"/>
      <c r="I687" s="825"/>
      <c r="J687" s="826"/>
      <c r="K687" s="12"/>
      <c r="L687" s="12"/>
      <c r="M687" s="824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spans="1:26" ht="14.25" customHeight="1">
      <c r="A688" s="12"/>
      <c r="B688" s="12"/>
      <c r="C688" s="12"/>
      <c r="D688" s="12"/>
      <c r="E688" s="12"/>
      <c r="F688" s="12"/>
      <c r="G688" s="824"/>
      <c r="H688" s="12"/>
      <c r="I688" s="825"/>
      <c r="J688" s="826"/>
      <c r="K688" s="12"/>
      <c r="L688" s="12"/>
      <c r="M688" s="824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spans="1:26" ht="14.25" customHeight="1">
      <c r="A689" s="12"/>
      <c r="B689" s="12"/>
      <c r="C689" s="12"/>
      <c r="D689" s="12"/>
      <c r="E689" s="12"/>
      <c r="F689" s="12"/>
      <c r="G689" s="824"/>
      <c r="H689" s="12"/>
      <c r="I689" s="825"/>
      <c r="J689" s="826"/>
      <c r="K689" s="12"/>
      <c r="L689" s="12"/>
      <c r="M689" s="824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spans="1:26" ht="14.25" customHeight="1">
      <c r="A690" s="12"/>
      <c r="B690" s="12"/>
      <c r="C690" s="12"/>
      <c r="D690" s="12"/>
      <c r="E690" s="12"/>
      <c r="F690" s="12"/>
      <c r="G690" s="824"/>
      <c r="H690" s="12"/>
      <c r="I690" s="825"/>
      <c r="J690" s="826"/>
      <c r="K690" s="12"/>
      <c r="L690" s="12"/>
      <c r="M690" s="824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spans="1:26" ht="14.25" customHeight="1">
      <c r="A691" s="12"/>
      <c r="B691" s="12"/>
      <c r="C691" s="12"/>
      <c r="D691" s="12"/>
      <c r="E691" s="12"/>
      <c r="F691" s="12"/>
      <c r="G691" s="824"/>
      <c r="H691" s="12"/>
      <c r="I691" s="825"/>
      <c r="J691" s="826"/>
      <c r="K691" s="12"/>
      <c r="L691" s="12"/>
      <c r="M691" s="824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spans="1:26" ht="14.25" customHeight="1">
      <c r="A692" s="12"/>
      <c r="B692" s="12"/>
      <c r="C692" s="12"/>
      <c r="D692" s="12"/>
      <c r="E692" s="12"/>
      <c r="F692" s="12"/>
      <c r="G692" s="824"/>
      <c r="H692" s="12"/>
      <c r="I692" s="825"/>
      <c r="J692" s="826"/>
      <c r="K692" s="12"/>
      <c r="L692" s="12"/>
      <c r="M692" s="824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spans="1:26" ht="14.25" customHeight="1">
      <c r="A693" s="12"/>
      <c r="B693" s="12"/>
      <c r="C693" s="12"/>
      <c r="D693" s="12"/>
      <c r="E693" s="12"/>
      <c r="F693" s="12"/>
      <c r="G693" s="824"/>
      <c r="H693" s="12"/>
      <c r="I693" s="825"/>
      <c r="J693" s="826"/>
      <c r="K693" s="12"/>
      <c r="L693" s="12"/>
      <c r="M693" s="824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spans="1:26" ht="14.25" customHeight="1">
      <c r="A694" s="12"/>
      <c r="B694" s="12"/>
      <c r="C694" s="12"/>
      <c r="D694" s="12"/>
      <c r="E694" s="12"/>
      <c r="F694" s="12"/>
      <c r="G694" s="824"/>
      <c r="H694" s="12"/>
      <c r="I694" s="825"/>
      <c r="J694" s="826"/>
      <c r="K694" s="12"/>
      <c r="L694" s="12"/>
      <c r="M694" s="824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spans="1:26" ht="14.25" customHeight="1">
      <c r="A695" s="12"/>
      <c r="B695" s="12"/>
      <c r="C695" s="12"/>
      <c r="D695" s="12"/>
      <c r="E695" s="12"/>
      <c r="F695" s="12"/>
      <c r="G695" s="824"/>
      <c r="H695" s="12"/>
      <c r="I695" s="825"/>
      <c r="J695" s="826"/>
      <c r="K695" s="12"/>
      <c r="L695" s="12"/>
      <c r="M695" s="824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spans="1:26" ht="14.25" customHeight="1">
      <c r="A696" s="12"/>
      <c r="B696" s="12"/>
      <c r="C696" s="12"/>
      <c r="D696" s="12"/>
      <c r="E696" s="12"/>
      <c r="F696" s="12"/>
      <c r="G696" s="824"/>
      <c r="H696" s="12"/>
      <c r="I696" s="825"/>
      <c r="J696" s="826"/>
      <c r="K696" s="12"/>
      <c r="L696" s="12"/>
      <c r="M696" s="824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spans="1:26" ht="14.25" customHeight="1">
      <c r="A697" s="12"/>
      <c r="B697" s="12"/>
      <c r="C697" s="12"/>
      <c r="D697" s="12"/>
      <c r="E697" s="12"/>
      <c r="F697" s="12"/>
      <c r="G697" s="824"/>
      <c r="H697" s="12"/>
      <c r="I697" s="825"/>
      <c r="J697" s="826"/>
      <c r="K697" s="12"/>
      <c r="L697" s="12"/>
      <c r="M697" s="824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spans="1:26" ht="14.25" customHeight="1">
      <c r="A698" s="12"/>
      <c r="B698" s="12"/>
      <c r="C698" s="12"/>
      <c r="D698" s="12"/>
      <c r="E698" s="12"/>
      <c r="F698" s="12"/>
      <c r="G698" s="824"/>
      <c r="H698" s="12"/>
      <c r="I698" s="825"/>
      <c r="J698" s="826"/>
      <c r="K698" s="12"/>
      <c r="L698" s="12"/>
      <c r="M698" s="824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spans="1:26" ht="14.25" customHeight="1">
      <c r="A699" s="12"/>
      <c r="B699" s="12"/>
      <c r="C699" s="12"/>
      <c r="D699" s="12"/>
      <c r="E699" s="12"/>
      <c r="F699" s="12"/>
      <c r="G699" s="824"/>
      <c r="H699" s="12"/>
      <c r="I699" s="825"/>
      <c r="J699" s="826"/>
      <c r="K699" s="12"/>
      <c r="L699" s="12"/>
      <c r="M699" s="824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spans="1:26" ht="14.25" customHeight="1">
      <c r="A700" s="12"/>
      <c r="B700" s="12"/>
      <c r="C700" s="12"/>
      <c r="D700" s="12"/>
      <c r="E700" s="12"/>
      <c r="F700" s="12"/>
      <c r="G700" s="824"/>
      <c r="H700" s="12"/>
      <c r="I700" s="825"/>
      <c r="J700" s="826"/>
      <c r="K700" s="12"/>
      <c r="L700" s="12"/>
      <c r="M700" s="824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spans="1:26" ht="14.25" customHeight="1">
      <c r="A701" s="12"/>
      <c r="B701" s="12"/>
      <c r="C701" s="12"/>
      <c r="D701" s="12"/>
      <c r="E701" s="12"/>
      <c r="F701" s="12"/>
      <c r="G701" s="824"/>
      <c r="H701" s="12"/>
      <c r="I701" s="825"/>
      <c r="J701" s="826"/>
      <c r="K701" s="12"/>
      <c r="L701" s="12"/>
      <c r="M701" s="824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spans="1:26" ht="14.25" customHeight="1">
      <c r="A702" s="12"/>
      <c r="B702" s="12"/>
      <c r="C702" s="12"/>
      <c r="D702" s="12"/>
      <c r="E702" s="12"/>
      <c r="F702" s="12"/>
      <c r="G702" s="824"/>
      <c r="H702" s="12"/>
      <c r="I702" s="825"/>
      <c r="J702" s="826"/>
      <c r="K702" s="12"/>
      <c r="L702" s="12"/>
      <c r="M702" s="824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spans="1:26" ht="14.25" customHeight="1">
      <c r="A703" s="12"/>
      <c r="B703" s="12"/>
      <c r="C703" s="12"/>
      <c r="D703" s="12"/>
      <c r="E703" s="12"/>
      <c r="F703" s="12"/>
      <c r="G703" s="824"/>
      <c r="H703" s="12"/>
      <c r="I703" s="825"/>
      <c r="J703" s="826"/>
      <c r="K703" s="12"/>
      <c r="L703" s="12"/>
      <c r="M703" s="824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spans="1:26" ht="14.25" customHeight="1">
      <c r="A704" s="12"/>
      <c r="B704" s="12"/>
      <c r="C704" s="12"/>
      <c r="D704" s="12"/>
      <c r="E704" s="12"/>
      <c r="F704" s="12"/>
      <c r="G704" s="824"/>
      <c r="H704" s="12"/>
      <c r="I704" s="825"/>
      <c r="J704" s="826"/>
      <c r="K704" s="12"/>
      <c r="L704" s="12"/>
      <c r="M704" s="824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spans="1:26" ht="14.25" customHeight="1">
      <c r="A705" s="12"/>
      <c r="B705" s="12"/>
      <c r="C705" s="12"/>
      <c r="D705" s="12"/>
      <c r="E705" s="12"/>
      <c r="F705" s="12"/>
      <c r="G705" s="824"/>
      <c r="H705" s="12"/>
      <c r="I705" s="825"/>
      <c r="J705" s="826"/>
      <c r="K705" s="12"/>
      <c r="L705" s="12"/>
      <c r="M705" s="824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spans="1:26" ht="14.25" customHeight="1">
      <c r="A706" s="12"/>
      <c r="B706" s="12"/>
      <c r="C706" s="12"/>
      <c r="D706" s="12"/>
      <c r="E706" s="12"/>
      <c r="F706" s="12"/>
      <c r="G706" s="824"/>
      <c r="H706" s="12"/>
      <c r="I706" s="825"/>
      <c r="J706" s="826"/>
      <c r="K706" s="12"/>
      <c r="L706" s="12"/>
      <c r="M706" s="824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spans="1:26" ht="14.25" customHeight="1">
      <c r="A707" s="12"/>
      <c r="B707" s="12"/>
      <c r="C707" s="12"/>
      <c r="D707" s="12"/>
      <c r="E707" s="12"/>
      <c r="F707" s="12"/>
      <c r="G707" s="824"/>
      <c r="H707" s="12"/>
      <c r="I707" s="825"/>
      <c r="J707" s="826"/>
      <c r="K707" s="12"/>
      <c r="L707" s="12"/>
      <c r="M707" s="824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spans="1:26" ht="14.25" customHeight="1">
      <c r="A708" s="12"/>
      <c r="B708" s="12"/>
      <c r="C708" s="12"/>
      <c r="D708" s="12"/>
      <c r="E708" s="12"/>
      <c r="F708" s="12"/>
      <c r="G708" s="824"/>
      <c r="H708" s="12"/>
      <c r="I708" s="825"/>
      <c r="J708" s="826"/>
      <c r="K708" s="12"/>
      <c r="L708" s="12"/>
      <c r="M708" s="824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spans="1:26" ht="14.25" customHeight="1">
      <c r="A709" s="12"/>
      <c r="B709" s="12"/>
      <c r="C709" s="12"/>
      <c r="D709" s="12"/>
      <c r="E709" s="12"/>
      <c r="F709" s="12"/>
      <c r="G709" s="824"/>
      <c r="H709" s="12"/>
      <c r="I709" s="825"/>
      <c r="J709" s="826"/>
      <c r="K709" s="12"/>
      <c r="L709" s="12"/>
      <c r="M709" s="824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spans="1:26" ht="14.25" customHeight="1">
      <c r="A710" s="12"/>
      <c r="B710" s="12"/>
      <c r="C710" s="12"/>
      <c r="D710" s="12"/>
      <c r="E710" s="12"/>
      <c r="F710" s="12"/>
      <c r="G710" s="824"/>
      <c r="H710" s="12"/>
      <c r="I710" s="825"/>
      <c r="J710" s="826"/>
      <c r="K710" s="12"/>
      <c r="L710" s="12"/>
      <c r="M710" s="824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spans="1:26" ht="14.25" customHeight="1">
      <c r="A711" s="12"/>
      <c r="B711" s="12"/>
      <c r="C711" s="12"/>
      <c r="D711" s="12"/>
      <c r="E711" s="12"/>
      <c r="F711" s="12"/>
      <c r="G711" s="824"/>
      <c r="H711" s="12"/>
      <c r="I711" s="825"/>
      <c r="J711" s="826"/>
      <c r="K711" s="12"/>
      <c r="L711" s="12"/>
      <c r="M711" s="824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spans="1:26" ht="14.25" customHeight="1">
      <c r="A712" s="12"/>
      <c r="B712" s="12"/>
      <c r="C712" s="12"/>
      <c r="D712" s="12"/>
      <c r="E712" s="12"/>
      <c r="F712" s="12"/>
      <c r="G712" s="824"/>
      <c r="H712" s="12"/>
      <c r="I712" s="825"/>
      <c r="J712" s="826"/>
      <c r="K712" s="12"/>
      <c r="L712" s="12"/>
      <c r="M712" s="824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spans="1:26" ht="14.25" customHeight="1">
      <c r="A713" s="12"/>
      <c r="B713" s="12"/>
      <c r="C713" s="12"/>
      <c r="D713" s="12"/>
      <c r="E713" s="12"/>
      <c r="F713" s="12"/>
      <c r="G713" s="824"/>
      <c r="H713" s="12"/>
      <c r="I713" s="825"/>
      <c r="J713" s="826"/>
      <c r="K713" s="12"/>
      <c r="L713" s="12"/>
      <c r="M713" s="824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spans="1:26" ht="14.25" customHeight="1">
      <c r="A714" s="12"/>
      <c r="B714" s="12"/>
      <c r="C714" s="12"/>
      <c r="D714" s="12"/>
      <c r="E714" s="12"/>
      <c r="F714" s="12"/>
      <c r="G714" s="824"/>
      <c r="H714" s="12"/>
      <c r="I714" s="825"/>
      <c r="J714" s="826"/>
      <c r="K714" s="12"/>
      <c r="L714" s="12"/>
      <c r="M714" s="824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spans="1:26" ht="14.25" customHeight="1">
      <c r="A715" s="12"/>
      <c r="B715" s="12"/>
      <c r="C715" s="12"/>
      <c r="D715" s="12"/>
      <c r="E715" s="12"/>
      <c r="F715" s="12"/>
      <c r="G715" s="824"/>
      <c r="H715" s="12"/>
      <c r="I715" s="825"/>
      <c r="J715" s="826"/>
      <c r="K715" s="12"/>
      <c r="L715" s="12"/>
      <c r="M715" s="824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spans="1:26" ht="14.25" customHeight="1">
      <c r="A716" s="12"/>
      <c r="B716" s="12"/>
      <c r="C716" s="12"/>
      <c r="D716" s="12"/>
      <c r="E716" s="12"/>
      <c r="F716" s="12"/>
      <c r="G716" s="824"/>
      <c r="H716" s="12"/>
      <c r="I716" s="825"/>
      <c r="J716" s="826"/>
      <c r="K716" s="12"/>
      <c r="L716" s="12"/>
      <c r="M716" s="824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spans="1:26" ht="14.25" customHeight="1">
      <c r="A717" s="12"/>
      <c r="B717" s="12"/>
      <c r="C717" s="12"/>
      <c r="D717" s="12"/>
      <c r="E717" s="12"/>
      <c r="F717" s="12"/>
      <c r="G717" s="824"/>
      <c r="H717" s="12"/>
      <c r="I717" s="825"/>
      <c r="J717" s="826"/>
      <c r="K717" s="12"/>
      <c r="L717" s="12"/>
      <c r="M717" s="824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spans="1:26" ht="14.25" customHeight="1">
      <c r="A718" s="12"/>
      <c r="B718" s="12"/>
      <c r="C718" s="12"/>
      <c r="D718" s="12"/>
      <c r="E718" s="12"/>
      <c r="F718" s="12"/>
      <c r="G718" s="824"/>
      <c r="H718" s="12"/>
      <c r="I718" s="825"/>
      <c r="J718" s="826"/>
      <c r="K718" s="12"/>
      <c r="L718" s="12"/>
      <c r="M718" s="824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spans="1:26" ht="14.25" customHeight="1">
      <c r="A719" s="12"/>
      <c r="B719" s="12"/>
      <c r="C719" s="12"/>
      <c r="D719" s="12"/>
      <c r="E719" s="12"/>
      <c r="F719" s="12"/>
      <c r="G719" s="824"/>
      <c r="H719" s="12"/>
      <c r="I719" s="825"/>
      <c r="J719" s="826"/>
      <c r="K719" s="12"/>
      <c r="L719" s="12"/>
      <c r="M719" s="824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spans="1:26" ht="14.25" customHeight="1">
      <c r="A720" s="12"/>
      <c r="B720" s="12"/>
      <c r="C720" s="12"/>
      <c r="D720" s="12"/>
      <c r="E720" s="12"/>
      <c r="F720" s="12"/>
      <c r="G720" s="824"/>
      <c r="H720" s="12"/>
      <c r="I720" s="825"/>
      <c r="J720" s="826"/>
      <c r="K720" s="12"/>
      <c r="L720" s="12"/>
      <c r="M720" s="824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spans="1:26" ht="14.25" customHeight="1">
      <c r="A721" s="12"/>
      <c r="B721" s="12"/>
      <c r="C721" s="12"/>
      <c r="D721" s="12"/>
      <c r="E721" s="12"/>
      <c r="F721" s="12"/>
      <c r="G721" s="824"/>
      <c r="H721" s="12"/>
      <c r="I721" s="825"/>
      <c r="J721" s="826"/>
      <c r="K721" s="12"/>
      <c r="L721" s="12"/>
      <c r="M721" s="824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spans="1:26" ht="14.25" customHeight="1">
      <c r="A722" s="12"/>
      <c r="B722" s="12"/>
      <c r="C722" s="12"/>
      <c r="D722" s="12"/>
      <c r="E722" s="12"/>
      <c r="F722" s="12"/>
      <c r="G722" s="824"/>
      <c r="H722" s="12"/>
      <c r="I722" s="825"/>
      <c r="J722" s="826"/>
      <c r="K722" s="12"/>
      <c r="L722" s="12"/>
      <c r="M722" s="824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spans="1:26" ht="14.25" customHeight="1">
      <c r="A723" s="12"/>
      <c r="B723" s="12"/>
      <c r="C723" s="12"/>
      <c r="D723" s="12"/>
      <c r="E723" s="12"/>
      <c r="F723" s="12"/>
      <c r="G723" s="824"/>
      <c r="H723" s="12"/>
      <c r="I723" s="825"/>
      <c r="J723" s="826"/>
      <c r="K723" s="12"/>
      <c r="L723" s="12"/>
      <c r="M723" s="824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spans="1:26" ht="14.25" customHeight="1">
      <c r="A724" s="12"/>
      <c r="B724" s="12"/>
      <c r="C724" s="12"/>
      <c r="D724" s="12"/>
      <c r="E724" s="12"/>
      <c r="F724" s="12"/>
      <c r="G724" s="824"/>
      <c r="H724" s="12"/>
      <c r="I724" s="825"/>
      <c r="J724" s="826"/>
      <c r="K724" s="12"/>
      <c r="L724" s="12"/>
      <c r="M724" s="824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spans="1:26" ht="14.25" customHeight="1">
      <c r="A725" s="12"/>
      <c r="B725" s="12"/>
      <c r="C725" s="12"/>
      <c r="D725" s="12"/>
      <c r="E725" s="12"/>
      <c r="F725" s="12"/>
      <c r="G725" s="824"/>
      <c r="H725" s="12"/>
      <c r="I725" s="825"/>
      <c r="J725" s="826"/>
      <c r="K725" s="12"/>
      <c r="L725" s="12"/>
      <c r="M725" s="824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spans="1:26" ht="14.25" customHeight="1">
      <c r="A726" s="12"/>
      <c r="B726" s="12"/>
      <c r="C726" s="12"/>
      <c r="D726" s="12"/>
      <c r="E726" s="12"/>
      <c r="F726" s="12"/>
      <c r="G726" s="824"/>
      <c r="H726" s="12"/>
      <c r="I726" s="825"/>
      <c r="J726" s="826"/>
      <c r="K726" s="12"/>
      <c r="L726" s="12"/>
      <c r="M726" s="824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spans="1:26" ht="14.25" customHeight="1">
      <c r="A727" s="12"/>
      <c r="B727" s="12"/>
      <c r="C727" s="12"/>
      <c r="D727" s="12"/>
      <c r="E727" s="12"/>
      <c r="F727" s="12"/>
      <c r="G727" s="824"/>
      <c r="H727" s="12"/>
      <c r="I727" s="825"/>
      <c r="J727" s="826"/>
      <c r="K727" s="12"/>
      <c r="L727" s="12"/>
      <c r="M727" s="824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spans="1:26" ht="14.25" customHeight="1">
      <c r="A728" s="12"/>
      <c r="B728" s="12"/>
      <c r="C728" s="12"/>
      <c r="D728" s="12"/>
      <c r="E728" s="12"/>
      <c r="F728" s="12"/>
      <c r="G728" s="824"/>
      <c r="H728" s="12"/>
      <c r="I728" s="825"/>
      <c r="J728" s="826"/>
      <c r="K728" s="12"/>
      <c r="L728" s="12"/>
      <c r="M728" s="824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spans="1:26" ht="14.25" customHeight="1">
      <c r="A729" s="12"/>
      <c r="B729" s="12"/>
      <c r="C729" s="12"/>
      <c r="D729" s="12"/>
      <c r="E729" s="12"/>
      <c r="F729" s="12"/>
      <c r="G729" s="824"/>
      <c r="H729" s="12"/>
      <c r="I729" s="825"/>
      <c r="J729" s="826"/>
      <c r="K729" s="12"/>
      <c r="L729" s="12"/>
      <c r="M729" s="824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spans="1:26" ht="14.25" customHeight="1">
      <c r="A730" s="12"/>
      <c r="B730" s="12"/>
      <c r="C730" s="12"/>
      <c r="D730" s="12"/>
      <c r="E730" s="12"/>
      <c r="F730" s="12"/>
      <c r="G730" s="824"/>
      <c r="H730" s="12"/>
      <c r="I730" s="825"/>
      <c r="J730" s="826"/>
      <c r="K730" s="12"/>
      <c r="L730" s="12"/>
      <c r="M730" s="824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spans="1:26" ht="14.25" customHeight="1">
      <c r="A731" s="12"/>
      <c r="B731" s="12"/>
      <c r="C731" s="12"/>
      <c r="D731" s="12"/>
      <c r="E731" s="12"/>
      <c r="F731" s="12"/>
      <c r="G731" s="824"/>
      <c r="H731" s="12"/>
      <c r="I731" s="825"/>
      <c r="J731" s="826"/>
      <c r="K731" s="12"/>
      <c r="L731" s="12"/>
      <c r="M731" s="824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spans="1:26" ht="14.25" customHeight="1">
      <c r="A732" s="12"/>
      <c r="B732" s="12"/>
      <c r="C732" s="12"/>
      <c r="D732" s="12"/>
      <c r="E732" s="12"/>
      <c r="F732" s="12"/>
      <c r="G732" s="824"/>
      <c r="H732" s="12"/>
      <c r="I732" s="825"/>
      <c r="J732" s="826"/>
      <c r="K732" s="12"/>
      <c r="L732" s="12"/>
      <c r="M732" s="824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spans="1:26" ht="14.25" customHeight="1">
      <c r="A733" s="12"/>
      <c r="B733" s="12"/>
      <c r="C733" s="12"/>
      <c r="D733" s="12"/>
      <c r="E733" s="12"/>
      <c r="F733" s="12"/>
      <c r="G733" s="824"/>
      <c r="H733" s="12"/>
      <c r="I733" s="825"/>
      <c r="J733" s="826"/>
      <c r="K733" s="12"/>
      <c r="L733" s="12"/>
      <c r="M733" s="824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spans="1:26" ht="14.25" customHeight="1">
      <c r="A734" s="12"/>
      <c r="B734" s="12"/>
      <c r="C734" s="12"/>
      <c r="D734" s="12"/>
      <c r="E734" s="12"/>
      <c r="F734" s="12"/>
      <c r="G734" s="824"/>
      <c r="H734" s="12"/>
      <c r="I734" s="825"/>
      <c r="J734" s="826"/>
      <c r="K734" s="12"/>
      <c r="L734" s="12"/>
      <c r="M734" s="824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spans="1:26" ht="14.25" customHeight="1">
      <c r="A735" s="12"/>
      <c r="B735" s="12"/>
      <c r="C735" s="12"/>
      <c r="D735" s="12"/>
      <c r="E735" s="12"/>
      <c r="F735" s="12"/>
      <c r="G735" s="824"/>
      <c r="H735" s="12"/>
      <c r="I735" s="825"/>
      <c r="J735" s="826"/>
      <c r="K735" s="12"/>
      <c r="L735" s="12"/>
      <c r="M735" s="824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spans="1:26" ht="14.25" customHeight="1">
      <c r="A736" s="12"/>
      <c r="B736" s="12"/>
      <c r="C736" s="12"/>
      <c r="D736" s="12"/>
      <c r="E736" s="12"/>
      <c r="F736" s="12"/>
      <c r="G736" s="824"/>
      <c r="H736" s="12"/>
      <c r="I736" s="825"/>
      <c r="J736" s="826"/>
      <c r="K736" s="12"/>
      <c r="L736" s="12"/>
      <c r="M736" s="824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spans="1:26" ht="14.25" customHeight="1">
      <c r="A737" s="12"/>
      <c r="B737" s="12"/>
      <c r="C737" s="12"/>
      <c r="D737" s="12"/>
      <c r="E737" s="12"/>
      <c r="F737" s="12"/>
      <c r="G737" s="824"/>
      <c r="H737" s="12"/>
      <c r="I737" s="825"/>
      <c r="J737" s="826"/>
      <c r="K737" s="12"/>
      <c r="L737" s="12"/>
      <c r="M737" s="824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spans="1:26" ht="14.25" customHeight="1">
      <c r="A738" s="12"/>
      <c r="B738" s="12"/>
      <c r="C738" s="12"/>
      <c r="D738" s="12"/>
      <c r="E738" s="12"/>
      <c r="F738" s="12"/>
      <c r="G738" s="824"/>
      <c r="H738" s="12"/>
      <c r="I738" s="825"/>
      <c r="J738" s="826"/>
      <c r="K738" s="12"/>
      <c r="L738" s="12"/>
      <c r="M738" s="824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spans="1:26" ht="14.25" customHeight="1">
      <c r="A739" s="12"/>
      <c r="B739" s="12"/>
      <c r="C739" s="12"/>
      <c r="D739" s="12"/>
      <c r="E739" s="12"/>
      <c r="F739" s="12"/>
      <c r="G739" s="824"/>
      <c r="H739" s="12"/>
      <c r="I739" s="825"/>
      <c r="J739" s="826"/>
      <c r="K739" s="12"/>
      <c r="L739" s="12"/>
      <c r="M739" s="824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spans="1:26" ht="14.25" customHeight="1">
      <c r="A740" s="12"/>
      <c r="B740" s="12"/>
      <c r="C740" s="12"/>
      <c r="D740" s="12"/>
      <c r="E740" s="12"/>
      <c r="F740" s="12"/>
      <c r="G740" s="824"/>
      <c r="H740" s="12"/>
      <c r="I740" s="825"/>
      <c r="J740" s="826"/>
      <c r="K740" s="12"/>
      <c r="L740" s="12"/>
      <c r="M740" s="824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spans="1:26" ht="14.25" customHeight="1">
      <c r="A741" s="12"/>
      <c r="B741" s="12"/>
      <c r="C741" s="12"/>
      <c r="D741" s="12"/>
      <c r="E741" s="12"/>
      <c r="F741" s="12"/>
      <c r="G741" s="824"/>
      <c r="H741" s="12"/>
      <c r="I741" s="825"/>
      <c r="J741" s="826"/>
      <c r="K741" s="12"/>
      <c r="L741" s="12"/>
      <c r="M741" s="824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spans="1:26" ht="14.25" customHeight="1">
      <c r="A742" s="12"/>
      <c r="B742" s="12"/>
      <c r="C742" s="12"/>
      <c r="D742" s="12"/>
      <c r="E742" s="12"/>
      <c r="F742" s="12"/>
      <c r="G742" s="824"/>
      <c r="H742" s="12"/>
      <c r="I742" s="825"/>
      <c r="J742" s="826"/>
      <c r="K742" s="12"/>
      <c r="L742" s="12"/>
      <c r="M742" s="824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spans="1:26" ht="14.25" customHeight="1">
      <c r="A743" s="12"/>
      <c r="B743" s="12"/>
      <c r="C743" s="12"/>
      <c r="D743" s="12"/>
      <c r="E743" s="12"/>
      <c r="F743" s="12"/>
      <c r="G743" s="824"/>
      <c r="H743" s="12"/>
      <c r="I743" s="825"/>
      <c r="J743" s="826"/>
      <c r="K743" s="12"/>
      <c r="L743" s="12"/>
      <c r="M743" s="824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spans="1:26" ht="14.25" customHeight="1">
      <c r="A744" s="12"/>
      <c r="B744" s="12"/>
      <c r="C744" s="12"/>
      <c r="D744" s="12"/>
      <c r="E744" s="12"/>
      <c r="F744" s="12"/>
      <c r="G744" s="824"/>
      <c r="H744" s="12"/>
      <c r="I744" s="825"/>
      <c r="J744" s="826"/>
      <c r="K744" s="12"/>
      <c r="L744" s="12"/>
      <c r="M744" s="824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spans="1:26" ht="14.25" customHeight="1">
      <c r="A745" s="12"/>
      <c r="B745" s="12"/>
      <c r="C745" s="12"/>
      <c r="D745" s="12"/>
      <c r="E745" s="12"/>
      <c r="F745" s="12"/>
      <c r="G745" s="824"/>
      <c r="H745" s="12"/>
      <c r="I745" s="825"/>
      <c r="J745" s="826"/>
      <c r="K745" s="12"/>
      <c r="L745" s="12"/>
      <c r="M745" s="824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spans="1:26" ht="14.25" customHeight="1">
      <c r="A746" s="12"/>
      <c r="B746" s="12"/>
      <c r="C746" s="12"/>
      <c r="D746" s="12"/>
      <c r="E746" s="12"/>
      <c r="F746" s="12"/>
      <c r="G746" s="824"/>
      <c r="H746" s="12"/>
      <c r="I746" s="825"/>
      <c r="J746" s="826"/>
      <c r="K746" s="12"/>
      <c r="L746" s="12"/>
      <c r="M746" s="824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spans="1:26" ht="14.25" customHeight="1">
      <c r="A747" s="12"/>
      <c r="B747" s="12"/>
      <c r="C747" s="12"/>
      <c r="D747" s="12"/>
      <c r="E747" s="12"/>
      <c r="F747" s="12"/>
      <c r="G747" s="824"/>
      <c r="H747" s="12"/>
      <c r="I747" s="825"/>
      <c r="J747" s="826"/>
      <c r="K747" s="12"/>
      <c r="L747" s="12"/>
      <c r="M747" s="824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spans="1:26" ht="14.25" customHeight="1">
      <c r="A748" s="12"/>
      <c r="B748" s="12"/>
      <c r="C748" s="12"/>
      <c r="D748" s="12"/>
      <c r="E748" s="12"/>
      <c r="F748" s="12"/>
      <c r="G748" s="824"/>
      <c r="H748" s="12"/>
      <c r="I748" s="825"/>
      <c r="J748" s="826"/>
      <c r="K748" s="12"/>
      <c r="L748" s="12"/>
      <c r="M748" s="824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spans="1:26" ht="14.25" customHeight="1">
      <c r="A749" s="12"/>
      <c r="B749" s="12"/>
      <c r="C749" s="12"/>
      <c r="D749" s="12"/>
      <c r="E749" s="12"/>
      <c r="F749" s="12"/>
      <c r="G749" s="824"/>
      <c r="H749" s="12"/>
      <c r="I749" s="825"/>
      <c r="J749" s="826"/>
      <c r="K749" s="12"/>
      <c r="L749" s="12"/>
      <c r="M749" s="824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spans="1:26" ht="14.25" customHeight="1">
      <c r="A750" s="12"/>
      <c r="B750" s="12"/>
      <c r="C750" s="12"/>
      <c r="D750" s="12"/>
      <c r="E750" s="12"/>
      <c r="F750" s="12"/>
      <c r="G750" s="824"/>
      <c r="H750" s="12"/>
      <c r="I750" s="825"/>
      <c r="J750" s="826"/>
      <c r="K750" s="12"/>
      <c r="L750" s="12"/>
      <c r="M750" s="824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spans="1:26" ht="14.25" customHeight="1">
      <c r="A751" s="12"/>
      <c r="B751" s="12"/>
      <c r="C751" s="12"/>
      <c r="D751" s="12"/>
      <c r="E751" s="12"/>
      <c r="F751" s="12"/>
      <c r="G751" s="824"/>
      <c r="H751" s="12"/>
      <c r="I751" s="825"/>
      <c r="J751" s="826"/>
      <c r="K751" s="12"/>
      <c r="L751" s="12"/>
      <c r="M751" s="824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spans="1:26" ht="14.25" customHeight="1">
      <c r="A752" s="12"/>
      <c r="B752" s="12"/>
      <c r="C752" s="12"/>
      <c r="D752" s="12"/>
      <c r="E752" s="12"/>
      <c r="F752" s="12"/>
      <c r="G752" s="824"/>
      <c r="H752" s="12"/>
      <c r="I752" s="825"/>
      <c r="J752" s="826"/>
      <c r="K752" s="12"/>
      <c r="L752" s="12"/>
      <c r="M752" s="824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spans="1:26" ht="14.25" customHeight="1">
      <c r="A753" s="12"/>
      <c r="B753" s="12"/>
      <c r="C753" s="12"/>
      <c r="D753" s="12"/>
      <c r="E753" s="12"/>
      <c r="F753" s="12"/>
      <c r="G753" s="824"/>
      <c r="H753" s="12"/>
      <c r="I753" s="825"/>
      <c r="J753" s="826"/>
      <c r="K753" s="12"/>
      <c r="L753" s="12"/>
      <c r="M753" s="824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spans="1:26" ht="14.25" customHeight="1">
      <c r="A754" s="12"/>
      <c r="B754" s="12"/>
      <c r="C754" s="12"/>
      <c r="D754" s="12"/>
      <c r="E754" s="12"/>
      <c r="F754" s="12"/>
      <c r="G754" s="824"/>
      <c r="H754" s="12"/>
      <c r="I754" s="825"/>
      <c r="J754" s="826"/>
      <c r="K754" s="12"/>
      <c r="L754" s="12"/>
      <c r="M754" s="824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spans="1:26" ht="14.25" customHeight="1">
      <c r="A755" s="12"/>
      <c r="B755" s="12"/>
      <c r="C755" s="12"/>
      <c r="D755" s="12"/>
      <c r="E755" s="12"/>
      <c r="F755" s="12"/>
      <c r="G755" s="824"/>
      <c r="H755" s="12"/>
      <c r="I755" s="825"/>
      <c r="J755" s="826"/>
      <c r="K755" s="12"/>
      <c r="L755" s="12"/>
      <c r="M755" s="824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spans="1:26" ht="14.25" customHeight="1">
      <c r="A756" s="12"/>
      <c r="B756" s="12"/>
      <c r="C756" s="12"/>
      <c r="D756" s="12"/>
      <c r="E756" s="12"/>
      <c r="F756" s="12"/>
      <c r="G756" s="824"/>
      <c r="H756" s="12"/>
      <c r="I756" s="825"/>
      <c r="J756" s="826"/>
      <c r="K756" s="12"/>
      <c r="L756" s="12"/>
      <c r="M756" s="824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spans="1:26" ht="14.25" customHeight="1">
      <c r="A757" s="12"/>
      <c r="B757" s="12"/>
      <c r="C757" s="12"/>
      <c r="D757" s="12"/>
      <c r="E757" s="12"/>
      <c r="F757" s="12"/>
      <c r="G757" s="824"/>
      <c r="H757" s="12"/>
      <c r="I757" s="825"/>
      <c r="J757" s="826"/>
      <c r="K757" s="12"/>
      <c r="L757" s="12"/>
      <c r="M757" s="824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spans="1:26" ht="14.25" customHeight="1">
      <c r="A758" s="12"/>
      <c r="B758" s="12"/>
      <c r="C758" s="12"/>
      <c r="D758" s="12"/>
      <c r="E758" s="12"/>
      <c r="F758" s="12"/>
      <c r="G758" s="824"/>
      <c r="H758" s="12"/>
      <c r="I758" s="825"/>
      <c r="J758" s="826"/>
      <c r="K758" s="12"/>
      <c r="L758" s="12"/>
      <c r="M758" s="824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spans="1:26" ht="14.25" customHeight="1">
      <c r="A759" s="12"/>
      <c r="B759" s="12"/>
      <c r="C759" s="12"/>
      <c r="D759" s="12"/>
      <c r="E759" s="12"/>
      <c r="F759" s="12"/>
      <c r="G759" s="824"/>
      <c r="H759" s="12"/>
      <c r="I759" s="825"/>
      <c r="J759" s="826"/>
      <c r="K759" s="12"/>
      <c r="L759" s="12"/>
      <c r="M759" s="824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spans="1:26" ht="14.25" customHeight="1">
      <c r="A760" s="12"/>
      <c r="B760" s="12"/>
      <c r="C760" s="12"/>
      <c r="D760" s="12"/>
      <c r="E760" s="12"/>
      <c r="F760" s="12"/>
      <c r="G760" s="824"/>
      <c r="H760" s="12"/>
      <c r="I760" s="825"/>
      <c r="J760" s="826"/>
      <c r="K760" s="12"/>
      <c r="L760" s="12"/>
      <c r="M760" s="824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spans="1:26" ht="14.25" customHeight="1">
      <c r="A761" s="12"/>
      <c r="B761" s="12"/>
      <c r="C761" s="12"/>
      <c r="D761" s="12"/>
      <c r="E761" s="12"/>
      <c r="F761" s="12"/>
      <c r="G761" s="824"/>
      <c r="H761" s="12"/>
      <c r="I761" s="825"/>
      <c r="J761" s="826"/>
      <c r="K761" s="12"/>
      <c r="L761" s="12"/>
      <c r="M761" s="824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spans="1:26" ht="14.25" customHeight="1">
      <c r="A762" s="12"/>
      <c r="B762" s="12"/>
      <c r="C762" s="12"/>
      <c r="D762" s="12"/>
      <c r="E762" s="12"/>
      <c r="F762" s="12"/>
      <c r="G762" s="824"/>
      <c r="H762" s="12"/>
      <c r="I762" s="825"/>
      <c r="J762" s="826"/>
      <c r="K762" s="12"/>
      <c r="L762" s="12"/>
      <c r="M762" s="824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spans="1:26" ht="14.25" customHeight="1">
      <c r="A763" s="12"/>
      <c r="B763" s="12"/>
      <c r="C763" s="12"/>
      <c r="D763" s="12"/>
      <c r="E763" s="12"/>
      <c r="F763" s="12"/>
      <c r="G763" s="824"/>
      <c r="H763" s="12"/>
      <c r="I763" s="825"/>
      <c r="J763" s="826"/>
      <c r="K763" s="12"/>
      <c r="L763" s="12"/>
      <c r="M763" s="824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spans="1:26" ht="14.25" customHeight="1">
      <c r="A764" s="12"/>
      <c r="B764" s="12"/>
      <c r="C764" s="12"/>
      <c r="D764" s="12"/>
      <c r="E764" s="12"/>
      <c r="F764" s="12"/>
      <c r="G764" s="824"/>
      <c r="H764" s="12"/>
      <c r="I764" s="825"/>
      <c r="J764" s="826"/>
      <c r="K764" s="12"/>
      <c r="L764" s="12"/>
      <c r="M764" s="824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spans="1:26" ht="14.25" customHeight="1">
      <c r="A765" s="12"/>
      <c r="B765" s="12"/>
      <c r="C765" s="12"/>
      <c r="D765" s="12"/>
      <c r="E765" s="12"/>
      <c r="F765" s="12"/>
      <c r="G765" s="824"/>
      <c r="H765" s="12"/>
      <c r="I765" s="825"/>
      <c r="J765" s="826"/>
      <c r="K765" s="12"/>
      <c r="L765" s="12"/>
      <c r="M765" s="824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spans="1:26" ht="14.25" customHeight="1">
      <c r="A766" s="12"/>
      <c r="B766" s="12"/>
      <c r="C766" s="12"/>
      <c r="D766" s="12"/>
      <c r="E766" s="12"/>
      <c r="F766" s="12"/>
      <c r="G766" s="824"/>
      <c r="H766" s="12"/>
      <c r="I766" s="825"/>
      <c r="J766" s="826"/>
      <c r="K766" s="12"/>
      <c r="L766" s="12"/>
      <c r="M766" s="824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spans="1:26" ht="14.25" customHeight="1">
      <c r="A767" s="12"/>
      <c r="B767" s="12"/>
      <c r="C767" s="12"/>
      <c r="D767" s="12"/>
      <c r="E767" s="12"/>
      <c r="F767" s="12"/>
      <c r="G767" s="824"/>
      <c r="H767" s="12"/>
      <c r="I767" s="825"/>
      <c r="J767" s="826"/>
      <c r="K767" s="12"/>
      <c r="L767" s="12"/>
      <c r="M767" s="824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spans="1:26" ht="14.25" customHeight="1">
      <c r="A768" s="12"/>
      <c r="B768" s="12"/>
      <c r="C768" s="12"/>
      <c r="D768" s="12"/>
      <c r="E768" s="12"/>
      <c r="F768" s="12"/>
      <c r="G768" s="824"/>
      <c r="H768" s="12"/>
      <c r="I768" s="825"/>
      <c r="J768" s="826"/>
      <c r="K768" s="12"/>
      <c r="L768" s="12"/>
      <c r="M768" s="824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spans="1:26" ht="14.25" customHeight="1">
      <c r="A769" s="12"/>
      <c r="B769" s="12"/>
      <c r="C769" s="12"/>
      <c r="D769" s="12"/>
      <c r="E769" s="12"/>
      <c r="F769" s="12"/>
      <c r="G769" s="824"/>
      <c r="H769" s="12"/>
      <c r="I769" s="825"/>
      <c r="J769" s="826"/>
      <c r="K769" s="12"/>
      <c r="L769" s="12"/>
      <c r="M769" s="824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spans="1:26" ht="14.25" customHeight="1">
      <c r="A770" s="12"/>
      <c r="B770" s="12"/>
      <c r="C770" s="12"/>
      <c r="D770" s="12"/>
      <c r="E770" s="12"/>
      <c r="F770" s="12"/>
      <c r="G770" s="824"/>
      <c r="H770" s="12"/>
      <c r="I770" s="825"/>
      <c r="J770" s="826"/>
      <c r="K770" s="12"/>
      <c r="L770" s="12"/>
      <c r="M770" s="824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spans="1:26" ht="14.25" customHeight="1">
      <c r="A771" s="12"/>
      <c r="B771" s="12"/>
      <c r="C771" s="12"/>
      <c r="D771" s="12"/>
      <c r="E771" s="12"/>
      <c r="F771" s="12"/>
      <c r="G771" s="824"/>
      <c r="H771" s="12"/>
      <c r="I771" s="825"/>
      <c r="J771" s="826"/>
      <c r="K771" s="12"/>
      <c r="L771" s="12"/>
      <c r="M771" s="824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spans="1:26" ht="14.25" customHeight="1">
      <c r="A772" s="12"/>
      <c r="B772" s="12"/>
      <c r="C772" s="12"/>
      <c r="D772" s="12"/>
      <c r="E772" s="12"/>
      <c r="F772" s="12"/>
      <c r="G772" s="824"/>
      <c r="H772" s="12"/>
      <c r="I772" s="825"/>
      <c r="J772" s="826"/>
      <c r="K772" s="12"/>
      <c r="L772" s="12"/>
      <c r="M772" s="824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spans="1:26" ht="14.25" customHeight="1">
      <c r="A773" s="12"/>
      <c r="B773" s="12"/>
      <c r="C773" s="12"/>
      <c r="D773" s="12"/>
      <c r="E773" s="12"/>
      <c r="F773" s="12"/>
      <c r="G773" s="824"/>
      <c r="H773" s="12"/>
      <c r="I773" s="825"/>
      <c r="J773" s="826"/>
      <c r="K773" s="12"/>
      <c r="L773" s="12"/>
      <c r="M773" s="824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spans="1:26" ht="14.25" customHeight="1">
      <c r="A774" s="12"/>
      <c r="B774" s="12"/>
      <c r="C774" s="12"/>
      <c r="D774" s="12"/>
      <c r="E774" s="12"/>
      <c r="F774" s="12"/>
      <c r="G774" s="824"/>
      <c r="H774" s="12"/>
      <c r="I774" s="825"/>
      <c r="J774" s="826"/>
      <c r="K774" s="12"/>
      <c r="L774" s="12"/>
      <c r="M774" s="824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spans="1:26" ht="14.25" customHeight="1">
      <c r="A775" s="12"/>
      <c r="B775" s="12"/>
      <c r="C775" s="12"/>
      <c r="D775" s="12"/>
      <c r="E775" s="12"/>
      <c r="F775" s="12"/>
      <c r="G775" s="824"/>
      <c r="H775" s="12"/>
      <c r="I775" s="825"/>
      <c r="J775" s="826"/>
      <c r="K775" s="12"/>
      <c r="L775" s="12"/>
      <c r="M775" s="824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spans="1:26" ht="14.25" customHeight="1">
      <c r="A776" s="12"/>
      <c r="B776" s="12"/>
      <c r="C776" s="12"/>
      <c r="D776" s="12"/>
      <c r="E776" s="12"/>
      <c r="F776" s="12"/>
      <c r="G776" s="824"/>
      <c r="H776" s="12"/>
      <c r="I776" s="825"/>
      <c r="J776" s="826"/>
      <c r="K776" s="12"/>
      <c r="L776" s="12"/>
      <c r="M776" s="824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spans="1:26" ht="14.25" customHeight="1">
      <c r="A777" s="12"/>
      <c r="B777" s="12"/>
      <c r="C777" s="12"/>
      <c r="D777" s="12"/>
      <c r="E777" s="12"/>
      <c r="F777" s="12"/>
      <c r="G777" s="824"/>
      <c r="H777" s="12"/>
      <c r="I777" s="825"/>
      <c r="J777" s="826"/>
      <c r="K777" s="12"/>
      <c r="L777" s="12"/>
      <c r="M777" s="824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spans="1:26" ht="14.25" customHeight="1">
      <c r="A778" s="12"/>
      <c r="B778" s="12"/>
      <c r="C778" s="12"/>
      <c r="D778" s="12"/>
      <c r="E778" s="12"/>
      <c r="F778" s="12"/>
      <c r="G778" s="824"/>
      <c r="H778" s="12"/>
      <c r="I778" s="825"/>
      <c r="J778" s="826"/>
      <c r="K778" s="12"/>
      <c r="L778" s="12"/>
      <c r="M778" s="824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spans="1:26" ht="14.25" customHeight="1">
      <c r="A779" s="12"/>
      <c r="B779" s="12"/>
      <c r="C779" s="12"/>
      <c r="D779" s="12"/>
      <c r="E779" s="12"/>
      <c r="F779" s="12"/>
      <c r="G779" s="824"/>
      <c r="H779" s="12"/>
      <c r="I779" s="825"/>
      <c r="J779" s="826"/>
      <c r="K779" s="12"/>
      <c r="L779" s="12"/>
      <c r="M779" s="824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spans="1:26" ht="14.25" customHeight="1">
      <c r="A780" s="12"/>
      <c r="B780" s="12"/>
      <c r="C780" s="12"/>
      <c r="D780" s="12"/>
      <c r="E780" s="12"/>
      <c r="F780" s="12"/>
      <c r="G780" s="824"/>
      <c r="H780" s="12"/>
      <c r="I780" s="825"/>
      <c r="J780" s="826"/>
      <c r="K780" s="12"/>
      <c r="L780" s="12"/>
      <c r="M780" s="824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spans="1:26" ht="14.25" customHeight="1">
      <c r="A781" s="12"/>
      <c r="B781" s="12"/>
      <c r="C781" s="12"/>
      <c r="D781" s="12"/>
      <c r="E781" s="12"/>
      <c r="F781" s="12"/>
      <c r="G781" s="824"/>
      <c r="H781" s="12"/>
      <c r="I781" s="825"/>
      <c r="J781" s="826"/>
      <c r="K781" s="12"/>
      <c r="L781" s="12"/>
      <c r="M781" s="824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spans="1:26" ht="14.25" customHeight="1">
      <c r="A782" s="12"/>
      <c r="B782" s="12"/>
      <c r="C782" s="12"/>
      <c r="D782" s="12"/>
      <c r="E782" s="12"/>
      <c r="F782" s="12"/>
      <c r="G782" s="824"/>
      <c r="H782" s="12"/>
      <c r="I782" s="825"/>
      <c r="J782" s="826"/>
      <c r="K782" s="12"/>
      <c r="L782" s="12"/>
      <c r="M782" s="824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spans="1:26" ht="14.25" customHeight="1">
      <c r="A783" s="12"/>
      <c r="B783" s="12"/>
      <c r="C783" s="12"/>
      <c r="D783" s="12"/>
      <c r="E783" s="12"/>
      <c r="F783" s="12"/>
      <c r="G783" s="824"/>
      <c r="H783" s="12"/>
      <c r="I783" s="825"/>
      <c r="J783" s="826"/>
      <c r="K783" s="12"/>
      <c r="L783" s="12"/>
      <c r="M783" s="824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spans="1:26" ht="14.25" customHeight="1">
      <c r="A784" s="12"/>
      <c r="B784" s="12"/>
      <c r="C784" s="12"/>
      <c r="D784" s="12"/>
      <c r="E784" s="12"/>
      <c r="F784" s="12"/>
      <c r="G784" s="824"/>
      <c r="H784" s="12"/>
      <c r="I784" s="825"/>
      <c r="J784" s="826"/>
      <c r="K784" s="12"/>
      <c r="L784" s="12"/>
      <c r="M784" s="824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spans="1:26" ht="14.25" customHeight="1">
      <c r="A785" s="12"/>
      <c r="B785" s="12"/>
      <c r="C785" s="12"/>
      <c r="D785" s="12"/>
      <c r="E785" s="12"/>
      <c r="F785" s="12"/>
      <c r="G785" s="824"/>
      <c r="H785" s="12"/>
      <c r="I785" s="825"/>
      <c r="J785" s="826"/>
      <c r="K785" s="12"/>
      <c r="L785" s="12"/>
      <c r="M785" s="824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spans="1:26" ht="14.25" customHeight="1">
      <c r="A786" s="12"/>
      <c r="B786" s="12"/>
      <c r="C786" s="12"/>
      <c r="D786" s="12"/>
      <c r="E786" s="12"/>
      <c r="F786" s="12"/>
      <c r="G786" s="824"/>
      <c r="H786" s="12"/>
      <c r="I786" s="825"/>
      <c r="J786" s="826"/>
      <c r="K786" s="12"/>
      <c r="L786" s="12"/>
      <c r="M786" s="824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spans="1:26" ht="14.25" customHeight="1">
      <c r="A787" s="12"/>
      <c r="B787" s="12"/>
      <c r="C787" s="12"/>
      <c r="D787" s="12"/>
      <c r="E787" s="12"/>
      <c r="F787" s="12"/>
      <c r="G787" s="824"/>
      <c r="H787" s="12"/>
      <c r="I787" s="825"/>
      <c r="J787" s="826"/>
      <c r="K787" s="12"/>
      <c r="L787" s="12"/>
      <c r="M787" s="824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spans="1:26" ht="14.25" customHeight="1">
      <c r="A788" s="12"/>
      <c r="B788" s="12"/>
      <c r="C788" s="12"/>
      <c r="D788" s="12"/>
      <c r="E788" s="12"/>
      <c r="F788" s="12"/>
      <c r="G788" s="824"/>
      <c r="H788" s="12"/>
      <c r="I788" s="825"/>
      <c r="J788" s="826"/>
      <c r="K788" s="12"/>
      <c r="L788" s="12"/>
      <c r="M788" s="824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spans="1:26" ht="14.25" customHeight="1">
      <c r="A789" s="12"/>
      <c r="B789" s="12"/>
      <c r="C789" s="12"/>
      <c r="D789" s="12"/>
      <c r="E789" s="12"/>
      <c r="F789" s="12"/>
      <c r="G789" s="824"/>
      <c r="H789" s="12"/>
      <c r="I789" s="825"/>
      <c r="J789" s="826"/>
      <c r="K789" s="12"/>
      <c r="L789" s="12"/>
      <c r="M789" s="824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spans="1:26" ht="14.25" customHeight="1">
      <c r="A790" s="12"/>
      <c r="B790" s="12"/>
      <c r="C790" s="12"/>
      <c r="D790" s="12"/>
      <c r="E790" s="12"/>
      <c r="F790" s="12"/>
      <c r="G790" s="824"/>
      <c r="H790" s="12"/>
      <c r="I790" s="825"/>
      <c r="J790" s="826"/>
      <c r="K790" s="12"/>
      <c r="L790" s="12"/>
      <c r="M790" s="824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spans="1:26" ht="14.25" customHeight="1">
      <c r="A791" s="12"/>
      <c r="B791" s="12"/>
      <c r="C791" s="12"/>
      <c r="D791" s="12"/>
      <c r="E791" s="12"/>
      <c r="F791" s="12"/>
      <c r="G791" s="824"/>
      <c r="H791" s="12"/>
      <c r="I791" s="825"/>
      <c r="J791" s="826"/>
      <c r="K791" s="12"/>
      <c r="L791" s="12"/>
      <c r="M791" s="824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spans="1:26" ht="14.25" customHeight="1">
      <c r="A792" s="12"/>
      <c r="B792" s="12"/>
      <c r="C792" s="12"/>
      <c r="D792" s="12"/>
      <c r="E792" s="12"/>
      <c r="F792" s="12"/>
      <c r="G792" s="824"/>
      <c r="H792" s="12"/>
      <c r="I792" s="825"/>
      <c r="J792" s="826"/>
      <c r="K792" s="12"/>
      <c r="L792" s="12"/>
      <c r="M792" s="824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spans="1:26" ht="14.25" customHeight="1">
      <c r="A793" s="12"/>
      <c r="B793" s="12"/>
      <c r="C793" s="12"/>
      <c r="D793" s="12"/>
      <c r="E793" s="12"/>
      <c r="F793" s="12"/>
      <c r="G793" s="824"/>
      <c r="H793" s="12"/>
      <c r="I793" s="825"/>
      <c r="J793" s="826"/>
      <c r="K793" s="12"/>
      <c r="L793" s="12"/>
      <c r="M793" s="824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spans="1:26" ht="14.25" customHeight="1">
      <c r="A794" s="12"/>
      <c r="B794" s="12"/>
      <c r="C794" s="12"/>
      <c r="D794" s="12"/>
      <c r="E794" s="12"/>
      <c r="F794" s="12"/>
      <c r="G794" s="824"/>
      <c r="H794" s="12"/>
      <c r="I794" s="825"/>
      <c r="J794" s="826"/>
      <c r="K794" s="12"/>
      <c r="L794" s="12"/>
      <c r="M794" s="824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spans="1:26" ht="14.25" customHeight="1">
      <c r="A795" s="12"/>
      <c r="B795" s="12"/>
      <c r="C795" s="12"/>
      <c r="D795" s="12"/>
      <c r="E795" s="12"/>
      <c r="F795" s="12"/>
      <c r="G795" s="824"/>
      <c r="H795" s="12"/>
      <c r="I795" s="825"/>
      <c r="J795" s="826"/>
      <c r="K795" s="12"/>
      <c r="L795" s="12"/>
      <c r="M795" s="824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spans="1:26" ht="14.25" customHeight="1">
      <c r="A796" s="12"/>
      <c r="B796" s="12"/>
      <c r="C796" s="12"/>
      <c r="D796" s="12"/>
      <c r="E796" s="12"/>
      <c r="F796" s="12"/>
      <c r="G796" s="824"/>
      <c r="H796" s="12"/>
      <c r="I796" s="825"/>
      <c r="J796" s="826"/>
      <c r="K796" s="12"/>
      <c r="L796" s="12"/>
      <c r="M796" s="824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spans="1:26" ht="14.25" customHeight="1">
      <c r="A797" s="12"/>
      <c r="B797" s="12"/>
      <c r="C797" s="12"/>
      <c r="D797" s="12"/>
      <c r="E797" s="12"/>
      <c r="F797" s="12"/>
      <c r="G797" s="824"/>
      <c r="H797" s="12"/>
      <c r="I797" s="825"/>
      <c r="J797" s="826"/>
      <c r="K797" s="12"/>
      <c r="L797" s="12"/>
      <c r="M797" s="824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spans="1:26" ht="14.25" customHeight="1">
      <c r="A798" s="12"/>
      <c r="B798" s="12"/>
      <c r="C798" s="12"/>
      <c r="D798" s="12"/>
      <c r="E798" s="12"/>
      <c r="F798" s="12"/>
      <c r="G798" s="824"/>
      <c r="H798" s="12"/>
      <c r="I798" s="825"/>
      <c r="J798" s="826"/>
      <c r="K798" s="12"/>
      <c r="L798" s="12"/>
      <c r="M798" s="824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spans="1:26" ht="14.25" customHeight="1">
      <c r="A799" s="12"/>
      <c r="B799" s="12"/>
      <c r="C799" s="12"/>
      <c r="D799" s="12"/>
      <c r="E799" s="12"/>
      <c r="F799" s="12"/>
      <c r="G799" s="824"/>
      <c r="H799" s="12"/>
      <c r="I799" s="825"/>
      <c r="J799" s="826"/>
      <c r="K799" s="12"/>
      <c r="L799" s="12"/>
      <c r="M799" s="824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spans="1:26" ht="14.25" customHeight="1">
      <c r="A800" s="12"/>
      <c r="B800" s="12"/>
      <c r="C800" s="12"/>
      <c r="D800" s="12"/>
      <c r="E800" s="12"/>
      <c r="F800" s="12"/>
      <c r="G800" s="824"/>
      <c r="H800" s="12"/>
      <c r="I800" s="825"/>
      <c r="J800" s="826"/>
      <c r="K800" s="12"/>
      <c r="L800" s="12"/>
      <c r="M800" s="824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spans="1:26" ht="14.25" customHeight="1">
      <c r="A801" s="12"/>
      <c r="B801" s="12"/>
      <c r="C801" s="12"/>
      <c r="D801" s="12"/>
      <c r="E801" s="12"/>
      <c r="F801" s="12"/>
      <c r="G801" s="824"/>
      <c r="H801" s="12"/>
      <c r="I801" s="825"/>
      <c r="J801" s="826"/>
      <c r="K801" s="12"/>
      <c r="L801" s="12"/>
      <c r="M801" s="824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spans="1:26" ht="14.25" customHeight="1">
      <c r="A802" s="12"/>
      <c r="B802" s="12"/>
      <c r="C802" s="12"/>
      <c r="D802" s="12"/>
      <c r="E802" s="12"/>
      <c r="F802" s="12"/>
      <c r="G802" s="824"/>
      <c r="H802" s="12"/>
      <c r="I802" s="825"/>
      <c r="J802" s="826"/>
      <c r="K802" s="12"/>
      <c r="L802" s="12"/>
      <c r="M802" s="824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spans="1:26" ht="14.25" customHeight="1">
      <c r="A803" s="12"/>
      <c r="B803" s="12"/>
      <c r="C803" s="12"/>
      <c r="D803" s="12"/>
      <c r="E803" s="12"/>
      <c r="F803" s="12"/>
      <c r="G803" s="824"/>
      <c r="H803" s="12"/>
      <c r="I803" s="825"/>
      <c r="J803" s="826"/>
      <c r="K803" s="12"/>
      <c r="L803" s="12"/>
      <c r="M803" s="824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spans="1:26" ht="14.25" customHeight="1">
      <c r="A804" s="12"/>
      <c r="B804" s="12"/>
      <c r="C804" s="12"/>
      <c r="D804" s="12"/>
      <c r="E804" s="12"/>
      <c r="F804" s="12"/>
      <c r="G804" s="824"/>
      <c r="H804" s="12"/>
      <c r="I804" s="825"/>
      <c r="J804" s="826"/>
      <c r="K804" s="12"/>
      <c r="L804" s="12"/>
      <c r="M804" s="824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spans="1:26" ht="14.25" customHeight="1">
      <c r="A805" s="12"/>
      <c r="B805" s="12"/>
      <c r="C805" s="12"/>
      <c r="D805" s="12"/>
      <c r="E805" s="12"/>
      <c r="F805" s="12"/>
      <c r="G805" s="824"/>
      <c r="H805" s="12"/>
      <c r="I805" s="825"/>
      <c r="J805" s="826"/>
      <c r="K805" s="12"/>
      <c r="L805" s="12"/>
      <c r="M805" s="824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spans="1:26" ht="14.25" customHeight="1">
      <c r="A806" s="12"/>
      <c r="B806" s="12"/>
      <c r="C806" s="12"/>
      <c r="D806" s="12"/>
      <c r="E806" s="12"/>
      <c r="F806" s="12"/>
      <c r="G806" s="824"/>
      <c r="H806" s="12"/>
      <c r="I806" s="825"/>
      <c r="J806" s="826"/>
      <c r="K806" s="12"/>
      <c r="L806" s="12"/>
      <c r="M806" s="824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spans="1:26" ht="14.25" customHeight="1">
      <c r="A807" s="12"/>
      <c r="B807" s="12"/>
      <c r="C807" s="12"/>
      <c r="D807" s="12"/>
      <c r="E807" s="12"/>
      <c r="F807" s="12"/>
      <c r="G807" s="824"/>
      <c r="H807" s="12"/>
      <c r="I807" s="825"/>
      <c r="J807" s="826"/>
      <c r="K807" s="12"/>
      <c r="L807" s="12"/>
      <c r="M807" s="824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spans="1:26" ht="14.25" customHeight="1">
      <c r="A808" s="12"/>
      <c r="B808" s="12"/>
      <c r="C808" s="12"/>
      <c r="D808" s="12"/>
      <c r="E808" s="12"/>
      <c r="F808" s="12"/>
      <c r="G808" s="824"/>
      <c r="H808" s="12"/>
      <c r="I808" s="825"/>
      <c r="J808" s="826"/>
      <c r="K808" s="12"/>
      <c r="L808" s="12"/>
      <c r="M808" s="824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spans="1:26" ht="14.25" customHeight="1">
      <c r="A809" s="12"/>
      <c r="B809" s="12"/>
      <c r="C809" s="12"/>
      <c r="D809" s="12"/>
      <c r="E809" s="12"/>
      <c r="F809" s="12"/>
      <c r="G809" s="824"/>
      <c r="H809" s="12"/>
      <c r="I809" s="825"/>
      <c r="J809" s="826"/>
      <c r="K809" s="12"/>
      <c r="L809" s="12"/>
      <c r="M809" s="824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spans="1:26" ht="14.25" customHeight="1">
      <c r="A810" s="12"/>
      <c r="B810" s="12"/>
      <c r="C810" s="12"/>
      <c r="D810" s="12"/>
      <c r="E810" s="12"/>
      <c r="F810" s="12"/>
      <c r="G810" s="824"/>
      <c r="H810" s="12"/>
      <c r="I810" s="825"/>
      <c r="J810" s="826"/>
      <c r="K810" s="12"/>
      <c r="L810" s="12"/>
      <c r="M810" s="824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spans="1:26" ht="14.25" customHeight="1">
      <c r="A811" s="12"/>
      <c r="B811" s="12"/>
      <c r="C811" s="12"/>
      <c r="D811" s="12"/>
      <c r="E811" s="12"/>
      <c r="F811" s="12"/>
      <c r="G811" s="824"/>
      <c r="H811" s="12"/>
      <c r="I811" s="825"/>
      <c r="J811" s="826"/>
      <c r="K811" s="12"/>
      <c r="L811" s="12"/>
      <c r="M811" s="824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spans="1:26" ht="14.25" customHeight="1">
      <c r="A812" s="12"/>
      <c r="B812" s="12"/>
      <c r="C812" s="12"/>
      <c r="D812" s="12"/>
      <c r="E812" s="12"/>
      <c r="F812" s="12"/>
      <c r="G812" s="824"/>
      <c r="H812" s="12"/>
      <c r="I812" s="825"/>
      <c r="J812" s="826"/>
      <c r="K812" s="12"/>
      <c r="L812" s="12"/>
      <c r="M812" s="824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spans="1:26" ht="14.25" customHeight="1">
      <c r="A813" s="12"/>
      <c r="B813" s="12"/>
      <c r="C813" s="12"/>
      <c r="D813" s="12"/>
      <c r="E813" s="12"/>
      <c r="F813" s="12"/>
      <c r="G813" s="824"/>
      <c r="H813" s="12"/>
      <c r="I813" s="825"/>
      <c r="J813" s="826"/>
      <c r="K813" s="12"/>
      <c r="L813" s="12"/>
      <c r="M813" s="824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spans="1:26" ht="14.25" customHeight="1">
      <c r="A814" s="12"/>
      <c r="B814" s="12"/>
      <c r="C814" s="12"/>
      <c r="D814" s="12"/>
      <c r="E814" s="12"/>
      <c r="F814" s="12"/>
      <c r="G814" s="824"/>
      <c r="H814" s="12"/>
      <c r="I814" s="825"/>
      <c r="J814" s="826"/>
      <c r="K814" s="12"/>
      <c r="L814" s="12"/>
      <c r="M814" s="824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spans="1:26" ht="14.25" customHeight="1">
      <c r="A815" s="12"/>
      <c r="B815" s="12"/>
      <c r="C815" s="12"/>
      <c r="D815" s="12"/>
      <c r="E815" s="12"/>
      <c r="F815" s="12"/>
      <c r="G815" s="824"/>
      <c r="H815" s="12"/>
      <c r="I815" s="825"/>
      <c r="J815" s="826"/>
      <c r="K815" s="12"/>
      <c r="L815" s="12"/>
      <c r="M815" s="824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spans="1:26" ht="14.25" customHeight="1">
      <c r="A816" s="12"/>
      <c r="B816" s="12"/>
      <c r="C816" s="12"/>
      <c r="D816" s="12"/>
      <c r="E816" s="12"/>
      <c r="F816" s="12"/>
      <c r="G816" s="824"/>
      <c r="H816" s="12"/>
      <c r="I816" s="825"/>
      <c r="J816" s="826"/>
      <c r="K816" s="12"/>
      <c r="L816" s="12"/>
      <c r="M816" s="824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spans="1:26" ht="14.25" customHeight="1">
      <c r="A817" s="12"/>
      <c r="B817" s="12"/>
      <c r="C817" s="12"/>
      <c r="D817" s="12"/>
      <c r="E817" s="12"/>
      <c r="F817" s="12"/>
      <c r="G817" s="824"/>
      <c r="H817" s="12"/>
      <c r="I817" s="825"/>
      <c r="J817" s="826"/>
      <c r="K817" s="12"/>
      <c r="L817" s="12"/>
      <c r="M817" s="824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spans="1:26" ht="14.25" customHeight="1">
      <c r="A818" s="12"/>
      <c r="B818" s="12"/>
      <c r="C818" s="12"/>
      <c r="D818" s="12"/>
      <c r="E818" s="12"/>
      <c r="F818" s="12"/>
      <c r="G818" s="824"/>
      <c r="H818" s="12"/>
      <c r="I818" s="825"/>
      <c r="J818" s="826"/>
      <c r="K818" s="12"/>
      <c r="L818" s="12"/>
      <c r="M818" s="824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spans="1:26" ht="14.25" customHeight="1">
      <c r="A819" s="12"/>
      <c r="B819" s="12"/>
      <c r="C819" s="12"/>
      <c r="D819" s="12"/>
      <c r="E819" s="12"/>
      <c r="F819" s="12"/>
      <c r="G819" s="824"/>
      <c r="H819" s="12"/>
      <c r="I819" s="825"/>
      <c r="J819" s="826"/>
      <c r="K819" s="12"/>
      <c r="L819" s="12"/>
      <c r="M819" s="824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spans="1:26" ht="14.25" customHeight="1">
      <c r="A820" s="12"/>
      <c r="B820" s="12"/>
      <c r="C820" s="12"/>
      <c r="D820" s="12"/>
      <c r="E820" s="12"/>
      <c r="F820" s="12"/>
      <c r="G820" s="824"/>
      <c r="H820" s="12"/>
      <c r="I820" s="825"/>
      <c r="J820" s="826"/>
      <c r="K820" s="12"/>
      <c r="L820" s="12"/>
      <c r="M820" s="824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spans="1:26" ht="14.25" customHeight="1">
      <c r="A821" s="12"/>
      <c r="B821" s="12"/>
      <c r="C821" s="12"/>
      <c r="D821" s="12"/>
      <c r="E821" s="12"/>
      <c r="F821" s="12"/>
      <c r="G821" s="824"/>
      <c r="H821" s="12"/>
      <c r="I821" s="825"/>
      <c r="J821" s="826"/>
      <c r="K821" s="12"/>
      <c r="L821" s="12"/>
      <c r="M821" s="824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spans="1:26" ht="14.25" customHeight="1">
      <c r="A822" s="12"/>
      <c r="B822" s="12"/>
      <c r="C822" s="12"/>
      <c r="D822" s="12"/>
      <c r="E822" s="12"/>
      <c r="F822" s="12"/>
      <c r="G822" s="824"/>
      <c r="H822" s="12"/>
      <c r="I822" s="825"/>
      <c r="J822" s="826"/>
      <c r="K822" s="12"/>
      <c r="L822" s="12"/>
      <c r="M822" s="824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spans="1:26" ht="14.25" customHeight="1">
      <c r="A823" s="12"/>
      <c r="B823" s="12"/>
      <c r="C823" s="12"/>
      <c r="D823" s="12"/>
      <c r="E823" s="12"/>
      <c r="F823" s="12"/>
      <c r="G823" s="824"/>
      <c r="H823" s="12"/>
      <c r="I823" s="825"/>
      <c r="J823" s="826"/>
      <c r="K823" s="12"/>
      <c r="L823" s="12"/>
      <c r="M823" s="824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spans="1:26" ht="14.25" customHeight="1">
      <c r="A824" s="12"/>
      <c r="B824" s="12"/>
      <c r="C824" s="12"/>
      <c r="D824" s="12"/>
      <c r="E824" s="12"/>
      <c r="F824" s="12"/>
      <c r="G824" s="824"/>
      <c r="H824" s="12"/>
      <c r="I824" s="825"/>
      <c r="J824" s="826"/>
      <c r="K824" s="12"/>
      <c r="L824" s="12"/>
      <c r="M824" s="824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spans="1:26" ht="14.25" customHeight="1">
      <c r="A825" s="12"/>
      <c r="B825" s="12"/>
      <c r="C825" s="12"/>
      <c r="D825" s="12"/>
      <c r="E825" s="12"/>
      <c r="F825" s="12"/>
      <c r="G825" s="824"/>
      <c r="H825" s="12"/>
      <c r="I825" s="825"/>
      <c r="J825" s="826"/>
      <c r="K825" s="12"/>
      <c r="L825" s="12"/>
      <c r="M825" s="824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spans="1:26" ht="14.25" customHeight="1">
      <c r="A826" s="12"/>
      <c r="B826" s="12"/>
      <c r="C826" s="12"/>
      <c r="D826" s="12"/>
      <c r="E826" s="12"/>
      <c r="F826" s="12"/>
      <c r="G826" s="824"/>
      <c r="H826" s="12"/>
      <c r="I826" s="825"/>
      <c r="J826" s="826"/>
      <c r="K826" s="12"/>
      <c r="L826" s="12"/>
      <c r="M826" s="824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spans="1:26" ht="14.25" customHeight="1">
      <c r="A827" s="12"/>
      <c r="B827" s="12"/>
      <c r="C827" s="12"/>
      <c r="D827" s="12"/>
      <c r="E827" s="12"/>
      <c r="F827" s="12"/>
      <c r="G827" s="824"/>
      <c r="H827" s="12"/>
      <c r="I827" s="825"/>
      <c r="J827" s="826"/>
      <c r="K827" s="12"/>
      <c r="L827" s="12"/>
      <c r="M827" s="824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spans="1:26" ht="14.25" customHeight="1">
      <c r="A828" s="12"/>
      <c r="B828" s="12"/>
      <c r="C828" s="12"/>
      <c r="D828" s="12"/>
      <c r="E828" s="12"/>
      <c r="F828" s="12"/>
      <c r="G828" s="824"/>
      <c r="H828" s="12"/>
      <c r="I828" s="825"/>
      <c r="J828" s="826"/>
      <c r="K828" s="12"/>
      <c r="L828" s="12"/>
      <c r="M828" s="824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spans="1:26" ht="14.25" customHeight="1">
      <c r="A829" s="12"/>
      <c r="B829" s="12"/>
      <c r="C829" s="12"/>
      <c r="D829" s="12"/>
      <c r="E829" s="12"/>
      <c r="F829" s="12"/>
      <c r="G829" s="824"/>
      <c r="H829" s="12"/>
      <c r="I829" s="825"/>
      <c r="J829" s="826"/>
      <c r="K829" s="12"/>
      <c r="L829" s="12"/>
      <c r="M829" s="824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spans="1:26" ht="14.25" customHeight="1">
      <c r="A830" s="12"/>
      <c r="B830" s="12"/>
      <c r="C830" s="12"/>
      <c r="D830" s="12"/>
      <c r="E830" s="12"/>
      <c r="F830" s="12"/>
      <c r="G830" s="824"/>
      <c r="H830" s="12"/>
      <c r="I830" s="825"/>
      <c r="J830" s="826"/>
      <c r="K830" s="12"/>
      <c r="L830" s="12"/>
      <c r="M830" s="824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spans="1:26" ht="14.25" customHeight="1">
      <c r="A831" s="12"/>
      <c r="B831" s="12"/>
      <c r="C831" s="12"/>
      <c r="D831" s="12"/>
      <c r="E831" s="12"/>
      <c r="F831" s="12"/>
      <c r="G831" s="824"/>
      <c r="H831" s="12"/>
      <c r="I831" s="825"/>
      <c r="J831" s="826"/>
      <c r="K831" s="12"/>
      <c r="L831" s="12"/>
      <c r="M831" s="824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spans="1:26" ht="14.25" customHeight="1">
      <c r="A832" s="12"/>
      <c r="B832" s="12"/>
      <c r="C832" s="12"/>
      <c r="D832" s="12"/>
      <c r="E832" s="12"/>
      <c r="F832" s="12"/>
      <c r="G832" s="824"/>
      <c r="H832" s="12"/>
      <c r="I832" s="825"/>
      <c r="J832" s="826"/>
      <c r="K832" s="12"/>
      <c r="L832" s="12"/>
      <c r="M832" s="824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spans="1:26" ht="14.25" customHeight="1">
      <c r="A833" s="12"/>
      <c r="B833" s="12"/>
      <c r="C833" s="12"/>
      <c r="D833" s="12"/>
      <c r="E833" s="12"/>
      <c r="F833" s="12"/>
      <c r="G833" s="824"/>
      <c r="H833" s="12"/>
      <c r="I833" s="825"/>
      <c r="J833" s="826"/>
      <c r="K833" s="12"/>
      <c r="L833" s="12"/>
      <c r="M833" s="824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spans="1:26" ht="14.25" customHeight="1">
      <c r="A834" s="12"/>
      <c r="B834" s="12"/>
      <c r="C834" s="12"/>
      <c r="D834" s="12"/>
      <c r="E834" s="12"/>
      <c r="F834" s="12"/>
      <c r="G834" s="824"/>
      <c r="H834" s="12"/>
      <c r="I834" s="825"/>
      <c r="J834" s="826"/>
      <c r="K834" s="12"/>
      <c r="L834" s="12"/>
      <c r="M834" s="824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spans="1:26" ht="14.25" customHeight="1">
      <c r="A835" s="12"/>
      <c r="B835" s="12"/>
      <c r="C835" s="12"/>
      <c r="D835" s="12"/>
      <c r="E835" s="12"/>
      <c r="F835" s="12"/>
      <c r="G835" s="824"/>
      <c r="H835" s="12"/>
      <c r="I835" s="825"/>
      <c r="J835" s="826"/>
      <c r="K835" s="12"/>
      <c r="L835" s="12"/>
      <c r="M835" s="824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spans="1:26" ht="14.25" customHeight="1">
      <c r="A836" s="12"/>
      <c r="B836" s="12"/>
      <c r="C836" s="12"/>
      <c r="D836" s="12"/>
      <c r="E836" s="12"/>
      <c r="F836" s="12"/>
      <c r="G836" s="824"/>
      <c r="H836" s="12"/>
      <c r="I836" s="825"/>
      <c r="J836" s="826"/>
      <c r="K836" s="12"/>
      <c r="L836" s="12"/>
      <c r="M836" s="824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spans="1:26" ht="14.25" customHeight="1">
      <c r="A837" s="12"/>
      <c r="B837" s="12"/>
      <c r="C837" s="12"/>
      <c r="D837" s="12"/>
      <c r="E837" s="12"/>
      <c r="F837" s="12"/>
      <c r="G837" s="824"/>
      <c r="H837" s="12"/>
      <c r="I837" s="825"/>
      <c r="J837" s="826"/>
      <c r="K837" s="12"/>
      <c r="L837" s="12"/>
      <c r="M837" s="824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spans="1:26" ht="14.25" customHeight="1">
      <c r="A838" s="12"/>
      <c r="B838" s="12"/>
      <c r="C838" s="12"/>
      <c r="D838" s="12"/>
      <c r="E838" s="12"/>
      <c r="F838" s="12"/>
      <c r="G838" s="824"/>
      <c r="H838" s="12"/>
      <c r="I838" s="825"/>
      <c r="J838" s="826"/>
      <c r="K838" s="12"/>
      <c r="L838" s="12"/>
      <c r="M838" s="824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spans="1:26" ht="14.25" customHeight="1">
      <c r="A839" s="12"/>
      <c r="B839" s="12"/>
      <c r="C839" s="12"/>
      <c r="D839" s="12"/>
      <c r="E839" s="12"/>
      <c r="F839" s="12"/>
      <c r="G839" s="824"/>
      <c r="H839" s="12"/>
      <c r="I839" s="825"/>
      <c r="J839" s="826"/>
      <c r="K839" s="12"/>
      <c r="L839" s="12"/>
      <c r="M839" s="824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spans="1:26" ht="14.25" customHeight="1">
      <c r="A840" s="12"/>
      <c r="B840" s="12"/>
      <c r="C840" s="12"/>
      <c r="D840" s="12"/>
      <c r="E840" s="12"/>
      <c r="F840" s="12"/>
      <c r="G840" s="824"/>
      <c r="H840" s="12"/>
      <c r="I840" s="825"/>
      <c r="J840" s="826"/>
      <c r="K840" s="12"/>
      <c r="L840" s="12"/>
      <c r="M840" s="824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spans="1:26" ht="14.25" customHeight="1">
      <c r="A841" s="12"/>
      <c r="B841" s="12"/>
      <c r="C841" s="12"/>
      <c r="D841" s="12"/>
      <c r="E841" s="12"/>
      <c r="F841" s="12"/>
      <c r="G841" s="824"/>
      <c r="H841" s="12"/>
      <c r="I841" s="825"/>
      <c r="J841" s="826"/>
      <c r="K841" s="12"/>
      <c r="L841" s="12"/>
      <c r="M841" s="824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spans="1:26" ht="14.25" customHeight="1">
      <c r="A842" s="12"/>
      <c r="B842" s="12"/>
      <c r="C842" s="12"/>
      <c r="D842" s="12"/>
      <c r="E842" s="12"/>
      <c r="F842" s="12"/>
      <c r="G842" s="824"/>
      <c r="H842" s="12"/>
      <c r="I842" s="825"/>
      <c r="J842" s="826"/>
      <c r="K842" s="12"/>
      <c r="L842" s="12"/>
      <c r="M842" s="824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spans="1:26" ht="14.25" customHeight="1">
      <c r="A843" s="12"/>
      <c r="B843" s="12"/>
      <c r="C843" s="12"/>
      <c r="D843" s="12"/>
      <c r="E843" s="12"/>
      <c r="F843" s="12"/>
      <c r="G843" s="824"/>
      <c r="H843" s="12"/>
      <c r="I843" s="825"/>
      <c r="J843" s="826"/>
      <c r="K843" s="12"/>
      <c r="L843" s="12"/>
      <c r="M843" s="824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spans="1:26" ht="14.25" customHeight="1">
      <c r="A844" s="12"/>
      <c r="B844" s="12"/>
      <c r="C844" s="12"/>
      <c r="D844" s="12"/>
      <c r="E844" s="12"/>
      <c r="F844" s="12"/>
      <c r="G844" s="824"/>
      <c r="H844" s="12"/>
      <c r="I844" s="825"/>
      <c r="J844" s="826"/>
      <c r="K844" s="12"/>
      <c r="L844" s="12"/>
      <c r="M844" s="824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spans="1:26" ht="14.25" customHeight="1">
      <c r="A845" s="12"/>
      <c r="B845" s="12"/>
      <c r="C845" s="12"/>
      <c r="D845" s="12"/>
      <c r="E845" s="12"/>
      <c r="F845" s="12"/>
      <c r="G845" s="824"/>
      <c r="H845" s="12"/>
      <c r="I845" s="825"/>
      <c r="J845" s="826"/>
      <c r="K845" s="12"/>
      <c r="L845" s="12"/>
      <c r="M845" s="824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spans="1:26" ht="14.25" customHeight="1">
      <c r="A846" s="12"/>
      <c r="B846" s="12"/>
      <c r="C846" s="12"/>
      <c r="D846" s="12"/>
      <c r="E846" s="12"/>
      <c r="F846" s="12"/>
      <c r="G846" s="824"/>
      <c r="H846" s="12"/>
      <c r="I846" s="825"/>
      <c r="J846" s="826"/>
      <c r="K846" s="12"/>
      <c r="L846" s="12"/>
      <c r="M846" s="824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spans="1:26" ht="14.25" customHeight="1">
      <c r="A847" s="12"/>
      <c r="B847" s="12"/>
      <c r="C847" s="12"/>
      <c r="D847" s="12"/>
      <c r="E847" s="12"/>
      <c r="F847" s="12"/>
      <c r="G847" s="824"/>
      <c r="H847" s="12"/>
      <c r="I847" s="825"/>
      <c r="J847" s="826"/>
      <c r="K847" s="12"/>
      <c r="L847" s="12"/>
      <c r="M847" s="824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spans="1:26" ht="14.25" customHeight="1">
      <c r="A848" s="12"/>
      <c r="B848" s="12"/>
      <c r="C848" s="12"/>
      <c r="D848" s="12"/>
      <c r="E848" s="12"/>
      <c r="F848" s="12"/>
      <c r="G848" s="824"/>
      <c r="H848" s="12"/>
      <c r="I848" s="825"/>
      <c r="J848" s="826"/>
      <c r="K848" s="12"/>
      <c r="L848" s="12"/>
      <c r="M848" s="824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spans="1:26" ht="14.25" customHeight="1">
      <c r="A849" s="12"/>
      <c r="B849" s="12"/>
      <c r="C849" s="12"/>
      <c r="D849" s="12"/>
      <c r="E849" s="12"/>
      <c r="F849" s="12"/>
      <c r="G849" s="824"/>
      <c r="H849" s="12"/>
      <c r="I849" s="825"/>
      <c r="J849" s="826"/>
      <c r="K849" s="12"/>
      <c r="L849" s="12"/>
      <c r="M849" s="824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spans="1:26" ht="14.25" customHeight="1">
      <c r="A850" s="12"/>
      <c r="B850" s="12"/>
      <c r="C850" s="12"/>
      <c r="D850" s="12"/>
      <c r="E850" s="12"/>
      <c r="F850" s="12"/>
      <c r="G850" s="824"/>
      <c r="H850" s="12"/>
      <c r="I850" s="825"/>
      <c r="J850" s="826"/>
      <c r="K850" s="12"/>
      <c r="L850" s="12"/>
      <c r="M850" s="824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spans="1:26" ht="14.25" customHeight="1">
      <c r="A851" s="12"/>
      <c r="B851" s="12"/>
      <c r="C851" s="12"/>
      <c r="D851" s="12"/>
      <c r="E851" s="12"/>
      <c r="F851" s="12"/>
      <c r="G851" s="824"/>
      <c r="H851" s="12"/>
      <c r="I851" s="825"/>
      <c r="J851" s="826"/>
      <c r="K851" s="12"/>
      <c r="L851" s="12"/>
      <c r="M851" s="824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spans="1:26" ht="14.25" customHeight="1">
      <c r="A852" s="12"/>
      <c r="B852" s="12"/>
      <c r="C852" s="12"/>
      <c r="D852" s="12"/>
      <c r="E852" s="12"/>
      <c r="F852" s="12"/>
      <c r="G852" s="824"/>
      <c r="H852" s="12"/>
      <c r="I852" s="825"/>
      <c r="J852" s="826"/>
      <c r="K852" s="12"/>
      <c r="L852" s="12"/>
      <c r="M852" s="824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spans="1:26" ht="14.25" customHeight="1">
      <c r="A853" s="12"/>
      <c r="B853" s="12"/>
      <c r="C853" s="12"/>
      <c r="D853" s="12"/>
      <c r="E853" s="12"/>
      <c r="F853" s="12"/>
      <c r="G853" s="824"/>
      <c r="H853" s="12"/>
      <c r="I853" s="825"/>
      <c r="J853" s="826"/>
      <c r="K853" s="12"/>
      <c r="L853" s="12"/>
      <c r="M853" s="824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spans="1:26" ht="14.25" customHeight="1">
      <c r="A854" s="12"/>
      <c r="B854" s="12"/>
      <c r="C854" s="12"/>
      <c r="D854" s="12"/>
      <c r="E854" s="12"/>
      <c r="F854" s="12"/>
      <c r="G854" s="824"/>
      <c r="H854" s="12"/>
      <c r="I854" s="825"/>
      <c r="J854" s="826"/>
      <c r="K854" s="12"/>
      <c r="L854" s="12"/>
      <c r="M854" s="824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spans="1:26" ht="14.25" customHeight="1">
      <c r="A855" s="12"/>
      <c r="B855" s="12"/>
      <c r="C855" s="12"/>
      <c r="D855" s="12"/>
      <c r="E855" s="12"/>
      <c r="F855" s="12"/>
      <c r="G855" s="824"/>
      <c r="H855" s="12"/>
      <c r="I855" s="825"/>
      <c r="J855" s="826"/>
      <c r="K855" s="12"/>
      <c r="L855" s="12"/>
      <c r="M855" s="824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spans="1:26" ht="14.25" customHeight="1">
      <c r="A856" s="12"/>
      <c r="B856" s="12"/>
      <c r="C856" s="12"/>
      <c r="D856" s="12"/>
      <c r="E856" s="12"/>
      <c r="F856" s="12"/>
      <c r="G856" s="824"/>
      <c r="H856" s="12"/>
      <c r="I856" s="825"/>
      <c r="J856" s="826"/>
      <c r="K856" s="12"/>
      <c r="L856" s="12"/>
      <c r="M856" s="824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spans="1:26" ht="14.25" customHeight="1">
      <c r="A857" s="12"/>
      <c r="B857" s="12"/>
      <c r="C857" s="12"/>
      <c r="D857" s="12"/>
      <c r="E857" s="12"/>
      <c r="F857" s="12"/>
      <c r="G857" s="824"/>
      <c r="H857" s="12"/>
      <c r="I857" s="825"/>
      <c r="J857" s="826"/>
      <c r="K857" s="12"/>
      <c r="L857" s="12"/>
      <c r="M857" s="824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spans="1:26" ht="14.25" customHeight="1">
      <c r="A858" s="12"/>
      <c r="B858" s="12"/>
      <c r="C858" s="12"/>
      <c r="D858" s="12"/>
      <c r="E858" s="12"/>
      <c r="F858" s="12"/>
      <c r="G858" s="824"/>
      <c r="H858" s="12"/>
      <c r="I858" s="825"/>
      <c r="J858" s="826"/>
      <c r="K858" s="12"/>
      <c r="L858" s="12"/>
      <c r="M858" s="824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spans="1:26" ht="14.25" customHeight="1">
      <c r="A859" s="12"/>
      <c r="B859" s="12"/>
      <c r="C859" s="12"/>
      <c r="D859" s="12"/>
      <c r="E859" s="12"/>
      <c r="F859" s="12"/>
      <c r="G859" s="824"/>
      <c r="H859" s="12"/>
      <c r="I859" s="825"/>
      <c r="J859" s="826"/>
      <c r="K859" s="12"/>
      <c r="L859" s="12"/>
      <c r="M859" s="824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spans="1:26" ht="14.25" customHeight="1">
      <c r="A860" s="12"/>
      <c r="B860" s="12"/>
      <c r="C860" s="12"/>
      <c r="D860" s="12"/>
      <c r="E860" s="12"/>
      <c r="F860" s="12"/>
      <c r="G860" s="824"/>
      <c r="H860" s="12"/>
      <c r="I860" s="825"/>
      <c r="J860" s="826"/>
      <c r="K860" s="12"/>
      <c r="L860" s="12"/>
      <c r="M860" s="824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spans="1:26" ht="14.25" customHeight="1">
      <c r="A861" s="12"/>
      <c r="B861" s="12"/>
      <c r="C861" s="12"/>
      <c r="D861" s="12"/>
      <c r="E861" s="12"/>
      <c r="F861" s="12"/>
      <c r="G861" s="824"/>
      <c r="H861" s="12"/>
      <c r="I861" s="825"/>
      <c r="J861" s="826"/>
      <c r="K861" s="12"/>
      <c r="L861" s="12"/>
      <c r="M861" s="824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spans="1:26" ht="14.25" customHeight="1">
      <c r="A862" s="12"/>
      <c r="B862" s="12"/>
      <c r="C862" s="12"/>
      <c r="D862" s="12"/>
      <c r="E862" s="12"/>
      <c r="F862" s="12"/>
      <c r="G862" s="824"/>
      <c r="H862" s="12"/>
      <c r="I862" s="825"/>
      <c r="J862" s="826"/>
      <c r="K862" s="12"/>
      <c r="L862" s="12"/>
      <c r="M862" s="824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spans="1:26" ht="14.25" customHeight="1">
      <c r="A863" s="12"/>
      <c r="B863" s="12"/>
      <c r="C863" s="12"/>
      <c r="D863" s="12"/>
      <c r="E863" s="12"/>
      <c r="F863" s="12"/>
      <c r="G863" s="824"/>
      <c r="H863" s="12"/>
      <c r="I863" s="825"/>
      <c r="J863" s="826"/>
      <c r="K863" s="12"/>
      <c r="L863" s="12"/>
      <c r="M863" s="824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spans="1:26" ht="14.25" customHeight="1">
      <c r="A864" s="12"/>
      <c r="B864" s="12"/>
      <c r="C864" s="12"/>
      <c r="D864" s="12"/>
      <c r="E864" s="12"/>
      <c r="F864" s="12"/>
      <c r="G864" s="824"/>
      <c r="H864" s="12"/>
      <c r="I864" s="825"/>
      <c r="J864" s="826"/>
      <c r="K864" s="12"/>
      <c r="L864" s="12"/>
      <c r="M864" s="824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spans="1:26" ht="14.25" customHeight="1">
      <c r="A865" s="12"/>
      <c r="B865" s="12"/>
      <c r="C865" s="12"/>
      <c r="D865" s="12"/>
      <c r="E865" s="12"/>
      <c r="F865" s="12"/>
      <c r="G865" s="824"/>
      <c r="H865" s="12"/>
      <c r="I865" s="825"/>
      <c r="J865" s="826"/>
      <c r="K865" s="12"/>
      <c r="L865" s="12"/>
      <c r="M865" s="824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spans="1:26" ht="14.25" customHeight="1">
      <c r="A866" s="12"/>
      <c r="B866" s="12"/>
      <c r="C866" s="12"/>
      <c r="D866" s="12"/>
      <c r="E866" s="12"/>
      <c r="F866" s="12"/>
      <c r="G866" s="824"/>
      <c r="H866" s="12"/>
      <c r="I866" s="825"/>
      <c r="J866" s="826"/>
      <c r="K866" s="12"/>
      <c r="L866" s="12"/>
      <c r="M866" s="824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spans="1:26" ht="14.25" customHeight="1">
      <c r="A867" s="12"/>
      <c r="B867" s="12"/>
      <c r="C867" s="12"/>
      <c r="D867" s="12"/>
      <c r="E867" s="12"/>
      <c r="F867" s="12"/>
      <c r="G867" s="824"/>
      <c r="H867" s="12"/>
      <c r="I867" s="825"/>
      <c r="J867" s="826"/>
      <c r="K867" s="12"/>
      <c r="L867" s="12"/>
      <c r="M867" s="824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spans="1:26" ht="14.25" customHeight="1">
      <c r="A868" s="12"/>
      <c r="B868" s="12"/>
      <c r="C868" s="12"/>
      <c r="D868" s="12"/>
      <c r="E868" s="12"/>
      <c r="F868" s="12"/>
      <c r="G868" s="824"/>
      <c r="H868" s="12"/>
      <c r="I868" s="825"/>
      <c r="J868" s="826"/>
      <c r="K868" s="12"/>
      <c r="L868" s="12"/>
      <c r="M868" s="824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spans="1:26" ht="14.25" customHeight="1">
      <c r="A869" s="12"/>
      <c r="B869" s="12"/>
      <c r="C869" s="12"/>
      <c r="D869" s="12"/>
      <c r="E869" s="12"/>
      <c r="F869" s="12"/>
      <c r="G869" s="824"/>
      <c r="H869" s="12"/>
      <c r="I869" s="825"/>
      <c r="J869" s="826"/>
      <c r="K869" s="12"/>
      <c r="L869" s="12"/>
      <c r="M869" s="824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spans="1:26" ht="14.25" customHeight="1">
      <c r="A870" s="12"/>
      <c r="B870" s="12"/>
      <c r="C870" s="12"/>
      <c r="D870" s="12"/>
      <c r="E870" s="12"/>
      <c r="F870" s="12"/>
      <c r="G870" s="824"/>
      <c r="H870" s="12"/>
      <c r="I870" s="825"/>
      <c r="J870" s="826"/>
      <c r="K870" s="12"/>
      <c r="L870" s="12"/>
      <c r="M870" s="824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spans="1:26" ht="14.25" customHeight="1">
      <c r="A871" s="12"/>
      <c r="B871" s="12"/>
      <c r="C871" s="12"/>
      <c r="D871" s="12"/>
      <c r="E871" s="12"/>
      <c r="F871" s="12"/>
      <c r="G871" s="824"/>
      <c r="H871" s="12"/>
      <c r="I871" s="825"/>
      <c r="J871" s="826"/>
      <c r="K871" s="12"/>
      <c r="L871" s="12"/>
      <c r="M871" s="824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spans="1:26" ht="14.25" customHeight="1">
      <c r="A872" s="12"/>
      <c r="B872" s="12"/>
      <c r="C872" s="12"/>
      <c r="D872" s="12"/>
      <c r="E872" s="12"/>
      <c r="F872" s="12"/>
      <c r="G872" s="824"/>
      <c r="H872" s="12"/>
      <c r="I872" s="825"/>
      <c r="J872" s="826"/>
      <c r="K872" s="12"/>
      <c r="L872" s="12"/>
      <c r="M872" s="824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spans="1:26" ht="14.25" customHeight="1">
      <c r="A873" s="12"/>
      <c r="B873" s="12"/>
      <c r="C873" s="12"/>
      <c r="D873" s="12"/>
      <c r="E873" s="12"/>
      <c r="F873" s="12"/>
      <c r="G873" s="824"/>
      <c r="H873" s="12"/>
      <c r="I873" s="825"/>
      <c r="J873" s="826"/>
      <c r="K873" s="12"/>
      <c r="L873" s="12"/>
      <c r="M873" s="824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spans="1:26" ht="14.25" customHeight="1">
      <c r="A874" s="12"/>
      <c r="B874" s="12"/>
      <c r="C874" s="12"/>
      <c r="D874" s="12"/>
      <c r="E874" s="12"/>
      <c r="F874" s="12"/>
      <c r="G874" s="824"/>
      <c r="H874" s="12"/>
      <c r="I874" s="825"/>
      <c r="J874" s="826"/>
      <c r="K874" s="12"/>
      <c r="L874" s="12"/>
      <c r="M874" s="824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spans="1:26" ht="14.25" customHeight="1">
      <c r="A875" s="12"/>
      <c r="B875" s="12"/>
      <c r="C875" s="12"/>
      <c r="D875" s="12"/>
      <c r="E875" s="12"/>
      <c r="F875" s="12"/>
      <c r="G875" s="824"/>
      <c r="H875" s="12"/>
      <c r="I875" s="825"/>
      <c r="J875" s="826"/>
      <c r="K875" s="12"/>
      <c r="L875" s="12"/>
      <c r="M875" s="824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spans="1:26" ht="14.25" customHeight="1">
      <c r="A876" s="12"/>
      <c r="B876" s="12"/>
      <c r="C876" s="12"/>
      <c r="D876" s="12"/>
      <c r="E876" s="12"/>
      <c r="F876" s="12"/>
      <c r="G876" s="824"/>
      <c r="H876" s="12"/>
      <c r="I876" s="825"/>
      <c r="J876" s="826"/>
      <c r="K876" s="12"/>
      <c r="L876" s="12"/>
      <c r="M876" s="824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spans="1:26" ht="14.25" customHeight="1">
      <c r="A877" s="12"/>
      <c r="B877" s="12"/>
      <c r="C877" s="12"/>
      <c r="D877" s="12"/>
      <c r="E877" s="12"/>
      <c r="F877" s="12"/>
      <c r="G877" s="824"/>
      <c r="H877" s="12"/>
      <c r="I877" s="825"/>
      <c r="J877" s="826"/>
      <c r="K877" s="12"/>
      <c r="L877" s="12"/>
      <c r="M877" s="824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spans="1:26" ht="14.25" customHeight="1">
      <c r="A878" s="12"/>
      <c r="B878" s="12"/>
      <c r="C878" s="12"/>
      <c r="D878" s="12"/>
      <c r="E878" s="12"/>
      <c r="F878" s="12"/>
      <c r="G878" s="824"/>
      <c r="H878" s="12"/>
      <c r="I878" s="825"/>
      <c r="J878" s="826"/>
      <c r="K878" s="12"/>
      <c r="L878" s="12"/>
      <c r="M878" s="824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spans="1:26" ht="14.25" customHeight="1">
      <c r="A879" s="12"/>
      <c r="B879" s="12"/>
      <c r="C879" s="12"/>
      <c r="D879" s="12"/>
      <c r="E879" s="12"/>
      <c r="F879" s="12"/>
      <c r="G879" s="824"/>
      <c r="H879" s="12"/>
      <c r="I879" s="825"/>
      <c r="J879" s="826"/>
      <c r="K879" s="12"/>
      <c r="L879" s="12"/>
      <c r="M879" s="824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spans="1:26" ht="14.25" customHeight="1">
      <c r="A880" s="12"/>
      <c r="B880" s="12"/>
      <c r="C880" s="12"/>
      <c r="D880" s="12"/>
      <c r="E880" s="12"/>
      <c r="F880" s="12"/>
      <c r="G880" s="824"/>
      <c r="H880" s="12"/>
      <c r="I880" s="825"/>
      <c r="J880" s="826"/>
      <c r="K880" s="12"/>
      <c r="L880" s="12"/>
      <c r="M880" s="824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spans="1:26" ht="14.25" customHeight="1">
      <c r="A881" s="12"/>
      <c r="B881" s="12"/>
      <c r="C881" s="12"/>
      <c r="D881" s="12"/>
      <c r="E881" s="12"/>
      <c r="F881" s="12"/>
      <c r="G881" s="824"/>
      <c r="H881" s="12"/>
      <c r="I881" s="825"/>
      <c r="J881" s="826"/>
      <c r="K881" s="12"/>
      <c r="L881" s="12"/>
      <c r="M881" s="824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spans="1:26" ht="14.25" customHeight="1">
      <c r="A882" s="12"/>
      <c r="B882" s="12"/>
      <c r="C882" s="12"/>
      <c r="D882" s="12"/>
      <c r="E882" s="12"/>
      <c r="F882" s="12"/>
      <c r="G882" s="824"/>
      <c r="H882" s="12"/>
      <c r="I882" s="825"/>
      <c r="J882" s="826"/>
      <c r="K882" s="12"/>
      <c r="L882" s="12"/>
      <c r="M882" s="824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spans="1:26" ht="14.25" customHeight="1">
      <c r="A883" s="12"/>
      <c r="B883" s="12"/>
      <c r="C883" s="12"/>
      <c r="D883" s="12"/>
      <c r="E883" s="12"/>
      <c r="F883" s="12"/>
      <c r="G883" s="824"/>
      <c r="H883" s="12"/>
      <c r="I883" s="825"/>
      <c r="J883" s="826"/>
      <c r="K883" s="12"/>
      <c r="L883" s="12"/>
      <c r="M883" s="824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spans="1:26" ht="14.25" customHeight="1">
      <c r="A884" s="12"/>
      <c r="B884" s="12"/>
      <c r="C884" s="12"/>
      <c r="D884" s="12"/>
      <c r="E884" s="12"/>
      <c r="F884" s="12"/>
      <c r="G884" s="824"/>
      <c r="H884" s="12"/>
      <c r="I884" s="825"/>
      <c r="J884" s="826"/>
      <c r="K884" s="12"/>
      <c r="L884" s="12"/>
      <c r="M884" s="824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spans="1:26" ht="14.25" customHeight="1">
      <c r="A885" s="12"/>
      <c r="B885" s="12"/>
      <c r="C885" s="12"/>
      <c r="D885" s="12"/>
      <c r="E885" s="12"/>
      <c r="F885" s="12"/>
      <c r="G885" s="824"/>
      <c r="H885" s="12"/>
      <c r="I885" s="825"/>
      <c r="J885" s="826"/>
      <c r="K885" s="12"/>
      <c r="L885" s="12"/>
      <c r="M885" s="824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spans="1:26" ht="14.25" customHeight="1">
      <c r="A886" s="12"/>
      <c r="B886" s="12"/>
      <c r="C886" s="12"/>
      <c r="D886" s="12"/>
      <c r="E886" s="12"/>
      <c r="F886" s="12"/>
      <c r="G886" s="824"/>
      <c r="H886" s="12"/>
      <c r="I886" s="825"/>
      <c r="J886" s="826"/>
      <c r="K886" s="12"/>
      <c r="L886" s="12"/>
      <c r="M886" s="824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spans="1:26" ht="14.25" customHeight="1">
      <c r="A887" s="12"/>
      <c r="B887" s="12"/>
      <c r="C887" s="12"/>
      <c r="D887" s="12"/>
      <c r="E887" s="12"/>
      <c r="F887" s="12"/>
      <c r="G887" s="824"/>
      <c r="H887" s="12"/>
      <c r="I887" s="825"/>
      <c r="J887" s="826"/>
      <c r="K887" s="12"/>
      <c r="L887" s="12"/>
      <c r="M887" s="824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spans="1:26" ht="14.25" customHeight="1">
      <c r="A888" s="12"/>
      <c r="B888" s="12"/>
      <c r="C888" s="12"/>
      <c r="D888" s="12"/>
      <c r="E888" s="12"/>
      <c r="F888" s="12"/>
      <c r="G888" s="824"/>
      <c r="H888" s="12"/>
      <c r="I888" s="825"/>
      <c r="J888" s="826"/>
      <c r="K888" s="12"/>
      <c r="L888" s="12"/>
      <c r="M888" s="824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spans="1:26" ht="14.25" customHeight="1">
      <c r="A889" s="12"/>
      <c r="B889" s="12"/>
      <c r="C889" s="12"/>
      <c r="D889" s="12"/>
      <c r="E889" s="12"/>
      <c r="F889" s="12"/>
      <c r="G889" s="824"/>
      <c r="H889" s="12"/>
      <c r="I889" s="825"/>
      <c r="J889" s="826"/>
      <c r="K889" s="12"/>
      <c r="L889" s="12"/>
      <c r="M889" s="824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spans="1:26" ht="14.25" customHeight="1">
      <c r="A890" s="12"/>
      <c r="B890" s="12"/>
      <c r="C890" s="12"/>
      <c r="D890" s="12"/>
      <c r="E890" s="12"/>
      <c r="F890" s="12"/>
      <c r="G890" s="824"/>
      <c r="H890" s="12"/>
      <c r="I890" s="825"/>
      <c r="J890" s="826"/>
      <c r="K890" s="12"/>
      <c r="L890" s="12"/>
      <c r="M890" s="824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spans="1:26" ht="14.25" customHeight="1">
      <c r="A891" s="12"/>
      <c r="B891" s="12"/>
      <c r="C891" s="12"/>
      <c r="D891" s="12"/>
      <c r="E891" s="12"/>
      <c r="F891" s="12"/>
      <c r="G891" s="824"/>
      <c r="H891" s="12"/>
      <c r="I891" s="825"/>
      <c r="J891" s="826"/>
      <c r="K891" s="12"/>
      <c r="L891" s="12"/>
      <c r="M891" s="824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spans="1:26" ht="14.25" customHeight="1">
      <c r="A892" s="12"/>
      <c r="B892" s="12"/>
      <c r="C892" s="12"/>
      <c r="D892" s="12"/>
      <c r="E892" s="12"/>
      <c r="F892" s="12"/>
      <c r="G892" s="824"/>
      <c r="H892" s="12"/>
      <c r="I892" s="825"/>
      <c r="J892" s="826"/>
      <c r="K892" s="12"/>
      <c r="L892" s="12"/>
      <c r="M892" s="824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spans="1:26" ht="14.25" customHeight="1">
      <c r="A893" s="12"/>
      <c r="B893" s="12"/>
      <c r="C893" s="12"/>
      <c r="D893" s="12"/>
      <c r="E893" s="12"/>
      <c r="F893" s="12"/>
      <c r="G893" s="824"/>
      <c r="H893" s="12"/>
      <c r="I893" s="825"/>
      <c r="J893" s="826"/>
      <c r="K893" s="12"/>
      <c r="L893" s="12"/>
      <c r="M893" s="824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spans="1:26" ht="14.25" customHeight="1">
      <c r="A894" s="12"/>
      <c r="B894" s="12"/>
      <c r="C894" s="12"/>
      <c r="D894" s="12"/>
      <c r="E894" s="12"/>
      <c r="F894" s="12"/>
      <c r="G894" s="824"/>
      <c r="H894" s="12"/>
      <c r="I894" s="825"/>
      <c r="J894" s="826"/>
      <c r="K894" s="12"/>
      <c r="L894" s="12"/>
      <c r="M894" s="824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spans="1:26" ht="14.25" customHeight="1">
      <c r="A895" s="12"/>
      <c r="B895" s="12"/>
      <c r="C895" s="12"/>
      <c r="D895" s="12"/>
      <c r="E895" s="12"/>
      <c r="F895" s="12"/>
      <c r="G895" s="824"/>
      <c r="H895" s="12"/>
      <c r="I895" s="825"/>
      <c r="J895" s="826"/>
      <c r="K895" s="12"/>
      <c r="L895" s="12"/>
      <c r="M895" s="824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spans="1:26" ht="14.25" customHeight="1">
      <c r="A896" s="12"/>
      <c r="B896" s="12"/>
      <c r="C896" s="12"/>
      <c r="D896" s="12"/>
      <c r="E896" s="12"/>
      <c r="F896" s="12"/>
      <c r="G896" s="824"/>
      <c r="H896" s="12"/>
      <c r="I896" s="825"/>
      <c r="J896" s="826"/>
      <c r="K896" s="12"/>
      <c r="L896" s="12"/>
      <c r="M896" s="824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spans="1:26" ht="14.25" customHeight="1">
      <c r="A897" s="12"/>
      <c r="B897" s="12"/>
      <c r="C897" s="12"/>
      <c r="D897" s="12"/>
      <c r="E897" s="12"/>
      <c r="F897" s="12"/>
      <c r="G897" s="824"/>
      <c r="H897" s="12"/>
      <c r="I897" s="825"/>
      <c r="J897" s="826"/>
      <c r="K897" s="12"/>
      <c r="L897" s="12"/>
      <c r="M897" s="824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spans="1:26" ht="14.25" customHeight="1">
      <c r="A898" s="12"/>
      <c r="B898" s="12"/>
      <c r="C898" s="12"/>
      <c r="D898" s="12"/>
      <c r="E898" s="12"/>
      <c r="F898" s="12"/>
      <c r="G898" s="824"/>
      <c r="H898" s="12"/>
      <c r="I898" s="825"/>
      <c r="J898" s="826"/>
      <c r="K898" s="12"/>
      <c r="L898" s="12"/>
      <c r="M898" s="824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spans="1:26" ht="14.25" customHeight="1">
      <c r="A899" s="12"/>
      <c r="B899" s="12"/>
      <c r="C899" s="12"/>
      <c r="D899" s="12"/>
      <c r="E899" s="12"/>
      <c r="F899" s="12"/>
      <c r="G899" s="824"/>
      <c r="H899" s="12"/>
      <c r="I899" s="825"/>
      <c r="J899" s="826"/>
      <c r="K899" s="12"/>
      <c r="L899" s="12"/>
      <c r="M899" s="824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spans="1:26" ht="14.25" customHeight="1">
      <c r="A900" s="12"/>
      <c r="B900" s="12"/>
      <c r="C900" s="12"/>
      <c r="D900" s="12"/>
      <c r="E900" s="12"/>
      <c r="F900" s="12"/>
      <c r="G900" s="824"/>
      <c r="H900" s="12"/>
      <c r="I900" s="825"/>
      <c r="J900" s="826"/>
      <c r="K900" s="12"/>
      <c r="L900" s="12"/>
      <c r="M900" s="824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spans="1:26" ht="14.25" customHeight="1">
      <c r="A901" s="12"/>
      <c r="B901" s="12"/>
      <c r="C901" s="12"/>
      <c r="D901" s="12"/>
      <c r="E901" s="12"/>
      <c r="F901" s="12"/>
      <c r="G901" s="824"/>
      <c r="H901" s="12"/>
      <c r="I901" s="825"/>
      <c r="J901" s="826"/>
      <c r="K901" s="12"/>
      <c r="L901" s="12"/>
      <c r="M901" s="824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spans="1:26" ht="14.25" customHeight="1">
      <c r="A902" s="12"/>
      <c r="B902" s="12"/>
      <c r="C902" s="12"/>
      <c r="D902" s="12"/>
      <c r="E902" s="12"/>
      <c r="F902" s="12"/>
      <c r="G902" s="824"/>
      <c r="H902" s="12"/>
      <c r="I902" s="825"/>
      <c r="J902" s="826"/>
      <c r="K902" s="12"/>
      <c r="L902" s="12"/>
      <c r="M902" s="824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spans="1:26" ht="14.25" customHeight="1">
      <c r="A903" s="12"/>
      <c r="B903" s="12"/>
      <c r="C903" s="12"/>
      <c r="D903" s="12"/>
      <c r="E903" s="12"/>
      <c r="F903" s="12"/>
      <c r="G903" s="824"/>
      <c r="H903" s="12"/>
      <c r="I903" s="825"/>
      <c r="J903" s="826"/>
      <c r="K903" s="12"/>
      <c r="L903" s="12"/>
      <c r="M903" s="824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spans="1:26" ht="14.25" customHeight="1">
      <c r="A904" s="12"/>
      <c r="B904" s="12"/>
      <c r="C904" s="12"/>
      <c r="D904" s="12"/>
      <c r="E904" s="12"/>
      <c r="F904" s="12"/>
      <c r="G904" s="824"/>
      <c r="H904" s="12"/>
      <c r="I904" s="825"/>
      <c r="J904" s="826"/>
      <c r="K904" s="12"/>
      <c r="L904" s="12"/>
      <c r="M904" s="824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spans="1:26" ht="14.25" customHeight="1">
      <c r="A905" s="12"/>
      <c r="B905" s="12"/>
      <c r="C905" s="12"/>
      <c r="D905" s="12"/>
      <c r="E905" s="12"/>
      <c r="F905" s="12"/>
      <c r="G905" s="824"/>
      <c r="H905" s="12"/>
      <c r="I905" s="825"/>
      <c r="J905" s="826"/>
      <c r="K905" s="12"/>
      <c r="L905" s="12"/>
      <c r="M905" s="824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spans="1:26" ht="14.25" customHeight="1">
      <c r="A906" s="12"/>
      <c r="B906" s="12"/>
      <c r="C906" s="12"/>
      <c r="D906" s="12"/>
      <c r="E906" s="12"/>
      <c r="F906" s="12"/>
      <c r="G906" s="824"/>
      <c r="H906" s="12"/>
      <c r="I906" s="825"/>
      <c r="J906" s="826"/>
      <c r="K906" s="12"/>
      <c r="L906" s="12"/>
      <c r="M906" s="824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spans="1:26" ht="14.25" customHeight="1">
      <c r="A907" s="12"/>
      <c r="B907" s="12"/>
      <c r="C907" s="12"/>
      <c r="D907" s="12"/>
      <c r="E907" s="12"/>
      <c r="F907" s="12"/>
      <c r="G907" s="824"/>
      <c r="H907" s="12"/>
      <c r="I907" s="825"/>
      <c r="J907" s="826"/>
      <c r="K907" s="12"/>
      <c r="L907" s="12"/>
      <c r="M907" s="824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spans="1:26" ht="14.25" customHeight="1">
      <c r="A908" s="12"/>
      <c r="B908" s="12"/>
      <c r="C908" s="12"/>
      <c r="D908" s="12"/>
      <c r="E908" s="12"/>
      <c r="F908" s="12"/>
      <c r="G908" s="824"/>
      <c r="H908" s="12"/>
      <c r="I908" s="825"/>
      <c r="J908" s="826"/>
      <c r="K908" s="12"/>
      <c r="L908" s="12"/>
      <c r="M908" s="824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spans="1:26" ht="14.25" customHeight="1">
      <c r="A909" s="12"/>
      <c r="B909" s="12"/>
      <c r="C909" s="12"/>
      <c r="D909" s="12"/>
      <c r="E909" s="12"/>
      <c r="F909" s="12"/>
      <c r="G909" s="824"/>
      <c r="H909" s="12"/>
      <c r="I909" s="825"/>
      <c r="J909" s="826"/>
      <c r="K909" s="12"/>
      <c r="L909" s="12"/>
      <c r="M909" s="824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spans="1:26" ht="14.25" customHeight="1">
      <c r="A910" s="12"/>
      <c r="B910" s="12"/>
      <c r="C910" s="12"/>
      <c r="D910" s="12"/>
      <c r="E910" s="12"/>
      <c r="F910" s="12"/>
      <c r="G910" s="824"/>
      <c r="H910" s="12"/>
      <c r="I910" s="825"/>
      <c r="J910" s="826"/>
      <c r="K910" s="12"/>
      <c r="L910" s="12"/>
      <c r="M910" s="824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spans="1:26" ht="14.25" customHeight="1">
      <c r="A911" s="12"/>
      <c r="B911" s="12"/>
      <c r="C911" s="12"/>
      <c r="D911" s="12"/>
      <c r="E911" s="12"/>
      <c r="F911" s="12"/>
      <c r="G911" s="824"/>
      <c r="H911" s="12"/>
      <c r="I911" s="825"/>
      <c r="J911" s="826"/>
      <c r="K911" s="12"/>
      <c r="L911" s="12"/>
      <c r="M911" s="824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spans="1:26" ht="14.25" customHeight="1">
      <c r="A912" s="12"/>
      <c r="B912" s="12"/>
      <c r="C912" s="12"/>
      <c r="D912" s="12"/>
      <c r="E912" s="12"/>
      <c r="F912" s="12"/>
      <c r="G912" s="824"/>
      <c r="H912" s="12"/>
      <c r="I912" s="825"/>
      <c r="J912" s="826"/>
      <c r="K912" s="12"/>
      <c r="L912" s="12"/>
      <c r="M912" s="824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spans="1:26" ht="14.25" customHeight="1">
      <c r="A913" s="12"/>
      <c r="B913" s="12"/>
      <c r="C913" s="12"/>
      <c r="D913" s="12"/>
      <c r="E913" s="12"/>
      <c r="F913" s="12"/>
      <c r="G913" s="824"/>
      <c r="H913" s="12"/>
      <c r="I913" s="825"/>
      <c r="J913" s="826"/>
      <c r="K913" s="12"/>
      <c r="L913" s="12"/>
      <c r="M913" s="824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spans="1:26" ht="14.25" customHeight="1">
      <c r="A914" s="12"/>
      <c r="B914" s="12"/>
      <c r="C914" s="12"/>
      <c r="D914" s="12"/>
      <c r="E914" s="12"/>
      <c r="F914" s="12"/>
      <c r="G914" s="824"/>
      <c r="H914" s="12"/>
      <c r="I914" s="825"/>
      <c r="J914" s="826"/>
      <c r="K914" s="12"/>
      <c r="L914" s="12"/>
      <c r="M914" s="824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spans="1:26" ht="14.25" customHeight="1">
      <c r="A915" s="12"/>
      <c r="B915" s="12"/>
      <c r="C915" s="12"/>
      <c r="D915" s="12"/>
      <c r="E915" s="12"/>
      <c r="F915" s="12"/>
      <c r="G915" s="824"/>
      <c r="H915" s="12"/>
      <c r="I915" s="825"/>
      <c r="J915" s="826"/>
      <c r="K915" s="12"/>
      <c r="L915" s="12"/>
      <c r="M915" s="824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spans="1:26" ht="14.25" customHeight="1">
      <c r="A916" s="12"/>
      <c r="B916" s="12"/>
      <c r="C916" s="12"/>
      <c r="D916" s="12"/>
      <c r="E916" s="12"/>
      <c r="F916" s="12"/>
      <c r="G916" s="824"/>
      <c r="H916" s="12"/>
      <c r="I916" s="825"/>
      <c r="J916" s="826"/>
      <c r="K916" s="12"/>
      <c r="L916" s="12"/>
      <c r="M916" s="824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spans="1:26" ht="14.25" customHeight="1">
      <c r="A917" s="12"/>
      <c r="B917" s="12"/>
      <c r="C917" s="12"/>
      <c r="D917" s="12"/>
      <c r="E917" s="12"/>
      <c r="F917" s="12"/>
      <c r="G917" s="824"/>
      <c r="H917" s="12"/>
      <c r="I917" s="825"/>
      <c r="J917" s="826"/>
      <c r="K917" s="12"/>
      <c r="L917" s="12"/>
      <c r="M917" s="824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spans="1:26" ht="14.25" customHeight="1">
      <c r="A918" s="12"/>
      <c r="B918" s="12"/>
      <c r="C918" s="12"/>
      <c r="D918" s="12"/>
      <c r="E918" s="12"/>
      <c r="F918" s="12"/>
      <c r="G918" s="824"/>
      <c r="H918" s="12"/>
      <c r="I918" s="825"/>
      <c r="J918" s="826"/>
      <c r="K918" s="12"/>
      <c r="L918" s="12"/>
      <c r="M918" s="824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spans="1:26" ht="14.25" customHeight="1">
      <c r="A919" s="12"/>
      <c r="B919" s="12"/>
      <c r="C919" s="12"/>
      <c r="D919" s="12"/>
      <c r="E919" s="12"/>
      <c r="F919" s="12"/>
      <c r="G919" s="824"/>
      <c r="H919" s="12"/>
      <c r="I919" s="825"/>
      <c r="J919" s="826"/>
      <c r="K919" s="12"/>
      <c r="L919" s="12"/>
      <c r="M919" s="824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spans="1:26" ht="14.25" customHeight="1">
      <c r="A920" s="12"/>
      <c r="B920" s="12"/>
      <c r="C920" s="12"/>
      <c r="D920" s="12"/>
      <c r="E920" s="12"/>
      <c r="F920" s="12"/>
      <c r="G920" s="824"/>
      <c r="H920" s="12"/>
      <c r="I920" s="825"/>
      <c r="J920" s="826"/>
      <c r="K920" s="12"/>
      <c r="L920" s="12"/>
      <c r="M920" s="824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spans="1:26" ht="14.25" customHeight="1">
      <c r="A921" s="12"/>
      <c r="B921" s="12"/>
      <c r="C921" s="12"/>
      <c r="D921" s="12"/>
      <c r="E921" s="12"/>
      <c r="F921" s="12"/>
      <c r="G921" s="824"/>
      <c r="H921" s="12"/>
      <c r="I921" s="825"/>
      <c r="J921" s="826"/>
      <c r="K921" s="12"/>
      <c r="L921" s="12"/>
      <c r="M921" s="824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spans="1:26" ht="14.25" customHeight="1">
      <c r="A922" s="12"/>
      <c r="B922" s="12"/>
      <c r="C922" s="12"/>
      <c r="D922" s="12"/>
      <c r="E922" s="12"/>
      <c r="F922" s="12"/>
      <c r="G922" s="824"/>
      <c r="H922" s="12"/>
      <c r="I922" s="825"/>
      <c r="J922" s="826"/>
      <c r="K922" s="12"/>
      <c r="L922" s="12"/>
      <c r="M922" s="824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spans="1:26" ht="14.25" customHeight="1">
      <c r="A923" s="12"/>
      <c r="B923" s="12"/>
      <c r="C923" s="12"/>
      <c r="D923" s="12"/>
      <c r="E923" s="12"/>
      <c r="F923" s="12"/>
      <c r="G923" s="824"/>
      <c r="H923" s="12"/>
      <c r="I923" s="825"/>
      <c r="J923" s="826"/>
      <c r="K923" s="12"/>
      <c r="L923" s="12"/>
      <c r="M923" s="824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spans="1:26" ht="14.25" customHeight="1">
      <c r="A924" s="12"/>
      <c r="B924" s="12"/>
      <c r="C924" s="12"/>
      <c r="D924" s="12"/>
      <c r="E924" s="12"/>
      <c r="F924" s="12"/>
      <c r="G924" s="824"/>
      <c r="H924" s="12"/>
      <c r="I924" s="825"/>
      <c r="J924" s="826"/>
      <c r="K924" s="12"/>
      <c r="L924" s="12"/>
      <c r="M924" s="824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spans="1:26" ht="14.25" customHeight="1">
      <c r="A925" s="12"/>
      <c r="B925" s="12"/>
      <c r="C925" s="12"/>
      <c r="D925" s="12"/>
      <c r="E925" s="12"/>
      <c r="F925" s="12"/>
      <c r="G925" s="824"/>
      <c r="H925" s="12"/>
      <c r="I925" s="825"/>
      <c r="J925" s="826"/>
      <c r="K925" s="12"/>
      <c r="L925" s="12"/>
      <c r="M925" s="824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spans="1:26" ht="14.25" customHeight="1">
      <c r="A926" s="12"/>
      <c r="B926" s="12"/>
      <c r="C926" s="12"/>
      <c r="D926" s="12"/>
      <c r="E926" s="12"/>
      <c r="F926" s="12"/>
      <c r="G926" s="824"/>
      <c r="H926" s="12"/>
      <c r="I926" s="825"/>
      <c r="J926" s="826"/>
      <c r="K926" s="12"/>
      <c r="L926" s="12"/>
      <c r="M926" s="824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spans="1:26" ht="14.25" customHeight="1">
      <c r="A927" s="12"/>
      <c r="B927" s="12"/>
      <c r="C927" s="12"/>
      <c r="D927" s="12"/>
      <c r="E927" s="12"/>
      <c r="F927" s="12"/>
      <c r="G927" s="824"/>
      <c r="H927" s="12"/>
      <c r="I927" s="825"/>
      <c r="J927" s="826"/>
      <c r="K927" s="12"/>
      <c r="L927" s="12"/>
      <c r="M927" s="824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spans="1:26" ht="14.25" customHeight="1">
      <c r="A928" s="12"/>
      <c r="B928" s="12"/>
      <c r="C928" s="12"/>
      <c r="D928" s="12"/>
      <c r="E928" s="12"/>
      <c r="F928" s="12"/>
      <c r="G928" s="824"/>
      <c r="H928" s="12"/>
      <c r="I928" s="825"/>
      <c r="J928" s="826"/>
      <c r="K928" s="12"/>
      <c r="L928" s="12"/>
      <c r="M928" s="824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spans="1:26" ht="14.25" customHeight="1">
      <c r="A929" s="12"/>
      <c r="B929" s="12"/>
      <c r="C929" s="12"/>
      <c r="D929" s="12"/>
      <c r="E929" s="12"/>
      <c r="F929" s="12"/>
      <c r="G929" s="824"/>
      <c r="H929" s="12"/>
      <c r="I929" s="825"/>
      <c r="J929" s="826"/>
      <c r="K929" s="12"/>
      <c r="L929" s="12"/>
      <c r="M929" s="824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spans="1:26" ht="14.25" customHeight="1">
      <c r="A930" s="12"/>
      <c r="B930" s="12"/>
      <c r="C930" s="12"/>
      <c r="D930" s="12"/>
      <c r="E930" s="12"/>
      <c r="F930" s="12"/>
      <c r="G930" s="824"/>
      <c r="H930" s="12"/>
      <c r="I930" s="825"/>
      <c r="J930" s="826"/>
      <c r="K930" s="12"/>
      <c r="L930" s="12"/>
      <c r="M930" s="824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spans="1:26" ht="14.25" customHeight="1">
      <c r="A931" s="12"/>
      <c r="B931" s="12"/>
      <c r="C931" s="12"/>
      <c r="D931" s="12"/>
      <c r="E931" s="12"/>
      <c r="F931" s="12"/>
      <c r="G931" s="824"/>
      <c r="H931" s="12"/>
      <c r="I931" s="825"/>
      <c r="J931" s="826"/>
      <c r="K931" s="12"/>
      <c r="L931" s="12"/>
      <c r="M931" s="824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spans="1:26" ht="14.25" customHeight="1">
      <c r="A932" s="12"/>
      <c r="B932" s="12"/>
      <c r="C932" s="12"/>
      <c r="D932" s="12"/>
      <c r="E932" s="12"/>
      <c r="F932" s="12"/>
      <c r="G932" s="824"/>
      <c r="H932" s="12"/>
      <c r="I932" s="825"/>
      <c r="J932" s="826"/>
      <c r="K932" s="12"/>
      <c r="L932" s="12"/>
      <c r="M932" s="824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spans="1:26" ht="14.25" customHeight="1">
      <c r="A933" s="12"/>
      <c r="B933" s="12"/>
      <c r="C933" s="12"/>
      <c r="D933" s="12"/>
      <c r="E933" s="12"/>
      <c r="F933" s="12"/>
      <c r="G933" s="824"/>
      <c r="H933" s="12"/>
      <c r="I933" s="825"/>
      <c r="J933" s="826"/>
      <c r="K933" s="12"/>
      <c r="L933" s="12"/>
      <c r="M933" s="824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spans="1:26" ht="14.25" customHeight="1">
      <c r="A934" s="12"/>
      <c r="B934" s="12"/>
      <c r="C934" s="12"/>
      <c r="D934" s="12"/>
      <c r="E934" s="12"/>
      <c r="F934" s="12"/>
      <c r="G934" s="824"/>
      <c r="H934" s="12"/>
      <c r="I934" s="825"/>
      <c r="J934" s="826"/>
      <c r="K934" s="12"/>
      <c r="L934" s="12"/>
      <c r="M934" s="824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spans="1:26" ht="14.25" customHeight="1">
      <c r="A935" s="12"/>
      <c r="B935" s="12"/>
      <c r="C935" s="12"/>
      <c r="D935" s="12"/>
      <c r="E935" s="12"/>
      <c r="F935" s="12"/>
      <c r="G935" s="824"/>
      <c r="H935" s="12"/>
      <c r="I935" s="825"/>
      <c r="J935" s="826"/>
      <c r="K935" s="12"/>
      <c r="L935" s="12"/>
      <c r="M935" s="824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spans="1:26" ht="14.25" customHeight="1">
      <c r="A936" s="12"/>
      <c r="B936" s="12"/>
      <c r="C936" s="12"/>
      <c r="D936" s="12"/>
      <c r="E936" s="12"/>
      <c r="F936" s="12"/>
      <c r="G936" s="824"/>
      <c r="H936" s="12"/>
      <c r="I936" s="825"/>
      <c r="J936" s="826"/>
      <c r="K936" s="12"/>
      <c r="L936" s="12"/>
      <c r="M936" s="824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spans="1:26" ht="14.25" customHeight="1">
      <c r="A937" s="12"/>
      <c r="B937" s="12"/>
      <c r="C937" s="12"/>
      <c r="D937" s="12"/>
      <c r="E937" s="12"/>
      <c r="F937" s="12"/>
      <c r="G937" s="824"/>
      <c r="H937" s="12"/>
      <c r="I937" s="825"/>
      <c r="J937" s="826"/>
      <c r="K937" s="12"/>
      <c r="L937" s="12"/>
      <c r="M937" s="824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spans="1:26" ht="14.25" customHeight="1">
      <c r="A938" s="12"/>
      <c r="B938" s="12"/>
      <c r="C938" s="12"/>
      <c r="D938" s="12"/>
      <c r="E938" s="12"/>
      <c r="F938" s="12"/>
      <c r="G938" s="824"/>
      <c r="H938" s="12"/>
      <c r="I938" s="825"/>
      <c r="J938" s="826"/>
      <c r="K938" s="12"/>
      <c r="L938" s="12"/>
      <c r="M938" s="824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spans="1:26" ht="14.25" customHeight="1">
      <c r="A939" s="12"/>
      <c r="B939" s="12"/>
      <c r="C939" s="12"/>
      <c r="D939" s="12"/>
      <c r="E939" s="12"/>
      <c r="F939" s="12"/>
      <c r="G939" s="824"/>
      <c r="H939" s="12"/>
      <c r="I939" s="825"/>
      <c r="J939" s="826"/>
      <c r="K939" s="12"/>
      <c r="L939" s="12"/>
      <c r="M939" s="824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spans="1:26" ht="14.25" customHeight="1">
      <c r="A940" s="12"/>
      <c r="B940" s="12"/>
      <c r="C940" s="12"/>
      <c r="D940" s="12"/>
      <c r="E940" s="12"/>
      <c r="F940" s="12"/>
      <c r="G940" s="824"/>
      <c r="H940" s="12"/>
      <c r="I940" s="825"/>
      <c r="J940" s="826"/>
      <c r="K940" s="12"/>
      <c r="L940" s="12"/>
      <c r="M940" s="824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spans="1:26" ht="14.25" customHeight="1">
      <c r="A941" s="12"/>
      <c r="B941" s="12"/>
      <c r="C941" s="12"/>
      <c r="D941" s="12"/>
      <c r="E941" s="12"/>
      <c r="F941" s="12"/>
      <c r="G941" s="824"/>
      <c r="H941" s="12"/>
      <c r="I941" s="825"/>
      <c r="J941" s="826"/>
      <c r="K941" s="12"/>
      <c r="L941" s="12"/>
      <c r="M941" s="824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spans="1:26" ht="14.25" customHeight="1">
      <c r="A942" s="12"/>
      <c r="B942" s="12"/>
      <c r="C942" s="12"/>
      <c r="D942" s="12"/>
      <c r="E942" s="12"/>
      <c r="F942" s="12"/>
      <c r="G942" s="824"/>
      <c r="H942" s="12"/>
      <c r="I942" s="825"/>
      <c r="J942" s="826"/>
      <c r="K942" s="12"/>
      <c r="L942" s="12"/>
      <c r="M942" s="824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spans="1:26" ht="14.25" customHeight="1">
      <c r="A943" s="12"/>
      <c r="B943" s="12"/>
      <c r="C943" s="12"/>
      <c r="D943" s="12"/>
      <c r="E943" s="12"/>
      <c r="F943" s="12"/>
      <c r="G943" s="824"/>
      <c r="H943" s="12"/>
      <c r="I943" s="825"/>
      <c r="J943" s="826"/>
      <c r="K943" s="12"/>
      <c r="L943" s="12"/>
      <c r="M943" s="824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spans="1:26" ht="14.25" customHeight="1">
      <c r="A944" s="12"/>
      <c r="B944" s="12"/>
      <c r="C944" s="12"/>
      <c r="D944" s="12"/>
      <c r="E944" s="12"/>
      <c r="F944" s="12"/>
      <c r="G944" s="824"/>
      <c r="H944" s="12"/>
      <c r="I944" s="825"/>
      <c r="J944" s="826"/>
      <c r="K944" s="12"/>
      <c r="L944" s="12"/>
      <c r="M944" s="824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spans="1:26" ht="14.25" customHeight="1">
      <c r="A945" s="12"/>
      <c r="B945" s="12"/>
      <c r="C945" s="12"/>
      <c r="D945" s="12"/>
      <c r="E945" s="12"/>
      <c r="F945" s="12"/>
      <c r="G945" s="824"/>
      <c r="H945" s="12"/>
      <c r="I945" s="825"/>
      <c r="J945" s="826"/>
      <c r="K945" s="12"/>
      <c r="L945" s="12"/>
      <c r="M945" s="824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spans="1:26" ht="14.25" customHeight="1">
      <c r="A946" s="12"/>
      <c r="B946" s="12"/>
      <c r="C946" s="12"/>
      <c r="D946" s="12"/>
      <c r="E946" s="12"/>
      <c r="F946" s="12"/>
      <c r="G946" s="824"/>
      <c r="H946" s="12"/>
      <c r="I946" s="825"/>
      <c r="J946" s="826"/>
      <c r="K946" s="12"/>
      <c r="L946" s="12"/>
      <c r="M946" s="824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spans="1:26" ht="14.25" customHeight="1">
      <c r="A947" s="12"/>
      <c r="B947" s="12"/>
      <c r="C947" s="12"/>
      <c r="D947" s="12"/>
      <c r="E947" s="12"/>
      <c r="F947" s="12"/>
      <c r="G947" s="824"/>
      <c r="H947" s="12"/>
      <c r="I947" s="825"/>
      <c r="J947" s="826"/>
      <c r="K947" s="12"/>
      <c r="L947" s="12"/>
      <c r="M947" s="824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spans="1:26" ht="14.25" customHeight="1">
      <c r="A948" s="12"/>
      <c r="B948" s="12"/>
      <c r="C948" s="12"/>
      <c r="D948" s="12"/>
      <c r="E948" s="12"/>
      <c r="F948" s="12"/>
      <c r="G948" s="824"/>
      <c r="H948" s="12"/>
      <c r="I948" s="825"/>
      <c r="J948" s="826"/>
      <c r="K948" s="12"/>
      <c r="L948" s="12"/>
      <c r="M948" s="824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spans="1:26" ht="14.25" customHeight="1">
      <c r="A949" s="12"/>
      <c r="B949" s="12"/>
      <c r="C949" s="12"/>
      <c r="D949" s="12"/>
      <c r="E949" s="12"/>
      <c r="F949" s="12"/>
      <c r="G949" s="824"/>
      <c r="H949" s="12"/>
      <c r="I949" s="825"/>
      <c r="J949" s="826"/>
      <c r="K949" s="12"/>
      <c r="L949" s="12"/>
      <c r="M949" s="824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spans="1:26" ht="14.25" customHeight="1">
      <c r="A950" s="12"/>
      <c r="B950" s="12"/>
      <c r="C950" s="12"/>
      <c r="D950" s="12"/>
      <c r="E950" s="12"/>
      <c r="F950" s="12"/>
      <c r="G950" s="824"/>
      <c r="H950" s="12"/>
      <c r="I950" s="825"/>
      <c r="J950" s="826"/>
      <c r="K950" s="12"/>
      <c r="L950" s="12"/>
      <c r="M950" s="824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spans="1:26" ht="14.25" customHeight="1">
      <c r="A951" s="12"/>
      <c r="B951" s="12"/>
      <c r="C951" s="12"/>
      <c r="D951" s="12"/>
      <c r="E951" s="12"/>
      <c r="F951" s="12"/>
      <c r="G951" s="824"/>
      <c r="H951" s="12"/>
      <c r="I951" s="825"/>
      <c r="J951" s="826"/>
      <c r="K951" s="12"/>
      <c r="L951" s="12"/>
      <c r="M951" s="824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spans="1:26" ht="14.25" customHeight="1">
      <c r="A952" s="12"/>
      <c r="B952" s="12"/>
      <c r="C952" s="12"/>
      <c r="D952" s="12"/>
      <c r="E952" s="12"/>
      <c r="F952" s="12"/>
      <c r="G952" s="824"/>
      <c r="H952" s="12"/>
      <c r="I952" s="825"/>
      <c r="J952" s="826"/>
      <c r="K952" s="12"/>
      <c r="L952" s="12"/>
      <c r="M952" s="824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spans="1:26" ht="14.25" customHeight="1">
      <c r="A953" s="12"/>
      <c r="B953" s="12"/>
      <c r="C953" s="12"/>
      <c r="D953" s="12"/>
      <c r="E953" s="12"/>
      <c r="F953" s="12"/>
      <c r="G953" s="824"/>
      <c r="H953" s="12"/>
      <c r="I953" s="825"/>
      <c r="J953" s="826"/>
      <c r="K953" s="12"/>
      <c r="L953" s="12"/>
      <c r="M953" s="824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spans="1:26" ht="14.25" customHeight="1">
      <c r="A954" s="12"/>
      <c r="B954" s="12"/>
      <c r="C954" s="12"/>
      <c r="D954" s="12"/>
      <c r="E954" s="12"/>
      <c r="F954" s="12"/>
      <c r="G954" s="824"/>
      <c r="H954" s="12"/>
      <c r="I954" s="825"/>
      <c r="J954" s="826"/>
      <c r="K954" s="12"/>
      <c r="L954" s="12"/>
      <c r="M954" s="824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spans="1:26" ht="14.25" customHeight="1">
      <c r="A955" s="12"/>
      <c r="B955" s="12"/>
      <c r="C955" s="12"/>
      <c r="D955" s="12"/>
      <c r="E955" s="12"/>
      <c r="F955" s="12"/>
      <c r="G955" s="824"/>
      <c r="H955" s="12"/>
      <c r="I955" s="825"/>
      <c r="J955" s="826"/>
      <c r="K955" s="12"/>
      <c r="L955" s="12"/>
      <c r="M955" s="824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spans="1:26" ht="14.25" customHeight="1">
      <c r="A956" s="12"/>
      <c r="B956" s="12"/>
      <c r="C956" s="12"/>
      <c r="D956" s="12"/>
      <c r="E956" s="12"/>
      <c r="F956" s="12"/>
      <c r="G956" s="824"/>
      <c r="H956" s="12"/>
      <c r="I956" s="825"/>
      <c r="J956" s="826"/>
      <c r="K956" s="12"/>
      <c r="L956" s="12"/>
      <c r="M956" s="824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spans="1:26" ht="14.25" customHeight="1">
      <c r="A957" s="12"/>
      <c r="B957" s="12"/>
      <c r="C957" s="12"/>
      <c r="D957" s="12"/>
      <c r="E957" s="12"/>
      <c r="F957" s="12"/>
      <c r="G957" s="824"/>
      <c r="H957" s="12"/>
      <c r="I957" s="825"/>
      <c r="J957" s="826"/>
      <c r="K957" s="12"/>
      <c r="L957" s="12"/>
      <c r="M957" s="824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spans="1:26" ht="14.25" customHeight="1">
      <c r="A958" s="12"/>
      <c r="B958" s="12"/>
      <c r="C958" s="12"/>
      <c r="D958" s="12"/>
      <c r="E958" s="12"/>
      <c r="F958" s="12"/>
      <c r="G958" s="824"/>
      <c r="H958" s="12"/>
      <c r="I958" s="825"/>
      <c r="J958" s="826"/>
      <c r="K958" s="12"/>
      <c r="L958" s="12"/>
      <c r="M958" s="824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spans="1:26" ht="14.25" customHeight="1">
      <c r="A959" s="12"/>
      <c r="B959" s="12"/>
      <c r="C959" s="12"/>
      <c r="D959" s="12"/>
      <c r="E959" s="12"/>
      <c r="F959" s="12"/>
      <c r="G959" s="824"/>
      <c r="H959" s="12"/>
      <c r="I959" s="825"/>
      <c r="J959" s="826"/>
      <c r="K959" s="12"/>
      <c r="L959" s="12"/>
      <c r="M959" s="824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spans="1:26" ht="14.25" customHeight="1">
      <c r="A960" s="12"/>
      <c r="B960" s="12"/>
      <c r="C960" s="12"/>
      <c r="D960" s="12"/>
      <c r="E960" s="12"/>
      <c r="F960" s="12"/>
      <c r="G960" s="824"/>
      <c r="H960" s="12"/>
      <c r="I960" s="825"/>
      <c r="J960" s="826"/>
      <c r="K960" s="12"/>
      <c r="L960" s="12"/>
      <c r="M960" s="824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spans="1:26" ht="14.25" customHeight="1">
      <c r="A961" s="12"/>
      <c r="B961" s="12"/>
      <c r="C961" s="12"/>
      <c r="D961" s="12"/>
      <c r="E961" s="12"/>
      <c r="F961" s="12"/>
      <c r="G961" s="824"/>
      <c r="H961" s="12"/>
      <c r="I961" s="825"/>
      <c r="J961" s="826"/>
      <c r="K961" s="12"/>
      <c r="L961" s="12"/>
      <c r="M961" s="824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spans="1:26" ht="14.25" customHeight="1">
      <c r="A962" s="12"/>
      <c r="B962" s="12"/>
      <c r="C962" s="12"/>
      <c r="D962" s="12"/>
      <c r="E962" s="12"/>
      <c r="F962" s="12"/>
      <c r="G962" s="824"/>
      <c r="H962" s="12"/>
      <c r="I962" s="825"/>
      <c r="J962" s="826"/>
      <c r="K962" s="12"/>
      <c r="L962" s="12"/>
      <c r="M962" s="824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spans="1:26" ht="14.25" customHeight="1">
      <c r="A963" s="12"/>
      <c r="B963" s="12"/>
      <c r="C963" s="12"/>
      <c r="D963" s="12"/>
      <c r="E963" s="12"/>
      <c r="F963" s="12"/>
      <c r="G963" s="824"/>
      <c r="H963" s="12"/>
      <c r="I963" s="825"/>
      <c r="J963" s="826"/>
      <c r="K963" s="12"/>
      <c r="L963" s="12"/>
      <c r="M963" s="824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spans="1:26" ht="14.25" customHeight="1">
      <c r="A964" s="12"/>
      <c r="B964" s="12"/>
      <c r="C964" s="12"/>
      <c r="D964" s="12"/>
      <c r="E964" s="12"/>
      <c r="F964" s="12"/>
      <c r="G964" s="824"/>
      <c r="H964" s="12"/>
      <c r="I964" s="825"/>
      <c r="J964" s="826"/>
      <c r="K964" s="12"/>
      <c r="L964" s="12"/>
      <c r="M964" s="824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spans="1:26" ht="14.25" customHeight="1">
      <c r="A965" s="12"/>
      <c r="B965" s="12"/>
      <c r="C965" s="12"/>
      <c r="D965" s="12"/>
      <c r="E965" s="12"/>
      <c r="F965" s="12"/>
      <c r="G965" s="824"/>
      <c r="H965" s="12"/>
      <c r="I965" s="825"/>
      <c r="J965" s="826"/>
      <c r="K965" s="12"/>
      <c r="L965" s="12"/>
      <c r="M965" s="824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spans="1:26" ht="14.25" customHeight="1">
      <c r="A966" s="12"/>
      <c r="B966" s="12"/>
      <c r="C966" s="12"/>
      <c r="D966" s="12"/>
      <c r="E966" s="12"/>
      <c r="F966" s="12"/>
      <c r="G966" s="824"/>
      <c r="H966" s="12"/>
      <c r="I966" s="825"/>
      <c r="J966" s="826"/>
      <c r="K966" s="12"/>
      <c r="L966" s="12"/>
      <c r="M966" s="824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spans="1:26" ht="14.25" customHeight="1">
      <c r="A967" s="12"/>
      <c r="B967" s="12"/>
      <c r="C967" s="12"/>
      <c r="D967" s="12"/>
      <c r="E967" s="12"/>
      <c r="F967" s="12"/>
      <c r="G967" s="824"/>
      <c r="H967" s="12"/>
      <c r="I967" s="825"/>
      <c r="J967" s="826"/>
      <c r="K967" s="12"/>
      <c r="L967" s="12"/>
      <c r="M967" s="824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spans="1:26" ht="14.25" customHeight="1">
      <c r="A968" s="12"/>
      <c r="B968" s="12"/>
      <c r="C968" s="12"/>
      <c r="D968" s="12"/>
      <c r="E968" s="12"/>
      <c r="F968" s="12"/>
      <c r="G968" s="824"/>
      <c r="H968" s="12"/>
      <c r="I968" s="825"/>
      <c r="J968" s="826"/>
      <c r="K968" s="12"/>
      <c r="L968" s="12"/>
      <c r="M968" s="824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spans="1:26" ht="14.25" customHeight="1">
      <c r="A969" s="12"/>
      <c r="B969" s="12"/>
      <c r="C969" s="12"/>
      <c r="D969" s="12"/>
      <c r="E969" s="12"/>
      <c r="F969" s="12"/>
      <c r="G969" s="824"/>
      <c r="H969" s="12"/>
      <c r="I969" s="825"/>
      <c r="J969" s="826"/>
      <c r="K969" s="12"/>
      <c r="L969" s="12"/>
      <c r="M969" s="824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spans="1:26" ht="14.25" customHeight="1">
      <c r="A970" s="12"/>
      <c r="B970" s="12"/>
      <c r="C970" s="12"/>
      <c r="D970" s="12"/>
      <c r="E970" s="12"/>
      <c r="F970" s="12"/>
      <c r="G970" s="824"/>
      <c r="H970" s="12"/>
      <c r="I970" s="825"/>
      <c r="J970" s="826"/>
      <c r="K970" s="12"/>
      <c r="L970" s="12"/>
      <c r="M970" s="824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spans="1:26" ht="14.25" customHeight="1">
      <c r="A971" s="12"/>
      <c r="B971" s="12"/>
      <c r="C971" s="12"/>
      <c r="D971" s="12"/>
      <c r="E971" s="12"/>
      <c r="F971" s="12"/>
      <c r="G971" s="824"/>
      <c r="H971" s="12"/>
      <c r="I971" s="825"/>
      <c r="J971" s="826"/>
      <c r="K971" s="12"/>
      <c r="L971" s="12"/>
      <c r="M971" s="824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spans="1:26" ht="14.25" customHeight="1">
      <c r="A972" s="12"/>
      <c r="B972" s="12"/>
      <c r="C972" s="12"/>
      <c r="D972" s="12"/>
      <c r="E972" s="12"/>
      <c r="F972" s="12"/>
      <c r="G972" s="824"/>
      <c r="H972" s="12"/>
      <c r="I972" s="825"/>
      <c r="J972" s="826"/>
      <c r="K972" s="12"/>
      <c r="L972" s="12"/>
      <c r="M972" s="824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spans="1:26" ht="14.25" customHeight="1">
      <c r="A973" s="12"/>
      <c r="B973" s="12"/>
      <c r="C973" s="12"/>
      <c r="D973" s="12"/>
      <c r="E973" s="12"/>
      <c r="F973" s="12"/>
      <c r="G973" s="824"/>
      <c r="H973" s="12"/>
      <c r="I973" s="825"/>
      <c r="J973" s="826"/>
      <c r="K973" s="12"/>
      <c r="L973" s="12"/>
      <c r="M973" s="824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spans="1:26" ht="14.25" customHeight="1">
      <c r="A974" s="12"/>
      <c r="B974" s="12"/>
      <c r="C974" s="12"/>
      <c r="D974" s="12"/>
      <c r="E974" s="12"/>
      <c r="F974" s="12"/>
      <c r="G974" s="824"/>
      <c r="H974" s="12"/>
      <c r="I974" s="825"/>
      <c r="J974" s="826"/>
      <c r="K974" s="12"/>
      <c r="L974" s="12"/>
      <c r="M974" s="824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spans="1:26" ht="14.25" customHeight="1">
      <c r="A975" s="12"/>
      <c r="B975" s="12"/>
      <c r="C975" s="12"/>
      <c r="D975" s="12"/>
      <c r="E975" s="12"/>
      <c r="F975" s="12"/>
      <c r="G975" s="824"/>
      <c r="H975" s="12"/>
      <c r="I975" s="825"/>
      <c r="J975" s="826"/>
      <c r="K975" s="12"/>
      <c r="L975" s="12"/>
      <c r="M975" s="824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spans="1:26" ht="14.25" customHeight="1">
      <c r="A976" s="12"/>
      <c r="B976" s="12"/>
      <c r="C976" s="12"/>
      <c r="D976" s="12"/>
      <c r="E976" s="12"/>
      <c r="F976" s="12"/>
      <c r="G976" s="824"/>
      <c r="H976" s="12"/>
      <c r="I976" s="825"/>
      <c r="J976" s="826"/>
      <c r="K976" s="12"/>
      <c r="L976" s="12"/>
      <c r="M976" s="824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spans="1:26" ht="14.25" customHeight="1">
      <c r="A977" s="12"/>
      <c r="B977" s="12"/>
      <c r="C977" s="12"/>
      <c r="D977" s="12"/>
      <c r="E977" s="12"/>
      <c r="F977" s="12"/>
      <c r="G977" s="824"/>
      <c r="H977" s="12"/>
      <c r="I977" s="825"/>
      <c r="J977" s="826"/>
      <c r="K977" s="12"/>
      <c r="L977" s="12"/>
      <c r="M977" s="824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spans="1:26" ht="14.25" customHeight="1">
      <c r="A978" s="12"/>
      <c r="B978" s="12"/>
      <c r="C978" s="12"/>
      <c r="D978" s="12"/>
      <c r="E978" s="12"/>
      <c r="F978" s="12"/>
      <c r="G978" s="824"/>
      <c r="H978" s="12"/>
      <c r="I978" s="825"/>
      <c r="J978" s="826"/>
      <c r="K978" s="12"/>
      <c r="L978" s="12"/>
      <c r="M978" s="824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spans="1:26" ht="14.25" customHeight="1">
      <c r="A979" s="12"/>
      <c r="B979" s="12"/>
      <c r="C979" s="12"/>
      <c r="D979" s="12"/>
      <c r="E979" s="12"/>
      <c r="F979" s="12"/>
      <c r="G979" s="824"/>
      <c r="H979" s="12"/>
      <c r="I979" s="825"/>
      <c r="J979" s="826"/>
      <c r="K979" s="12"/>
      <c r="L979" s="12"/>
      <c r="M979" s="824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spans="1:26" ht="14.25" customHeight="1">
      <c r="A980" s="12"/>
      <c r="B980" s="12"/>
      <c r="C980" s="12"/>
      <c r="D980" s="12"/>
      <c r="E980" s="12"/>
      <c r="F980" s="12"/>
      <c r="G980" s="824"/>
      <c r="H980" s="12"/>
      <c r="I980" s="825"/>
      <c r="J980" s="826"/>
      <c r="K980" s="12"/>
      <c r="L980" s="12"/>
      <c r="M980" s="824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spans="1:26" ht="14.25" customHeight="1">
      <c r="A981" s="12"/>
      <c r="B981" s="12"/>
      <c r="C981" s="12"/>
      <c r="D981" s="12"/>
      <c r="E981" s="12"/>
      <c r="F981" s="12"/>
      <c r="G981" s="824"/>
      <c r="H981" s="12"/>
      <c r="I981" s="825"/>
      <c r="J981" s="826"/>
      <c r="K981" s="12"/>
      <c r="L981" s="12"/>
      <c r="M981" s="824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spans="1:26" ht="14.25" customHeight="1">
      <c r="A982" s="12"/>
      <c r="B982" s="12"/>
      <c r="C982" s="12"/>
      <c r="D982" s="12"/>
      <c r="E982" s="12"/>
      <c r="F982" s="12"/>
      <c r="G982" s="824"/>
      <c r="H982" s="12"/>
      <c r="I982" s="825"/>
      <c r="J982" s="826"/>
      <c r="K982" s="12"/>
      <c r="L982" s="12"/>
      <c r="M982" s="824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spans="1:26" ht="14.25" customHeight="1">
      <c r="A983" s="12"/>
      <c r="B983" s="12"/>
      <c r="C983" s="12"/>
      <c r="D983" s="12"/>
      <c r="E983" s="12"/>
      <c r="F983" s="12"/>
      <c r="G983" s="824"/>
      <c r="H983" s="12"/>
      <c r="I983" s="825"/>
      <c r="J983" s="826"/>
      <c r="K983" s="12"/>
      <c r="L983" s="12"/>
      <c r="M983" s="824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spans="1:26" ht="14.25" customHeight="1">
      <c r="A984" s="12"/>
      <c r="B984" s="12"/>
      <c r="C984" s="12"/>
      <c r="D984" s="12"/>
      <c r="E984" s="12"/>
      <c r="F984" s="12"/>
      <c r="G984" s="824"/>
      <c r="H984" s="12"/>
      <c r="I984" s="825"/>
      <c r="J984" s="826"/>
      <c r="K984" s="12"/>
      <c r="L984" s="12"/>
      <c r="M984" s="824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spans="1:26" ht="14.25" customHeight="1">
      <c r="A985" s="12"/>
      <c r="B985" s="12"/>
      <c r="C985" s="12"/>
      <c r="D985" s="12"/>
      <c r="E985" s="12"/>
      <c r="F985" s="12"/>
      <c r="G985" s="824"/>
      <c r="H985" s="12"/>
      <c r="I985" s="825"/>
      <c r="J985" s="826"/>
      <c r="K985" s="12"/>
      <c r="L985" s="12"/>
      <c r="M985" s="824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spans="1:26" ht="14.25" customHeight="1">
      <c r="A986" s="12"/>
      <c r="B986" s="12"/>
      <c r="C986" s="12"/>
      <c r="D986" s="12"/>
      <c r="E986" s="12"/>
      <c r="F986" s="12"/>
      <c r="G986" s="824"/>
      <c r="H986" s="12"/>
      <c r="I986" s="825"/>
      <c r="J986" s="826"/>
      <c r="K986" s="12"/>
      <c r="L986" s="12"/>
      <c r="M986" s="824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spans="1:26" ht="14.25" customHeight="1">
      <c r="A987" s="12"/>
      <c r="B987" s="12"/>
      <c r="C987" s="12"/>
      <c r="D987" s="12"/>
      <c r="E987" s="12"/>
      <c r="F987" s="12"/>
      <c r="G987" s="824"/>
      <c r="H987" s="12"/>
      <c r="I987" s="825"/>
      <c r="J987" s="826"/>
      <c r="K987" s="12"/>
      <c r="L987" s="12"/>
      <c r="M987" s="824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spans="1:26" ht="14.25" customHeight="1">
      <c r="A988" s="12"/>
      <c r="B988" s="12"/>
      <c r="C988" s="12"/>
      <c r="D988" s="12"/>
      <c r="E988" s="12"/>
      <c r="F988" s="12"/>
      <c r="G988" s="824"/>
      <c r="H988" s="12"/>
      <c r="I988" s="825"/>
      <c r="J988" s="826"/>
      <c r="K988" s="12"/>
      <c r="L988" s="12"/>
      <c r="M988" s="824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spans="1:26" ht="14.25" customHeight="1">
      <c r="A989" s="12"/>
      <c r="B989" s="12"/>
      <c r="C989" s="12"/>
      <c r="D989" s="12"/>
      <c r="E989" s="12"/>
      <c r="F989" s="12"/>
      <c r="G989" s="824"/>
      <c r="H989" s="12"/>
      <c r="I989" s="825"/>
      <c r="J989" s="826"/>
      <c r="K989" s="12"/>
      <c r="L989" s="12"/>
      <c r="M989" s="824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spans="1:26" ht="14.25" customHeight="1">
      <c r="A990" s="12"/>
      <c r="B990" s="12"/>
      <c r="C990" s="12"/>
      <c r="D990" s="12"/>
      <c r="E990" s="12"/>
      <c r="F990" s="12"/>
      <c r="G990" s="824"/>
      <c r="H990" s="12"/>
      <c r="I990" s="825"/>
      <c r="J990" s="826"/>
      <c r="K990" s="12"/>
      <c r="L990" s="12"/>
      <c r="M990" s="824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spans="1:26" ht="14.25" customHeight="1">
      <c r="A991" s="12"/>
      <c r="B991" s="12"/>
      <c r="C991" s="12"/>
      <c r="D991" s="12"/>
      <c r="E991" s="12"/>
      <c r="F991" s="12"/>
      <c r="G991" s="824"/>
      <c r="H991" s="12"/>
      <c r="I991" s="825"/>
      <c r="J991" s="826"/>
      <c r="K991" s="12"/>
      <c r="L991" s="12"/>
      <c r="M991" s="824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spans="1:26" ht="14.25" customHeight="1">
      <c r="A992" s="12"/>
      <c r="B992" s="12"/>
      <c r="C992" s="12"/>
      <c r="D992" s="12"/>
      <c r="E992" s="12"/>
      <c r="F992" s="12"/>
      <c r="G992" s="824"/>
      <c r="H992" s="12"/>
      <c r="I992" s="825"/>
      <c r="J992" s="826"/>
      <c r="K992" s="12"/>
      <c r="L992" s="12"/>
      <c r="M992" s="824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spans="1:26" ht="14.25" customHeight="1">
      <c r="A993" s="12"/>
      <c r="B993" s="12"/>
      <c r="C993" s="12"/>
      <c r="D993" s="12"/>
      <c r="E993" s="12"/>
      <c r="F993" s="12"/>
      <c r="G993" s="824"/>
      <c r="H993" s="12"/>
      <c r="I993" s="825"/>
      <c r="J993" s="826"/>
      <c r="K993" s="12"/>
      <c r="L993" s="12"/>
      <c r="M993" s="824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spans="1:26" ht="14.25" customHeight="1">
      <c r="A994" s="12"/>
      <c r="B994" s="12"/>
      <c r="C994" s="12"/>
      <c r="D994" s="12"/>
      <c r="E994" s="12"/>
      <c r="F994" s="12"/>
      <c r="G994" s="824"/>
      <c r="H994" s="12"/>
      <c r="I994" s="825"/>
      <c r="J994" s="826"/>
      <c r="K994" s="12"/>
      <c r="L994" s="12"/>
      <c r="M994" s="824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spans="1:26" ht="14.25" customHeight="1">
      <c r="A995" s="12"/>
      <c r="B995" s="12"/>
      <c r="C995" s="12"/>
      <c r="D995" s="12"/>
      <c r="E995" s="12"/>
      <c r="F995" s="12"/>
      <c r="G995" s="824"/>
      <c r="H995" s="12"/>
      <c r="I995" s="825"/>
      <c r="J995" s="826"/>
      <c r="K995" s="12"/>
      <c r="L995" s="12"/>
      <c r="M995" s="824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spans="1:26" ht="14.25" customHeight="1">
      <c r="A996" s="12"/>
      <c r="B996" s="12"/>
      <c r="C996" s="12"/>
      <c r="D996" s="12"/>
      <c r="E996" s="12"/>
      <c r="F996" s="12"/>
      <c r="G996" s="824"/>
      <c r="H996" s="12"/>
      <c r="I996" s="825"/>
      <c r="J996" s="826"/>
      <c r="K996" s="12"/>
      <c r="L996" s="12"/>
      <c r="M996" s="824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spans="1:26" ht="14.25" customHeight="1">
      <c r="A997" s="12"/>
      <c r="B997" s="12"/>
      <c r="C997" s="12"/>
      <c r="D997" s="12"/>
      <c r="E997" s="12"/>
      <c r="F997" s="12"/>
      <c r="G997" s="824"/>
      <c r="H997" s="12"/>
      <c r="I997" s="825"/>
      <c r="J997" s="826"/>
      <c r="K997" s="12"/>
      <c r="L997" s="12"/>
      <c r="M997" s="824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spans="1:26" ht="14.25" customHeight="1">
      <c r="A998" s="12"/>
      <c r="B998" s="12"/>
      <c r="C998" s="12"/>
      <c r="D998" s="12"/>
      <c r="E998" s="12"/>
      <c r="F998" s="12"/>
      <c r="G998" s="824"/>
      <c r="H998" s="12"/>
      <c r="I998" s="825"/>
      <c r="J998" s="826"/>
      <c r="K998" s="12"/>
      <c r="L998" s="12"/>
      <c r="M998" s="824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spans="1:26" ht="14.25" customHeight="1">
      <c r="A999" s="12"/>
      <c r="B999" s="12"/>
      <c r="C999" s="12"/>
      <c r="D999" s="12"/>
      <c r="E999" s="12"/>
      <c r="F999" s="12"/>
      <c r="G999" s="824"/>
      <c r="H999" s="12"/>
      <c r="I999" s="825"/>
      <c r="J999" s="826"/>
      <c r="K999" s="12"/>
      <c r="L999" s="12"/>
      <c r="M999" s="824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spans="1:26" ht="14.25" customHeight="1">
      <c r="A1000" s="12"/>
      <c r="B1000" s="12"/>
      <c r="C1000" s="12"/>
      <c r="D1000" s="12"/>
      <c r="E1000" s="12"/>
      <c r="F1000" s="12"/>
      <c r="G1000" s="824"/>
      <c r="H1000" s="12"/>
      <c r="I1000" s="825"/>
      <c r="J1000" s="826"/>
      <c r="K1000" s="12"/>
      <c r="L1000" s="12"/>
      <c r="M1000" s="824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  <row r="1001" spans="1:26" ht="14.25" customHeight="1">
      <c r="A1001" s="12"/>
      <c r="B1001" s="12"/>
      <c r="C1001" s="12"/>
      <c r="D1001" s="12"/>
      <c r="E1001" s="12"/>
      <c r="F1001" s="12"/>
      <c r="G1001" s="824"/>
      <c r="H1001" s="12"/>
      <c r="I1001" s="825"/>
      <c r="J1001" s="826"/>
      <c r="K1001" s="12"/>
      <c r="L1001" s="12"/>
      <c r="M1001" s="824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</row>
    <row r="1002" spans="1:26" ht="14.25" customHeight="1">
      <c r="A1002" s="12"/>
      <c r="B1002" s="12"/>
      <c r="C1002" s="12"/>
      <c r="D1002" s="12"/>
      <c r="E1002" s="12"/>
      <c r="F1002" s="12"/>
      <c r="G1002" s="824"/>
      <c r="H1002" s="12"/>
      <c r="I1002" s="825"/>
      <c r="J1002" s="826"/>
      <c r="K1002" s="12"/>
      <c r="L1002" s="12"/>
      <c r="M1002" s="824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</row>
    <row r="1003" spans="1:26" ht="14.25" customHeight="1">
      <c r="A1003" s="12"/>
      <c r="B1003" s="12"/>
      <c r="C1003" s="12"/>
      <c r="D1003" s="12"/>
      <c r="E1003" s="12"/>
      <c r="F1003" s="12"/>
      <c r="G1003" s="824"/>
      <c r="H1003" s="12"/>
      <c r="I1003" s="825"/>
      <c r="J1003" s="826"/>
      <c r="K1003" s="12"/>
      <c r="L1003" s="12"/>
      <c r="M1003" s="824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</row>
    <row r="1004" spans="1:26" ht="14.25" customHeight="1">
      <c r="A1004" s="12"/>
      <c r="B1004" s="12"/>
      <c r="C1004" s="12"/>
      <c r="D1004" s="12"/>
      <c r="E1004" s="12"/>
      <c r="F1004" s="12"/>
      <c r="G1004" s="824"/>
      <c r="H1004" s="12"/>
      <c r="I1004" s="825"/>
      <c r="J1004" s="826"/>
      <c r="K1004" s="12"/>
      <c r="L1004" s="12"/>
      <c r="M1004" s="824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</row>
    <row r="1005" spans="1:26" ht="14.25" customHeight="1">
      <c r="A1005" s="12"/>
      <c r="B1005" s="12"/>
      <c r="C1005" s="12"/>
      <c r="D1005" s="12"/>
      <c r="E1005" s="12"/>
      <c r="F1005" s="12"/>
      <c r="G1005" s="824"/>
      <c r="H1005" s="12"/>
      <c r="I1005" s="825"/>
      <c r="J1005" s="826"/>
      <c r="K1005" s="12"/>
      <c r="L1005" s="12"/>
      <c r="M1005" s="824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</row>
    <row r="1006" spans="1:26" ht="14.25" customHeight="1">
      <c r="A1006" s="12"/>
      <c r="B1006" s="12"/>
      <c r="C1006" s="12"/>
      <c r="D1006" s="12"/>
      <c r="E1006" s="12"/>
      <c r="F1006" s="12"/>
      <c r="G1006" s="824"/>
      <c r="H1006" s="12"/>
      <c r="I1006" s="825"/>
      <c r="J1006" s="826"/>
      <c r="K1006" s="12"/>
      <c r="L1006" s="12"/>
      <c r="M1006" s="824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</row>
  </sheetData>
  <mergeCells count="9">
    <mergeCell ref="A208:I208"/>
    <mergeCell ref="B5:G5"/>
    <mergeCell ref="A1:M1"/>
    <mergeCell ref="A2:M2"/>
    <mergeCell ref="A11:A13"/>
    <mergeCell ref="B11:B13"/>
    <mergeCell ref="C11:C13"/>
    <mergeCell ref="H11:I11"/>
    <mergeCell ref="K11:L11"/>
  </mergeCells>
  <pageMargins left="0.7" right="0.7" top="0.75" bottom="0.75" header="0" footer="0"/>
  <pageSetup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Z1000"/>
  <sheetViews>
    <sheetView workbookViewId="0">
      <selection sqref="A1:H1"/>
    </sheetView>
  </sheetViews>
  <sheetFormatPr defaultColWidth="14.42578125" defaultRowHeight="15" customHeight="1"/>
  <cols>
    <col min="1" max="1" width="6.5703125" customWidth="1"/>
    <col min="2" max="2" width="9.85546875" customWidth="1"/>
    <col min="3" max="4" width="38.28515625" customWidth="1"/>
    <col min="5" max="5" width="12.5703125" customWidth="1"/>
    <col min="6" max="6" width="22.42578125" customWidth="1"/>
    <col min="7" max="7" width="21" customWidth="1"/>
    <col min="8" max="9" width="24.28515625" customWidth="1"/>
    <col min="10" max="10" width="23" customWidth="1"/>
    <col min="11" max="11" width="15.42578125" customWidth="1"/>
    <col min="12" max="12" width="15.7109375" customWidth="1"/>
    <col min="13" max="26" width="9.140625" customWidth="1"/>
  </cols>
  <sheetData>
    <row r="1" spans="1:26" ht="20.25">
      <c r="A1" s="981" t="s">
        <v>2238</v>
      </c>
      <c r="B1" s="890"/>
      <c r="C1" s="890"/>
      <c r="D1" s="890"/>
      <c r="E1" s="890"/>
      <c r="F1" s="890"/>
      <c r="G1" s="890"/>
      <c r="H1" s="890"/>
      <c r="I1" s="827"/>
      <c r="J1" s="3"/>
      <c r="K1" s="716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3"/>
      <c r="B2" s="3"/>
      <c r="C2" s="3"/>
      <c r="D2" s="3"/>
      <c r="E2" s="208"/>
      <c r="F2" s="3"/>
      <c r="G2" s="3"/>
      <c r="H2" s="3"/>
      <c r="I2" s="3"/>
      <c r="J2" s="3"/>
      <c r="K2" s="716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>
      <c r="A3" s="3"/>
      <c r="B3" s="3"/>
      <c r="C3" s="3"/>
      <c r="D3" s="3"/>
      <c r="E3" s="208"/>
      <c r="F3" s="3"/>
      <c r="G3" s="3"/>
      <c r="H3" s="3"/>
      <c r="I3" s="3"/>
      <c r="J3" s="3"/>
      <c r="K3" s="716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47.25" customHeight="1">
      <c r="A4" s="828" t="s">
        <v>820</v>
      </c>
      <c r="B4" s="828" t="s">
        <v>821</v>
      </c>
      <c r="C4" s="828" t="s">
        <v>822</v>
      </c>
      <c r="D4" s="828" t="s">
        <v>3220</v>
      </c>
      <c r="E4" s="829" t="s">
        <v>823</v>
      </c>
      <c r="F4" s="830" t="s">
        <v>3221</v>
      </c>
      <c r="G4" s="830" t="s">
        <v>3222</v>
      </c>
      <c r="H4" s="831" t="s">
        <v>3223</v>
      </c>
      <c r="I4" s="831" t="s">
        <v>3224</v>
      </c>
      <c r="J4" s="831" t="s">
        <v>3225</v>
      </c>
      <c r="K4" s="830" t="s">
        <v>827</v>
      </c>
      <c r="L4" s="832" t="s">
        <v>664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75">
      <c r="A5" s="828"/>
      <c r="B5" s="828"/>
      <c r="C5" s="828"/>
      <c r="D5" s="828"/>
      <c r="E5" s="829"/>
      <c r="F5" s="830"/>
      <c r="G5" s="830"/>
      <c r="H5" s="831"/>
      <c r="I5" s="831"/>
      <c r="J5" s="833"/>
      <c r="K5" s="830"/>
      <c r="L5" s="832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75">
      <c r="A6" s="821">
        <v>1</v>
      </c>
      <c r="B6" s="821" t="s">
        <v>1043</v>
      </c>
      <c r="C6" s="821" t="s">
        <v>3226</v>
      </c>
      <c r="D6" s="821" t="s">
        <v>3227</v>
      </c>
      <c r="E6" s="834" t="s">
        <v>3228</v>
      </c>
      <c r="F6" s="821">
        <v>14</v>
      </c>
      <c r="G6" s="821">
        <f t="shared" ref="G6:G54" si="0">12*F6</f>
        <v>168</v>
      </c>
      <c r="H6" s="835">
        <v>224250</v>
      </c>
      <c r="I6" s="835">
        <f t="shared" ref="I6:I54" si="1">F6*H6</f>
        <v>3139500</v>
      </c>
      <c r="J6" s="835">
        <f t="shared" ref="J6:J54" si="2">G6*H6</f>
        <v>37674000</v>
      </c>
      <c r="K6" s="814" t="s">
        <v>3229</v>
      </c>
      <c r="L6" s="836" t="s">
        <v>671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0.75">
      <c r="A7" s="821">
        <v>2</v>
      </c>
      <c r="B7" s="821" t="s">
        <v>1043</v>
      </c>
      <c r="C7" s="821" t="s">
        <v>3230</v>
      </c>
      <c r="D7" s="821" t="s">
        <v>3231</v>
      </c>
      <c r="E7" s="834" t="s">
        <v>3232</v>
      </c>
      <c r="F7" s="821">
        <v>4</v>
      </c>
      <c r="G7" s="821">
        <f t="shared" si="0"/>
        <v>48</v>
      </c>
      <c r="H7" s="835">
        <v>115000</v>
      </c>
      <c r="I7" s="835">
        <f t="shared" si="1"/>
        <v>460000</v>
      </c>
      <c r="J7" s="835">
        <f t="shared" si="2"/>
        <v>5520000</v>
      </c>
      <c r="K7" s="814" t="s">
        <v>3233</v>
      </c>
      <c r="L7" s="836" t="s">
        <v>671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45.75">
      <c r="A8" s="821">
        <v>3</v>
      </c>
      <c r="B8" s="821" t="s">
        <v>1043</v>
      </c>
      <c r="C8" s="821" t="s">
        <v>3234</v>
      </c>
      <c r="D8" s="821" t="s">
        <v>3235</v>
      </c>
      <c r="E8" s="834" t="s">
        <v>830</v>
      </c>
      <c r="F8" s="821">
        <v>5</v>
      </c>
      <c r="G8" s="821">
        <f t="shared" si="0"/>
        <v>60</v>
      </c>
      <c r="H8" s="835">
        <v>5750</v>
      </c>
      <c r="I8" s="835">
        <f t="shared" si="1"/>
        <v>28750</v>
      </c>
      <c r="J8" s="835">
        <f t="shared" si="2"/>
        <v>345000</v>
      </c>
      <c r="K8" s="814" t="s">
        <v>3236</v>
      </c>
      <c r="L8" s="836" t="s">
        <v>671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45.75">
      <c r="A9" s="821">
        <v>4</v>
      </c>
      <c r="B9" s="821" t="s">
        <v>1043</v>
      </c>
      <c r="C9" s="821" t="s">
        <v>3237</v>
      </c>
      <c r="D9" s="821" t="s">
        <v>3238</v>
      </c>
      <c r="E9" s="834" t="s">
        <v>830</v>
      </c>
      <c r="F9" s="821">
        <v>5</v>
      </c>
      <c r="G9" s="821">
        <f t="shared" si="0"/>
        <v>60</v>
      </c>
      <c r="H9" s="835">
        <v>5750</v>
      </c>
      <c r="I9" s="835">
        <f t="shared" si="1"/>
        <v>28750</v>
      </c>
      <c r="J9" s="835">
        <f t="shared" si="2"/>
        <v>345000</v>
      </c>
      <c r="K9" s="814" t="s">
        <v>3239</v>
      </c>
      <c r="L9" s="836" t="s">
        <v>671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45.75">
      <c r="A10" s="821">
        <v>5</v>
      </c>
      <c r="B10" s="821" t="s">
        <v>1043</v>
      </c>
      <c r="C10" s="821" t="s">
        <v>3240</v>
      </c>
      <c r="D10" s="821" t="s">
        <v>3241</v>
      </c>
      <c r="E10" s="834" t="s">
        <v>830</v>
      </c>
      <c r="F10" s="821">
        <v>5</v>
      </c>
      <c r="G10" s="821">
        <f t="shared" si="0"/>
        <v>60</v>
      </c>
      <c r="H10" s="835">
        <v>5750</v>
      </c>
      <c r="I10" s="835">
        <f t="shared" si="1"/>
        <v>28750</v>
      </c>
      <c r="J10" s="835">
        <f t="shared" si="2"/>
        <v>345000</v>
      </c>
      <c r="K10" s="814" t="s">
        <v>3239</v>
      </c>
      <c r="L10" s="836" t="s">
        <v>671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60.75">
      <c r="A11" s="821">
        <v>6</v>
      </c>
      <c r="B11" s="821" t="s">
        <v>1043</v>
      </c>
      <c r="C11" s="821" t="s">
        <v>3242</v>
      </c>
      <c r="D11" s="821" t="s">
        <v>3243</v>
      </c>
      <c r="E11" s="834" t="s">
        <v>830</v>
      </c>
      <c r="F11" s="821">
        <v>3</v>
      </c>
      <c r="G11" s="821">
        <f t="shared" si="0"/>
        <v>36</v>
      </c>
      <c r="H11" s="835">
        <v>5750</v>
      </c>
      <c r="I11" s="835">
        <f t="shared" si="1"/>
        <v>17250</v>
      </c>
      <c r="J11" s="835">
        <f t="shared" si="2"/>
        <v>207000</v>
      </c>
      <c r="K11" s="814" t="s">
        <v>3244</v>
      </c>
      <c r="L11" s="836" t="s">
        <v>671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75">
      <c r="A12" s="821">
        <v>7</v>
      </c>
      <c r="B12" s="821" t="s">
        <v>3245</v>
      </c>
      <c r="C12" s="821" t="s">
        <v>3246</v>
      </c>
      <c r="D12" s="821"/>
      <c r="E12" s="834" t="s">
        <v>2389</v>
      </c>
      <c r="F12" s="821">
        <v>1</v>
      </c>
      <c r="G12" s="821">
        <f t="shared" si="0"/>
        <v>12</v>
      </c>
      <c r="H12" s="835">
        <v>34500</v>
      </c>
      <c r="I12" s="835">
        <f t="shared" si="1"/>
        <v>34500</v>
      </c>
      <c r="J12" s="835">
        <f t="shared" si="2"/>
        <v>414000</v>
      </c>
      <c r="K12" s="814"/>
      <c r="L12" s="836" t="s">
        <v>671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75">
      <c r="A13" s="821">
        <v>8</v>
      </c>
      <c r="B13" s="821" t="s">
        <v>3245</v>
      </c>
      <c r="C13" s="794" t="s">
        <v>3247</v>
      </c>
      <c r="D13" s="814" t="s">
        <v>3248</v>
      </c>
      <c r="E13" s="834" t="s">
        <v>2243</v>
      </c>
      <c r="F13" s="821">
        <v>8</v>
      </c>
      <c r="G13" s="821">
        <f t="shared" si="0"/>
        <v>96</v>
      </c>
      <c r="H13" s="837">
        <v>13800</v>
      </c>
      <c r="I13" s="835">
        <f t="shared" si="1"/>
        <v>110400</v>
      </c>
      <c r="J13" s="835">
        <f t="shared" si="2"/>
        <v>1324800</v>
      </c>
      <c r="K13" s="814"/>
      <c r="L13" s="836" t="s">
        <v>671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75">
      <c r="A14" s="821">
        <v>9</v>
      </c>
      <c r="B14" s="821" t="s">
        <v>3245</v>
      </c>
      <c r="C14" s="794" t="s">
        <v>3249</v>
      </c>
      <c r="D14" s="814" t="s">
        <v>3248</v>
      </c>
      <c r="E14" s="834" t="s">
        <v>2243</v>
      </c>
      <c r="F14" s="821">
        <v>0.5</v>
      </c>
      <c r="G14" s="821">
        <f t="shared" si="0"/>
        <v>6</v>
      </c>
      <c r="H14" s="837">
        <v>13800</v>
      </c>
      <c r="I14" s="835">
        <f t="shared" si="1"/>
        <v>6900</v>
      </c>
      <c r="J14" s="835">
        <f t="shared" si="2"/>
        <v>82800</v>
      </c>
      <c r="K14" s="814"/>
      <c r="L14" s="836" t="s">
        <v>671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75">
      <c r="A15" s="821">
        <v>10</v>
      </c>
      <c r="B15" s="821" t="s">
        <v>3245</v>
      </c>
      <c r="C15" s="794" t="s">
        <v>3250</v>
      </c>
      <c r="D15" s="814" t="s">
        <v>3251</v>
      </c>
      <c r="E15" s="834" t="s">
        <v>2243</v>
      </c>
      <c r="F15" s="821">
        <v>5</v>
      </c>
      <c r="G15" s="821">
        <f t="shared" si="0"/>
        <v>60</v>
      </c>
      <c r="H15" s="837">
        <v>10500</v>
      </c>
      <c r="I15" s="835">
        <f t="shared" si="1"/>
        <v>52500</v>
      </c>
      <c r="J15" s="835">
        <f t="shared" si="2"/>
        <v>630000</v>
      </c>
      <c r="K15" s="814"/>
      <c r="L15" s="836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.75">
      <c r="A16" s="821">
        <v>11</v>
      </c>
      <c r="B16" s="821" t="s">
        <v>3245</v>
      </c>
      <c r="C16" s="794" t="s">
        <v>3252</v>
      </c>
      <c r="D16" s="814" t="s">
        <v>3253</v>
      </c>
      <c r="E16" s="834" t="s">
        <v>2243</v>
      </c>
      <c r="F16" s="821">
        <v>5</v>
      </c>
      <c r="G16" s="821">
        <f t="shared" si="0"/>
        <v>60</v>
      </c>
      <c r="H16" s="837">
        <v>13800</v>
      </c>
      <c r="I16" s="835">
        <f t="shared" si="1"/>
        <v>69000</v>
      </c>
      <c r="J16" s="835">
        <f t="shared" si="2"/>
        <v>828000</v>
      </c>
      <c r="K16" s="814"/>
      <c r="L16" s="836" t="s">
        <v>671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.75">
      <c r="A17" s="821">
        <v>12</v>
      </c>
      <c r="B17" s="821" t="s">
        <v>3245</v>
      </c>
      <c r="C17" s="794" t="s">
        <v>3254</v>
      </c>
      <c r="D17" s="814" t="s">
        <v>3255</v>
      </c>
      <c r="E17" s="834" t="s">
        <v>2243</v>
      </c>
      <c r="F17" s="821">
        <v>3</v>
      </c>
      <c r="G17" s="821">
        <f t="shared" si="0"/>
        <v>36</v>
      </c>
      <c r="H17" s="837">
        <v>16100</v>
      </c>
      <c r="I17" s="835">
        <f t="shared" si="1"/>
        <v>48300</v>
      </c>
      <c r="J17" s="835">
        <f t="shared" si="2"/>
        <v>579600</v>
      </c>
      <c r="K17" s="814"/>
      <c r="L17" s="836" t="s">
        <v>671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75">
      <c r="A18" s="821">
        <v>13</v>
      </c>
      <c r="B18" s="821" t="s">
        <v>3245</v>
      </c>
      <c r="C18" s="794" t="s">
        <v>3256</v>
      </c>
      <c r="D18" s="814" t="s">
        <v>3251</v>
      </c>
      <c r="E18" s="834" t="s">
        <v>2243</v>
      </c>
      <c r="F18" s="821">
        <v>1</v>
      </c>
      <c r="G18" s="821">
        <f t="shared" si="0"/>
        <v>12</v>
      </c>
      <c r="H18" s="837">
        <v>27600</v>
      </c>
      <c r="I18" s="835">
        <f t="shared" si="1"/>
        <v>27600</v>
      </c>
      <c r="J18" s="835">
        <f t="shared" si="2"/>
        <v>331200</v>
      </c>
      <c r="K18" s="814"/>
      <c r="L18" s="836" t="s">
        <v>671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0.75">
      <c r="A19" s="821">
        <v>14</v>
      </c>
      <c r="B19" s="821" t="s">
        <v>3245</v>
      </c>
      <c r="C19" s="794" t="s">
        <v>3257</v>
      </c>
      <c r="D19" s="814" t="s">
        <v>3258</v>
      </c>
      <c r="E19" s="834" t="s">
        <v>830</v>
      </c>
      <c r="F19" s="821">
        <v>500</v>
      </c>
      <c r="G19" s="821">
        <f t="shared" si="0"/>
        <v>6000</v>
      </c>
      <c r="H19" s="837">
        <v>450</v>
      </c>
      <c r="I19" s="835">
        <f t="shared" si="1"/>
        <v>225000</v>
      </c>
      <c r="J19" s="835">
        <f t="shared" si="2"/>
        <v>2700000</v>
      </c>
      <c r="K19" s="814"/>
      <c r="L19" s="836" t="s">
        <v>671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75">
      <c r="A20" s="821">
        <v>15</v>
      </c>
      <c r="B20" s="821" t="s">
        <v>3245</v>
      </c>
      <c r="C20" s="794" t="s">
        <v>3259</v>
      </c>
      <c r="D20" s="814" t="s">
        <v>3260</v>
      </c>
      <c r="E20" s="834" t="s">
        <v>2243</v>
      </c>
      <c r="F20" s="821">
        <v>2</v>
      </c>
      <c r="G20" s="821">
        <f t="shared" si="0"/>
        <v>24</v>
      </c>
      <c r="H20" s="837">
        <v>11500</v>
      </c>
      <c r="I20" s="835">
        <f t="shared" si="1"/>
        <v>23000</v>
      </c>
      <c r="J20" s="835">
        <f t="shared" si="2"/>
        <v>276000</v>
      </c>
      <c r="K20" s="814"/>
      <c r="L20" s="836" t="s">
        <v>671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.75" customHeight="1">
      <c r="A21" s="821">
        <v>16</v>
      </c>
      <c r="B21" s="821" t="s">
        <v>3245</v>
      </c>
      <c r="C21" s="794" t="s">
        <v>3261</v>
      </c>
      <c r="D21" s="814"/>
      <c r="E21" s="834" t="s">
        <v>2243</v>
      </c>
      <c r="F21" s="821">
        <v>0.5</v>
      </c>
      <c r="G21" s="821">
        <f t="shared" si="0"/>
        <v>6</v>
      </c>
      <c r="H21" s="837">
        <v>34500</v>
      </c>
      <c r="I21" s="835">
        <f t="shared" si="1"/>
        <v>17250</v>
      </c>
      <c r="J21" s="835">
        <f t="shared" si="2"/>
        <v>207000</v>
      </c>
      <c r="K21" s="814"/>
      <c r="L21" s="836" t="s">
        <v>671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.75" customHeight="1">
      <c r="A22" s="821">
        <v>17</v>
      </c>
      <c r="B22" s="821" t="s">
        <v>3245</v>
      </c>
      <c r="C22" s="794" t="s">
        <v>3262</v>
      </c>
      <c r="D22" s="814" t="s">
        <v>3263</v>
      </c>
      <c r="E22" s="834" t="s">
        <v>2243</v>
      </c>
      <c r="F22" s="821">
        <v>3</v>
      </c>
      <c r="G22" s="821">
        <f t="shared" si="0"/>
        <v>36</v>
      </c>
      <c r="H22" s="837">
        <v>16100</v>
      </c>
      <c r="I22" s="835">
        <f t="shared" si="1"/>
        <v>48300</v>
      </c>
      <c r="J22" s="835">
        <f t="shared" si="2"/>
        <v>579600</v>
      </c>
      <c r="K22" s="814"/>
      <c r="L22" s="836" t="s">
        <v>671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75" customHeight="1">
      <c r="A23" s="821">
        <v>18</v>
      </c>
      <c r="B23" s="821" t="s">
        <v>3245</v>
      </c>
      <c r="C23" s="794" t="s">
        <v>3264</v>
      </c>
      <c r="D23" s="814" t="s">
        <v>3263</v>
      </c>
      <c r="E23" s="834" t="s">
        <v>2243</v>
      </c>
      <c r="F23" s="821">
        <v>3</v>
      </c>
      <c r="G23" s="821">
        <f t="shared" si="0"/>
        <v>36</v>
      </c>
      <c r="H23" s="837">
        <v>12650</v>
      </c>
      <c r="I23" s="835">
        <f t="shared" si="1"/>
        <v>37950</v>
      </c>
      <c r="J23" s="835">
        <f t="shared" si="2"/>
        <v>455400</v>
      </c>
      <c r="K23" s="814"/>
      <c r="L23" s="836" t="s">
        <v>671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75" customHeight="1">
      <c r="A24" s="821">
        <v>19</v>
      </c>
      <c r="B24" s="821" t="s">
        <v>3245</v>
      </c>
      <c r="C24" s="794" t="s">
        <v>3265</v>
      </c>
      <c r="D24" s="794" t="s">
        <v>3266</v>
      </c>
      <c r="E24" s="834" t="s">
        <v>830</v>
      </c>
      <c r="F24" s="821">
        <v>200</v>
      </c>
      <c r="G24" s="821">
        <f t="shared" si="0"/>
        <v>2400</v>
      </c>
      <c r="H24" s="837">
        <v>1380</v>
      </c>
      <c r="I24" s="835">
        <f t="shared" si="1"/>
        <v>276000</v>
      </c>
      <c r="J24" s="835">
        <f t="shared" si="2"/>
        <v>3312000</v>
      </c>
      <c r="K24" s="814"/>
      <c r="L24" s="836" t="s">
        <v>671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75" customHeight="1">
      <c r="A25" s="821">
        <v>20</v>
      </c>
      <c r="B25" s="821" t="s">
        <v>3245</v>
      </c>
      <c r="C25" s="794" t="s">
        <v>3267</v>
      </c>
      <c r="D25" s="814" t="s">
        <v>3268</v>
      </c>
      <c r="E25" s="834" t="s">
        <v>2243</v>
      </c>
      <c r="F25" s="821">
        <v>0.5</v>
      </c>
      <c r="G25" s="821">
        <f t="shared" si="0"/>
        <v>6</v>
      </c>
      <c r="H25" s="837">
        <v>42550</v>
      </c>
      <c r="I25" s="835">
        <f t="shared" si="1"/>
        <v>21275</v>
      </c>
      <c r="J25" s="835">
        <f t="shared" si="2"/>
        <v>255300</v>
      </c>
      <c r="K25" s="814"/>
      <c r="L25" s="836" t="s">
        <v>671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75" customHeight="1">
      <c r="A26" s="821">
        <v>21</v>
      </c>
      <c r="B26" s="821" t="s">
        <v>3245</v>
      </c>
      <c r="C26" s="794" t="s">
        <v>3269</v>
      </c>
      <c r="D26" s="814" t="s">
        <v>3270</v>
      </c>
      <c r="E26" s="834" t="s">
        <v>2243</v>
      </c>
      <c r="F26" s="821">
        <v>2</v>
      </c>
      <c r="G26" s="821">
        <f t="shared" si="0"/>
        <v>24</v>
      </c>
      <c r="H26" s="838">
        <v>17500</v>
      </c>
      <c r="I26" s="835">
        <f t="shared" si="1"/>
        <v>35000</v>
      </c>
      <c r="J26" s="835">
        <f t="shared" si="2"/>
        <v>420000</v>
      </c>
      <c r="K26" s="814"/>
      <c r="L26" s="836" t="s">
        <v>671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75" customHeight="1">
      <c r="A27" s="821">
        <v>22</v>
      </c>
      <c r="B27" s="821" t="s">
        <v>3245</v>
      </c>
      <c r="C27" s="794" t="s">
        <v>3271</v>
      </c>
      <c r="D27" s="814" t="s">
        <v>3270</v>
      </c>
      <c r="E27" s="834" t="s">
        <v>2243</v>
      </c>
      <c r="F27" s="821">
        <v>1</v>
      </c>
      <c r="G27" s="821">
        <f t="shared" si="0"/>
        <v>12</v>
      </c>
      <c r="H27" s="838">
        <v>32500</v>
      </c>
      <c r="I27" s="835">
        <f t="shared" si="1"/>
        <v>32500</v>
      </c>
      <c r="J27" s="835">
        <f t="shared" si="2"/>
        <v>390000</v>
      </c>
      <c r="K27" s="814"/>
      <c r="L27" s="836" t="s">
        <v>671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75" customHeight="1">
      <c r="A28" s="821">
        <v>23</v>
      </c>
      <c r="B28" s="821" t="s">
        <v>3245</v>
      </c>
      <c r="C28" s="794" t="s">
        <v>3272</v>
      </c>
      <c r="D28" s="814" t="s">
        <v>3273</v>
      </c>
      <c r="E28" s="834" t="s">
        <v>2243</v>
      </c>
      <c r="F28" s="821">
        <v>4</v>
      </c>
      <c r="G28" s="821">
        <f t="shared" si="0"/>
        <v>48</v>
      </c>
      <c r="H28" s="837">
        <v>5750</v>
      </c>
      <c r="I28" s="835">
        <f t="shared" si="1"/>
        <v>23000</v>
      </c>
      <c r="J28" s="835">
        <f t="shared" si="2"/>
        <v>276000</v>
      </c>
      <c r="K28" s="814"/>
      <c r="L28" s="836" t="s">
        <v>671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75" customHeight="1">
      <c r="A29" s="821">
        <v>24</v>
      </c>
      <c r="B29" s="821" t="s">
        <v>3245</v>
      </c>
      <c r="C29" s="794" t="s">
        <v>3274</v>
      </c>
      <c r="D29" s="814" t="s">
        <v>3273</v>
      </c>
      <c r="E29" s="834" t="s">
        <v>2243</v>
      </c>
      <c r="F29" s="821">
        <v>4</v>
      </c>
      <c r="G29" s="821">
        <f t="shared" si="0"/>
        <v>48</v>
      </c>
      <c r="H29" s="837">
        <v>5750</v>
      </c>
      <c r="I29" s="835">
        <f t="shared" si="1"/>
        <v>23000</v>
      </c>
      <c r="J29" s="835">
        <f t="shared" si="2"/>
        <v>276000</v>
      </c>
      <c r="K29" s="814"/>
      <c r="L29" s="836" t="s">
        <v>671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75" customHeight="1">
      <c r="A30" s="821">
        <v>25</v>
      </c>
      <c r="B30" s="821" t="s">
        <v>3245</v>
      </c>
      <c r="C30" s="794" t="s">
        <v>3275</v>
      </c>
      <c r="D30" s="814" t="s">
        <v>3273</v>
      </c>
      <c r="E30" s="834" t="s">
        <v>2243</v>
      </c>
      <c r="F30" s="821">
        <v>4</v>
      </c>
      <c r="G30" s="821">
        <f t="shared" si="0"/>
        <v>48</v>
      </c>
      <c r="H30" s="837">
        <v>5750</v>
      </c>
      <c r="I30" s="835">
        <f t="shared" si="1"/>
        <v>23000</v>
      </c>
      <c r="J30" s="835">
        <f t="shared" si="2"/>
        <v>276000</v>
      </c>
      <c r="K30" s="814"/>
      <c r="L30" s="836" t="s">
        <v>671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.75" customHeight="1">
      <c r="A31" s="821">
        <v>26</v>
      </c>
      <c r="B31" s="821" t="s">
        <v>3245</v>
      </c>
      <c r="C31" s="794" t="s">
        <v>3276</v>
      </c>
      <c r="D31" s="814" t="s">
        <v>3277</v>
      </c>
      <c r="E31" s="834" t="s">
        <v>2243</v>
      </c>
      <c r="F31" s="821">
        <v>6</v>
      </c>
      <c r="G31" s="821">
        <f t="shared" si="0"/>
        <v>72</v>
      </c>
      <c r="H31" s="837">
        <v>11500</v>
      </c>
      <c r="I31" s="835">
        <f t="shared" si="1"/>
        <v>69000</v>
      </c>
      <c r="J31" s="835">
        <f t="shared" si="2"/>
        <v>828000</v>
      </c>
      <c r="K31" s="814"/>
      <c r="L31" s="836" t="s">
        <v>671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.75" customHeight="1">
      <c r="A32" s="821">
        <v>27</v>
      </c>
      <c r="B32" s="821" t="s">
        <v>3245</v>
      </c>
      <c r="C32" s="794" t="s">
        <v>3278</v>
      </c>
      <c r="D32" s="814" t="s">
        <v>3277</v>
      </c>
      <c r="E32" s="834" t="s">
        <v>2243</v>
      </c>
      <c r="F32" s="821">
        <v>6</v>
      </c>
      <c r="G32" s="821">
        <f t="shared" si="0"/>
        <v>72</v>
      </c>
      <c r="H32" s="837">
        <v>13800</v>
      </c>
      <c r="I32" s="835">
        <f t="shared" si="1"/>
        <v>82800</v>
      </c>
      <c r="J32" s="835">
        <f t="shared" si="2"/>
        <v>993600</v>
      </c>
      <c r="K32" s="814"/>
      <c r="L32" s="836" t="s">
        <v>671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75" customHeight="1">
      <c r="A33" s="821">
        <v>28</v>
      </c>
      <c r="B33" s="821" t="s">
        <v>3245</v>
      </c>
      <c r="C33" s="794" t="s">
        <v>3279</v>
      </c>
      <c r="D33" s="839" t="s">
        <v>3280</v>
      </c>
      <c r="E33" s="834" t="s">
        <v>2243</v>
      </c>
      <c r="F33" s="821">
        <v>4</v>
      </c>
      <c r="G33" s="821">
        <f t="shared" si="0"/>
        <v>48</v>
      </c>
      <c r="H33" s="837">
        <v>13800</v>
      </c>
      <c r="I33" s="835">
        <f t="shared" si="1"/>
        <v>55200</v>
      </c>
      <c r="J33" s="835">
        <f t="shared" si="2"/>
        <v>662400</v>
      </c>
      <c r="K33" s="814"/>
      <c r="L33" s="836" t="s">
        <v>671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75" customHeight="1">
      <c r="A34" s="821">
        <v>29</v>
      </c>
      <c r="B34" s="821" t="s">
        <v>3245</v>
      </c>
      <c r="C34" s="794" t="s">
        <v>3281</v>
      </c>
      <c r="D34" s="814" t="s">
        <v>3282</v>
      </c>
      <c r="E34" s="834" t="s">
        <v>2243</v>
      </c>
      <c r="F34" s="821">
        <v>15</v>
      </c>
      <c r="G34" s="821">
        <f t="shared" si="0"/>
        <v>180</v>
      </c>
      <c r="H34" s="837">
        <v>1840</v>
      </c>
      <c r="I34" s="835">
        <f t="shared" si="1"/>
        <v>27600</v>
      </c>
      <c r="J34" s="835">
        <f t="shared" si="2"/>
        <v>331200</v>
      </c>
      <c r="K34" s="814"/>
      <c r="L34" s="836" t="s">
        <v>671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75" customHeight="1">
      <c r="A35" s="821">
        <v>30</v>
      </c>
      <c r="B35" s="821" t="s">
        <v>3245</v>
      </c>
      <c r="C35" s="794" t="s">
        <v>3283</v>
      </c>
      <c r="D35" s="814" t="s">
        <v>3284</v>
      </c>
      <c r="E35" s="834" t="s">
        <v>2243</v>
      </c>
      <c r="F35" s="821">
        <v>2</v>
      </c>
      <c r="G35" s="821">
        <f t="shared" si="0"/>
        <v>24</v>
      </c>
      <c r="H35" s="837">
        <v>5750</v>
      </c>
      <c r="I35" s="835">
        <f t="shared" si="1"/>
        <v>11500</v>
      </c>
      <c r="J35" s="835">
        <f t="shared" si="2"/>
        <v>138000</v>
      </c>
      <c r="K35" s="814"/>
      <c r="L35" s="836" t="s">
        <v>671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75" customHeight="1">
      <c r="A36" s="821">
        <v>31</v>
      </c>
      <c r="B36" s="821" t="s">
        <v>3245</v>
      </c>
      <c r="C36" s="794" t="s">
        <v>3285</v>
      </c>
      <c r="D36" s="814" t="s">
        <v>3284</v>
      </c>
      <c r="E36" s="834" t="s">
        <v>2243</v>
      </c>
      <c r="F36" s="821">
        <v>2</v>
      </c>
      <c r="G36" s="821">
        <f t="shared" si="0"/>
        <v>24</v>
      </c>
      <c r="H36" s="837">
        <v>5750</v>
      </c>
      <c r="I36" s="835">
        <f t="shared" si="1"/>
        <v>11500</v>
      </c>
      <c r="J36" s="835">
        <f t="shared" si="2"/>
        <v>138000</v>
      </c>
      <c r="K36" s="814"/>
      <c r="L36" s="836" t="s">
        <v>671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75" customHeight="1">
      <c r="A37" s="821">
        <v>32</v>
      </c>
      <c r="B37" s="821" t="s">
        <v>3245</v>
      </c>
      <c r="C37" s="794" t="s">
        <v>3286</v>
      </c>
      <c r="D37" s="814" t="s">
        <v>3284</v>
      </c>
      <c r="E37" s="834" t="s">
        <v>2243</v>
      </c>
      <c r="F37" s="821">
        <v>2</v>
      </c>
      <c r="G37" s="821">
        <f t="shared" si="0"/>
        <v>24</v>
      </c>
      <c r="H37" s="837">
        <v>9200</v>
      </c>
      <c r="I37" s="835">
        <f t="shared" si="1"/>
        <v>18400</v>
      </c>
      <c r="J37" s="835">
        <f t="shared" si="2"/>
        <v>220800</v>
      </c>
      <c r="K37" s="814"/>
      <c r="L37" s="836" t="s">
        <v>671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75" customHeight="1">
      <c r="A38" s="821">
        <v>33</v>
      </c>
      <c r="B38" s="821" t="s">
        <v>3245</v>
      </c>
      <c r="C38" s="794" t="s">
        <v>3287</v>
      </c>
      <c r="D38" s="814" t="s">
        <v>3288</v>
      </c>
      <c r="E38" s="834" t="s">
        <v>3289</v>
      </c>
      <c r="F38" s="821">
        <v>8</v>
      </c>
      <c r="G38" s="821">
        <f t="shared" si="0"/>
        <v>96</v>
      </c>
      <c r="H38" s="837">
        <v>117300</v>
      </c>
      <c r="I38" s="835">
        <f t="shared" si="1"/>
        <v>938400</v>
      </c>
      <c r="J38" s="835">
        <f t="shared" si="2"/>
        <v>11260800</v>
      </c>
      <c r="K38" s="814"/>
      <c r="L38" s="836" t="s">
        <v>671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75" customHeight="1">
      <c r="A39" s="821">
        <v>34</v>
      </c>
      <c r="B39" s="821" t="s">
        <v>3245</v>
      </c>
      <c r="C39" s="794" t="s">
        <v>3290</v>
      </c>
      <c r="D39" s="814" t="s">
        <v>3291</v>
      </c>
      <c r="E39" s="834" t="s">
        <v>3289</v>
      </c>
      <c r="F39" s="821">
        <v>18</v>
      </c>
      <c r="G39" s="821">
        <f t="shared" si="0"/>
        <v>216</v>
      </c>
      <c r="H39" s="837">
        <v>14950</v>
      </c>
      <c r="I39" s="835">
        <f t="shared" si="1"/>
        <v>269100</v>
      </c>
      <c r="J39" s="835">
        <f t="shared" si="2"/>
        <v>3229200</v>
      </c>
      <c r="K39" s="814"/>
      <c r="L39" s="836" t="s">
        <v>671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75" customHeight="1">
      <c r="A40" s="821">
        <v>35</v>
      </c>
      <c r="B40" s="821" t="s">
        <v>3245</v>
      </c>
      <c r="C40" s="794" t="s">
        <v>3292</v>
      </c>
      <c r="D40" s="814" t="s">
        <v>3293</v>
      </c>
      <c r="E40" s="834" t="s">
        <v>2243</v>
      </c>
      <c r="F40" s="821">
        <v>5</v>
      </c>
      <c r="G40" s="821">
        <f t="shared" si="0"/>
        <v>60</v>
      </c>
      <c r="H40" s="838">
        <v>9200</v>
      </c>
      <c r="I40" s="835">
        <f t="shared" si="1"/>
        <v>46000</v>
      </c>
      <c r="J40" s="835">
        <f t="shared" si="2"/>
        <v>552000</v>
      </c>
      <c r="K40" s="814"/>
      <c r="L40" s="836" t="s">
        <v>671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75" customHeight="1">
      <c r="A41" s="821">
        <v>36</v>
      </c>
      <c r="B41" s="821" t="s">
        <v>3245</v>
      </c>
      <c r="C41" s="794" t="s">
        <v>3294</v>
      </c>
      <c r="D41" s="814" t="s">
        <v>3295</v>
      </c>
      <c r="E41" s="834" t="s">
        <v>3289</v>
      </c>
      <c r="F41" s="821">
        <v>0.5</v>
      </c>
      <c r="G41" s="821">
        <f t="shared" si="0"/>
        <v>6</v>
      </c>
      <c r="H41" s="837">
        <v>63250</v>
      </c>
      <c r="I41" s="835">
        <f t="shared" si="1"/>
        <v>31625</v>
      </c>
      <c r="J41" s="835">
        <f t="shared" si="2"/>
        <v>379500</v>
      </c>
      <c r="K41" s="814"/>
      <c r="L41" s="836" t="s">
        <v>671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.75" customHeight="1">
      <c r="A42" s="821">
        <v>37</v>
      </c>
      <c r="B42" s="821" t="s">
        <v>3245</v>
      </c>
      <c r="C42" s="794" t="s">
        <v>3296</v>
      </c>
      <c r="D42" s="814"/>
      <c r="E42" s="834" t="s">
        <v>2243</v>
      </c>
      <c r="F42" s="821">
        <v>5</v>
      </c>
      <c r="G42" s="821">
        <f t="shared" si="0"/>
        <v>60</v>
      </c>
      <c r="H42" s="837">
        <v>9200</v>
      </c>
      <c r="I42" s="835">
        <f t="shared" si="1"/>
        <v>46000</v>
      </c>
      <c r="J42" s="835">
        <f t="shared" si="2"/>
        <v>552000</v>
      </c>
      <c r="K42" s="814"/>
      <c r="L42" s="836" t="s">
        <v>671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.75" customHeight="1">
      <c r="A43" s="821">
        <v>38</v>
      </c>
      <c r="B43" s="821" t="s">
        <v>3245</v>
      </c>
      <c r="C43" s="794" t="s">
        <v>3297</v>
      </c>
      <c r="D43" s="814" t="s">
        <v>3298</v>
      </c>
      <c r="E43" s="834" t="s">
        <v>2243</v>
      </c>
      <c r="F43" s="821">
        <v>3</v>
      </c>
      <c r="G43" s="821">
        <f t="shared" si="0"/>
        <v>36</v>
      </c>
      <c r="H43" s="837">
        <v>8050</v>
      </c>
      <c r="I43" s="835">
        <f t="shared" si="1"/>
        <v>24150</v>
      </c>
      <c r="J43" s="835">
        <f t="shared" si="2"/>
        <v>289800</v>
      </c>
      <c r="K43" s="814"/>
      <c r="L43" s="836" t="s">
        <v>671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75" customHeight="1">
      <c r="A44" s="821">
        <v>39</v>
      </c>
      <c r="B44" s="821" t="s">
        <v>3245</v>
      </c>
      <c r="C44" s="794" t="s">
        <v>3299</v>
      </c>
      <c r="D44" s="814" t="s">
        <v>3255</v>
      </c>
      <c r="E44" s="834" t="s">
        <v>2243</v>
      </c>
      <c r="F44" s="821">
        <v>5</v>
      </c>
      <c r="G44" s="821">
        <f t="shared" si="0"/>
        <v>60</v>
      </c>
      <c r="H44" s="837">
        <v>16100</v>
      </c>
      <c r="I44" s="835">
        <f t="shared" si="1"/>
        <v>80500</v>
      </c>
      <c r="J44" s="835">
        <f t="shared" si="2"/>
        <v>966000</v>
      </c>
      <c r="K44" s="814"/>
      <c r="L44" s="836" t="s">
        <v>671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75" customHeight="1">
      <c r="A45" s="821">
        <v>40</v>
      </c>
      <c r="B45" s="821" t="s">
        <v>3245</v>
      </c>
      <c r="C45" s="794" t="s">
        <v>3300</v>
      </c>
      <c r="D45" s="814" t="s">
        <v>3301</v>
      </c>
      <c r="E45" s="834" t="s">
        <v>2243</v>
      </c>
      <c r="F45" s="821">
        <v>3</v>
      </c>
      <c r="G45" s="821">
        <f t="shared" si="0"/>
        <v>36</v>
      </c>
      <c r="H45" s="837">
        <v>9200</v>
      </c>
      <c r="I45" s="835">
        <f t="shared" si="1"/>
        <v>27600</v>
      </c>
      <c r="J45" s="835">
        <f t="shared" si="2"/>
        <v>331200</v>
      </c>
      <c r="K45" s="814"/>
      <c r="L45" s="836" t="s">
        <v>671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75" customHeight="1">
      <c r="A46" s="821">
        <v>41</v>
      </c>
      <c r="B46" s="821" t="s">
        <v>3245</v>
      </c>
      <c r="C46" s="794" t="s">
        <v>3302</v>
      </c>
      <c r="D46" s="814" t="s">
        <v>3303</v>
      </c>
      <c r="E46" s="834" t="s">
        <v>2243</v>
      </c>
      <c r="F46" s="821">
        <v>0.125</v>
      </c>
      <c r="G46" s="821">
        <f t="shared" si="0"/>
        <v>1.5</v>
      </c>
      <c r="H46" s="838">
        <v>25000</v>
      </c>
      <c r="I46" s="835">
        <f t="shared" si="1"/>
        <v>3125</v>
      </c>
      <c r="J46" s="835">
        <f t="shared" si="2"/>
        <v>37500</v>
      </c>
      <c r="K46" s="814"/>
      <c r="L46" s="836" t="s">
        <v>671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75" customHeight="1">
      <c r="A47" s="821">
        <v>42</v>
      </c>
      <c r="B47" s="821" t="s">
        <v>3245</v>
      </c>
      <c r="C47" s="794" t="s">
        <v>3304</v>
      </c>
      <c r="D47" s="814"/>
      <c r="E47" s="834" t="s">
        <v>830</v>
      </c>
      <c r="F47" s="821">
        <v>50</v>
      </c>
      <c r="G47" s="821">
        <f t="shared" si="0"/>
        <v>600</v>
      </c>
      <c r="H47" s="838">
        <v>575</v>
      </c>
      <c r="I47" s="835">
        <f t="shared" si="1"/>
        <v>28750</v>
      </c>
      <c r="J47" s="835">
        <f t="shared" si="2"/>
        <v>345000</v>
      </c>
      <c r="K47" s="814"/>
      <c r="L47" s="836" t="s">
        <v>671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75" customHeight="1">
      <c r="A48" s="821">
        <v>43</v>
      </c>
      <c r="B48" s="821" t="s">
        <v>3245</v>
      </c>
      <c r="C48" s="794" t="s">
        <v>3305</v>
      </c>
      <c r="D48" s="814" t="s">
        <v>3306</v>
      </c>
      <c r="E48" s="834" t="s">
        <v>2243</v>
      </c>
      <c r="F48" s="821">
        <v>1</v>
      </c>
      <c r="G48" s="821">
        <f t="shared" si="0"/>
        <v>12</v>
      </c>
      <c r="H48" s="838">
        <v>34500</v>
      </c>
      <c r="I48" s="835">
        <f t="shared" si="1"/>
        <v>34500</v>
      </c>
      <c r="J48" s="835">
        <f t="shared" si="2"/>
        <v>414000</v>
      </c>
      <c r="K48" s="814"/>
      <c r="L48" s="836" t="s">
        <v>671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.75" customHeight="1">
      <c r="A49" s="821">
        <v>44</v>
      </c>
      <c r="B49" s="821" t="s">
        <v>3245</v>
      </c>
      <c r="C49" s="794" t="s">
        <v>3307</v>
      </c>
      <c r="D49" s="814" t="s">
        <v>3306</v>
      </c>
      <c r="E49" s="834" t="s">
        <v>2243</v>
      </c>
      <c r="F49" s="821">
        <v>1</v>
      </c>
      <c r="G49" s="821">
        <f t="shared" si="0"/>
        <v>12</v>
      </c>
      <c r="H49" s="837">
        <v>46000</v>
      </c>
      <c r="I49" s="835">
        <f t="shared" si="1"/>
        <v>46000</v>
      </c>
      <c r="J49" s="835">
        <f t="shared" si="2"/>
        <v>552000</v>
      </c>
      <c r="K49" s="814"/>
      <c r="L49" s="836" t="s">
        <v>671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75" customHeight="1">
      <c r="A50" s="821">
        <v>45</v>
      </c>
      <c r="B50" s="821" t="s">
        <v>3245</v>
      </c>
      <c r="C50" s="794" t="s">
        <v>3308</v>
      </c>
      <c r="D50" s="814" t="s">
        <v>3309</v>
      </c>
      <c r="E50" s="834" t="s">
        <v>2243</v>
      </c>
      <c r="F50" s="821">
        <v>0.5</v>
      </c>
      <c r="G50" s="821">
        <f t="shared" si="0"/>
        <v>6</v>
      </c>
      <c r="H50" s="837">
        <v>10350</v>
      </c>
      <c r="I50" s="835">
        <f t="shared" si="1"/>
        <v>5175</v>
      </c>
      <c r="J50" s="835">
        <f t="shared" si="2"/>
        <v>62100</v>
      </c>
      <c r="K50" s="814"/>
      <c r="L50" s="836" t="s">
        <v>671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75" customHeight="1">
      <c r="A51" s="821">
        <v>46</v>
      </c>
      <c r="B51" s="821" t="s">
        <v>3245</v>
      </c>
      <c r="C51" s="794" t="s">
        <v>3310</v>
      </c>
      <c r="D51" s="814" t="s">
        <v>3311</v>
      </c>
      <c r="E51" s="834" t="s">
        <v>2243</v>
      </c>
      <c r="F51" s="821">
        <v>4</v>
      </c>
      <c r="G51" s="821">
        <f t="shared" si="0"/>
        <v>48</v>
      </c>
      <c r="H51" s="837">
        <v>15525</v>
      </c>
      <c r="I51" s="835">
        <f t="shared" si="1"/>
        <v>62100</v>
      </c>
      <c r="J51" s="835">
        <f t="shared" si="2"/>
        <v>745200</v>
      </c>
      <c r="K51" s="814"/>
      <c r="L51" s="836" t="s">
        <v>671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75" customHeight="1">
      <c r="A52" s="821">
        <v>47</v>
      </c>
      <c r="B52" s="821" t="s">
        <v>3245</v>
      </c>
      <c r="C52" s="794" t="s">
        <v>3312</v>
      </c>
      <c r="D52" s="814" t="s">
        <v>3313</v>
      </c>
      <c r="E52" s="834" t="s">
        <v>2243</v>
      </c>
      <c r="F52" s="821">
        <v>5</v>
      </c>
      <c r="G52" s="821">
        <f t="shared" si="0"/>
        <v>60</v>
      </c>
      <c r="H52" s="837">
        <v>2875</v>
      </c>
      <c r="I52" s="835">
        <f t="shared" si="1"/>
        <v>14375</v>
      </c>
      <c r="J52" s="835">
        <f t="shared" si="2"/>
        <v>172500</v>
      </c>
      <c r="K52" s="814"/>
      <c r="L52" s="836" t="s">
        <v>671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75" customHeight="1">
      <c r="A53" s="821">
        <v>48</v>
      </c>
      <c r="B53" s="821" t="s">
        <v>3245</v>
      </c>
      <c r="C53" s="794" t="s">
        <v>3314</v>
      </c>
      <c r="D53" s="814" t="s">
        <v>3315</v>
      </c>
      <c r="E53" s="834" t="s">
        <v>2243</v>
      </c>
      <c r="F53" s="821">
        <v>1</v>
      </c>
      <c r="G53" s="821">
        <f t="shared" si="0"/>
        <v>12</v>
      </c>
      <c r="H53" s="837">
        <v>19550</v>
      </c>
      <c r="I53" s="835">
        <f t="shared" si="1"/>
        <v>19550</v>
      </c>
      <c r="J53" s="835">
        <f t="shared" si="2"/>
        <v>234600</v>
      </c>
      <c r="K53" s="814"/>
      <c r="L53" s="836" t="s">
        <v>671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75" customHeight="1">
      <c r="A54" s="821">
        <v>49</v>
      </c>
      <c r="B54" s="821" t="s">
        <v>3245</v>
      </c>
      <c r="C54" s="794" t="s">
        <v>3316</v>
      </c>
      <c r="D54" s="814"/>
      <c r="E54" s="834" t="s">
        <v>2243</v>
      </c>
      <c r="F54" s="821">
        <v>0.25</v>
      </c>
      <c r="G54" s="821">
        <f t="shared" si="0"/>
        <v>3</v>
      </c>
      <c r="H54" s="838">
        <v>8000</v>
      </c>
      <c r="I54" s="835">
        <f t="shared" si="1"/>
        <v>2000</v>
      </c>
      <c r="J54" s="835">
        <f t="shared" si="2"/>
        <v>24000</v>
      </c>
      <c r="K54" s="814"/>
      <c r="L54" s="836" t="s">
        <v>671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.75" customHeight="1">
      <c r="A55" s="9"/>
      <c r="B55" s="9"/>
      <c r="C55" s="9"/>
      <c r="D55" s="9"/>
      <c r="E55" s="1"/>
      <c r="F55" s="9"/>
      <c r="G55" s="9"/>
      <c r="H55" s="9"/>
      <c r="I55" s="9"/>
      <c r="J55" s="9"/>
      <c r="K55" s="30"/>
      <c r="L55" s="9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75" customHeight="1">
      <c r="A56" s="9"/>
      <c r="B56" s="9"/>
      <c r="C56" s="9"/>
      <c r="D56" s="9"/>
      <c r="E56" s="1"/>
      <c r="F56" s="9"/>
      <c r="G56" s="9"/>
      <c r="H56" s="9"/>
      <c r="I56" s="9"/>
      <c r="J56" s="9"/>
      <c r="K56" s="30"/>
      <c r="L56" s="9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75" customHeight="1">
      <c r="A57" s="9"/>
      <c r="B57" s="982" t="s">
        <v>7</v>
      </c>
      <c r="C57" s="888"/>
      <c r="D57" s="888"/>
      <c r="E57" s="888"/>
      <c r="F57" s="888"/>
      <c r="G57" s="888"/>
      <c r="H57" s="889"/>
      <c r="I57" s="840">
        <f t="shared" ref="I57:J57" si="3">SUM(I6:I56)</f>
        <v>6792425</v>
      </c>
      <c r="J57" s="840">
        <f t="shared" si="3"/>
        <v>81509100</v>
      </c>
      <c r="K57" s="30"/>
      <c r="L57" s="9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75" customHeight="1">
      <c r="A58" s="3"/>
      <c r="B58" s="3"/>
      <c r="C58" s="3"/>
      <c r="D58" s="3"/>
      <c r="E58" s="208"/>
      <c r="F58" s="3"/>
      <c r="G58" s="3"/>
      <c r="H58" s="3"/>
      <c r="I58" s="3"/>
      <c r="J58" s="3"/>
      <c r="K58" s="71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.75" customHeight="1">
      <c r="A59" s="3"/>
      <c r="B59" s="3"/>
      <c r="C59" s="3"/>
      <c r="D59" s="3"/>
      <c r="E59" s="208"/>
      <c r="F59" s="3"/>
      <c r="G59" s="3"/>
      <c r="H59" s="3"/>
      <c r="I59" s="3"/>
      <c r="J59" s="3"/>
      <c r="K59" s="71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75" customHeight="1">
      <c r="A60" s="3"/>
      <c r="B60" s="3"/>
      <c r="C60" s="3"/>
      <c r="D60" s="3"/>
      <c r="E60" s="208"/>
      <c r="F60" s="3"/>
      <c r="G60" s="3"/>
      <c r="H60" s="3"/>
      <c r="I60" s="3"/>
      <c r="J60" s="3"/>
      <c r="K60" s="71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75" customHeight="1">
      <c r="A61" s="3"/>
      <c r="B61" s="3"/>
      <c r="C61" s="3"/>
      <c r="D61" s="3"/>
      <c r="E61" s="208"/>
      <c r="F61" s="3"/>
      <c r="G61" s="3"/>
      <c r="H61" s="3"/>
      <c r="I61" s="3"/>
      <c r="J61" s="3"/>
      <c r="K61" s="71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75" customHeight="1">
      <c r="A62" s="3"/>
      <c r="B62" s="3"/>
      <c r="C62" s="3"/>
      <c r="D62" s="3"/>
      <c r="E62" s="208"/>
      <c r="F62" s="3"/>
      <c r="G62" s="3"/>
      <c r="H62" s="3"/>
      <c r="I62" s="3"/>
      <c r="J62" s="3"/>
      <c r="K62" s="71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.75" customHeight="1">
      <c r="A63" s="3"/>
      <c r="B63" s="3"/>
      <c r="C63" s="3"/>
      <c r="D63" s="3"/>
      <c r="E63" s="208"/>
      <c r="F63" s="3"/>
      <c r="G63" s="3"/>
      <c r="H63" s="3"/>
      <c r="I63" s="3"/>
      <c r="J63" s="3"/>
      <c r="K63" s="71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75" customHeight="1">
      <c r="A64" s="3"/>
      <c r="B64" s="3"/>
      <c r="C64" s="3"/>
      <c r="D64" s="3"/>
      <c r="E64" s="208"/>
      <c r="F64" s="3"/>
      <c r="G64" s="3"/>
      <c r="H64" s="3"/>
      <c r="I64" s="3"/>
      <c r="J64" s="3"/>
      <c r="K64" s="71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75" customHeight="1">
      <c r="A65" s="3"/>
      <c r="B65" s="3"/>
      <c r="C65" s="3"/>
      <c r="D65" s="3"/>
      <c r="E65" s="208"/>
      <c r="F65" s="3"/>
      <c r="G65" s="3"/>
      <c r="H65" s="3"/>
      <c r="I65" s="3"/>
      <c r="J65" s="3"/>
      <c r="K65" s="71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.75" customHeight="1">
      <c r="A66" s="3"/>
      <c r="B66" s="3"/>
      <c r="C66" s="3"/>
      <c r="D66" s="3"/>
      <c r="E66" s="208"/>
      <c r="F66" s="3"/>
      <c r="G66" s="3"/>
      <c r="H66" s="3"/>
      <c r="I66" s="3"/>
      <c r="J66" s="3"/>
      <c r="K66" s="71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75" customHeight="1">
      <c r="A67" s="3"/>
      <c r="B67" s="3"/>
      <c r="C67" s="3"/>
      <c r="D67" s="3"/>
      <c r="E67" s="208"/>
      <c r="F67" s="3"/>
      <c r="G67" s="3"/>
      <c r="H67" s="3"/>
      <c r="I67" s="3"/>
      <c r="J67" s="3"/>
      <c r="K67" s="71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.75" customHeight="1">
      <c r="A68" s="3"/>
      <c r="B68" s="3"/>
      <c r="C68" s="3"/>
      <c r="D68" s="3"/>
      <c r="E68" s="208"/>
      <c r="F68" s="3"/>
      <c r="G68" s="3"/>
      <c r="H68" s="3"/>
      <c r="I68" s="3"/>
      <c r="J68" s="3"/>
      <c r="K68" s="71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75" customHeight="1">
      <c r="A69" s="3"/>
      <c r="B69" s="3"/>
      <c r="C69" s="3"/>
      <c r="D69" s="3"/>
      <c r="E69" s="208"/>
      <c r="F69" s="3"/>
      <c r="G69" s="3"/>
      <c r="H69" s="3"/>
      <c r="I69" s="3"/>
      <c r="J69" s="3"/>
      <c r="K69" s="71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75" customHeight="1">
      <c r="A70" s="3"/>
      <c r="B70" s="3"/>
      <c r="C70" s="3"/>
      <c r="D70" s="3"/>
      <c r="E70" s="208"/>
      <c r="F70" s="3"/>
      <c r="G70" s="3"/>
      <c r="H70" s="3"/>
      <c r="I70" s="3"/>
      <c r="J70" s="3"/>
      <c r="K70" s="71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.75" customHeight="1">
      <c r="A71" s="3"/>
      <c r="B71" s="3"/>
      <c r="C71" s="3"/>
      <c r="D71" s="3"/>
      <c r="E71" s="208"/>
      <c r="F71" s="3"/>
      <c r="G71" s="3"/>
      <c r="H71" s="3"/>
      <c r="I71" s="3"/>
      <c r="J71" s="3"/>
      <c r="K71" s="71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75" customHeight="1">
      <c r="A72" s="3"/>
      <c r="B72" s="3"/>
      <c r="C72" s="3"/>
      <c r="D72" s="3"/>
      <c r="E72" s="208"/>
      <c r="F72" s="3"/>
      <c r="G72" s="3"/>
      <c r="H72" s="3"/>
      <c r="I72" s="3"/>
      <c r="J72" s="3"/>
      <c r="K72" s="71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.75" customHeight="1">
      <c r="A73" s="3"/>
      <c r="B73" s="3"/>
      <c r="C73" s="3"/>
      <c r="D73" s="3"/>
      <c r="E73" s="208"/>
      <c r="F73" s="3"/>
      <c r="G73" s="3"/>
      <c r="H73" s="3"/>
      <c r="I73" s="3"/>
      <c r="J73" s="3"/>
      <c r="K73" s="71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75" customHeight="1">
      <c r="A74" s="3"/>
      <c r="B74" s="3"/>
      <c r="C74" s="3"/>
      <c r="D74" s="3"/>
      <c r="E74" s="208"/>
      <c r="F74" s="3"/>
      <c r="G74" s="3"/>
      <c r="H74" s="3"/>
      <c r="I74" s="3"/>
      <c r="J74" s="3"/>
      <c r="K74" s="71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75" customHeight="1">
      <c r="A75" s="3"/>
      <c r="B75" s="3"/>
      <c r="C75" s="3"/>
      <c r="D75" s="3"/>
      <c r="E75" s="208"/>
      <c r="F75" s="3"/>
      <c r="G75" s="3"/>
      <c r="H75" s="3"/>
      <c r="I75" s="3"/>
      <c r="J75" s="3"/>
      <c r="K75" s="71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.75" customHeight="1">
      <c r="A76" s="3"/>
      <c r="B76" s="3"/>
      <c r="C76" s="3"/>
      <c r="D76" s="3"/>
      <c r="E76" s="208"/>
      <c r="F76" s="3"/>
      <c r="G76" s="3"/>
      <c r="H76" s="3"/>
      <c r="I76" s="3"/>
      <c r="J76" s="3"/>
      <c r="K76" s="71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75" customHeight="1">
      <c r="A77" s="3"/>
      <c r="B77" s="3"/>
      <c r="C77" s="3"/>
      <c r="D77" s="3"/>
      <c r="E77" s="208"/>
      <c r="F77" s="3"/>
      <c r="G77" s="3"/>
      <c r="H77" s="3"/>
      <c r="I77" s="3"/>
      <c r="J77" s="3"/>
      <c r="K77" s="71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.75" customHeight="1">
      <c r="A78" s="3"/>
      <c r="B78" s="3"/>
      <c r="C78" s="3"/>
      <c r="D78" s="3"/>
      <c r="E78" s="208"/>
      <c r="F78" s="3"/>
      <c r="G78" s="3"/>
      <c r="H78" s="3"/>
      <c r="I78" s="3"/>
      <c r="J78" s="3"/>
      <c r="K78" s="71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75" customHeight="1">
      <c r="A79" s="3"/>
      <c r="B79" s="3"/>
      <c r="C79" s="3"/>
      <c r="D79" s="3"/>
      <c r="E79" s="208"/>
      <c r="F79" s="3"/>
      <c r="G79" s="3"/>
      <c r="H79" s="3"/>
      <c r="I79" s="3"/>
      <c r="J79" s="3"/>
      <c r="K79" s="71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75" customHeight="1">
      <c r="A80" s="3"/>
      <c r="B80" s="3"/>
      <c r="C80" s="3"/>
      <c r="D80" s="3"/>
      <c r="E80" s="208"/>
      <c r="F80" s="3"/>
      <c r="G80" s="3"/>
      <c r="H80" s="3"/>
      <c r="I80" s="3"/>
      <c r="J80" s="3"/>
      <c r="K80" s="71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.75" customHeight="1">
      <c r="A81" s="3"/>
      <c r="B81" s="3"/>
      <c r="C81" s="3"/>
      <c r="D81" s="3"/>
      <c r="E81" s="208"/>
      <c r="F81" s="3"/>
      <c r="G81" s="3"/>
      <c r="H81" s="3"/>
      <c r="I81" s="3"/>
      <c r="J81" s="3"/>
      <c r="K81" s="71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.75" customHeight="1">
      <c r="A82" s="3"/>
      <c r="B82" s="3"/>
      <c r="C82" s="3"/>
      <c r="D82" s="3"/>
      <c r="E82" s="208"/>
      <c r="F82" s="3"/>
      <c r="G82" s="3"/>
      <c r="H82" s="3"/>
      <c r="I82" s="3"/>
      <c r="J82" s="3"/>
      <c r="K82" s="71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.75" customHeight="1">
      <c r="A83" s="3"/>
      <c r="B83" s="3"/>
      <c r="C83" s="3"/>
      <c r="D83" s="3"/>
      <c r="E83" s="208"/>
      <c r="F83" s="3"/>
      <c r="G83" s="3"/>
      <c r="H83" s="3"/>
      <c r="I83" s="3"/>
      <c r="J83" s="3"/>
      <c r="K83" s="71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.75" customHeight="1">
      <c r="A84" s="3"/>
      <c r="B84" s="3"/>
      <c r="C84" s="3"/>
      <c r="D84" s="3"/>
      <c r="E84" s="208"/>
      <c r="F84" s="3"/>
      <c r="G84" s="3"/>
      <c r="H84" s="3"/>
      <c r="I84" s="3"/>
      <c r="J84" s="3"/>
      <c r="K84" s="71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.75" customHeight="1">
      <c r="A85" s="3"/>
      <c r="B85" s="3"/>
      <c r="C85" s="3"/>
      <c r="D85" s="3"/>
      <c r="E85" s="208"/>
      <c r="F85" s="3"/>
      <c r="G85" s="3"/>
      <c r="H85" s="3"/>
      <c r="I85" s="3"/>
      <c r="J85" s="3"/>
      <c r="K85" s="71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.75" customHeight="1">
      <c r="A86" s="3"/>
      <c r="B86" s="3"/>
      <c r="C86" s="3"/>
      <c r="D86" s="3"/>
      <c r="E86" s="208"/>
      <c r="F86" s="3"/>
      <c r="G86" s="3"/>
      <c r="H86" s="3"/>
      <c r="I86" s="3"/>
      <c r="J86" s="3"/>
      <c r="K86" s="71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.75" customHeight="1">
      <c r="A87" s="3"/>
      <c r="B87" s="3"/>
      <c r="C87" s="3"/>
      <c r="D87" s="3"/>
      <c r="E87" s="208"/>
      <c r="F87" s="3"/>
      <c r="G87" s="3"/>
      <c r="H87" s="3"/>
      <c r="I87" s="3"/>
      <c r="J87" s="3"/>
      <c r="K87" s="71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.75" customHeight="1">
      <c r="A88" s="3"/>
      <c r="B88" s="3"/>
      <c r="C88" s="3"/>
      <c r="D88" s="3"/>
      <c r="E88" s="208"/>
      <c r="F88" s="3"/>
      <c r="G88" s="3"/>
      <c r="H88" s="3"/>
      <c r="I88" s="3"/>
      <c r="J88" s="3"/>
      <c r="K88" s="71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.75" customHeight="1">
      <c r="A89" s="3"/>
      <c r="B89" s="3"/>
      <c r="C89" s="3"/>
      <c r="D89" s="3"/>
      <c r="E89" s="208"/>
      <c r="F89" s="3"/>
      <c r="G89" s="3"/>
      <c r="H89" s="3"/>
      <c r="I89" s="3"/>
      <c r="J89" s="3"/>
      <c r="K89" s="71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.75" customHeight="1">
      <c r="A90" s="3"/>
      <c r="B90" s="3"/>
      <c r="C90" s="3"/>
      <c r="D90" s="3"/>
      <c r="E90" s="208"/>
      <c r="F90" s="3"/>
      <c r="G90" s="3"/>
      <c r="H90" s="3"/>
      <c r="I90" s="3"/>
      <c r="J90" s="3"/>
      <c r="K90" s="71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.75" customHeight="1">
      <c r="A91" s="3"/>
      <c r="B91" s="3"/>
      <c r="C91" s="3"/>
      <c r="D91" s="3"/>
      <c r="E91" s="208"/>
      <c r="F91" s="3"/>
      <c r="G91" s="3"/>
      <c r="H91" s="3"/>
      <c r="I91" s="3"/>
      <c r="J91" s="3"/>
      <c r="K91" s="71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.75" customHeight="1">
      <c r="A92" s="3"/>
      <c r="B92" s="3"/>
      <c r="C92" s="3"/>
      <c r="D92" s="3"/>
      <c r="E92" s="208"/>
      <c r="F92" s="3"/>
      <c r="G92" s="3"/>
      <c r="H92" s="3"/>
      <c r="I92" s="3"/>
      <c r="J92" s="3"/>
      <c r="K92" s="71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.75" customHeight="1">
      <c r="A93" s="3"/>
      <c r="B93" s="3"/>
      <c r="C93" s="3"/>
      <c r="D93" s="3"/>
      <c r="E93" s="208"/>
      <c r="F93" s="3"/>
      <c r="G93" s="3"/>
      <c r="H93" s="3"/>
      <c r="I93" s="3"/>
      <c r="J93" s="3"/>
      <c r="K93" s="71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.75" customHeight="1">
      <c r="A94" s="3"/>
      <c r="B94" s="3"/>
      <c r="C94" s="3"/>
      <c r="D94" s="3"/>
      <c r="E94" s="208"/>
      <c r="F94" s="3"/>
      <c r="G94" s="3"/>
      <c r="H94" s="3"/>
      <c r="I94" s="3"/>
      <c r="J94" s="3"/>
      <c r="K94" s="71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.75" customHeight="1">
      <c r="A95" s="3"/>
      <c r="B95" s="3"/>
      <c r="C95" s="3"/>
      <c r="D95" s="3"/>
      <c r="E95" s="208"/>
      <c r="F95" s="3"/>
      <c r="G95" s="3"/>
      <c r="H95" s="3"/>
      <c r="I95" s="3"/>
      <c r="J95" s="3"/>
      <c r="K95" s="71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.75" customHeight="1">
      <c r="A96" s="3"/>
      <c r="B96" s="3"/>
      <c r="C96" s="3"/>
      <c r="D96" s="3"/>
      <c r="E96" s="208"/>
      <c r="F96" s="3"/>
      <c r="G96" s="3"/>
      <c r="H96" s="3"/>
      <c r="I96" s="3"/>
      <c r="J96" s="3"/>
      <c r="K96" s="71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.75" customHeight="1">
      <c r="A97" s="3"/>
      <c r="B97" s="3"/>
      <c r="C97" s="3"/>
      <c r="D97" s="3"/>
      <c r="E97" s="208"/>
      <c r="F97" s="3"/>
      <c r="G97" s="3"/>
      <c r="H97" s="3"/>
      <c r="I97" s="3"/>
      <c r="J97" s="3"/>
      <c r="K97" s="71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.75" customHeight="1">
      <c r="A98" s="3"/>
      <c r="B98" s="3"/>
      <c r="C98" s="3"/>
      <c r="D98" s="3"/>
      <c r="E98" s="208"/>
      <c r="F98" s="3"/>
      <c r="G98" s="3"/>
      <c r="H98" s="3"/>
      <c r="I98" s="3"/>
      <c r="J98" s="3"/>
      <c r="K98" s="71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.75" customHeight="1">
      <c r="A99" s="3"/>
      <c r="B99" s="3"/>
      <c r="C99" s="3"/>
      <c r="D99" s="3"/>
      <c r="E99" s="208"/>
      <c r="F99" s="3"/>
      <c r="G99" s="3"/>
      <c r="H99" s="3"/>
      <c r="I99" s="3"/>
      <c r="J99" s="3"/>
      <c r="K99" s="71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.75" customHeight="1">
      <c r="A100" s="3"/>
      <c r="B100" s="3"/>
      <c r="C100" s="3"/>
      <c r="D100" s="3"/>
      <c r="E100" s="208"/>
      <c r="F100" s="3"/>
      <c r="G100" s="3"/>
      <c r="H100" s="3"/>
      <c r="I100" s="3"/>
      <c r="J100" s="3"/>
      <c r="K100" s="71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.75" customHeight="1">
      <c r="A101" s="3"/>
      <c r="B101" s="3"/>
      <c r="C101" s="3"/>
      <c r="D101" s="3"/>
      <c r="E101" s="208"/>
      <c r="F101" s="3"/>
      <c r="G101" s="3"/>
      <c r="H101" s="3"/>
      <c r="I101" s="3"/>
      <c r="J101" s="3"/>
      <c r="K101" s="71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.75" customHeight="1">
      <c r="A102" s="3"/>
      <c r="B102" s="3"/>
      <c r="C102" s="3"/>
      <c r="D102" s="3"/>
      <c r="E102" s="208"/>
      <c r="F102" s="3"/>
      <c r="G102" s="3"/>
      <c r="H102" s="3"/>
      <c r="I102" s="3"/>
      <c r="J102" s="3"/>
      <c r="K102" s="71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.75" customHeight="1">
      <c r="A103" s="3"/>
      <c r="B103" s="3"/>
      <c r="C103" s="3"/>
      <c r="D103" s="3"/>
      <c r="E103" s="208"/>
      <c r="F103" s="3"/>
      <c r="G103" s="3"/>
      <c r="H103" s="3"/>
      <c r="I103" s="3"/>
      <c r="J103" s="3"/>
      <c r="K103" s="71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.75" customHeight="1">
      <c r="A104" s="3"/>
      <c r="B104" s="3"/>
      <c r="C104" s="3"/>
      <c r="D104" s="3"/>
      <c r="E104" s="208"/>
      <c r="F104" s="3"/>
      <c r="G104" s="3"/>
      <c r="H104" s="3"/>
      <c r="I104" s="3"/>
      <c r="J104" s="3"/>
      <c r="K104" s="71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.75" customHeight="1">
      <c r="A105" s="3"/>
      <c r="B105" s="3"/>
      <c r="C105" s="3"/>
      <c r="D105" s="3"/>
      <c r="E105" s="208"/>
      <c r="F105" s="3"/>
      <c r="G105" s="3"/>
      <c r="H105" s="3"/>
      <c r="I105" s="3"/>
      <c r="J105" s="3"/>
      <c r="K105" s="71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.75" customHeight="1">
      <c r="A106" s="3"/>
      <c r="B106" s="3"/>
      <c r="C106" s="3"/>
      <c r="D106" s="3"/>
      <c r="E106" s="208"/>
      <c r="F106" s="3"/>
      <c r="G106" s="3"/>
      <c r="H106" s="3"/>
      <c r="I106" s="3"/>
      <c r="J106" s="3"/>
      <c r="K106" s="71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.75" customHeight="1">
      <c r="A107" s="3"/>
      <c r="B107" s="3"/>
      <c r="C107" s="3"/>
      <c r="D107" s="3"/>
      <c r="E107" s="208"/>
      <c r="F107" s="3"/>
      <c r="G107" s="3"/>
      <c r="H107" s="3"/>
      <c r="I107" s="3"/>
      <c r="J107" s="3"/>
      <c r="K107" s="71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.75" customHeight="1">
      <c r="A108" s="3"/>
      <c r="B108" s="3"/>
      <c r="C108" s="3"/>
      <c r="D108" s="3"/>
      <c r="E108" s="208"/>
      <c r="F108" s="3"/>
      <c r="G108" s="3"/>
      <c r="H108" s="3"/>
      <c r="I108" s="3"/>
      <c r="J108" s="3"/>
      <c r="K108" s="71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.75" customHeight="1">
      <c r="A109" s="3"/>
      <c r="B109" s="3"/>
      <c r="C109" s="3"/>
      <c r="D109" s="3"/>
      <c r="E109" s="208"/>
      <c r="F109" s="3"/>
      <c r="G109" s="3"/>
      <c r="H109" s="3"/>
      <c r="I109" s="3"/>
      <c r="J109" s="3"/>
      <c r="K109" s="71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.75" customHeight="1">
      <c r="A110" s="3"/>
      <c r="B110" s="3"/>
      <c r="C110" s="3"/>
      <c r="D110" s="3"/>
      <c r="E110" s="208"/>
      <c r="F110" s="3"/>
      <c r="G110" s="3"/>
      <c r="H110" s="3"/>
      <c r="I110" s="3"/>
      <c r="J110" s="3"/>
      <c r="K110" s="71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.75" customHeight="1">
      <c r="A111" s="3"/>
      <c r="B111" s="3"/>
      <c r="C111" s="3"/>
      <c r="D111" s="3"/>
      <c r="E111" s="208"/>
      <c r="F111" s="3"/>
      <c r="G111" s="3"/>
      <c r="H111" s="3"/>
      <c r="I111" s="3"/>
      <c r="J111" s="3"/>
      <c r="K111" s="71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.75" customHeight="1">
      <c r="A112" s="3"/>
      <c r="B112" s="3"/>
      <c r="C112" s="3"/>
      <c r="D112" s="3"/>
      <c r="E112" s="208"/>
      <c r="F112" s="3"/>
      <c r="G112" s="3"/>
      <c r="H112" s="3"/>
      <c r="I112" s="3"/>
      <c r="J112" s="3"/>
      <c r="K112" s="71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.75" customHeight="1">
      <c r="A113" s="3"/>
      <c r="B113" s="3"/>
      <c r="C113" s="3"/>
      <c r="D113" s="3"/>
      <c r="E113" s="208"/>
      <c r="F113" s="3"/>
      <c r="G113" s="3"/>
      <c r="H113" s="3"/>
      <c r="I113" s="3"/>
      <c r="J113" s="3"/>
      <c r="K113" s="71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.75" customHeight="1">
      <c r="A114" s="3"/>
      <c r="B114" s="3"/>
      <c r="C114" s="3"/>
      <c r="D114" s="3"/>
      <c r="E114" s="208"/>
      <c r="F114" s="3"/>
      <c r="G114" s="3"/>
      <c r="H114" s="3"/>
      <c r="I114" s="3"/>
      <c r="J114" s="3"/>
      <c r="K114" s="71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.75" customHeight="1">
      <c r="A115" s="3"/>
      <c r="B115" s="3"/>
      <c r="C115" s="3"/>
      <c r="D115" s="3"/>
      <c r="E115" s="208"/>
      <c r="F115" s="3"/>
      <c r="G115" s="3"/>
      <c r="H115" s="3"/>
      <c r="I115" s="3"/>
      <c r="J115" s="3"/>
      <c r="K115" s="71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.75" customHeight="1">
      <c r="A116" s="3"/>
      <c r="B116" s="3"/>
      <c r="C116" s="3"/>
      <c r="D116" s="3"/>
      <c r="E116" s="208"/>
      <c r="F116" s="3"/>
      <c r="G116" s="3"/>
      <c r="H116" s="3"/>
      <c r="I116" s="3"/>
      <c r="J116" s="3"/>
      <c r="K116" s="71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.75" customHeight="1">
      <c r="A117" s="3"/>
      <c r="B117" s="3"/>
      <c r="C117" s="3"/>
      <c r="D117" s="3"/>
      <c r="E117" s="208"/>
      <c r="F117" s="3"/>
      <c r="G117" s="3"/>
      <c r="H117" s="3"/>
      <c r="I117" s="3"/>
      <c r="J117" s="3"/>
      <c r="K117" s="71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.75" customHeight="1">
      <c r="A118" s="3"/>
      <c r="B118" s="3"/>
      <c r="C118" s="3"/>
      <c r="D118" s="3"/>
      <c r="E118" s="208"/>
      <c r="F118" s="3"/>
      <c r="G118" s="3"/>
      <c r="H118" s="3"/>
      <c r="I118" s="3"/>
      <c r="J118" s="3"/>
      <c r="K118" s="71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.75" customHeight="1">
      <c r="A119" s="3"/>
      <c r="B119" s="3"/>
      <c r="C119" s="3"/>
      <c r="D119" s="3"/>
      <c r="E119" s="208"/>
      <c r="F119" s="3"/>
      <c r="G119" s="3"/>
      <c r="H119" s="3"/>
      <c r="I119" s="3"/>
      <c r="J119" s="3"/>
      <c r="K119" s="71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.75" customHeight="1">
      <c r="A120" s="3"/>
      <c r="B120" s="3"/>
      <c r="C120" s="3"/>
      <c r="D120" s="3"/>
      <c r="E120" s="208"/>
      <c r="F120" s="3"/>
      <c r="G120" s="3"/>
      <c r="H120" s="3"/>
      <c r="I120" s="3"/>
      <c r="J120" s="3"/>
      <c r="K120" s="71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.75" customHeight="1">
      <c r="A121" s="3"/>
      <c r="B121" s="3"/>
      <c r="C121" s="3"/>
      <c r="D121" s="3"/>
      <c r="E121" s="208"/>
      <c r="F121" s="3"/>
      <c r="G121" s="3"/>
      <c r="H121" s="3"/>
      <c r="I121" s="3"/>
      <c r="J121" s="3"/>
      <c r="K121" s="71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.75" customHeight="1">
      <c r="A122" s="3"/>
      <c r="B122" s="3"/>
      <c r="C122" s="3"/>
      <c r="D122" s="3"/>
      <c r="E122" s="208"/>
      <c r="F122" s="3"/>
      <c r="G122" s="3"/>
      <c r="H122" s="3"/>
      <c r="I122" s="3"/>
      <c r="J122" s="3"/>
      <c r="K122" s="71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.75" customHeight="1">
      <c r="A123" s="3"/>
      <c r="B123" s="3"/>
      <c r="C123" s="3"/>
      <c r="D123" s="3"/>
      <c r="E123" s="208"/>
      <c r="F123" s="3"/>
      <c r="G123" s="3"/>
      <c r="H123" s="3"/>
      <c r="I123" s="3"/>
      <c r="J123" s="3"/>
      <c r="K123" s="71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.75" customHeight="1">
      <c r="A124" s="3"/>
      <c r="B124" s="3"/>
      <c r="C124" s="3"/>
      <c r="D124" s="3"/>
      <c r="E124" s="208"/>
      <c r="F124" s="3"/>
      <c r="G124" s="3"/>
      <c r="H124" s="3"/>
      <c r="I124" s="3"/>
      <c r="J124" s="3"/>
      <c r="K124" s="71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.75" customHeight="1">
      <c r="A125" s="3"/>
      <c r="B125" s="3"/>
      <c r="C125" s="3"/>
      <c r="D125" s="3"/>
      <c r="E125" s="208"/>
      <c r="F125" s="3"/>
      <c r="G125" s="3"/>
      <c r="H125" s="3"/>
      <c r="I125" s="3"/>
      <c r="J125" s="3"/>
      <c r="K125" s="71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.75" customHeight="1">
      <c r="A126" s="3"/>
      <c r="B126" s="3"/>
      <c r="C126" s="3"/>
      <c r="D126" s="3"/>
      <c r="E126" s="208"/>
      <c r="F126" s="3"/>
      <c r="G126" s="3"/>
      <c r="H126" s="3"/>
      <c r="I126" s="3"/>
      <c r="J126" s="3"/>
      <c r="K126" s="71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.75" customHeight="1">
      <c r="A127" s="3"/>
      <c r="B127" s="3"/>
      <c r="C127" s="3"/>
      <c r="D127" s="3"/>
      <c r="E127" s="208"/>
      <c r="F127" s="3"/>
      <c r="G127" s="3"/>
      <c r="H127" s="3"/>
      <c r="I127" s="3"/>
      <c r="J127" s="3"/>
      <c r="K127" s="71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.75" customHeight="1">
      <c r="A128" s="3"/>
      <c r="B128" s="3"/>
      <c r="C128" s="3"/>
      <c r="D128" s="3"/>
      <c r="E128" s="208"/>
      <c r="F128" s="3"/>
      <c r="G128" s="3"/>
      <c r="H128" s="3"/>
      <c r="I128" s="3"/>
      <c r="J128" s="3"/>
      <c r="K128" s="71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.75" customHeight="1">
      <c r="A129" s="3"/>
      <c r="B129" s="3"/>
      <c r="C129" s="3"/>
      <c r="D129" s="3"/>
      <c r="E129" s="208"/>
      <c r="F129" s="3"/>
      <c r="G129" s="3"/>
      <c r="H129" s="3"/>
      <c r="I129" s="3"/>
      <c r="J129" s="3"/>
      <c r="K129" s="71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.75" customHeight="1">
      <c r="A130" s="3"/>
      <c r="B130" s="3"/>
      <c r="C130" s="3"/>
      <c r="D130" s="3"/>
      <c r="E130" s="208"/>
      <c r="F130" s="3"/>
      <c r="G130" s="3"/>
      <c r="H130" s="3"/>
      <c r="I130" s="3"/>
      <c r="J130" s="3"/>
      <c r="K130" s="71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.75" customHeight="1">
      <c r="A131" s="3"/>
      <c r="B131" s="3"/>
      <c r="C131" s="3"/>
      <c r="D131" s="3"/>
      <c r="E131" s="208"/>
      <c r="F131" s="3"/>
      <c r="G131" s="3"/>
      <c r="H131" s="3"/>
      <c r="I131" s="3"/>
      <c r="J131" s="3"/>
      <c r="K131" s="71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.75" customHeight="1">
      <c r="A132" s="3"/>
      <c r="B132" s="3"/>
      <c r="C132" s="3"/>
      <c r="D132" s="3"/>
      <c r="E132" s="208"/>
      <c r="F132" s="3"/>
      <c r="G132" s="3"/>
      <c r="H132" s="3"/>
      <c r="I132" s="3"/>
      <c r="J132" s="3"/>
      <c r="K132" s="71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.75" customHeight="1">
      <c r="A133" s="3"/>
      <c r="B133" s="3"/>
      <c r="C133" s="3"/>
      <c r="D133" s="3"/>
      <c r="E133" s="208"/>
      <c r="F133" s="3"/>
      <c r="G133" s="3"/>
      <c r="H133" s="3"/>
      <c r="I133" s="3"/>
      <c r="J133" s="3"/>
      <c r="K133" s="71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.75" customHeight="1">
      <c r="A134" s="3"/>
      <c r="B134" s="3"/>
      <c r="C134" s="3"/>
      <c r="D134" s="3"/>
      <c r="E134" s="208"/>
      <c r="F134" s="3"/>
      <c r="G134" s="3"/>
      <c r="H134" s="3"/>
      <c r="I134" s="3"/>
      <c r="J134" s="3"/>
      <c r="K134" s="71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.75" customHeight="1">
      <c r="A135" s="3"/>
      <c r="B135" s="3"/>
      <c r="C135" s="3"/>
      <c r="D135" s="3"/>
      <c r="E135" s="208"/>
      <c r="F135" s="3"/>
      <c r="G135" s="3"/>
      <c r="H135" s="3"/>
      <c r="I135" s="3"/>
      <c r="J135" s="3"/>
      <c r="K135" s="71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.75" customHeight="1">
      <c r="A136" s="3"/>
      <c r="B136" s="3"/>
      <c r="C136" s="3"/>
      <c r="D136" s="3"/>
      <c r="E136" s="208"/>
      <c r="F136" s="3"/>
      <c r="G136" s="3"/>
      <c r="H136" s="3"/>
      <c r="I136" s="3"/>
      <c r="J136" s="3"/>
      <c r="K136" s="71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.75" customHeight="1">
      <c r="A137" s="3"/>
      <c r="B137" s="3"/>
      <c r="C137" s="3"/>
      <c r="D137" s="3"/>
      <c r="E137" s="208"/>
      <c r="F137" s="3"/>
      <c r="G137" s="3"/>
      <c r="H137" s="3"/>
      <c r="I137" s="3"/>
      <c r="J137" s="3"/>
      <c r="K137" s="71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.75" customHeight="1">
      <c r="A138" s="3"/>
      <c r="B138" s="3"/>
      <c r="C138" s="3"/>
      <c r="D138" s="3"/>
      <c r="E138" s="208"/>
      <c r="F138" s="3"/>
      <c r="G138" s="3"/>
      <c r="H138" s="3"/>
      <c r="I138" s="3"/>
      <c r="J138" s="3"/>
      <c r="K138" s="71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.75" customHeight="1">
      <c r="A139" s="3"/>
      <c r="B139" s="3"/>
      <c r="C139" s="3"/>
      <c r="D139" s="3"/>
      <c r="E139" s="208"/>
      <c r="F139" s="3"/>
      <c r="G139" s="3"/>
      <c r="H139" s="3"/>
      <c r="I139" s="3"/>
      <c r="J139" s="3"/>
      <c r="K139" s="71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.75" customHeight="1">
      <c r="A140" s="3"/>
      <c r="B140" s="3"/>
      <c r="C140" s="3"/>
      <c r="D140" s="3"/>
      <c r="E140" s="208"/>
      <c r="F140" s="3"/>
      <c r="G140" s="3"/>
      <c r="H140" s="3"/>
      <c r="I140" s="3"/>
      <c r="J140" s="3"/>
      <c r="K140" s="71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.75" customHeight="1">
      <c r="A141" s="3"/>
      <c r="B141" s="3"/>
      <c r="C141" s="3"/>
      <c r="D141" s="3"/>
      <c r="E141" s="208"/>
      <c r="F141" s="3"/>
      <c r="G141" s="3"/>
      <c r="H141" s="3"/>
      <c r="I141" s="3"/>
      <c r="J141" s="3"/>
      <c r="K141" s="71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.75" customHeight="1">
      <c r="A142" s="3"/>
      <c r="B142" s="3"/>
      <c r="C142" s="3"/>
      <c r="D142" s="3"/>
      <c r="E142" s="208"/>
      <c r="F142" s="3"/>
      <c r="G142" s="3"/>
      <c r="H142" s="3"/>
      <c r="I142" s="3"/>
      <c r="J142" s="3"/>
      <c r="K142" s="71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.75" customHeight="1">
      <c r="A143" s="3"/>
      <c r="B143" s="3"/>
      <c r="C143" s="3"/>
      <c r="D143" s="3"/>
      <c r="E143" s="208"/>
      <c r="F143" s="3"/>
      <c r="G143" s="3"/>
      <c r="H143" s="3"/>
      <c r="I143" s="3"/>
      <c r="J143" s="3"/>
      <c r="K143" s="71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.75" customHeight="1">
      <c r="A144" s="3"/>
      <c r="B144" s="3"/>
      <c r="C144" s="3"/>
      <c r="D144" s="3"/>
      <c r="E144" s="208"/>
      <c r="F144" s="3"/>
      <c r="G144" s="3"/>
      <c r="H144" s="3"/>
      <c r="I144" s="3"/>
      <c r="J144" s="3"/>
      <c r="K144" s="71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.75" customHeight="1">
      <c r="A145" s="3"/>
      <c r="B145" s="3"/>
      <c r="C145" s="3"/>
      <c r="D145" s="3"/>
      <c r="E145" s="208"/>
      <c r="F145" s="3"/>
      <c r="G145" s="3"/>
      <c r="H145" s="3"/>
      <c r="I145" s="3"/>
      <c r="J145" s="3"/>
      <c r="K145" s="71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.75" customHeight="1">
      <c r="A146" s="3"/>
      <c r="B146" s="3"/>
      <c r="C146" s="3"/>
      <c r="D146" s="3"/>
      <c r="E146" s="208"/>
      <c r="F146" s="3"/>
      <c r="G146" s="3"/>
      <c r="H146" s="3"/>
      <c r="I146" s="3"/>
      <c r="J146" s="3"/>
      <c r="K146" s="71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.75" customHeight="1">
      <c r="A147" s="3"/>
      <c r="B147" s="3"/>
      <c r="C147" s="3"/>
      <c r="D147" s="3"/>
      <c r="E147" s="208"/>
      <c r="F147" s="3"/>
      <c r="G147" s="3"/>
      <c r="H147" s="3"/>
      <c r="I147" s="3"/>
      <c r="J147" s="3"/>
      <c r="K147" s="71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.75" customHeight="1">
      <c r="A148" s="3"/>
      <c r="B148" s="3"/>
      <c r="C148" s="3"/>
      <c r="D148" s="3"/>
      <c r="E148" s="208"/>
      <c r="F148" s="3"/>
      <c r="G148" s="3"/>
      <c r="H148" s="3"/>
      <c r="I148" s="3"/>
      <c r="J148" s="3"/>
      <c r="K148" s="71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.75" customHeight="1">
      <c r="A149" s="3"/>
      <c r="B149" s="3"/>
      <c r="C149" s="3"/>
      <c r="D149" s="3"/>
      <c r="E149" s="208"/>
      <c r="F149" s="3"/>
      <c r="G149" s="3"/>
      <c r="H149" s="3"/>
      <c r="I149" s="3"/>
      <c r="J149" s="3"/>
      <c r="K149" s="71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.75" customHeight="1">
      <c r="A150" s="3"/>
      <c r="B150" s="3"/>
      <c r="C150" s="3"/>
      <c r="D150" s="3"/>
      <c r="E150" s="208"/>
      <c r="F150" s="3"/>
      <c r="G150" s="3"/>
      <c r="H150" s="3"/>
      <c r="I150" s="3"/>
      <c r="J150" s="3"/>
      <c r="K150" s="71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.75" customHeight="1">
      <c r="A151" s="3"/>
      <c r="B151" s="3"/>
      <c r="C151" s="3"/>
      <c r="D151" s="3"/>
      <c r="E151" s="208"/>
      <c r="F151" s="3"/>
      <c r="G151" s="3"/>
      <c r="H151" s="3"/>
      <c r="I151" s="3"/>
      <c r="J151" s="3"/>
      <c r="K151" s="71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.75" customHeight="1">
      <c r="A152" s="3"/>
      <c r="B152" s="3"/>
      <c r="C152" s="3"/>
      <c r="D152" s="3"/>
      <c r="E152" s="208"/>
      <c r="F152" s="3"/>
      <c r="G152" s="3"/>
      <c r="H152" s="3"/>
      <c r="I152" s="3"/>
      <c r="J152" s="3"/>
      <c r="K152" s="71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.75" customHeight="1">
      <c r="A153" s="3"/>
      <c r="B153" s="3"/>
      <c r="C153" s="3"/>
      <c r="D153" s="3"/>
      <c r="E153" s="208"/>
      <c r="F153" s="3"/>
      <c r="G153" s="3"/>
      <c r="H153" s="3"/>
      <c r="I153" s="3"/>
      <c r="J153" s="3"/>
      <c r="K153" s="71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.75" customHeight="1">
      <c r="A154" s="3"/>
      <c r="B154" s="3"/>
      <c r="C154" s="3"/>
      <c r="D154" s="3"/>
      <c r="E154" s="208"/>
      <c r="F154" s="3"/>
      <c r="G154" s="3"/>
      <c r="H154" s="3"/>
      <c r="I154" s="3"/>
      <c r="J154" s="3"/>
      <c r="K154" s="71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.75" customHeight="1">
      <c r="A155" s="3"/>
      <c r="B155" s="3"/>
      <c r="C155" s="3"/>
      <c r="D155" s="3"/>
      <c r="E155" s="208"/>
      <c r="F155" s="3"/>
      <c r="G155" s="3"/>
      <c r="H155" s="3"/>
      <c r="I155" s="3"/>
      <c r="J155" s="3"/>
      <c r="K155" s="71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.75" customHeight="1">
      <c r="A156" s="3"/>
      <c r="B156" s="3"/>
      <c r="C156" s="3"/>
      <c r="D156" s="3"/>
      <c r="E156" s="208"/>
      <c r="F156" s="3"/>
      <c r="G156" s="3"/>
      <c r="H156" s="3"/>
      <c r="I156" s="3"/>
      <c r="J156" s="3"/>
      <c r="K156" s="71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.75" customHeight="1">
      <c r="A157" s="3"/>
      <c r="B157" s="3"/>
      <c r="C157" s="3"/>
      <c r="D157" s="3"/>
      <c r="E157" s="208"/>
      <c r="F157" s="3"/>
      <c r="G157" s="3"/>
      <c r="H157" s="3"/>
      <c r="I157" s="3"/>
      <c r="J157" s="3"/>
      <c r="K157" s="71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.75" customHeight="1">
      <c r="A158" s="3"/>
      <c r="B158" s="3"/>
      <c r="C158" s="3"/>
      <c r="D158" s="3"/>
      <c r="E158" s="208"/>
      <c r="F158" s="3"/>
      <c r="G158" s="3"/>
      <c r="H158" s="3"/>
      <c r="I158" s="3"/>
      <c r="J158" s="3"/>
      <c r="K158" s="71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.75" customHeight="1">
      <c r="A159" s="3"/>
      <c r="B159" s="3"/>
      <c r="C159" s="3"/>
      <c r="D159" s="3"/>
      <c r="E159" s="208"/>
      <c r="F159" s="3"/>
      <c r="G159" s="3"/>
      <c r="H159" s="3"/>
      <c r="I159" s="3"/>
      <c r="J159" s="3"/>
      <c r="K159" s="71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.75" customHeight="1">
      <c r="A160" s="3"/>
      <c r="B160" s="3"/>
      <c r="C160" s="3"/>
      <c r="D160" s="3"/>
      <c r="E160" s="208"/>
      <c r="F160" s="3"/>
      <c r="G160" s="3"/>
      <c r="H160" s="3"/>
      <c r="I160" s="3"/>
      <c r="J160" s="3"/>
      <c r="K160" s="71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.75" customHeight="1">
      <c r="A161" s="3"/>
      <c r="B161" s="3"/>
      <c r="C161" s="3"/>
      <c r="D161" s="3"/>
      <c r="E161" s="208"/>
      <c r="F161" s="3"/>
      <c r="G161" s="3"/>
      <c r="H161" s="3"/>
      <c r="I161" s="3"/>
      <c r="J161" s="3"/>
      <c r="K161" s="71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.75" customHeight="1">
      <c r="A162" s="3"/>
      <c r="B162" s="3"/>
      <c r="C162" s="3"/>
      <c r="D162" s="3"/>
      <c r="E162" s="208"/>
      <c r="F162" s="3"/>
      <c r="G162" s="3"/>
      <c r="H162" s="3"/>
      <c r="I162" s="3"/>
      <c r="J162" s="3"/>
      <c r="K162" s="71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.75" customHeight="1">
      <c r="A163" s="3"/>
      <c r="B163" s="3"/>
      <c r="C163" s="3"/>
      <c r="D163" s="3"/>
      <c r="E163" s="208"/>
      <c r="F163" s="3"/>
      <c r="G163" s="3"/>
      <c r="H163" s="3"/>
      <c r="I163" s="3"/>
      <c r="J163" s="3"/>
      <c r="K163" s="71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.75" customHeight="1">
      <c r="A164" s="3"/>
      <c r="B164" s="3"/>
      <c r="C164" s="3"/>
      <c r="D164" s="3"/>
      <c r="E164" s="208"/>
      <c r="F164" s="3"/>
      <c r="G164" s="3"/>
      <c r="H164" s="3"/>
      <c r="I164" s="3"/>
      <c r="J164" s="3"/>
      <c r="K164" s="71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.75" customHeight="1">
      <c r="A165" s="3"/>
      <c r="B165" s="3"/>
      <c r="C165" s="3"/>
      <c r="D165" s="3"/>
      <c r="E165" s="208"/>
      <c r="F165" s="3"/>
      <c r="G165" s="3"/>
      <c r="H165" s="3"/>
      <c r="I165" s="3"/>
      <c r="J165" s="3"/>
      <c r="K165" s="71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.75" customHeight="1">
      <c r="A166" s="3"/>
      <c r="B166" s="3"/>
      <c r="C166" s="3"/>
      <c r="D166" s="3"/>
      <c r="E166" s="208"/>
      <c r="F166" s="3"/>
      <c r="G166" s="3"/>
      <c r="H166" s="3"/>
      <c r="I166" s="3"/>
      <c r="J166" s="3"/>
      <c r="K166" s="71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.75" customHeight="1">
      <c r="A167" s="3"/>
      <c r="B167" s="3"/>
      <c r="C167" s="3"/>
      <c r="D167" s="3"/>
      <c r="E167" s="208"/>
      <c r="F167" s="3"/>
      <c r="G167" s="3"/>
      <c r="H167" s="3"/>
      <c r="I167" s="3"/>
      <c r="J167" s="3"/>
      <c r="K167" s="71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.75" customHeight="1">
      <c r="A168" s="3"/>
      <c r="B168" s="3"/>
      <c r="C168" s="3"/>
      <c r="D168" s="3"/>
      <c r="E168" s="208"/>
      <c r="F168" s="3"/>
      <c r="G168" s="3"/>
      <c r="H168" s="3"/>
      <c r="I168" s="3"/>
      <c r="J168" s="3"/>
      <c r="K168" s="71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.75" customHeight="1">
      <c r="A169" s="3"/>
      <c r="B169" s="3"/>
      <c r="C169" s="3"/>
      <c r="D169" s="3"/>
      <c r="E169" s="208"/>
      <c r="F169" s="3"/>
      <c r="G169" s="3"/>
      <c r="H169" s="3"/>
      <c r="I169" s="3"/>
      <c r="J169" s="3"/>
      <c r="K169" s="71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.75" customHeight="1">
      <c r="A170" s="3"/>
      <c r="B170" s="3"/>
      <c r="C170" s="3"/>
      <c r="D170" s="3"/>
      <c r="E170" s="208"/>
      <c r="F170" s="3"/>
      <c r="G170" s="3"/>
      <c r="H170" s="3"/>
      <c r="I170" s="3"/>
      <c r="J170" s="3"/>
      <c r="K170" s="71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.75" customHeight="1">
      <c r="A171" s="3"/>
      <c r="B171" s="3"/>
      <c r="C171" s="3"/>
      <c r="D171" s="3"/>
      <c r="E171" s="208"/>
      <c r="F171" s="3"/>
      <c r="G171" s="3"/>
      <c r="H171" s="3"/>
      <c r="I171" s="3"/>
      <c r="J171" s="3"/>
      <c r="K171" s="71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.75" customHeight="1">
      <c r="A172" s="3"/>
      <c r="B172" s="3"/>
      <c r="C172" s="3"/>
      <c r="D172" s="3"/>
      <c r="E172" s="208"/>
      <c r="F172" s="3"/>
      <c r="G172" s="3"/>
      <c r="H172" s="3"/>
      <c r="I172" s="3"/>
      <c r="J172" s="3"/>
      <c r="K172" s="71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.75" customHeight="1">
      <c r="A173" s="3"/>
      <c r="B173" s="3"/>
      <c r="C173" s="3"/>
      <c r="D173" s="3"/>
      <c r="E173" s="208"/>
      <c r="F173" s="3"/>
      <c r="G173" s="3"/>
      <c r="H173" s="3"/>
      <c r="I173" s="3"/>
      <c r="J173" s="3"/>
      <c r="K173" s="71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.75" customHeight="1">
      <c r="A174" s="3"/>
      <c r="B174" s="3"/>
      <c r="C174" s="3"/>
      <c r="D174" s="3"/>
      <c r="E174" s="208"/>
      <c r="F174" s="3"/>
      <c r="G174" s="3"/>
      <c r="H174" s="3"/>
      <c r="I174" s="3"/>
      <c r="J174" s="3"/>
      <c r="K174" s="71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.75" customHeight="1">
      <c r="A175" s="3"/>
      <c r="B175" s="3"/>
      <c r="C175" s="3"/>
      <c r="D175" s="3"/>
      <c r="E175" s="208"/>
      <c r="F175" s="3"/>
      <c r="G175" s="3"/>
      <c r="H175" s="3"/>
      <c r="I175" s="3"/>
      <c r="J175" s="3"/>
      <c r="K175" s="71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.75" customHeight="1">
      <c r="A176" s="3"/>
      <c r="B176" s="3"/>
      <c r="C176" s="3"/>
      <c r="D176" s="3"/>
      <c r="E176" s="208"/>
      <c r="F176" s="3"/>
      <c r="G176" s="3"/>
      <c r="H176" s="3"/>
      <c r="I176" s="3"/>
      <c r="J176" s="3"/>
      <c r="K176" s="71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.75" customHeight="1">
      <c r="A177" s="3"/>
      <c r="B177" s="3"/>
      <c r="C177" s="3"/>
      <c r="D177" s="3"/>
      <c r="E177" s="208"/>
      <c r="F177" s="3"/>
      <c r="G177" s="3"/>
      <c r="H177" s="3"/>
      <c r="I177" s="3"/>
      <c r="J177" s="3"/>
      <c r="K177" s="71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.75" customHeight="1">
      <c r="A178" s="3"/>
      <c r="B178" s="3"/>
      <c r="C178" s="3"/>
      <c r="D178" s="3"/>
      <c r="E178" s="208"/>
      <c r="F178" s="3"/>
      <c r="G178" s="3"/>
      <c r="H178" s="3"/>
      <c r="I178" s="3"/>
      <c r="J178" s="3"/>
      <c r="K178" s="71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.75" customHeight="1">
      <c r="A179" s="3"/>
      <c r="B179" s="3"/>
      <c r="C179" s="3"/>
      <c r="D179" s="3"/>
      <c r="E179" s="208"/>
      <c r="F179" s="3"/>
      <c r="G179" s="3"/>
      <c r="H179" s="3"/>
      <c r="I179" s="3"/>
      <c r="J179" s="3"/>
      <c r="K179" s="71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.75" customHeight="1">
      <c r="A180" s="3"/>
      <c r="B180" s="3"/>
      <c r="C180" s="3"/>
      <c r="D180" s="3"/>
      <c r="E180" s="208"/>
      <c r="F180" s="3"/>
      <c r="G180" s="3"/>
      <c r="H180" s="3"/>
      <c r="I180" s="3"/>
      <c r="J180" s="3"/>
      <c r="K180" s="71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.75" customHeight="1">
      <c r="A181" s="3"/>
      <c r="B181" s="3"/>
      <c r="C181" s="3"/>
      <c r="D181" s="3"/>
      <c r="E181" s="208"/>
      <c r="F181" s="3"/>
      <c r="G181" s="3"/>
      <c r="H181" s="3"/>
      <c r="I181" s="3"/>
      <c r="J181" s="3"/>
      <c r="K181" s="71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.75" customHeight="1">
      <c r="A182" s="3"/>
      <c r="B182" s="3"/>
      <c r="C182" s="3"/>
      <c r="D182" s="3"/>
      <c r="E182" s="208"/>
      <c r="F182" s="3"/>
      <c r="G182" s="3"/>
      <c r="H182" s="3"/>
      <c r="I182" s="3"/>
      <c r="J182" s="3"/>
      <c r="K182" s="71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.75" customHeight="1">
      <c r="A183" s="3"/>
      <c r="B183" s="3"/>
      <c r="C183" s="3"/>
      <c r="D183" s="3"/>
      <c r="E183" s="208"/>
      <c r="F183" s="3"/>
      <c r="G183" s="3"/>
      <c r="H183" s="3"/>
      <c r="I183" s="3"/>
      <c r="J183" s="3"/>
      <c r="K183" s="71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.75" customHeight="1">
      <c r="A184" s="3"/>
      <c r="B184" s="3"/>
      <c r="C184" s="3"/>
      <c r="D184" s="3"/>
      <c r="E184" s="208"/>
      <c r="F184" s="3"/>
      <c r="G184" s="3"/>
      <c r="H184" s="3"/>
      <c r="I184" s="3"/>
      <c r="J184" s="3"/>
      <c r="K184" s="71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.75" customHeight="1">
      <c r="A185" s="3"/>
      <c r="B185" s="3"/>
      <c r="C185" s="3"/>
      <c r="D185" s="3"/>
      <c r="E185" s="208"/>
      <c r="F185" s="3"/>
      <c r="G185" s="3"/>
      <c r="H185" s="3"/>
      <c r="I185" s="3"/>
      <c r="J185" s="3"/>
      <c r="K185" s="71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.75" customHeight="1">
      <c r="A186" s="3"/>
      <c r="B186" s="3"/>
      <c r="C186" s="3"/>
      <c r="D186" s="3"/>
      <c r="E186" s="208"/>
      <c r="F186" s="3"/>
      <c r="G186" s="3"/>
      <c r="H186" s="3"/>
      <c r="I186" s="3"/>
      <c r="J186" s="3"/>
      <c r="K186" s="71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.75" customHeight="1">
      <c r="A187" s="3"/>
      <c r="B187" s="3"/>
      <c r="C187" s="3"/>
      <c r="D187" s="3"/>
      <c r="E187" s="208"/>
      <c r="F187" s="3"/>
      <c r="G187" s="3"/>
      <c r="H187" s="3"/>
      <c r="I187" s="3"/>
      <c r="J187" s="3"/>
      <c r="K187" s="71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.75" customHeight="1">
      <c r="A188" s="3"/>
      <c r="B188" s="3"/>
      <c r="C188" s="3"/>
      <c r="D188" s="3"/>
      <c r="E188" s="208"/>
      <c r="F188" s="3"/>
      <c r="G188" s="3"/>
      <c r="H188" s="3"/>
      <c r="I188" s="3"/>
      <c r="J188" s="3"/>
      <c r="K188" s="71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.75" customHeight="1">
      <c r="A189" s="3"/>
      <c r="B189" s="3"/>
      <c r="C189" s="3"/>
      <c r="D189" s="3"/>
      <c r="E189" s="208"/>
      <c r="F189" s="3"/>
      <c r="G189" s="3"/>
      <c r="H189" s="3"/>
      <c r="I189" s="3"/>
      <c r="J189" s="3"/>
      <c r="K189" s="71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.75" customHeight="1">
      <c r="A190" s="3"/>
      <c r="B190" s="3"/>
      <c r="C190" s="3"/>
      <c r="D190" s="3"/>
      <c r="E190" s="208"/>
      <c r="F190" s="3"/>
      <c r="G190" s="3"/>
      <c r="H190" s="3"/>
      <c r="I190" s="3"/>
      <c r="J190" s="3"/>
      <c r="K190" s="71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.75" customHeight="1">
      <c r="A191" s="3"/>
      <c r="B191" s="3"/>
      <c r="C191" s="3"/>
      <c r="D191" s="3"/>
      <c r="E191" s="208"/>
      <c r="F191" s="3"/>
      <c r="G191" s="3"/>
      <c r="H191" s="3"/>
      <c r="I191" s="3"/>
      <c r="J191" s="3"/>
      <c r="K191" s="71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.75" customHeight="1">
      <c r="A192" s="3"/>
      <c r="B192" s="3"/>
      <c r="C192" s="3"/>
      <c r="D192" s="3"/>
      <c r="E192" s="208"/>
      <c r="F192" s="3"/>
      <c r="G192" s="3"/>
      <c r="H192" s="3"/>
      <c r="I192" s="3"/>
      <c r="J192" s="3"/>
      <c r="K192" s="71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.75" customHeight="1">
      <c r="A193" s="3"/>
      <c r="B193" s="3"/>
      <c r="C193" s="3"/>
      <c r="D193" s="3"/>
      <c r="E193" s="208"/>
      <c r="F193" s="3"/>
      <c r="G193" s="3"/>
      <c r="H193" s="3"/>
      <c r="I193" s="3"/>
      <c r="J193" s="3"/>
      <c r="K193" s="71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.75" customHeight="1">
      <c r="A194" s="3"/>
      <c r="B194" s="3"/>
      <c r="C194" s="3"/>
      <c r="D194" s="3"/>
      <c r="E194" s="208"/>
      <c r="F194" s="3"/>
      <c r="G194" s="3"/>
      <c r="H194" s="3"/>
      <c r="I194" s="3"/>
      <c r="J194" s="3"/>
      <c r="K194" s="71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.75" customHeight="1">
      <c r="A195" s="3"/>
      <c r="B195" s="3"/>
      <c r="C195" s="3"/>
      <c r="D195" s="3"/>
      <c r="E195" s="208"/>
      <c r="F195" s="3"/>
      <c r="G195" s="3"/>
      <c r="H195" s="3"/>
      <c r="I195" s="3"/>
      <c r="J195" s="3"/>
      <c r="K195" s="71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.75" customHeight="1">
      <c r="A196" s="3"/>
      <c r="B196" s="3"/>
      <c r="C196" s="3"/>
      <c r="D196" s="3"/>
      <c r="E196" s="208"/>
      <c r="F196" s="3"/>
      <c r="G196" s="3"/>
      <c r="H196" s="3"/>
      <c r="I196" s="3"/>
      <c r="J196" s="3"/>
      <c r="K196" s="71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.75" customHeight="1">
      <c r="A197" s="3"/>
      <c r="B197" s="3"/>
      <c r="C197" s="3"/>
      <c r="D197" s="3"/>
      <c r="E197" s="208"/>
      <c r="F197" s="3"/>
      <c r="G197" s="3"/>
      <c r="H197" s="3"/>
      <c r="I197" s="3"/>
      <c r="J197" s="3"/>
      <c r="K197" s="71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.75" customHeight="1">
      <c r="A198" s="3"/>
      <c r="B198" s="3"/>
      <c r="C198" s="3"/>
      <c r="D198" s="3"/>
      <c r="E198" s="208"/>
      <c r="F198" s="3"/>
      <c r="G198" s="3"/>
      <c r="H198" s="3"/>
      <c r="I198" s="3"/>
      <c r="J198" s="3"/>
      <c r="K198" s="71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.75" customHeight="1">
      <c r="A199" s="3"/>
      <c r="B199" s="3"/>
      <c r="C199" s="3"/>
      <c r="D199" s="3"/>
      <c r="E199" s="208"/>
      <c r="F199" s="3"/>
      <c r="G199" s="3"/>
      <c r="H199" s="3"/>
      <c r="I199" s="3"/>
      <c r="J199" s="3"/>
      <c r="K199" s="71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.75" customHeight="1">
      <c r="A200" s="3"/>
      <c r="B200" s="3"/>
      <c r="C200" s="3"/>
      <c r="D200" s="3"/>
      <c r="E200" s="208"/>
      <c r="F200" s="3"/>
      <c r="G200" s="3"/>
      <c r="H200" s="3"/>
      <c r="I200" s="3"/>
      <c r="J200" s="3"/>
      <c r="K200" s="71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.75" customHeight="1">
      <c r="A201" s="3"/>
      <c r="B201" s="3"/>
      <c r="C201" s="3"/>
      <c r="D201" s="3"/>
      <c r="E201" s="208"/>
      <c r="F201" s="3"/>
      <c r="G201" s="3"/>
      <c r="H201" s="3"/>
      <c r="I201" s="3"/>
      <c r="J201" s="3"/>
      <c r="K201" s="71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.75" customHeight="1">
      <c r="A202" s="3"/>
      <c r="B202" s="3"/>
      <c r="C202" s="3"/>
      <c r="D202" s="3"/>
      <c r="E202" s="208"/>
      <c r="F202" s="3"/>
      <c r="G202" s="3"/>
      <c r="H202" s="3"/>
      <c r="I202" s="3"/>
      <c r="J202" s="3"/>
      <c r="K202" s="71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.75" customHeight="1">
      <c r="A203" s="3"/>
      <c r="B203" s="3"/>
      <c r="C203" s="3"/>
      <c r="D203" s="3"/>
      <c r="E203" s="208"/>
      <c r="F203" s="3"/>
      <c r="G203" s="3"/>
      <c r="H203" s="3"/>
      <c r="I203" s="3"/>
      <c r="J203" s="3"/>
      <c r="K203" s="71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.75" customHeight="1">
      <c r="A204" s="3"/>
      <c r="B204" s="3"/>
      <c r="C204" s="3"/>
      <c r="D204" s="3"/>
      <c r="E204" s="208"/>
      <c r="F204" s="3"/>
      <c r="G204" s="3"/>
      <c r="H204" s="3"/>
      <c r="I204" s="3"/>
      <c r="J204" s="3"/>
      <c r="K204" s="71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.75" customHeight="1">
      <c r="A205" s="3"/>
      <c r="B205" s="3"/>
      <c r="C205" s="3"/>
      <c r="D205" s="3"/>
      <c r="E205" s="208"/>
      <c r="F205" s="3"/>
      <c r="G205" s="3"/>
      <c r="H205" s="3"/>
      <c r="I205" s="3"/>
      <c r="J205" s="3"/>
      <c r="K205" s="71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.75" customHeight="1">
      <c r="A206" s="3"/>
      <c r="B206" s="3"/>
      <c r="C206" s="3"/>
      <c r="D206" s="3"/>
      <c r="E206" s="208"/>
      <c r="F206" s="3"/>
      <c r="G206" s="3"/>
      <c r="H206" s="3"/>
      <c r="I206" s="3"/>
      <c r="J206" s="3"/>
      <c r="K206" s="71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.75" customHeight="1">
      <c r="A207" s="3"/>
      <c r="B207" s="3"/>
      <c r="C207" s="3"/>
      <c r="D207" s="3"/>
      <c r="E207" s="208"/>
      <c r="F207" s="3"/>
      <c r="G207" s="3"/>
      <c r="H207" s="3"/>
      <c r="I207" s="3"/>
      <c r="J207" s="3"/>
      <c r="K207" s="71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.75" customHeight="1">
      <c r="A208" s="3"/>
      <c r="B208" s="3"/>
      <c r="C208" s="3"/>
      <c r="D208" s="3"/>
      <c r="E208" s="208"/>
      <c r="F208" s="3"/>
      <c r="G208" s="3"/>
      <c r="H208" s="3"/>
      <c r="I208" s="3"/>
      <c r="J208" s="3"/>
      <c r="K208" s="71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.75" customHeight="1">
      <c r="A209" s="3"/>
      <c r="B209" s="3"/>
      <c r="C209" s="3"/>
      <c r="D209" s="3"/>
      <c r="E209" s="208"/>
      <c r="F209" s="3"/>
      <c r="G209" s="3"/>
      <c r="H209" s="3"/>
      <c r="I209" s="3"/>
      <c r="J209" s="3"/>
      <c r="K209" s="71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.75" customHeight="1">
      <c r="A210" s="3"/>
      <c r="B210" s="3"/>
      <c r="C210" s="3"/>
      <c r="D210" s="3"/>
      <c r="E210" s="208"/>
      <c r="F210" s="3"/>
      <c r="G210" s="3"/>
      <c r="H210" s="3"/>
      <c r="I210" s="3"/>
      <c r="J210" s="3"/>
      <c r="K210" s="71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.75" customHeight="1">
      <c r="A211" s="3"/>
      <c r="B211" s="3"/>
      <c r="C211" s="3"/>
      <c r="D211" s="3"/>
      <c r="E211" s="208"/>
      <c r="F211" s="3"/>
      <c r="G211" s="3"/>
      <c r="H211" s="3"/>
      <c r="I211" s="3"/>
      <c r="J211" s="3"/>
      <c r="K211" s="71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.75" customHeight="1">
      <c r="A212" s="3"/>
      <c r="B212" s="3"/>
      <c r="C212" s="3"/>
      <c r="D212" s="3"/>
      <c r="E212" s="208"/>
      <c r="F212" s="3"/>
      <c r="G212" s="3"/>
      <c r="H212" s="3"/>
      <c r="I212" s="3"/>
      <c r="J212" s="3"/>
      <c r="K212" s="71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.75" customHeight="1">
      <c r="A213" s="3"/>
      <c r="B213" s="3"/>
      <c r="C213" s="3"/>
      <c r="D213" s="3"/>
      <c r="E213" s="208"/>
      <c r="F213" s="3"/>
      <c r="G213" s="3"/>
      <c r="H213" s="3"/>
      <c r="I213" s="3"/>
      <c r="J213" s="3"/>
      <c r="K213" s="71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.75" customHeight="1">
      <c r="A214" s="3"/>
      <c r="B214" s="3"/>
      <c r="C214" s="3"/>
      <c r="D214" s="3"/>
      <c r="E214" s="208"/>
      <c r="F214" s="3"/>
      <c r="G214" s="3"/>
      <c r="H214" s="3"/>
      <c r="I214" s="3"/>
      <c r="J214" s="3"/>
      <c r="K214" s="71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.75" customHeight="1">
      <c r="A215" s="3"/>
      <c r="B215" s="3"/>
      <c r="C215" s="3"/>
      <c r="D215" s="3"/>
      <c r="E215" s="208"/>
      <c r="F215" s="3"/>
      <c r="G215" s="3"/>
      <c r="H215" s="3"/>
      <c r="I215" s="3"/>
      <c r="J215" s="3"/>
      <c r="K215" s="71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.75" customHeight="1">
      <c r="A216" s="3"/>
      <c r="B216" s="3"/>
      <c r="C216" s="3"/>
      <c r="D216" s="3"/>
      <c r="E216" s="208"/>
      <c r="F216" s="3"/>
      <c r="G216" s="3"/>
      <c r="H216" s="3"/>
      <c r="I216" s="3"/>
      <c r="J216" s="3"/>
      <c r="K216" s="71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.75" customHeight="1">
      <c r="A217" s="3"/>
      <c r="B217" s="3"/>
      <c r="C217" s="3"/>
      <c r="D217" s="3"/>
      <c r="E217" s="208"/>
      <c r="F217" s="3"/>
      <c r="G217" s="3"/>
      <c r="H217" s="3"/>
      <c r="I217" s="3"/>
      <c r="J217" s="3"/>
      <c r="K217" s="71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.75" customHeight="1">
      <c r="A218" s="3"/>
      <c r="B218" s="3"/>
      <c r="C218" s="3"/>
      <c r="D218" s="3"/>
      <c r="E218" s="208"/>
      <c r="F218" s="3"/>
      <c r="G218" s="3"/>
      <c r="H218" s="3"/>
      <c r="I218" s="3"/>
      <c r="J218" s="3"/>
      <c r="K218" s="71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.75" customHeight="1">
      <c r="A219" s="3"/>
      <c r="B219" s="3"/>
      <c r="C219" s="3"/>
      <c r="D219" s="3"/>
      <c r="E219" s="208"/>
      <c r="F219" s="3"/>
      <c r="G219" s="3"/>
      <c r="H219" s="3"/>
      <c r="I219" s="3"/>
      <c r="J219" s="3"/>
      <c r="K219" s="71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.75" customHeight="1">
      <c r="A220" s="3"/>
      <c r="B220" s="3"/>
      <c r="C220" s="3"/>
      <c r="D220" s="3"/>
      <c r="E220" s="208"/>
      <c r="F220" s="3"/>
      <c r="G220" s="3"/>
      <c r="H220" s="3"/>
      <c r="I220" s="3"/>
      <c r="J220" s="3"/>
      <c r="K220" s="71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.75" customHeight="1">
      <c r="A221" s="3"/>
      <c r="B221" s="3"/>
      <c r="C221" s="3"/>
      <c r="D221" s="3"/>
      <c r="E221" s="208"/>
      <c r="F221" s="3"/>
      <c r="G221" s="3"/>
      <c r="H221" s="3"/>
      <c r="I221" s="3"/>
      <c r="J221" s="3"/>
      <c r="K221" s="71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.75" customHeight="1">
      <c r="A222" s="3"/>
      <c r="B222" s="3"/>
      <c r="C222" s="3"/>
      <c r="D222" s="3"/>
      <c r="E222" s="208"/>
      <c r="F222" s="3"/>
      <c r="G222" s="3"/>
      <c r="H222" s="3"/>
      <c r="I222" s="3"/>
      <c r="J222" s="3"/>
      <c r="K222" s="71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.75" customHeight="1">
      <c r="A223" s="3"/>
      <c r="B223" s="3"/>
      <c r="C223" s="3"/>
      <c r="D223" s="3"/>
      <c r="E223" s="208"/>
      <c r="F223" s="3"/>
      <c r="G223" s="3"/>
      <c r="H223" s="3"/>
      <c r="I223" s="3"/>
      <c r="J223" s="3"/>
      <c r="K223" s="71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.75" customHeight="1">
      <c r="A224" s="3"/>
      <c r="B224" s="3"/>
      <c r="C224" s="3"/>
      <c r="D224" s="3"/>
      <c r="E224" s="208"/>
      <c r="F224" s="3"/>
      <c r="G224" s="3"/>
      <c r="H224" s="3"/>
      <c r="I224" s="3"/>
      <c r="J224" s="3"/>
      <c r="K224" s="71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.75" customHeight="1">
      <c r="A225" s="3"/>
      <c r="B225" s="3"/>
      <c r="C225" s="3"/>
      <c r="D225" s="3"/>
      <c r="E225" s="208"/>
      <c r="F225" s="3"/>
      <c r="G225" s="3"/>
      <c r="H225" s="3"/>
      <c r="I225" s="3"/>
      <c r="J225" s="3"/>
      <c r="K225" s="71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.75" customHeight="1">
      <c r="A226" s="3"/>
      <c r="B226" s="3"/>
      <c r="C226" s="3"/>
      <c r="D226" s="3"/>
      <c r="E226" s="208"/>
      <c r="F226" s="3"/>
      <c r="G226" s="3"/>
      <c r="H226" s="3"/>
      <c r="I226" s="3"/>
      <c r="J226" s="3"/>
      <c r="K226" s="71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.75" customHeight="1">
      <c r="A227" s="3"/>
      <c r="B227" s="3"/>
      <c r="C227" s="3"/>
      <c r="D227" s="3"/>
      <c r="E227" s="208"/>
      <c r="F227" s="3"/>
      <c r="G227" s="3"/>
      <c r="H227" s="3"/>
      <c r="I227" s="3"/>
      <c r="J227" s="3"/>
      <c r="K227" s="71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.75" customHeight="1">
      <c r="A228" s="3"/>
      <c r="B228" s="3"/>
      <c r="C228" s="3"/>
      <c r="D228" s="3"/>
      <c r="E228" s="208"/>
      <c r="F228" s="3"/>
      <c r="G228" s="3"/>
      <c r="H228" s="3"/>
      <c r="I228" s="3"/>
      <c r="J228" s="3"/>
      <c r="K228" s="71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.75" customHeight="1">
      <c r="A229" s="3"/>
      <c r="B229" s="3"/>
      <c r="C229" s="3"/>
      <c r="D229" s="3"/>
      <c r="E229" s="208"/>
      <c r="F229" s="3"/>
      <c r="G229" s="3"/>
      <c r="H229" s="3"/>
      <c r="I229" s="3"/>
      <c r="J229" s="3"/>
      <c r="K229" s="71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.75" customHeight="1">
      <c r="A230" s="3"/>
      <c r="B230" s="3"/>
      <c r="C230" s="3"/>
      <c r="D230" s="3"/>
      <c r="E230" s="208"/>
      <c r="F230" s="3"/>
      <c r="G230" s="3"/>
      <c r="H230" s="3"/>
      <c r="I230" s="3"/>
      <c r="J230" s="3"/>
      <c r="K230" s="71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.75" customHeight="1">
      <c r="A231" s="3"/>
      <c r="B231" s="3"/>
      <c r="C231" s="3"/>
      <c r="D231" s="3"/>
      <c r="E231" s="208"/>
      <c r="F231" s="3"/>
      <c r="G231" s="3"/>
      <c r="H231" s="3"/>
      <c r="I231" s="3"/>
      <c r="J231" s="3"/>
      <c r="K231" s="71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.75" customHeight="1">
      <c r="A232" s="3"/>
      <c r="B232" s="3"/>
      <c r="C232" s="3"/>
      <c r="D232" s="3"/>
      <c r="E232" s="208"/>
      <c r="F232" s="3"/>
      <c r="G232" s="3"/>
      <c r="H232" s="3"/>
      <c r="I232" s="3"/>
      <c r="J232" s="3"/>
      <c r="K232" s="71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.75" customHeight="1">
      <c r="A233" s="3"/>
      <c r="B233" s="3"/>
      <c r="C233" s="3"/>
      <c r="D233" s="3"/>
      <c r="E233" s="208"/>
      <c r="F233" s="3"/>
      <c r="G233" s="3"/>
      <c r="H233" s="3"/>
      <c r="I233" s="3"/>
      <c r="J233" s="3"/>
      <c r="K233" s="71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.75" customHeight="1">
      <c r="A234" s="3"/>
      <c r="B234" s="3"/>
      <c r="C234" s="3"/>
      <c r="D234" s="3"/>
      <c r="E234" s="208"/>
      <c r="F234" s="3"/>
      <c r="G234" s="3"/>
      <c r="H234" s="3"/>
      <c r="I234" s="3"/>
      <c r="J234" s="3"/>
      <c r="K234" s="71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.75" customHeight="1">
      <c r="A235" s="3"/>
      <c r="B235" s="3"/>
      <c r="C235" s="3"/>
      <c r="D235" s="3"/>
      <c r="E235" s="208"/>
      <c r="F235" s="3"/>
      <c r="G235" s="3"/>
      <c r="H235" s="3"/>
      <c r="I235" s="3"/>
      <c r="J235" s="3"/>
      <c r="K235" s="71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.75" customHeight="1">
      <c r="A236" s="3"/>
      <c r="B236" s="3"/>
      <c r="C236" s="3"/>
      <c r="D236" s="3"/>
      <c r="E236" s="208"/>
      <c r="F236" s="3"/>
      <c r="G236" s="3"/>
      <c r="H236" s="3"/>
      <c r="I236" s="3"/>
      <c r="J236" s="3"/>
      <c r="K236" s="71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.75" customHeight="1">
      <c r="A237" s="3"/>
      <c r="B237" s="3"/>
      <c r="C237" s="3"/>
      <c r="D237" s="3"/>
      <c r="E237" s="208"/>
      <c r="F237" s="3"/>
      <c r="G237" s="3"/>
      <c r="H237" s="3"/>
      <c r="I237" s="3"/>
      <c r="J237" s="3"/>
      <c r="K237" s="71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.75" customHeight="1">
      <c r="A238" s="3"/>
      <c r="B238" s="3"/>
      <c r="C238" s="3"/>
      <c r="D238" s="3"/>
      <c r="E238" s="208"/>
      <c r="F238" s="3"/>
      <c r="G238" s="3"/>
      <c r="H238" s="3"/>
      <c r="I238" s="3"/>
      <c r="J238" s="3"/>
      <c r="K238" s="71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.75" customHeight="1">
      <c r="A239" s="3"/>
      <c r="B239" s="3"/>
      <c r="C239" s="3"/>
      <c r="D239" s="3"/>
      <c r="E239" s="208"/>
      <c r="F239" s="3"/>
      <c r="G239" s="3"/>
      <c r="H239" s="3"/>
      <c r="I239" s="3"/>
      <c r="J239" s="3"/>
      <c r="K239" s="71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.75" customHeight="1">
      <c r="A240" s="3"/>
      <c r="B240" s="3"/>
      <c r="C240" s="3"/>
      <c r="D240" s="3"/>
      <c r="E240" s="208"/>
      <c r="F240" s="3"/>
      <c r="G240" s="3"/>
      <c r="H240" s="3"/>
      <c r="I240" s="3"/>
      <c r="J240" s="3"/>
      <c r="K240" s="71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.75" customHeight="1">
      <c r="A241" s="3"/>
      <c r="B241" s="3"/>
      <c r="C241" s="3"/>
      <c r="D241" s="3"/>
      <c r="E241" s="208"/>
      <c r="F241" s="3"/>
      <c r="G241" s="3"/>
      <c r="H241" s="3"/>
      <c r="I241" s="3"/>
      <c r="J241" s="3"/>
      <c r="K241" s="71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.75" customHeight="1">
      <c r="A242" s="3"/>
      <c r="B242" s="3"/>
      <c r="C242" s="3"/>
      <c r="D242" s="3"/>
      <c r="E242" s="208"/>
      <c r="F242" s="3"/>
      <c r="G242" s="3"/>
      <c r="H242" s="3"/>
      <c r="I242" s="3"/>
      <c r="J242" s="3"/>
      <c r="K242" s="71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.75" customHeight="1">
      <c r="A243" s="3"/>
      <c r="B243" s="3"/>
      <c r="C243" s="3"/>
      <c r="D243" s="3"/>
      <c r="E243" s="208"/>
      <c r="F243" s="3"/>
      <c r="G243" s="3"/>
      <c r="H243" s="3"/>
      <c r="I243" s="3"/>
      <c r="J243" s="3"/>
      <c r="K243" s="71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.75" customHeight="1">
      <c r="A244" s="3"/>
      <c r="B244" s="3"/>
      <c r="C244" s="3"/>
      <c r="D244" s="3"/>
      <c r="E244" s="208"/>
      <c r="F244" s="3"/>
      <c r="G244" s="3"/>
      <c r="H244" s="3"/>
      <c r="I244" s="3"/>
      <c r="J244" s="3"/>
      <c r="K244" s="71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.75" customHeight="1">
      <c r="A245" s="3"/>
      <c r="B245" s="3"/>
      <c r="C245" s="3"/>
      <c r="D245" s="3"/>
      <c r="E245" s="208"/>
      <c r="F245" s="3"/>
      <c r="G245" s="3"/>
      <c r="H245" s="3"/>
      <c r="I245" s="3"/>
      <c r="J245" s="3"/>
      <c r="K245" s="71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.75" customHeight="1">
      <c r="A246" s="3"/>
      <c r="B246" s="3"/>
      <c r="C246" s="3"/>
      <c r="D246" s="3"/>
      <c r="E246" s="208"/>
      <c r="F246" s="3"/>
      <c r="G246" s="3"/>
      <c r="H246" s="3"/>
      <c r="I246" s="3"/>
      <c r="J246" s="3"/>
      <c r="K246" s="71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.75" customHeight="1">
      <c r="A247" s="3"/>
      <c r="B247" s="3"/>
      <c r="C247" s="3"/>
      <c r="D247" s="3"/>
      <c r="E247" s="208"/>
      <c r="F247" s="3"/>
      <c r="G247" s="3"/>
      <c r="H247" s="3"/>
      <c r="I247" s="3"/>
      <c r="J247" s="3"/>
      <c r="K247" s="71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.75" customHeight="1">
      <c r="A248" s="3"/>
      <c r="B248" s="3"/>
      <c r="C248" s="3"/>
      <c r="D248" s="3"/>
      <c r="E248" s="208"/>
      <c r="F248" s="3"/>
      <c r="G248" s="3"/>
      <c r="H248" s="3"/>
      <c r="I248" s="3"/>
      <c r="J248" s="3"/>
      <c r="K248" s="71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.75" customHeight="1">
      <c r="A249" s="3"/>
      <c r="B249" s="3"/>
      <c r="C249" s="3"/>
      <c r="D249" s="3"/>
      <c r="E249" s="208"/>
      <c r="F249" s="3"/>
      <c r="G249" s="3"/>
      <c r="H249" s="3"/>
      <c r="I249" s="3"/>
      <c r="J249" s="3"/>
      <c r="K249" s="71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.75" customHeight="1">
      <c r="A250" s="3"/>
      <c r="B250" s="3"/>
      <c r="C250" s="3"/>
      <c r="D250" s="3"/>
      <c r="E250" s="208"/>
      <c r="F250" s="3"/>
      <c r="G250" s="3"/>
      <c r="H250" s="3"/>
      <c r="I250" s="3"/>
      <c r="J250" s="3"/>
      <c r="K250" s="71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.75" customHeight="1">
      <c r="A251" s="3"/>
      <c r="B251" s="3"/>
      <c r="C251" s="3"/>
      <c r="D251" s="3"/>
      <c r="E251" s="208"/>
      <c r="F251" s="3"/>
      <c r="G251" s="3"/>
      <c r="H251" s="3"/>
      <c r="I251" s="3"/>
      <c r="J251" s="3"/>
      <c r="K251" s="71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.75" customHeight="1">
      <c r="A252" s="3"/>
      <c r="B252" s="3"/>
      <c r="C252" s="3"/>
      <c r="D252" s="3"/>
      <c r="E252" s="208"/>
      <c r="F252" s="3"/>
      <c r="G252" s="3"/>
      <c r="H252" s="3"/>
      <c r="I252" s="3"/>
      <c r="J252" s="3"/>
      <c r="K252" s="71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.75" customHeight="1">
      <c r="A253" s="3"/>
      <c r="B253" s="3"/>
      <c r="C253" s="3"/>
      <c r="D253" s="3"/>
      <c r="E253" s="208"/>
      <c r="F253" s="3"/>
      <c r="G253" s="3"/>
      <c r="H253" s="3"/>
      <c r="I253" s="3"/>
      <c r="J253" s="3"/>
      <c r="K253" s="71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.75" customHeight="1">
      <c r="A254" s="3"/>
      <c r="B254" s="3"/>
      <c r="C254" s="3"/>
      <c r="D254" s="3"/>
      <c r="E254" s="208"/>
      <c r="F254" s="3"/>
      <c r="G254" s="3"/>
      <c r="H254" s="3"/>
      <c r="I254" s="3"/>
      <c r="J254" s="3"/>
      <c r="K254" s="71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.75" customHeight="1">
      <c r="A255" s="3"/>
      <c r="B255" s="3"/>
      <c r="C255" s="3"/>
      <c r="D255" s="3"/>
      <c r="E255" s="208"/>
      <c r="F255" s="3"/>
      <c r="G255" s="3"/>
      <c r="H255" s="3"/>
      <c r="I255" s="3"/>
      <c r="J255" s="3"/>
      <c r="K255" s="71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.75" customHeight="1">
      <c r="A256" s="3"/>
      <c r="B256" s="3"/>
      <c r="C256" s="3"/>
      <c r="D256" s="3"/>
      <c r="E256" s="208"/>
      <c r="F256" s="3"/>
      <c r="G256" s="3"/>
      <c r="H256" s="3"/>
      <c r="I256" s="3"/>
      <c r="J256" s="3"/>
      <c r="K256" s="71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.75" customHeight="1">
      <c r="A257" s="3"/>
      <c r="B257" s="3"/>
      <c r="C257" s="3"/>
      <c r="D257" s="3"/>
      <c r="E257" s="208"/>
      <c r="F257" s="3"/>
      <c r="G257" s="3"/>
      <c r="H257" s="3"/>
      <c r="I257" s="3"/>
      <c r="J257" s="3"/>
      <c r="K257" s="71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.75" customHeight="1">
      <c r="A258" s="3"/>
      <c r="B258" s="3"/>
      <c r="C258" s="3"/>
      <c r="D258" s="3"/>
      <c r="E258" s="208"/>
      <c r="F258" s="3"/>
      <c r="G258" s="3"/>
      <c r="H258" s="3"/>
      <c r="I258" s="3"/>
      <c r="J258" s="3"/>
      <c r="K258" s="71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.75" customHeight="1">
      <c r="A259" s="3"/>
      <c r="B259" s="3"/>
      <c r="C259" s="3"/>
      <c r="D259" s="3"/>
      <c r="E259" s="208"/>
      <c r="F259" s="3"/>
      <c r="G259" s="3"/>
      <c r="H259" s="3"/>
      <c r="I259" s="3"/>
      <c r="J259" s="3"/>
      <c r="K259" s="71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.75" customHeight="1">
      <c r="A260" s="3"/>
      <c r="B260" s="3"/>
      <c r="C260" s="3"/>
      <c r="D260" s="3"/>
      <c r="E260" s="208"/>
      <c r="F260" s="3"/>
      <c r="G260" s="3"/>
      <c r="H260" s="3"/>
      <c r="I260" s="3"/>
      <c r="J260" s="3"/>
      <c r="K260" s="71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.75" customHeight="1">
      <c r="A261" s="3"/>
      <c r="B261" s="3"/>
      <c r="C261" s="3"/>
      <c r="D261" s="3"/>
      <c r="E261" s="208"/>
      <c r="F261" s="3"/>
      <c r="G261" s="3"/>
      <c r="H261" s="3"/>
      <c r="I261" s="3"/>
      <c r="J261" s="3"/>
      <c r="K261" s="71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.75" customHeight="1">
      <c r="A262" s="3"/>
      <c r="B262" s="3"/>
      <c r="C262" s="3"/>
      <c r="D262" s="3"/>
      <c r="E262" s="208"/>
      <c r="F262" s="3"/>
      <c r="G262" s="3"/>
      <c r="H262" s="3"/>
      <c r="I262" s="3"/>
      <c r="J262" s="3"/>
      <c r="K262" s="71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.75" customHeight="1">
      <c r="A263" s="3"/>
      <c r="B263" s="3"/>
      <c r="C263" s="3"/>
      <c r="D263" s="3"/>
      <c r="E263" s="208"/>
      <c r="F263" s="3"/>
      <c r="G263" s="3"/>
      <c r="H263" s="3"/>
      <c r="I263" s="3"/>
      <c r="J263" s="3"/>
      <c r="K263" s="71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.75" customHeight="1">
      <c r="A264" s="3"/>
      <c r="B264" s="3"/>
      <c r="C264" s="3"/>
      <c r="D264" s="3"/>
      <c r="E264" s="208"/>
      <c r="F264" s="3"/>
      <c r="G264" s="3"/>
      <c r="H264" s="3"/>
      <c r="I264" s="3"/>
      <c r="J264" s="3"/>
      <c r="K264" s="71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.75" customHeight="1">
      <c r="A265" s="3"/>
      <c r="B265" s="3"/>
      <c r="C265" s="3"/>
      <c r="D265" s="3"/>
      <c r="E265" s="208"/>
      <c r="F265" s="3"/>
      <c r="G265" s="3"/>
      <c r="H265" s="3"/>
      <c r="I265" s="3"/>
      <c r="J265" s="3"/>
      <c r="K265" s="71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.75" customHeight="1">
      <c r="A266" s="3"/>
      <c r="B266" s="3"/>
      <c r="C266" s="3"/>
      <c r="D266" s="3"/>
      <c r="E266" s="208"/>
      <c r="F266" s="3"/>
      <c r="G266" s="3"/>
      <c r="H266" s="3"/>
      <c r="I266" s="3"/>
      <c r="J266" s="3"/>
      <c r="K266" s="71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.75" customHeight="1">
      <c r="A267" s="3"/>
      <c r="B267" s="3"/>
      <c r="C267" s="3"/>
      <c r="D267" s="3"/>
      <c r="E267" s="208"/>
      <c r="F267" s="3"/>
      <c r="G267" s="3"/>
      <c r="H267" s="3"/>
      <c r="I267" s="3"/>
      <c r="J267" s="3"/>
      <c r="K267" s="71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.75" customHeight="1">
      <c r="A268" s="3"/>
      <c r="B268" s="3"/>
      <c r="C268" s="3"/>
      <c r="D268" s="3"/>
      <c r="E268" s="208"/>
      <c r="F268" s="3"/>
      <c r="G268" s="3"/>
      <c r="H268" s="3"/>
      <c r="I268" s="3"/>
      <c r="J268" s="3"/>
      <c r="K268" s="71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.75" customHeight="1">
      <c r="A269" s="3"/>
      <c r="B269" s="3"/>
      <c r="C269" s="3"/>
      <c r="D269" s="3"/>
      <c r="E269" s="208"/>
      <c r="F269" s="3"/>
      <c r="G269" s="3"/>
      <c r="H269" s="3"/>
      <c r="I269" s="3"/>
      <c r="J269" s="3"/>
      <c r="K269" s="71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.75" customHeight="1">
      <c r="A270" s="3"/>
      <c r="B270" s="3"/>
      <c r="C270" s="3"/>
      <c r="D270" s="3"/>
      <c r="E270" s="208"/>
      <c r="F270" s="3"/>
      <c r="G270" s="3"/>
      <c r="H270" s="3"/>
      <c r="I270" s="3"/>
      <c r="J270" s="3"/>
      <c r="K270" s="71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.75" customHeight="1">
      <c r="A271" s="3"/>
      <c r="B271" s="3"/>
      <c r="C271" s="3"/>
      <c r="D271" s="3"/>
      <c r="E271" s="208"/>
      <c r="F271" s="3"/>
      <c r="G271" s="3"/>
      <c r="H271" s="3"/>
      <c r="I271" s="3"/>
      <c r="J271" s="3"/>
      <c r="K271" s="71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.75" customHeight="1">
      <c r="A272" s="3"/>
      <c r="B272" s="3"/>
      <c r="C272" s="3"/>
      <c r="D272" s="3"/>
      <c r="E272" s="208"/>
      <c r="F272" s="3"/>
      <c r="G272" s="3"/>
      <c r="H272" s="3"/>
      <c r="I272" s="3"/>
      <c r="J272" s="3"/>
      <c r="K272" s="71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.75" customHeight="1">
      <c r="A273" s="3"/>
      <c r="B273" s="3"/>
      <c r="C273" s="3"/>
      <c r="D273" s="3"/>
      <c r="E273" s="208"/>
      <c r="F273" s="3"/>
      <c r="G273" s="3"/>
      <c r="H273" s="3"/>
      <c r="I273" s="3"/>
      <c r="J273" s="3"/>
      <c r="K273" s="71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.75" customHeight="1">
      <c r="A274" s="3"/>
      <c r="B274" s="3"/>
      <c r="C274" s="3"/>
      <c r="D274" s="3"/>
      <c r="E274" s="208"/>
      <c r="F274" s="3"/>
      <c r="G274" s="3"/>
      <c r="H274" s="3"/>
      <c r="I274" s="3"/>
      <c r="J274" s="3"/>
      <c r="K274" s="71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.75" customHeight="1">
      <c r="A275" s="3"/>
      <c r="B275" s="3"/>
      <c r="C275" s="3"/>
      <c r="D275" s="3"/>
      <c r="E275" s="208"/>
      <c r="F275" s="3"/>
      <c r="G275" s="3"/>
      <c r="H275" s="3"/>
      <c r="I275" s="3"/>
      <c r="J275" s="3"/>
      <c r="K275" s="71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.75" customHeight="1">
      <c r="A276" s="3"/>
      <c r="B276" s="3"/>
      <c r="C276" s="3"/>
      <c r="D276" s="3"/>
      <c r="E276" s="208"/>
      <c r="F276" s="3"/>
      <c r="G276" s="3"/>
      <c r="H276" s="3"/>
      <c r="I276" s="3"/>
      <c r="J276" s="3"/>
      <c r="K276" s="71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.75" customHeight="1">
      <c r="A277" s="3"/>
      <c r="B277" s="3"/>
      <c r="C277" s="3"/>
      <c r="D277" s="3"/>
      <c r="E277" s="208"/>
      <c r="F277" s="3"/>
      <c r="G277" s="3"/>
      <c r="H277" s="3"/>
      <c r="I277" s="3"/>
      <c r="J277" s="3"/>
      <c r="K277" s="71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.75" customHeight="1">
      <c r="A278" s="3"/>
      <c r="B278" s="3"/>
      <c r="C278" s="3"/>
      <c r="D278" s="3"/>
      <c r="E278" s="208"/>
      <c r="F278" s="3"/>
      <c r="G278" s="3"/>
      <c r="H278" s="3"/>
      <c r="I278" s="3"/>
      <c r="J278" s="3"/>
      <c r="K278" s="71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.75" customHeight="1">
      <c r="A279" s="3"/>
      <c r="B279" s="3"/>
      <c r="C279" s="3"/>
      <c r="D279" s="3"/>
      <c r="E279" s="208"/>
      <c r="F279" s="3"/>
      <c r="G279" s="3"/>
      <c r="H279" s="3"/>
      <c r="I279" s="3"/>
      <c r="J279" s="3"/>
      <c r="K279" s="71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.75" customHeight="1">
      <c r="A280" s="3"/>
      <c r="B280" s="3"/>
      <c r="C280" s="3"/>
      <c r="D280" s="3"/>
      <c r="E280" s="208"/>
      <c r="F280" s="3"/>
      <c r="G280" s="3"/>
      <c r="H280" s="3"/>
      <c r="I280" s="3"/>
      <c r="J280" s="3"/>
      <c r="K280" s="71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.75" customHeight="1">
      <c r="A281" s="3"/>
      <c r="B281" s="3"/>
      <c r="C281" s="3"/>
      <c r="D281" s="3"/>
      <c r="E281" s="208"/>
      <c r="F281" s="3"/>
      <c r="G281" s="3"/>
      <c r="H281" s="3"/>
      <c r="I281" s="3"/>
      <c r="J281" s="3"/>
      <c r="K281" s="71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.75" customHeight="1">
      <c r="A282" s="3"/>
      <c r="B282" s="3"/>
      <c r="C282" s="3"/>
      <c r="D282" s="3"/>
      <c r="E282" s="208"/>
      <c r="F282" s="3"/>
      <c r="G282" s="3"/>
      <c r="H282" s="3"/>
      <c r="I282" s="3"/>
      <c r="J282" s="3"/>
      <c r="K282" s="71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.75" customHeight="1">
      <c r="A283" s="3"/>
      <c r="B283" s="3"/>
      <c r="C283" s="3"/>
      <c r="D283" s="3"/>
      <c r="E283" s="208"/>
      <c r="F283" s="3"/>
      <c r="G283" s="3"/>
      <c r="H283" s="3"/>
      <c r="I283" s="3"/>
      <c r="J283" s="3"/>
      <c r="K283" s="71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.75" customHeight="1">
      <c r="A284" s="3"/>
      <c r="B284" s="3"/>
      <c r="C284" s="3"/>
      <c r="D284" s="3"/>
      <c r="E284" s="208"/>
      <c r="F284" s="3"/>
      <c r="G284" s="3"/>
      <c r="H284" s="3"/>
      <c r="I284" s="3"/>
      <c r="J284" s="3"/>
      <c r="K284" s="71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.75" customHeight="1">
      <c r="A285" s="3"/>
      <c r="B285" s="3"/>
      <c r="C285" s="3"/>
      <c r="D285" s="3"/>
      <c r="E285" s="208"/>
      <c r="F285" s="3"/>
      <c r="G285" s="3"/>
      <c r="H285" s="3"/>
      <c r="I285" s="3"/>
      <c r="J285" s="3"/>
      <c r="K285" s="71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.75" customHeight="1">
      <c r="A286" s="3"/>
      <c r="B286" s="3"/>
      <c r="C286" s="3"/>
      <c r="D286" s="3"/>
      <c r="E286" s="208"/>
      <c r="F286" s="3"/>
      <c r="G286" s="3"/>
      <c r="H286" s="3"/>
      <c r="I286" s="3"/>
      <c r="J286" s="3"/>
      <c r="K286" s="71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.75" customHeight="1">
      <c r="A287" s="3"/>
      <c r="B287" s="3"/>
      <c r="C287" s="3"/>
      <c r="D287" s="3"/>
      <c r="E287" s="208"/>
      <c r="F287" s="3"/>
      <c r="G287" s="3"/>
      <c r="H287" s="3"/>
      <c r="I287" s="3"/>
      <c r="J287" s="3"/>
      <c r="K287" s="71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.75" customHeight="1">
      <c r="A288" s="3"/>
      <c r="B288" s="3"/>
      <c r="C288" s="3"/>
      <c r="D288" s="3"/>
      <c r="E288" s="208"/>
      <c r="F288" s="3"/>
      <c r="G288" s="3"/>
      <c r="H288" s="3"/>
      <c r="I288" s="3"/>
      <c r="J288" s="3"/>
      <c r="K288" s="71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.75" customHeight="1">
      <c r="A289" s="3"/>
      <c r="B289" s="3"/>
      <c r="C289" s="3"/>
      <c r="D289" s="3"/>
      <c r="E289" s="208"/>
      <c r="F289" s="3"/>
      <c r="G289" s="3"/>
      <c r="H289" s="3"/>
      <c r="I289" s="3"/>
      <c r="J289" s="3"/>
      <c r="K289" s="71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.75" customHeight="1">
      <c r="A290" s="3"/>
      <c r="B290" s="3"/>
      <c r="C290" s="3"/>
      <c r="D290" s="3"/>
      <c r="E290" s="208"/>
      <c r="F290" s="3"/>
      <c r="G290" s="3"/>
      <c r="H290" s="3"/>
      <c r="I290" s="3"/>
      <c r="J290" s="3"/>
      <c r="K290" s="71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.75" customHeight="1">
      <c r="A291" s="3"/>
      <c r="B291" s="3"/>
      <c r="C291" s="3"/>
      <c r="D291" s="3"/>
      <c r="E291" s="208"/>
      <c r="F291" s="3"/>
      <c r="G291" s="3"/>
      <c r="H291" s="3"/>
      <c r="I291" s="3"/>
      <c r="J291" s="3"/>
      <c r="K291" s="71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.75" customHeight="1">
      <c r="A292" s="3"/>
      <c r="B292" s="3"/>
      <c r="C292" s="3"/>
      <c r="D292" s="3"/>
      <c r="E292" s="208"/>
      <c r="F292" s="3"/>
      <c r="G292" s="3"/>
      <c r="H292" s="3"/>
      <c r="I292" s="3"/>
      <c r="J292" s="3"/>
      <c r="K292" s="71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.75" customHeight="1">
      <c r="A293" s="3"/>
      <c r="B293" s="3"/>
      <c r="C293" s="3"/>
      <c r="D293" s="3"/>
      <c r="E293" s="208"/>
      <c r="F293" s="3"/>
      <c r="G293" s="3"/>
      <c r="H293" s="3"/>
      <c r="I293" s="3"/>
      <c r="J293" s="3"/>
      <c r="K293" s="71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.75" customHeight="1">
      <c r="A294" s="3"/>
      <c r="B294" s="3"/>
      <c r="C294" s="3"/>
      <c r="D294" s="3"/>
      <c r="E294" s="208"/>
      <c r="F294" s="3"/>
      <c r="G294" s="3"/>
      <c r="H294" s="3"/>
      <c r="I294" s="3"/>
      <c r="J294" s="3"/>
      <c r="K294" s="71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.75" customHeight="1">
      <c r="A295" s="3"/>
      <c r="B295" s="3"/>
      <c r="C295" s="3"/>
      <c r="D295" s="3"/>
      <c r="E295" s="208"/>
      <c r="F295" s="3"/>
      <c r="G295" s="3"/>
      <c r="H295" s="3"/>
      <c r="I295" s="3"/>
      <c r="J295" s="3"/>
      <c r="K295" s="71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.75" customHeight="1">
      <c r="A296" s="3"/>
      <c r="B296" s="3"/>
      <c r="C296" s="3"/>
      <c r="D296" s="3"/>
      <c r="E296" s="208"/>
      <c r="F296" s="3"/>
      <c r="G296" s="3"/>
      <c r="H296" s="3"/>
      <c r="I296" s="3"/>
      <c r="J296" s="3"/>
      <c r="K296" s="71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.75" customHeight="1">
      <c r="A297" s="3"/>
      <c r="B297" s="3"/>
      <c r="C297" s="3"/>
      <c r="D297" s="3"/>
      <c r="E297" s="208"/>
      <c r="F297" s="3"/>
      <c r="G297" s="3"/>
      <c r="H297" s="3"/>
      <c r="I297" s="3"/>
      <c r="J297" s="3"/>
      <c r="K297" s="71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.75" customHeight="1">
      <c r="A298" s="3"/>
      <c r="B298" s="3"/>
      <c r="C298" s="3"/>
      <c r="D298" s="3"/>
      <c r="E298" s="208"/>
      <c r="F298" s="3"/>
      <c r="G298" s="3"/>
      <c r="H298" s="3"/>
      <c r="I298" s="3"/>
      <c r="J298" s="3"/>
      <c r="K298" s="71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.75" customHeight="1">
      <c r="A299" s="3"/>
      <c r="B299" s="3"/>
      <c r="C299" s="3"/>
      <c r="D299" s="3"/>
      <c r="E299" s="208"/>
      <c r="F299" s="3"/>
      <c r="G299" s="3"/>
      <c r="H299" s="3"/>
      <c r="I299" s="3"/>
      <c r="J299" s="3"/>
      <c r="K299" s="71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.75" customHeight="1">
      <c r="A300" s="3"/>
      <c r="B300" s="3"/>
      <c r="C300" s="3"/>
      <c r="D300" s="3"/>
      <c r="E300" s="208"/>
      <c r="F300" s="3"/>
      <c r="G300" s="3"/>
      <c r="H300" s="3"/>
      <c r="I300" s="3"/>
      <c r="J300" s="3"/>
      <c r="K300" s="71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.75" customHeight="1">
      <c r="A301" s="3"/>
      <c r="B301" s="3"/>
      <c r="C301" s="3"/>
      <c r="D301" s="3"/>
      <c r="E301" s="208"/>
      <c r="F301" s="3"/>
      <c r="G301" s="3"/>
      <c r="H301" s="3"/>
      <c r="I301" s="3"/>
      <c r="J301" s="3"/>
      <c r="K301" s="71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.75" customHeight="1">
      <c r="A302" s="3"/>
      <c r="B302" s="3"/>
      <c r="C302" s="3"/>
      <c r="D302" s="3"/>
      <c r="E302" s="208"/>
      <c r="F302" s="3"/>
      <c r="G302" s="3"/>
      <c r="H302" s="3"/>
      <c r="I302" s="3"/>
      <c r="J302" s="3"/>
      <c r="K302" s="71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.75" customHeight="1">
      <c r="A303" s="3"/>
      <c r="B303" s="3"/>
      <c r="C303" s="3"/>
      <c r="D303" s="3"/>
      <c r="E303" s="208"/>
      <c r="F303" s="3"/>
      <c r="G303" s="3"/>
      <c r="H303" s="3"/>
      <c r="I303" s="3"/>
      <c r="J303" s="3"/>
      <c r="K303" s="71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.75" customHeight="1">
      <c r="A304" s="3"/>
      <c r="B304" s="3"/>
      <c r="C304" s="3"/>
      <c r="D304" s="3"/>
      <c r="E304" s="208"/>
      <c r="F304" s="3"/>
      <c r="G304" s="3"/>
      <c r="H304" s="3"/>
      <c r="I304" s="3"/>
      <c r="J304" s="3"/>
      <c r="K304" s="71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.75" customHeight="1">
      <c r="A305" s="3"/>
      <c r="B305" s="3"/>
      <c r="C305" s="3"/>
      <c r="D305" s="3"/>
      <c r="E305" s="208"/>
      <c r="F305" s="3"/>
      <c r="G305" s="3"/>
      <c r="H305" s="3"/>
      <c r="I305" s="3"/>
      <c r="J305" s="3"/>
      <c r="K305" s="71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.75" customHeight="1">
      <c r="A306" s="3"/>
      <c r="B306" s="3"/>
      <c r="C306" s="3"/>
      <c r="D306" s="3"/>
      <c r="E306" s="208"/>
      <c r="F306" s="3"/>
      <c r="G306" s="3"/>
      <c r="H306" s="3"/>
      <c r="I306" s="3"/>
      <c r="J306" s="3"/>
      <c r="K306" s="71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.75" customHeight="1">
      <c r="A307" s="3"/>
      <c r="B307" s="3"/>
      <c r="C307" s="3"/>
      <c r="D307" s="3"/>
      <c r="E307" s="208"/>
      <c r="F307" s="3"/>
      <c r="G307" s="3"/>
      <c r="H307" s="3"/>
      <c r="I307" s="3"/>
      <c r="J307" s="3"/>
      <c r="K307" s="71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.75" customHeight="1">
      <c r="A308" s="3"/>
      <c r="B308" s="3"/>
      <c r="C308" s="3"/>
      <c r="D308" s="3"/>
      <c r="E308" s="208"/>
      <c r="F308" s="3"/>
      <c r="G308" s="3"/>
      <c r="H308" s="3"/>
      <c r="I308" s="3"/>
      <c r="J308" s="3"/>
      <c r="K308" s="71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.75" customHeight="1">
      <c r="A309" s="3"/>
      <c r="B309" s="3"/>
      <c r="C309" s="3"/>
      <c r="D309" s="3"/>
      <c r="E309" s="208"/>
      <c r="F309" s="3"/>
      <c r="G309" s="3"/>
      <c r="H309" s="3"/>
      <c r="I309" s="3"/>
      <c r="J309" s="3"/>
      <c r="K309" s="71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.75" customHeight="1">
      <c r="A310" s="3"/>
      <c r="B310" s="3"/>
      <c r="C310" s="3"/>
      <c r="D310" s="3"/>
      <c r="E310" s="208"/>
      <c r="F310" s="3"/>
      <c r="G310" s="3"/>
      <c r="H310" s="3"/>
      <c r="I310" s="3"/>
      <c r="J310" s="3"/>
      <c r="K310" s="71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.75" customHeight="1">
      <c r="A311" s="3"/>
      <c r="B311" s="3"/>
      <c r="C311" s="3"/>
      <c r="D311" s="3"/>
      <c r="E311" s="208"/>
      <c r="F311" s="3"/>
      <c r="G311" s="3"/>
      <c r="H311" s="3"/>
      <c r="I311" s="3"/>
      <c r="J311" s="3"/>
      <c r="K311" s="71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.75" customHeight="1">
      <c r="A312" s="3"/>
      <c r="B312" s="3"/>
      <c r="C312" s="3"/>
      <c r="D312" s="3"/>
      <c r="E312" s="208"/>
      <c r="F312" s="3"/>
      <c r="G312" s="3"/>
      <c r="H312" s="3"/>
      <c r="I312" s="3"/>
      <c r="J312" s="3"/>
      <c r="K312" s="71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.75" customHeight="1">
      <c r="A313" s="3"/>
      <c r="B313" s="3"/>
      <c r="C313" s="3"/>
      <c r="D313" s="3"/>
      <c r="E313" s="208"/>
      <c r="F313" s="3"/>
      <c r="G313" s="3"/>
      <c r="H313" s="3"/>
      <c r="I313" s="3"/>
      <c r="J313" s="3"/>
      <c r="K313" s="71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.75" customHeight="1">
      <c r="A314" s="3"/>
      <c r="B314" s="3"/>
      <c r="C314" s="3"/>
      <c r="D314" s="3"/>
      <c r="E314" s="208"/>
      <c r="F314" s="3"/>
      <c r="G314" s="3"/>
      <c r="H314" s="3"/>
      <c r="I314" s="3"/>
      <c r="J314" s="3"/>
      <c r="K314" s="71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.75" customHeight="1">
      <c r="A315" s="3"/>
      <c r="B315" s="3"/>
      <c r="C315" s="3"/>
      <c r="D315" s="3"/>
      <c r="E315" s="208"/>
      <c r="F315" s="3"/>
      <c r="G315" s="3"/>
      <c r="H315" s="3"/>
      <c r="I315" s="3"/>
      <c r="J315" s="3"/>
      <c r="K315" s="71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.75" customHeight="1">
      <c r="A316" s="3"/>
      <c r="B316" s="3"/>
      <c r="C316" s="3"/>
      <c r="D316" s="3"/>
      <c r="E316" s="208"/>
      <c r="F316" s="3"/>
      <c r="G316" s="3"/>
      <c r="H316" s="3"/>
      <c r="I316" s="3"/>
      <c r="J316" s="3"/>
      <c r="K316" s="71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.75" customHeight="1">
      <c r="A317" s="3"/>
      <c r="B317" s="3"/>
      <c r="C317" s="3"/>
      <c r="D317" s="3"/>
      <c r="E317" s="208"/>
      <c r="F317" s="3"/>
      <c r="G317" s="3"/>
      <c r="H317" s="3"/>
      <c r="I317" s="3"/>
      <c r="J317" s="3"/>
      <c r="K317" s="71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.75" customHeight="1">
      <c r="A318" s="3"/>
      <c r="B318" s="3"/>
      <c r="C318" s="3"/>
      <c r="D318" s="3"/>
      <c r="E318" s="208"/>
      <c r="F318" s="3"/>
      <c r="G318" s="3"/>
      <c r="H318" s="3"/>
      <c r="I318" s="3"/>
      <c r="J318" s="3"/>
      <c r="K318" s="71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.75" customHeight="1">
      <c r="A319" s="3"/>
      <c r="B319" s="3"/>
      <c r="C319" s="3"/>
      <c r="D319" s="3"/>
      <c r="E319" s="208"/>
      <c r="F319" s="3"/>
      <c r="G319" s="3"/>
      <c r="H319" s="3"/>
      <c r="I319" s="3"/>
      <c r="J319" s="3"/>
      <c r="K319" s="71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.75" customHeight="1">
      <c r="A320" s="3"/>
      <c r="B320" s="3"/>
      <c r="C320" s="3"/>
      <c r="D320" s="3"/>
      <c r="E320" s="208"/>
      <c r="F320" s="3"/>
      <c r="G320" s="3"/>
      <c r="H320" s="3"/>
      <c r="I320" s="3"/>
      <c r="J320" s="3"/>
      <c r="K320" s="71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.75" customHeight="1">
      <c r="A321" s="3"/>
      <c r="B321" s="3"/>
      <c r="C321" s="3"/>
      <c r="D321" s="3"/>
      <c r="E321" s="208"/>
      <c r="F321" s="3"/>
      <c r="G321" s="3"/>
      <c r="H321" s="3"/>
      <c r="I321" s="3"/>
      <c r="J321" s="3"/>
      <c r="K321" s="71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.75" customHeight="1">
      <c r="A322" s="3"/>
      <c r="B322" s="3"/>
      <c r="C322" s="3"/>
      <c r="D322" s="3"/>
      <c r="E322" s="208"/>
      <c r="F322" s="3"/>
      <c r="G322" s="3"/>
      <c r="H322" s="3"/>
      <c r="I322" s="3"/>
      <c r="J322" s="3"/>
      <c r="K322" s="71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.75" customHeight="1">
      <c r="A323" s="3"/>
      <c r="B323" s="3"/>
      <c r="C323" s="3"/>
      <c r="D323" s="3"/>
      <c r="E323" s="208"/>
      <c r="F323" s="3"/>
      <c r="G323" s="3"/>
      <c r="H323" s="3"/>
      <c r="I323" s="3"/>
      <c r="J323" s="3"/>
      <c r="K323" s="71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.75" customHeight="1">
      <c r="A324" s="3"/>
      <c r="B324" s="3"/>
      <c r="C324" s="3"/>
      <c r="D324" s="3"/>
      <c r="E324" s="208"/>
      <c r="F324" s="3"/>
      <c r="G324" s="3"/>
      <c r="H324" s="3"/>
      <c r="I324" s="3"/>
      <c r="J324" s="3"/>
      <c r="K324" s="71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.75" customHeight="1">
      <c r="A325" s="3"/>
      <c r="B325" s="3"/>
      <c r="C325" s="3"/>
      <c r="D325" s="3"/>
      <c r="E325" s="208"/>
      <c r="F325" s="3"/>
      <c r="G325" s="3"/>
      <c r="H325" s="3"/>
      <c r="I325" s="3"/>
      <c r="J325" s="3"/>
      <c r="K325" s="71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.75" customHeight="1">
      <c r="A326" s="3"/>
      <c r="B326" s="3"/>
      <c r="C326" s="3"/>
      <c r="D326" s="3"/>
      <c r="E326" s="208"/>
      <c r="F326" s="3"/>
      <c r="G326" s="3"/>
      <c r="H326" s="3"/>
      <c r="I326" s="3"/>
      <c r="J326" s="3"/>
      <c r="K326" s="71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.75" customHeight="1">
      <c r="A327" s="3"/>
      <c r="B327" s="3"/>
      <c r="C327" s="3"/>
      <c r="D327" s="3"/>
      <c r="E327" s="208"/>
      <c r="F327" s="3"/>
      <c r="G327" s="3"/>
      <c r="H327" s="3"/>
      <c r="I327" s="3"/>
      <c r="J327" s="3"/>
      <c r="K327" s="71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.75" customHeight="1">
      <c r="A328" s="3"/>
      <c r="B328" s="3"/>
      <c r="C328" s="3"/>
      <c r="D328" s="3"/>
      <c r="E328" s="208"/>
      <c r="F328" s="3"/>
      <c r="G328" s="3"/>
      <c r="H328" s="3"/>
      <c r="I328" s="3"/>
      <c r="J328" s="3"/>
      <c r="K328" s="71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.75" customHeight="1">
      <c r="A329" s="3"/>
      <c r="B329" s="3"/>
      <c r="C329" s="3"/>
      <c r="D329" s="3"/>
      <c r="E329" s="208"/>
      <c r="F329" s="3"/>
      <c r="G329" s="3"/>
      <c r="H329" s="3"/>
      <c r="I329" s="3"/>
      <c r="J329" s="3"/>
      <c r="K329" s="71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.75" customHeight="1">
      <c r="A330" s="3"/>
      <c r="B330" s="3"/>
      <c r="C330" s="3"/>
      <c r="D330" s="3"/>
      <c r="E330" s="208"/>
      <c r="F330" s="3"/>
      <c r="G330" s="3"/>
      <c r="H330" s="3"/>
      <c r="I330" s="3"/>
      <c r="J330" s="3"/>
      <c r="K330" s="71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.75" customHeight="1">
      <c r="A331" s="3"/>
      <c r="B331" s="3"/>
      <c r="C331" s="3"/>
      <c r="D331" s="3"/>
      <c r="E331" s="208"/>
      <c r="F331" s="3"/>
      <c r="G331" s="3"/>
      <c r="H331" s="3"/>
      <c r="I331" s="3"/>
      <c r="J331" s="3"/>
      <c r="K331" s="71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.75" customHeight="1">
      <c r="A332" s="3"/>
      <c r="B332" s="3"/>
      <c r="C332" s="3"/>
      <c r="D332" s="3"/>
      <c r="E332" s="208"/>
      <c r="F332" s="3"/>
      <c r="G332" s="3"/>
      <c r="H332" s="3"/>
      <c r="I332" s="3"/>
      <c r="J332" s="3"/>
      <c r="K332" s="71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.75" customHeight="1">
      <c r="A333" s="3"/>
      <c r="B333" s="3"/>
      <c r="C333" s="3"/>
      <c r="D333" s="3"/>
      <c r="E333" s="208"/>
      <c r="F333" s="3"/>
      <c r="G333" s="3"/>
      <c r="H333" s="3"/>
      <c r="I333" s="3"/>
      <c r="J333" s="3"/>
      <c r="K333" s="71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.75" customHeight="1">
      <c r="A334" s="3"/>
      <c r="B334" s="3"/>
      <c r="C334" s="3"/>
      <c r="D334" s="3"/>
      <c r="E334" s="208"/>
      <c r="F334" s="3"/>
      <c r="G334" s="3"/>
      <c r="H334" s="3"/>
      <c r="I334" s="3"/>
      <c r="J334" s="3"/>
      <c r="K334" s="71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.75" customHeight="1">
      <c r="A335" s="3"/>
      <c r="B335" s="3"/>
      <c r="C335" s="3"/>
      <c r="D335" s="3"/>
      <c r="E335" s="208"/>
      <c r="F335" s="3"/>
      <c r="G335" s="3"/>
      <c r="H335" s="3"/>
      <c r="I335" s="3"/>
      <c r="J335" s="3"/>
      <c r="K335" s="71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.75" customHeight="1">
      <c r="A336" s="3"/>
      <c r="B336" s="3"/>
      <c r="C336" s="3"/>
      <c r="D336" s="3"/>
      <c r="E336" s="208"/>
      <c r="F336" s="3"/>
      <c r="G336" s="3"/>
      <c r="H336" s="3"/>
      <c r="I336" s="3"/>
      <c r="J336" s="3"/>
      <c r="K336" s="71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.75" customHeight="1">
      <c r="A337" s="3"/>
      <c r="B337" s="3"/>
      <c r="C337" s="3"/>
      <c r="D337" s="3"/>
      <c r="E337" s="208"/>
      <c r="F337" s="3"/>
      <c r="G337" s="3"/>
      <c r="H337" s="3"/>
      <c r="I337" s="3"/>
      <c r="J337" s="3"/>
      <c r="K337" s="71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.75" customHeight="1">
      <c r="A338" s="3"/>
      <c r="B338" s="3"/>
      <c r="C338" s="3"/>
      <c r="D338" s="3"/>
      <c r="E338" s="208"/>
      <c r="F338" s="3"/>
      <c r="G338" s="3"/>
      <c r="H338" s="3"/>
      <c r="I338" s="3"/>
      <c r="J338" s="3"/>
      <c r="K338" s="71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.75" customHeight="1">
      <c r="A339" s="3"/>
      <c r="B339" s="3"/>
      <c r="C339" s="3"/>
      <c r="D339" s="3"/>
      <c r="E339" s="208"/>
      <c r="F339" s="3"/>
      <c r="G339" s="3"/>
      <c r="H339" s="3"/>
      <c r="I339" s="3"/>
      <c r="J339" s="3"/>
      <c r="K339" s="71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.75" customHeight="1">
      <c r="A340" s="3"/>
      <c r="B340" s="3"/>
      <c r="C340" s="3"/>
      <c r="D340" s="3"/>
      <c r="E340" s="208"/>
      <c r="F340" s="3"/>
      <c r="G340" s="3"/>
      <c r="H340" s="3"/>
      <c r="I340" s="3"/>
      <c r="J340" s="3"/>
      <c r="K340" s="71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.75" customHeight="1">
      <c r="A341" s="3"/>
      <c r="B341" s="3"/>
      <c r="C341" s="3"/>
      <c r="D341" s="3"/>
      <c r="E341" s="208"/>
      <c r="F341" s="3"/>
      <c r="G341" s="3"/>
      <c r="H341" s="3"/>
      <c r="I341" s="3"/>
      <c r="J341" s="3"/>
      <c r="K341" s="71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.75" customHeight="1">
      <c r="A342" s="3"/>
      <c r="B342" s="3"/>
      <c r="C342" s="3"/>
      <c r="D342" s="3"/>
      <c r="E342" s="208"/>
      <c r="F342" s="3"/>
      <c r="G342" s="3"/>
      <c r="H342" s="3"/>
      <c r="I342" s="3"/>
      <c r="J342" s="3"/>
      <c r="K342" s="71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.75" customHeight="1">
      <c r="A343" s="3"/>
      <c r="B343" s="3"/>
      <c r="C343" s="3"/>
      <c r="D343" s="3"/>
      <c r="E343" s="208"/>
      <c r="F343" s="3"/>
      <c r="G343" s="3"/>
      <c r="H343" s="3"/>
      <c r="I343" s="3"/>
      <c r="J343" s="3"/>
      <c r="K343" s="71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.75" customHeight="1">
      <c r="A344" s="3"/>
      <c r="B344" s="3"/>
      <c r="C344" s="3"/>
      <c r="D344" s="3"/>
      <c r="E344" s="208"/>
      <c r="F344" s="3"/>
      <c r="G344" s="3"/>
      <c r="H344" s="3"/>
      <c r="I344" s="3"/>
      <c r="J344" s="3"/>
      <c r="K344" s="71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.75" customHeight="1">
      <c r="A345" s="3"/>
      <c r="B345" s="3"/>
      <c r="C345" s="3"/>
      <c r="D345" s="3"/>
      <c r="E345" s="208"/>
      <c r="F345" s="3"/>
      <c r="G345" s="3"/>
      <c r="H345" s="3"/>
      <c r="I345" s="3"/>
      <c r="J345" s="3"/>
      <c r="K345" s="71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.75" customHeight="1">
      <c r="A346" s="3"/>
      <c r="B346" s="3"/>
      <c r="C346" s="3"/>
      <c r="D346" s="3"/>
      <c r="E346" s="208"/>
      <c r="F346" s="3"/>
      <c r="G346" s="3"/>
      <c r="H346" s="3"/>
      <c r="I346" s="3"/>
      <c r="J346" s="3"/>
      <c r="K346" s="71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.75" customHeight="1">
      <c r="A347" s="3"/>
      <c r="B347" s="3"/>
      <c r="C347" s="3"/>
      <c r="D347" s="3"/>
      <c r="E347" s="208"/>
      <c r="F347" s="3"/>
      <c r="G347" s="3"/>
      <c r="H347" s="3"/>
      <c r="I347" s="3"/>
      <c r="J347" s="3"/>
      <c r="K347" s="71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.75" customHeight="1">
      <c r="A348" s="3"/>
      <c r="B348" s="3"/>
      <c r="C348" s="3"/>
      <c r="D348" s="3"/>
      <c r="E348" s="208"/>
      <c r="F348" s="3"/>
      <c r="G348" s="3"/>
      <c r="H348" s="3"/>
      <c r="I348" s="3"/>
      <c r="J348" s="3"/>
      <c r="K348" s="71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.75" customHeight="1">
      <c r="A349" s="3"/>
      <c r="B349" s="3"/>
      <c r="C349" s="3"/>
      <c r="D349" s="3"/>
      <c r="E349" s="208"/>
      <c r="F349" s="3"/>
      <c r="G349" s="3"/>
      <c r="H349" s="3"/>
      <c r="I349" s="3"/>
      <c r="J349" s="3"/>
      <c r="K349" s="71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.75" customHeight="1">
      <c r="A350" s="3"/>
      <c r="B350" s="3"/>
      <c r="C350" s="3"/>
      <c r="D350" s="3"/>
      <c r="E350" s="208"/>
      <c r="F350" s="3"/>
      <c r="G350" s="3"/>
      <c r="H350" s="3"/>
      <c r="I350" s="3"/>
      <c r="J350" s="3"/>
      <c r="K350" s="71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.75" customHeight="1">
      <c r="A351" s="3"/>
      <c r="B351" s="3"/>
      <c r="C351" s="3"/>
      <c r="D351" s="3"/>
      <c r="E351" s="208"/>
      <c r="F351" s="3"/>
      <c r="G351" s="3"/>
      <c r="H351" s="3"/>
      <c r="I351" s="3"/>
      <c r="J351" s="3"/>
      <c r="K351" s="71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.75" customHeight="1">
      <c r="A352" s="3"/>
      <c r="B352" s="3"/>
      <c r="C352" s="3"/>
      <c r="D352" s="3"/>
      <c r="E352" s="208"/>
      <c r="F352" s="3"/>
      <c r="G352" s="3"/>
      <c r="H352" s="3"/>
      <c r="I352" s="3"/>
      <c r="J352" s="3"/>
      <c r="K352" s="71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.75" customHeight="1">
      <c r="A353" s="3"/>
      <c r="B353" s="3"/>
      <c r="C353" s="3"/>
      <c r="D353" s="3"/>
      <c r="E353" s="208"/>
      <c r="F353" s="3"/>
      <c r="G353" s="3"/>
      <c r="H353" s="3"/>
      <c r="I353" s="3"/>
      <c r="J353" s="3"/>
      <c r="K353" s="71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.75" customHeight="1">
      <c r="A354" s="3"/>
      <c r="B354" s="3"/>
      <c r="C354" s="3"/>
      <c r="D354" s="3"/>
      <c r="E354" s="208"/>
      <c r="F354" s="3"/>
      <c r="G354" s="3"/>
      <c r="H354" s="3"/>
      <c r="I354" s="3"/>
      <c r="J354" s="3"/>
      <c r="K354" s="71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.75" customHeight="1">
      <c r="A355" s="3"/>
      <c r="B355" s="3"/>
      <c r="C355" s="3"/>
      <c r="D355" s="3"/>
      <c r="E355" s="208"/>
      <c r="F355" s="3"/>
      <c r="G355" s="3"/>
      <c r="H355" s="3"/>
      <c r="I355" s="3"/>
      <c r="J355" s="3"/>
      <c r="K355" s="71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.75" customHeight="1">
      <c r="A356" s="3"/>
      <c r="B356" s="3"/>
      <c r="C356" s="3"/>
      <c r="D356" s="3"/>
      <c r="E356" s="208"/>
      <c r="F356" s="3"/>
      <c r="G356" s="3"/>
      <c r="H356" s="3"/>
      <c r="I356" s="3"/>
      <c r="J356" s="3"/>
      <c r="K356" s="71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.75" customHeight="1">
      <c r="A357" s="3"/>
      <c r="B357" s="3"/>
      <c r="C357" s="3"/>
      <c r="D357" s="3"/>
      <c r="E357" s="208"/>
      <c r="F357" s="3"/>
      <c r="G357" s="3"/>
      <c r="H357" s="3"/>
      <c r="I357" s="3"/>
      <c r="J357" s="3"/>
      <c r="K357" s="71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.75" customHeight="1">
      <c r="A358" s="3"/>
      <c r="B358" s="3"/>
      <c r="C358" s="3"/>
      <c r="D358" s="3"/>
      <c r="E358" s="208"/>
      <c r="F358" s="3"/>
      <c r="G358" s="3"/>
      <c r="H358" s="3"/>
      <c r="I358" s="3"/>
      <c r="J358" s="3"/>
      <c r="K358" s="71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.75" customHeight="1">
      <c r="A359" s="3"/>
      <c r="B359" s="3"/>
      <c r="C359" s="3"/>
      <c r="D359" s="3"/>
      <c r="E359" s="208"/>
      <c r="F359" s="3"/>
      <c r="G359" s="3"/>
      <c r="H359" s="3"/>
      <c r="I359" s="3"/>
      <c r="J359" s="3"/>
      <c r="K359" s="71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.75" customHeight="1">
      <c r="A360" s="3"/>
      <c r="B360" s="3"/>
      <c r="C360" s="3"/>
      <c r="D360" s="3"/>
      <c r="E360" s="208"/>
      <c r="F360" s="3"/>
      <c r="G360" s="3"/>
      <c r="H360" s="3"/>
      <c r="I360" s="3"/>
      <c r="J360" s="3"/>
      <c r="K360" s="71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.75" customHeight="1">
      <c r="A361" s="3"/>
      <c r="B361" s="3"/>
      <c r="C361" s="3"/>
      <c r="D361" s="3"/>
      <c r="E361" s="208"/>
      <c r="F361" s="3"/>
      <c r="G361" s="3"/>
      <c r="H361" s="3"/>
      <c r="I361" s="3"/>
      <c r="J361" s="3"/>
      <c r="K361" s="71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.75" customHeight="1">
      <c r="A362" s="3"/>
      <c r="B362" s="3"/>
      <c r="C362" s="3"/>
      <c r="D362" s="3"/>
      <c r="E362" s="208"/>
      <c r="F362" s="3"/>
      <c r="G362" s="3"/>
      <c r="H362" s="3"/>
      <c r="I362" s="3"/>
      <c r="J362" s="3"/>
      <c r="K362" s="71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.75" customHeight="1">
      <c r="A363" s="3"/>
      <c r="B363" s="3"/>
      <c r="C363" s="3"/>
      <c r="D363" s="3"/>
      <c r="E363" s="208"/>
      <c r="F363" s="3"/>
      <c r="G363" s="3"/>
      <c r="H363" s="3"/>
      <c r="I363" s="3"/>
      <c r="J363" s="3"/>
      <c r="K363" s="71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.75" customHeight="1">
      <c r="A364" s="3"/>
      <c r="B364" s="3"/>
      <c r="C364" s="3"/>
      <c r="D364" s="3"/>
      <c r="E364" s="208"/>
      <c r="F364" s="3"/>
      <c r="G364" s="3"/>
      <c r="H364" s="3"/>
      <c r="I364" s="3"/>
      <c r="J364" s="3"/>
      <c r="K364" s="71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.75" customHeight="1">
      <c r="A365" s="3"/>
      <c r="B365" s="3"/>
      <c r="C365" s="3"/>
      <c r="D365" s="3"/>
      <c r="E365" s="208"/>
      <c r="F365" s="3"/>
      <c r="G365" s="3"/>
      <c r="H365" s="3"/>
      <c r="I365" s="3"/>
      <c r="J365" s="3"/>
      <c r="K365" s="71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.75" customHeight="1">
      <c r="A366" s="3"/>
      <c r="B366" s="3"/>
      <c r="C366" s="3"/>
      <c r="D366" s="3"/>
      <c r="E366" s="208"/>
      <c r="F366" s="3"/>
      <c r="G366" s="3"/>
      <c r="H366" s="3"/>
      <c r="I366" s="3"/>
      <c r="J366" s="3"/>
      <c r="K366" s="71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.75" customHeight="1">
      <c r="A367" s="3"/>
      <c r="B367" s="3"/>
      <c r="C367" s="3"/>
      <c r="D367" s="3"/>
      <c r="E367" s="208"/>
      <c r="F367" s="3"/>
      <c r="G367" s="3"/>
      <c r="H367" s="3"/>
      <c r="I367" s="3"/>
      <c r="J367" s="3"/>
      <c r="K367" s="71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.75" customHeight="1">
      <c r="A368" s="3"/>
      <c r="B368" s="3"/>
      <c r="C368" s="3"/>
      <c r="D368" s="3"/>
      <c r="E368" s="208"/>
      <c r="F368" s="3"/>
      <c r="G368" s="3"/>
      <c r="H368" s="3"/>
      <c r="I368" s="3"/>
      <c r="J368" s="3"/>
      <c r="K368" s="71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.75" customHeight="1">
      <c r="A369" s="3"/>
      <c r="B369" s="3"/>
      <c r="C369" s="3"/>
      <c r="D369" s="3"/>
      <c r="E369" s="208"/>
      <c r="F369" s="3"/>
      <c r="G369" s="3"/>
      <c r="H369" s="3"/>
      <c r="I369" s="3"/>
      <c r="J369" s="3"/>
      <c r="K369" s="71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.75" customHeight="1">
      <c r="A370" s="3"/>
      <c r="B370" s="3"/>
      <c r="C370" s="3"/>
      <c r="D370" s="3"/>
      <c r="E370" s="208"/>
      <c r="F370" s="3"/>
      <c r="G370" s="3"/>
      <c r="H370" s="3"/>
      <c r="I370" s="3"/>
      <c r="J370" s="3"/>
      <c r="K370" s="71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.75" customHeight="1">
      <c r="A371" s="3"/>
      <c r="B371" s="3"/>
      <c r="C371" s="3"/>
      <c r="D371" s="3"/>
      <c r="E371" s="208"/>
      <c r="F371" s="3"/>
      <c r="G371" s="3"/>
      <c r="H371" s="3"/>
      <c r="I371" s="3"/>
      <c r="J371" s="3"/>
      <c r="K371" s="71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.75" customHeight="1">
      <c r="A372" s="3"/>
      <c r="B372" s="3"/>
      <c r="C372" s="3"/>
      <c r="D372" s="3"/>
      <c r="E372" s="208"/>
      <c r="F372" s="3"/>
      <c r="G372" s="3"/>
      <c r="H372" s="3"/>
      <c r="I372" s="3"/>
      <c r="J372" s="3"/>
      <c r="K372" s="71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.75" customHeight="1">
      <c r="A373" s="3"/>
      <c r="B373" s="3"/>
      <c r="C373" s="3"/>
      <c r="D373" s="3"/>
      <c r="E373" s="208"/>
      <c r="F373" s="3"/>
      <c r="G373" s="3"/>
      <c r="H373" s="3"/>
      <c r="I373" s="3"/>
      <c r="J373" s="3"/>
      <c r="K373" s="71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.75" customHeight="1">
      <c r="A374" s="3"/>
      <c r="B374" s="3"/>
      <c r="C374" s="3"/>
      <c r="D374" s="3"/>
      <c r="E374" s="208"/>
      <c r="F374" s="3"/>
      <c r="G374" s="3"/>
      <c r="H374" s="3"/>
      <c r="I374" s="3"/>
      <c r="J374" s="3"/>
      <c r="K374" s="71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.75" customHeight="1">
      <c r="A375" s="3"/>
      <c r="B375" s="3"/>
      <c r="C375" s="3"/>
      <c r="D375" s="3"/>
      <c r="E375" s="208"/>
      <c r="F375" s="3"/>
      <c r="G375" s="3"/>
      <c r="H375" s="3"/>
      <c r="I375" s="3"/>
      <c r="J375" s="3"/>
      <c r="K375" s="71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.75" customHeight="1">
      <c r="A376" s="3"/>
      <c r="B376" s="3"/>
      <c r="C376" s="3"/>
      <c r="D376" s="3"/>
      <c r="E376" s="208"/>
      <c r="F376" s="3"/>
      <c r="G376" s="3"/>
      <c r="H376" s="3"/>
      <c r="I376" s="3"/>
      <c r="J376" s="3"/>
      <c r="K376" s="71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.75" customHeight="1">
      <c r="A377" s="3"/>
      <c r="B377" s="3"/>
      <c r="C377" s="3"/>
      <c r="D377" s="3"/>
      <c r="E377" s="208"/>
      <c r="F377" s="3"/>
      <c r="G377" s="3"/>
      <c r="H377" s="3"/>
      <c r="I377" s="3"/>
      <c r="J377" s="3"/>
      <c r="K377" s="71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.75" customHeight="1">
      <c r="A378" s="3"/>
      <c r="B378" s="3"/>
      <c r="C378" s="3"/>
      <c r="D378" s="3"/>
      <c r="E378" s="208"/>
      <c r="F378" s="3"/>
      <c r="G378" s="3"/>
      <c r="H378" s="3"/>
      <c r="I378" s="3"/>
      <c r="J378" s="3"/>
      <c r="K378" s="71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.75" customHeight="1">
      <c r="A379" s="3"/>
      <c r="B379" s="3"/>
      <c r="C379" s="3"/>
      <c r="D379" s="3"/>
      <c r="E379" s="208"/>
      <c r="F379" s="3"/>
      <c r="G379" s="3"/>
      <c r="H379" s="3"/>
      <c r="I379" s="3"/>
      <c r="J379" s="3"/>
      <c r="K379" s="71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.75" customHeight="1">
      <c r="A380" s="3"/>
      <c r="B380" s="3"/>
      <c r="C380" s="3"/>
      <c r="D380" s="3"/>
      <c r="E380" s="208"/>
      <c r="F380" s="3"/>
      <c r="G380" s="3"/>
      <c r="H380" s="3"/>
      <c r="I380" s="3"/>
      <c r="J380" s="3"/>
      <c r="K380" s="71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.75" customHeight="1">
      <c r="A381" s="3"/>
      <c r="B381" s="3"/>
      <c r="C381" s="3"/>
      <c r="D381" s="3"/>
      <c r="E381" s="208"/>
      <c r="F381" s="3"/>
      <c r="G381" s="3"/>
      <c r="H381" s="3"/>
      <c r="I381" s="3"/>
      <c r="J381" s="3"/>
      <c r="K381" s="71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.75" customHeight="1">
      <c r="A382" s="3"/>
      <c r="B382" s="3"/>
      <c r="C382" s="3"/>
      <c r="D382" s="3"/>
      <c r="E382" s="208"/>
      <c r="F382" s="3"/>
      <c r="G382" s="3"/>
      <c r="H382" s="3"/>
      <c r="I382" s="3"/>
      <c r="J382" s="3"/>
      <c r="K382" s="71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.75" customHeight="1">
      <c r="A383" s="3"/>
      <c r="B383" s="3"/>
      <c r="C383" s="3"/>
      <c r="D383" s="3"/>
      <c r="E383" s="208"/>
      <c r="F383" s="3"/>
      <c r="G383" s="3"/>
      <c r="H383" s="3"/>
      <c r="I383" s="3"/>
      <c r="J383" s="3"/>
      <c r="K383" s="71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.75" customHeight="1">
      <c r="A384" s="3"/>
      <c r="B384" s="3"/>
      <c r="C384" s="3"/>
      <c r="D384" s="3"/>
      <c r="E384" s="208"/>
      <c r="F384" s="3"/>
      <c r="G384" s="3"/>
      <c r="H384" s="3"/>
      <c r="I384" s="3"/>
      <c r="J384" s="3"/>
      <c r="K384" s="71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.75" customHeight="1">
      <c r="A385" s="3"/>
      <c r="B385" s="3"/>
      <c r="C385" s="3"/>
      <c r="D385" s="3"/>
      <c r="E385" s="208"/>
      <c r="F385" s="3"/>
      <c r="G385" s="3"/>
      <c r="H385" s="3"/>
      <c r="I385" s="3"/>
      <c r="J385" s="3"/>
      <c r="K385" s="71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.75" customHeight="1">
      <c r="A386" s="3"/>
      <c r="B386" s="3"/>
      <c r="C386" s="3"/>
      <c r="D386" s="3"/>
      <c r="E386" s="208"/>
      <c r="F386" s="3"/>
      <c r="G386" s="3"/>
      <c r="H386" s="3"/>
      <c r="I386" s="3"/>
      <c r="J386" s="3"/>
      <c r="K386" s="71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.75" customHeight="1">
      <c r="A387" s="3"/>
      <c r="B387" s="3"/>
      <c r="C387" s="3"/>
      <c r="D387" s="3"/>
      <c r="E387" s="208"/>
      <c r="F387" s="3"/>
      <c r="G387" s="3"/>
      <c r="H387" s="3"/>
      <c r="I387" s="3"/>
      <c r="J387" s="3"/>
      <c r="K387" s="71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.75" customHeight="1">
      <c r="A388" s="3"/>
      <c r="B388" s="3"/>
      <c r="C388" s="3"/>
      <c r="D388" s="3"/>
      <c r="E388" s="208"/>
      <c r="F388" s="3"/>
      <c r="G388" s="3"/>
      <c r="H388" s="3"/>
      <c r="I388" s="3"/>
      <c r="J388" s="3"/>
      <c r="K388" s="71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.75" customHeight="1">
      <c r="A389" s="3"/>
      <c r="B389" s="3"/>
      <c r="C389" s="3"/>
      <c r="D389" s="3"/>
      <c r="E389" s="208"/>
      <c r="F389" s="3"/>
      <c r="G389" s="3"/>
      <c r="H389" s="3"/>
      <c r="I389" s="3"/>
      <c r="J389" s="3"/>
      <c r="K389" s="71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.75" customHeight="1">
      <c r="A390" s="3"/>
      <c r="B390" s="3"/>
      <c r="C390" s="3"/>
      <c r="D390" s="3"/>
      <c r="E390" s="208"/>
      <c r="F390" s="3"/>
      <c r="G390" s="3"/>
      <c r="H390" s="3"/>
      <c r="I390" s="3"/>
      <c r="J390" s="3"/>
      <c r="K390" s="71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.75" customHeight="1">
      <c r="A391" s="3"/>
      <c r="B391" s="3"/>
      <c r="C391" s="3"/>
      <c r="D391" s="3"/>
      <c r="E391" s="208"/>
      <c r="F391" s="3"/>
      <c r="G391" s="3"/>
      <c r="H391" s="3"/>
      <c r="I391" s="3"/>
      <c r="J391" s="3"/>
      <c r="K391" s="71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.75" customHeight="1">
      <c r="A392" s="3"/>
      <c r="B392" s="3"/>
      <c r="C392" s="3"/>
      <c r="D392" s="3"/>
      <c r="E392" s="208"/>
      <c r="F392" s="3"/>
      <c r="G392" s="3"/>
      <c r="H392" s="3"/>
      <c r="I392" s="3"/>
      <c r="J392" s="3"/>
      <c r="K392" s="71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.75" customHeight="1">
      <c r="A393" s="3"/>
      <c r="B393" s="3"/>
      <c r="C393" s="3"/>
      <c r="D393" s="3"/>
      <c r="E393" s="208"/>
      <c r="F393" s="3"/>
      <c r="G393" s="3"/>
      <c r="H393" s="3"/>
      <c r="I393" s="3"/>
      <c r="J393" s="3"/>
      <c r="K393" s="71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.75" customHeight="1">
      <c r="A394" s="3"/>
      <c r="B394" s="3"/>
      <c r="C394" s="3"/>
      <c r="D394" s="3"/>
      <c r="E394" s="208"/>
      <c r="F394" s="3"/>
      <c r="G394" s="3"/>
      <c r="H394" s="3"/>
      <c r="I394" s="3"/>
      <c r="J394" s="3"/>
      <c r="K394" s="71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.75" customHeight="1">
      <c r="A395" s="3"/>
      <c r="B395" s="3"/>
      <c r="C395" s="3"/>
      <c r="D395" s="3"/>
      <c r="E395" s="208"/>
      <c r="F395" s="3"/>
      <c r="G395" s="3"/>
      <c r="H395" s="3"/>
      <c r="I395" s="3"/>
      <c r="J395" s="3"/>
      <c r="K395" s="71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.75" customHeight="1">
      <c r="A396" s="3"/>
      <c r="B396" s="3"/>
      <c r="C396" s="3"/>
      <c r="D396" s="3"/>
      <c r="E396" s="208"/>
      <c r="F396" s="3"/>
      <c r="G396" s="3"/>
      <c r="H396" s="3"/>
      <c r="I396" s="3"/>
      <c r="J396" s="3"/>
      <c r="K396" s="71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.75" customHeight="1">
      <c r="A397" s="3"/>
      <c r="B397" s="3"/>
      <c r="C397" s="3"/>
      <c r="D397" s="3"/>
      <c r="E397" s="208"/>
      <c r="F397" s="3"/>
      <c r="G397" s="3"/>
      <c r="H397" s="3"/>
      <c r="I397" s="3"/>
      <c r="J397" s="3"/>
      <c r="K397" s="71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.75" customHeight="1">
      <c r="A398" s="3"/>
      <c r="B398" s="3"/>
      <c r="C398" s="3"/>
      <c r="D398" s="3"/>
      <c r="E398" s="208"/>
      <c r="F398" s="3"/>
      <c r="G398" s="3"/>
      <c r="H398" s="3"/>
      <c r="I398" s="3"/>
      <c r="J398" s="3"/>
      <c r="K398" s="71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.75" customHeight="1">
      <c r="A399" s="3"/>
      <c r="B399" s="3"/>
      <c r="C399" s="3"/>
      <c r="D399" s="3"/>
      <c r="E399" s="208"/>
      <c r="F399" s="3"/>
      <c r="G399" s="3"/>
      <c r="H399" s="3"/>
      <c r="I399" s="3"/>
      <c r="J399" s="3"/>
      <c r="K399" s="71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.75" customHeight="1">
      <c r="A400" s="3"/>
      <c r="B400" s="3"/>
      <c r="C400" s="3"/>
      <c r="D400" s="3"/>
      <c r="E400" s="208"/>
      <c r="F400" s="3"/>
      <c r="G400" s="3"/>
      <c r="H400" s="3"/>
      <c r="I400" s="3"/>
      <c r="J400" s="3"/>
      <c r="K400" s="71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.75" customHeight="1">
      <c r="A401" s="3"/>
      <c r="B401" s="3"/>
      <c r="C401" s="3"/>
      <c r="D401" s="3"/>
      <c r="E401" s="208"/>
      <c r="F401" s="3"/>
      <c r="G401" s="3"/>
      <c r="H401" s="3"/>
      <c r="I401" s="3"/>
      <c r="J401" s="3"/>
      <c r="K401" s="71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.75" customHeight="1">
      <c r="A402" s="3"/>
      <c r="B402" s="3"/>
      <c r="C402" s="3"/>
      <c r="D402" s="3"/>
      <c r="E402" s="208"/>
      <c r="F402" s="3"/>
      <c r="G402" s="3"/>
      <c r="H402" s="3"/>
      <c r="I402" s="3"/>
      <c r="J402" s="3"/>
      <c r="K402" s="71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.75" customHeight="1">
      <c r="A403" s="3"/>
      <c r="B403" s="3"/>
      <c r="C403" s="3"/>
      <c r="D403" s="3"/>
      <c r="E403" s="208"/>
      <c r="F403" s="3"/>
      <c r="G403" s="3"/>
      <c r="H403" s="3"/>
      <c r="I403" s="3"/>
      <c r="J403" s="3"/>
      <c r="K403" s="71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.75" customHeight="1">
      <c r="A404" s="3"/>
      <c r="B404" s="3"/>
      <c r="C404" s="3"/>
      <c r="D404" s="3"/>
      <c r="E404" s="208"/>
      <c r="F404" s="3"/>
      <c r="G404" s="3"/>
      <c r="H404" s="3"/>
      <c r="I404" s="3"/>
      <c r="J404" s="3"/>
      <c r="K404" s="71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.75" customHeight="1">
      <c r="A405" s="3"/>
      <c r="B405" s="3"/>
      <c r="C405" s="3"/>
      <c r="D405" s="3"/>
      <c r="E405" s="208"/>
      <c r="F405" s="3"/>
      <c r="G405" s="3"/>
      <c r="H405" s="3"/>
      <c r="I405" s="3"/>
      <c r="J405" s="3"/>
      <c r="K405" s="71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.75" customHeight="1">
      <c r="A406" s="3"/>
      <c r="B406" s="3"/>
      <c r="C406" s="3"/>
      <c r="D406" s="3"/>
      <c r="E406" s="208"/>
      <c r="F406" s="3"/>
      <c r="G406" s="3"/>
      <c r="H406" s="3"/>
      <c r="I406" s="3"/>
      <c r="J406" s="3"/>
      <c r="K406" s="71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.75" customHeight="1">
      <c r="A407" s="3"/>
      <c r="B407" s="3"/>
      <c r="C407" s="3"/>
      <c r="D407" s="3"/>
      <c r="E407" s="208"/>
      <c r="F407" s="3"/>
      <c r="G407" s="3"/>
      <c r="H407" s="3"/>
      <c r="I407" s="3"/>
      <c r="J407" s="3"/>
      <c r="K407" s="71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.75" customHeight="1">
      <c r="A408" s="3"/>
      <c r="B408" s="3"/>
      <c r="C408" s="3"/>
      <c r="D408" s="3"/>
      <c r="E408" s="208"/>
      <c r="F408" s="3"/>
      <c r="G408" s="3"/>
      <c r="H408" s="3"/>
      <c r="I408" s="3"/>
      <c r="J408" s="3"/>
      <c r="K408" s="71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.75" customHeight="1">
      <c r="A409" s="3"/>
      <c r="B409" s="3"/>
      <c r="C409" s="3"/>
      <c r="D409" s="3"/>
      <c r="E409" s="208"/>
      <c r="F409" s="3"/>
      <c r="G409" s="3"/>
      <c r="H409" s="3"/>
      <c r="I409" s="3"/>
      <c r="J409" s="3"/>
      <c r="K409" s="71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.75" customHeight="1">
      <c r="A410" s="3"/>
      <c r="B410" s="3"/>
      <c r="C410" s="3"/>
      <c r="D410" s="3"/>
      <c r="E410" s="208"/>
      <c r="F410" s="3"/>
      <c r="G410" s="3"/>
      <c r="H410" s="3"/>
      <c r="I410" s="3"/>
      <c r="J410" s="3"/>
      <c r="K410" s="71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.75" customHeight="1">
      <c r="A411" s="3"/>
      <c r="B411" s="3"/>
      <c r="C411" s="3"/>
      <c r="D411" s="3"/>
      <c r="E411" s="208"/>
      <c r="F411" s="3"/>
      <c r="G411" s="3"/>
      <c r="H411" s="3"/>
      <c r="I411" s="3"/>
      <c r="J411" s="3"/>
      <c r="K411" s="71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.75" customHeight="1">
      <c r="A412" s="3"/>
      <c r="B412" s="3"/>
      <c r="C412" s="3"/>
      <c r="D412" s="3"/>
      <c r="E412" s="208"/>
      <c r="F412" s="3"/>
      <c r="G412" s="3"/>
      <c r="H412" s="3"/>
      <c r="I412" s="3"/>
      <c r="J412" s="3"/>
      <c r="K412" s="71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.75" customHeight="1">
      <c r="A413" s="3"/>
      <c r="B413" s="3"/>
      <c r="C413" s="3"/>
      <c r="D413" s="3"/>
      <c r="E413" s="208"/>
      <c r="F413" s="3"/>
      <c r="G413" s="3"/>
      <c r="H413" s="3"/>
      <c r="I413" s="3"/>
      <c r="J413" s="3"/>
      <c r="K413" s="71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.75" customHeight="1">
      <c r="A414" s="3"/>
      <c r="B414" s="3"/>
      <c r="C414" s="3"/>
      <c r="D414" s="3"/>
      <c r="E414" s="208"/>
      <c r="F414" s="3"/>
      <c r="G414" s="3"/>
      <c r="H414" s="3"/>
      <c r="I414" s="3"/>
      <c r="J414" s="3"/>
      <c r="K414" s="71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.75" customHeight="1">
      <c r="A415" s="3"/>
      <c r="B415" s="3"/>
      <c r="C415" s="3"/>
      <c r="D415" s="3"/>
      <c r="E415" s="208"/>
      <c r="F415" s="3"/>
      <c r="G415" s="3"/>
      <c r="H415" s="3"/>
      <c r="I415" s="3"/>
      <c r="J415" s="3"/>
      <c r="K415" s="71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.75" customHeight="1">
      <c r="A416" s="3"/>
      <c r="B416" s="3"/>
      <c r="C416" s="3"/>
      <c r="D416" s="3"/>
      <c r="E416" s="208"/>
      <c r="F416" s="3"/>
      <c r="G416" s="3"/>
      <c r="H416" s="3"/>
      <c r="I416" s="3"/>
      <c r="J416" s="3"/>
      <c r="K416" s="71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.75" customHeight="1">
      <c r="A417" s="3"/>
      <c r="B417" s="3"/>
      <c r="C417" s="3"/>
      <c r="D417" s="3"/>
      <c r="E417" s="208"/>
      <c r="F417" s="3"/>
      <c r="G417" s="3"/>
      <c r="H417" s="3"/>
      <c r="I417" s="3"/>
      <c r="J417" s="3"/>
      <c r="K417" s="71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.75" customHeight="1">
      <c r="A418" s="3"/>
      <c r="B418" s="3"/>
      <c r="C418" s="3"/>
      <c r="D418" s="3"/>
      <c r="E418" s="208"/>
      <c r="F418" s="3"/>
      <c r="G418" s="3"/>
      <c r="H418" s="3"/>
      <c r="I418" s="3"/>
      <c r="J418" s="3"/>
      <c r="K418" s="71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.75" customHeight="1">
      <c r="A419" s="3"/>
      <c r="B419" s="3"/>
      <c r="C419" s="3"/>
      <c r="D419" s="3"/>
      <c r="E419" s="208"/>
      <c r="F419" s="3"/>
      <c r="G419" s="3"/>
      <c r="H419" s="3"/>
      <c r="I419" s="3"/>
      <c r="J419" s="3"/>
      <c r="K419" s="71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.75" customHeight="1">
      <c r="A420" s="3"/>
      <c r="B420" s="3"/>
      <c r="C420" s="3"/>
      <c r="D420" s="3"/>
      <c r="E420" s="208"/>
      <c r="F420" s="3"/>
      <c r="G420" s="3"/>
      <c r="H420" s="3"/>
      <c r="I420" s="3"/>
      <c r="J420" s="3"/>
      <c r="K420" s="71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.75" customHeight="1">
      <c r="A421" s="3"/>
      <c r="B421" s="3"/>
      <c r="C421" s="3"/>
      <c r="D421" s="3"/>
      <c r="E421" s="208"/>
      <c r="F421" s="3"/>
      <c r="G421" s="3"/>
      <c r="H421" s="3"/>
      <c r="I421" s="3"/>
      <c r="J421" s="3"/>
      <c r="K421" s="71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.75" customHeight="1">
      <c r="A422" s="3"/>
      <c r="B422" s="3"/>
      <c r="C422" s="3"/>
      <c r="D422" s="3"/>
      <c r="E422" s="208"/>
      <c r="F422" s="3"/>
      <c r="G422" s="3"/>
      <c r="H422" s="3"/>
      <c r="I422" s="3"/>
      <c r="J422" s="3"/>
      <c r="K422" s="71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.75" customHeight="1">
      <c r="A423" s="3"/>
      <c r="B423" s="3"/>
      <c r="C423" s="3"/>
      <c r="D423" s="3"/>
      <c r="E423" s="208"/>
      <c r="F423" s="3"/>
      <c r="G423" s="3"/>
      <c r="H423" s="3"/>
      <c r="I423" s="3"/>
      <c r="J423" s="3"/>
      <c r="K423" s="71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.75" customHeight="1">
      <c r="A424" s="3"/>
      <c r="B424" s="3"/>
      <c r="C424" s="3"/>
      <c r="D424" s="3"/>
      <c r="E424" s="208"/>
      <c r="F424" s="3"/>
      <c r="G424" s="3"/>
      <c r="H424" s="3"/>
      <c r="I424" s="3"/>
      <c r="J424" s="3"/>
      <c r="K424" s="71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.75" customHeight="1">
      <c r="A425" s="3"/>
      <c r="B425" s="3"/>
      <c r="C425" s="3"/>
      <c r="D425" s="3"/>
      <c r="E425" s="208"/>
      <c r="F425" s="3"/>
      <c r="G425" s="3"/>
      <c r="H425" s="3"/>
      <c r="I425" s="3"/>
      <c r="J425" s="3"/>
      <c r="K425" s="71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.75" customHeight="1">
      <c r="A426" s="3"/>
      <c r="B426" s="3"/>
      <c r="C426" s="3"/>
      <c r="D426" s="3"/>
      <c r="E426" s="208"/>
      <c r="F426" s="3"/>
      <c r="G426" s="3"/>
      <c r="H426" s="3"/>
      <c r="I426" s="3"/>
      <c r="J426" s="3"/>
      <c r="K426" s="71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.75" customHeight="1">
      <c r="A427" s="3"/>
      <c r="B427" s="3"/>
      <c r="C427" s="3"/>
      <c r="D427" s="3"/>
      <c r="E427" s="208"/>
      <c r="F427" s="3"/>
      <c r="G427" s="3"/>
      <c r="H427" s="3"/>
      <c r="I427" s="3"/>
      <c r="J427" s="3"/>
      <c r="K427" s="71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.75" customHeight="1">
      <c r="A428" s="3"/>
      <c r="B428" s="3"/>
      <c r="C428" s="3"/>
      <c r="D428" s="3"/>
      <c r="E428" s="208"/>
      <c r="F428" s="3"/>
      <c r="G428" s="3"/>
      <c r="H428" s="3"/>
      <c r="I428" s="3"/>
      <c r="J428" s="3"/>
      <c r="K428" s="71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.75" customHeight="1">
      <c r="A429" s="3"/>
      <c r="B429" s="3"/>
      <c r="C429" s="3"/>
      <c r="D429" s="3"/>
      <c r="E429" s="208"/>
      <c r="F429" s="3"/>
      <c r="G429" s="3"/>
      <c r="H429" s="3"/>
      <c r="I429" s="3"/>
      <c r="J429" s="3"/>
      <c r="K429" s="71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.75" customHeight="1">
      <c r="A430" s="3"/>
      <c r="B430" s="3"/>
      <c r="C430" s="3"/>
      <c r="D430" s="3"/>
      <c r="E430" s="208"/>
      <c r="F430" s="3"/>
      <c r="G430" s="3"/>
      <c r="H430" s="3"/>
      <c r="I430" s="3"/>
      <c r="J430" s="3"/>
      <c r="K430" s="71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.75" customHeight="1">
      <c r="A431" s="3"/>
      <c r="B431" s="3"/>
      <c r="C431" s="3"/>
      <c r="D431" s="3"/>
      <c r="E431" s="208"/>
      <c r="F431" s="3"/>
      <c r="G431" s="3"/>
      <c r="H431" s="3"/>
      <c r="I431" s="3"/>
      <c r="J431" s="3"/>
      <c r="K431" s="71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.75" customHeight="1">
      <c r="A432" s="3"/>
      <c r="B432" s="3"/>
      <c r="C432" s="3"/>
      <c r="D432" s="3"/>
      <c r="E432" s="208"/>
      <c r="F432" s="3"/>
      <c r="G432" s="3"/>
      <c r="H432" s="3"/>
      <c r="I432" s="3"/>
      <c r="J432" s="3"/>
      <c r="K432" s="71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.75" customHeight="1">
      <c r="A433" s="3"/>
      <c r="B433" s="3"/>
      <c r="C433" s="3"/>
      <c r="D433" s="3"/>
      <c r="E433" s="208"/>
      <c r="F433" s="3"/>
      <c r="G433" s="3"/>
      <c r="H433" s="3"/>
      <c r="I433" s="3"/>
      <c r="J433" s="3"/>
      <c r="K433" s="71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.75" customHeight="1">
      <c r="A434" s="3"/>
      <c r="B434" s="3"/>
      <c r="C434" s="3"/>
      <c r="D434" s="3"/>
      <c r="E434" s="208"/>
      <c r="F434" s="3"/>
      <c r="G434" s="3"/>
      <c r="H434" s="3"/>
      <c r="I434" s="3"/>
      <c r="J434" s="3"/>
      <c r="K434" s="71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.75" customHeight="1">
      <c r="A435" s="3"/>
      <c r="B435" s="3"/>
      <c r="C435" s="3"/>
      <c r="D435" s="3"/>
      <c r="E435" s="208"/>
      <c r="F435" s="3"/>
      <c r="G435" s="3"/>
      <c r="H435" s="3"/>
      <c r="I435" s="3"/>
      <c r="J435" s="3"/>
      <c r="K435" s="71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.75" customHeight="1">
      <c r="A436" s="3"/>
      <c r="B436" s="3"/>
      <c r="C436" s="3"/>
      <c r="D436" s="3"/>
      <c r="E436" s="208"/>
      <c r="F436" s="3"/>
      <c r="G436" s="3"/>
      <c r="H436" s="3"/>
      <c r="I436" s="3"/>
      <c r="J436" s="3"/>
      <c r="K436" s="71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.75" customHeight="1">
      <c r="A437" s="3"/>
      <c r="B437" s="3"/>
      <c r="C437" s="3"/>
      <c r="D437" s="3"/>
      <c r="E437" s="208"/>
      <c r="F437" s="3"/>
      <c r="G437" s="3"/>
      <c r="H437" s="3"/>
      <c r="I437" s="3"/>
      <c r="J437" s="3"/>
      <c r="K437" s="71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.75" customHeight="1">
      <c r="A438" s="3"/>
      <c r="B438" s="3"/>
      <c r="C438" s="3"/>
      <c r="D438" s="3"/>
      <c r="E438" s="208"/>
      <c r="F438" s="3"/>
      <c r="G438" s="3"/>
      <c r="H438" s="3"/>
      <c r="I438" s="3"/>
      <c r="J438" s="3"/>
      <c r="K438" s="71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.75" customHeight="1">
      <c r="A439" s="3"/>
      <c r="B439" s="3"/>
      <c r="C439" s="3"/>
      <c r="D439" s="3"/>
      <c r="E439" s="208"/>
      <c r="F439" s="3"/>
      <c r="G439" s="3"/>
      <c r="H439" s="3"/>
      <c r="I439" s="3"/>
      <c r="J439" s="3"/>
      <c r="K439" s="71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.75" customHeight="1">
      <c r="A440" s="3"/>
      <c r="B440" s="3"/>
      <c r="C440" s="3"/>
      <c r="D440" s="3"/>
      <c r="E440" s="208"/>
      <c r="F440" s="3"/>
      <c r="G440" s="3"/>
      <c r="H440" s="3"/>
      <c r="I440" s="3"/>
      <c r="J440" s="3"/>
      <c r="K440" s="71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.75" customHeight="1">
      <c r="A441" s="3"/>
      <c r="B441" s="3"/>
      <c r="C441" s="3"/>
      <c r="D441" s="3"/>
      <c r="E441" s="208"/>
      <c r="F441" s="3"/>
      <c r="G441" s="3"/>
      <c r="H441" s="3"/>
      <c r="I441" s="3"/>
      <c r="J441" s="3"/>
      <c r="K441" s="71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.75" customHeight="1">
      <c r="A442" s="3"/>
      <c r="B442" s="3"/>
      <c r="C442" s="3"/>
      <c r="D442" s="3"/>
      <c r="E442" s="208"/>
      <c r="F442" s="3"/>
      <c r="G442" s="3"/>
      <c r="H442" s="3"/>
      <c r="I442" s="3"/>
      <c r="J442" s="3"/>
      <c r="K442" s="71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.75" customHeight="1">
      <c r="A443" s="3"/>
      <c r="B443" s="3"/>
      <c r="C443" s="3"/>
      <c r="D443" s="3"/>
      <c r="E443" s="208"/>
      <c r="F443" s="3"/>
      <c r="G443" s="3"/>
      <c r="H443" s="3"/>
      <c r="I443" s="3"/>
      <c r="J443" s="3"/>
      <c r="K443" s="71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.75" customHeight="1">
      <c r="A444" s="3"/>
      <c r="B444" s="3"/>
      <c r="C444" s="3"/>
      <c r="D444" s="3"/>
      <c r="E444" s="208"/>
      <c r="F444" s="3"/>
      <c r="G444" s="3"/>
      <c r="H444" s="3"/>
      <c r="I444" s="3"/>
      <c r="J444" s="3"/>
      <c r="K444" s="71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.75" customHeight="1">
      <c r="A445" s="3"/>
      <c r="B445" s="3"/>
      <c r="C445" s="3"/>
      <c r="D445" s="3"/>
      <c r="E445" s="208"/>
      <c r="F445" s="3"/>
      <c r="G445" s="3"/>
      <c r="H445" s="3"/>
      <c r="I445" s="3"/>
      <c r="J445" s="3"/>
      <c r="K445" s="71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.75" customHeight="1">
      <c r="A446" s="3"/>
      <c r="B446" s="3"/>
      <c r="C446" s="3"/>
      <c r="D446" s="3"/>
      <c r="E446" s="208"/>
      <c r="F446" s="3"/>
      <c r="G446" s="3"/>
      <c r="H446" s="3"/>
      <c r="I446" s="3"/>
      <c r="J446" s="3"/>
      <c r="K446" s="71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.75" customHeight="1">
      <c r="A447" s="3"/>
      <c r="B447" s="3"/>
      <c r="C447" s="3"/>
      <c r="D447" s="3"/>
      <c r="E447" s="208"/>
      <c r="F447" s="3"/>
      <c r="G447" s="3"/>
      <c r="H447" s="3"/>
      <c r="I447" s="3"/>
      <c r="J447" s="3"/>
      <c r="K447" s="71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.75" customHeight="1">
      <c r="A448" s="3"/>
      <c r="B448" s="3"/>
      <c r="C448" s="3"/>
      <c r="D448" s="3"/>
      <c r="E448" s="208"/>
      <c r="F448" s="3"/>
      <c r="G448" s="3"/>
      <c r="H448" s="3"/>
      <c r="I448" s="3"/>
      <c r="J448" s="3"/>
      <c r="K448" s="71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.75" customHeight="1">
      <c r="A449" s="3"/>
      <c r="B449" s="3"/>
      <c r="C449" s="3"/>
      <c r="D449" s="3"/>
      <c r="E449" s="208"/>
      <c r="F449" s="3"/>
      <c r="G449" s="3"/>
      <c r="H449" s="3"/>
      <c r="I449" s="3"/>
      <c r="J449" s="3"/>
      <c r="K449" s="71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.75" customHeight="1">
      <c r="A450" s="3"/>
      <c r="B450" s="3"/>
      <c r="C450" s="3"/>
      <c r="D450" s="3"/>
      <c r="E450" s="208"/>
      <c r="F450" s="3"/>
      <c r="G450" s="3"/>
      <c r="H450" s="3"/>
      <c r="I450" s="3"/>
      <c r="J450" s="3"/>
      <c r="K450" s="71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.75" customHeight="1">
      <c r="A451" s="3"/>
      <c r="B451" s="3"/>
      <c r="C451" s="3"/>
      <c r="D451" s="3"/>
      <c r="E451" s="208"/>
      <c r="F451" s="3"/>
      <c r="G451" s="3"/>
      <c r="H451" s="3"/>
      <c r="I451" s="3"/>
      <c r="J451" s="3"/>
      <c r="K451" s="71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.75" customHeight="1">
      <c r="A452" s="3"/>
      <c r="B452" s="3"/>
      <c r="C452" s="3"/>
      <c r="D452" s="3"/>
      <c r="E452" s="208"/>
      <c r="F452" s="3"/>
      <c r="G452" s="3"/>
      <c r="H452" s="3"/>
      <c r="I452" s="3"/>
      <c r="J452" s="3"/>
      <c r="K452" s="71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.75" customHeight="1">
      <c r="A453" s="3"/>
      <c r="B453" s="3"/>
      <c r="C453" s="3"/>
      <c r="D453" s="3"/>
      <c r="E453" s="208"/>
      <c r="F453" s="3"/>
      <c r="G453" s="3"/>
      <c r="H453" s="3"/>
      <c r="I453" s="3"/>
      <c r="J453" s="3"/>
      <c r="K453" s="71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.75" customHeight="1">
      <c r="A454" s="3"/>
      <c r="B454" s="3"/>
      <c r="C454" s="3"/>
      <c r="D454" s="3"/>
      <c r="E454" s="208"/>
      <c r="F454" s="3"/>
      <c r="G454" s="3"/>
      <c r="H454" s="3"/>
      <c r="I454" s="3"/>
      <c r="J454" s="3"/>
      <c r="K454" s="71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.75" customHeight="1">
      <c r="A455" s="3"/>
      <c r="B455" s="3"/>
      <c r="C455" s="3"/>
      <c r="D455" s="3"/>
      <c r="E455" s="208"/>
      <c r="F455" s="3"/>
      <c r="G455" s="3"/>
      <c r="H455" s="3"/>
      <c r="I455" s="3"/>
      <c r="J455" s="3"/>
      <c r="K455" s="71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.75" customHeight="1">
      <c r="A456" s="3"/>
      <c r="B456" s="3"/>
      <c r="C456" s="3"/>
      <c r="D456" s="3"/>
      <c r="E456" s="208"/>
      <c r="F456" s="3"/>
      <c r="G456" s="3"/>
      <c r="H456" s="3"/>
      <c r="I456" s="3"/>
      <c r="J456" s="3"/>
      <c r="K456" s="71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.75" customHeight="1">
      <c r="A457" s="3"/>
      <c r="B457" s="3"/>
      <c r="C457" s="3"/>
      <c r="D457" s="3"/>
      <c r="E457" s="208"/>
      <c r="F457" s="3"/>
      <c r="G457" s="3"/>
      <c r="H457" s="3"/>
      <c r="I457" s="3"/>
      <c r="J457" s="3"/>
      <c r="K457" s="71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.75" customHeight="1">
      <c r="A458" s="3"/>
      <c r="B458" s="3"/>
      <c r="C458" s="3"/>
      <c r="D458" s="3"/>
      <c r="E458" s="208"/>
      <c r="F458" s="3"/>
      <c r="G458" s="3"/>
      <c r="H458" s="3"/>
      <c r="I458" s="3"/>
      <c r="J458" s="3"/>
      <c r="K458" s="71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.75" customHeight="1">
      <c r="A459" s="3"/>
      <c r="B459" s="3"/>
      <c r="C459" s="3"/>
      <c r="D459" s="3"/>
      <c r="E459" s="208"/>
      <c r="F459" s="3"/>
      <c r="G459" s="3"/>
      <c r="H459" s="3"/>
      <c r="I459" s="3"/>
      <c r="J459" s="3"/>
      <c r="K459" s="71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.75" customHeight="1">
      <c r="A460" s="3"/>
      <c r="B460" s="3"/>
      <c r="C460" s="3"/>
      <c r="D460" s="3"/>
      <c r="E460" s="208"/>
      <c r="F460" s="3"/>
      <c r="G460" s="3"/>
      <c r="H460" s="3"/>
      <c r="I460" s="3"/>
      <c r="J460" s="3"/>
      <c r="K460" s="71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.75" customHeight="1">
      <c r="A461" s="3"/>
      <c r="B461" s="3"/>
      <c r="C461" s="3"/>
      <c r="D461" s="3"/>
      <c r="E461" s="208"/>
      <c r="F461" s="3"/>
      <c r="G461" s="3"/>
      <c r="H461" s="3"/>
      <c r="I461" s="3"/>
      <c r="J461" s="3"/>
      <c r="K461" s="71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.75" customHeight="1">
      <c r="A462" s="3"/>
      <c r="B462" s="3"/>
      <c r="C462" s="3"/>
      <c r="D462" s="3"/>
      <c r="E462" s="208"/>
      <c r="F462" s="3"/>
      <c r="G462" s="3"/>
      <c r="H462" s="3"/>
      <c r="I462" s="3"/>
      <c r="J462" s="3"/>
      <c r="K462" s="71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.75" customHeight="1">
      <c r="A463" s="3"/>
      <c r="B463" s="3"/>
      <c r="C463" s="3"/>
      <c r="D463" s="3"/>
      <c r="E463" s="208"/>
      <c r="F463" s="3"/>
      <c r="G463" s="3"/>
      <c r="H463" s="3"/>
      <c r="I463" s="3"/>
      <c r="J463" s="3"/>
      <c r="K463" s="71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.75" customHeight="1">
      <c r="A464" s="3"/>
      <c r="B464" s="3"/>
      <c r="C464" s="3"/>
      <c r="D464" s="3"/>
      <c r="E464" s="208"/>
      <c r="F464" s="3"/>
      <c r="G464" s="3"/>
      <c r="H464" s="3"/>
      <c r="I464" s="3"/>
      <c r="J464" s="3"/>
      <c r="K464" s="71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.75" customHeight="1">
      <c r="A465" s="3"/>
      <c r="B465" s="3"/>
      <c r="C465" s="3"/>
      <c r="D465" s="3"/>
      <c r="E465" s="208"/>
      <c r="F465" s="3"/>
      <c r="G465" s="3"/>
      <c r="H465" s="3"/>
      <c r="I465" s="3"/>
      <c r="J465" s="3"/>
      <c r="K465" s="71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.75" customHeight="1">
      <c r="A466" s="3"/>
      <c r="B466" s="3"/>
      <c r="C466" s="3"/>
      <c r="D466" s="3"/>
      <c r="E466" s="208"/>
      <c r="F466" s="3"/>
      <c r="G466" s="3"/>
      <c r="H466" s="3"/>
      <c r="I466" s="3"/>
      <c r="J466" s="3"/>
      <c r="K466" s="71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.75" customHeight="1">
      <c r="A467" s="3"/>
      <c r="B467" s="3"/>
      <c r="C467" s="3"/>
      <c r="D467" s="3"/>
      <c r="E467" s="208"/>
      <c r="F467" s="3"/>
      <c r="G467" s="3"/>
      <c r="H467" s="3"/>
      <c r="I467" s="3"/>
      <c r="J467" s="3"/>
      <c r="K467" s="71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.75" customHeight="1">
      <c r="A468" s="3"/>
      <c r="B468" s="3"/>
      <c r="C468" s="3"/>
      <c r="D468" s="3"/>
      <c r="E468" s="208"/>
      <c r="F468" s="3"/>
      <c r="G468" s="3"/>
      <c r="H468" s="3"/>
      <c r="I468" s="3"/>
      <c r="J468" s="3"/>
      <c r="K468" s="71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.75" customHeight="1">
      <c r="A469" s="3"/>
      <c r="B469" s="3"/>
      <c r="C469" s="3"/>
      <c r="D469" s="3"/>
      <c r="E469" s="208"/>
      <c r="F469" s="3"/>
      <c r="G469" s="3"/>
      <c r="H469" s="3"/>
      <c r="I469" s="3"/>
      <c r="J469" s="3"/>
      <c r="K469" s="71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.75" customHeight="1">
      <c r="A470" s="3"/>
      <c r="B470" s="3"/>
      <c r="C470" s="3"/>
      <c r="D470" s="3"/>
      <c r="E470" s="208"/>
      <c r="F470" s="3"/>
      <c r="G470" s="3"/>
      <c r="H470" s="3"/>
      <c r="I470" s="3"/>
      <c r="J470" s="3"/>
      <c r="K470" s="71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.75" customHeight="1">
      <c r="A471" s="3"/>
      <c r="B471" s="3"/>
      <c r="C471" s="3"/>
      <c r="D471" s="3"/>
      <c r="E471" s="208"/>
      <c r="F471" s="3"/>
      <c r="G471" s="3"/>
      <c r="H471" s="3"/>
      <c r="I471" s="3"/>
      <c r="J471" s="3"/>
      <c r="K471" s="71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.75" customHeight="1">
      <c r="A472" s="3"/>
      <c r="B472" s="3"/>
      <c r="C472" s="3"/>
      <c r="D472" s="3"/>
      <c r="E472" s="208"/>
      <c r="F472" s="3"/>
      <c r="G472" s="3"/>
      <c r="H472" s="3"/>
      <c r="I472" s="3"/>
      <c r="J472" s="3"/>
      <c r="K472" s="71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.75" customHeight="1">
      <c r="A473" s="3"/>
      <c r="B473" s="3"/>
      <c r="C473" s="3"/>
      <c r="D473" s="3"/>
      <c r="E473" s="208"/>
      <c r="F473" s="3"/>
      <c r="G473" s="3"/>
      <c r="H473" s="3"/>
      <c r="I473" s="3"/>
      <c r="J473" s="3"/>
      <c r="K473" s="71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.75" customHeight="1">
      <c r="A474" s="3"/>
      <c r="B474" s="3"/>
      <c r="C474" s="3"/>
      <c r="D474" s="3"/>
      <c r="E474" s="208"/>
      <c r="F474" s="3"/>
      <c r="G474" s="3"/>
      <c r="H474" s="3"/>
      <c r="I474" s="3"/>
      <c r="J474" s="3"/>
      <c r="K474" s="71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.75" customHeight="1">
      <c r="A475" s="3"/>
      <c r="B475" s="3"/>
      <c r="C475" s="3"/>
      <c r="D475" s="3"/>
      <c r="E475" s="208"/>
      <c r="F475" s="3"/>
      <c r="G475" s="3"/>
      <c r="H475" s="3"/>
      <c r="I475" s="3"/>
      <c r="J475" s="3"/>
      <c r="K475" s="71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.75" customHeight="1">
      <c r="A476" s="3"/>
      <c r="B476" s="3"/>
      <c r="C476" s="3"/>
      <c r="D476" s="3"/>
      <c r="E476" s="208"/>
      <c r="F476" s="3"/>
      <c r="G476" s="3"/>
      <c r="H476" s="3"/>
      <c r="I476" s="3"/>
      <c r="J476" s="3"/>
      <c r="K476" s="71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.75" customHeight="1">
      <c r="A477" s="3"/>
      <c r="B477" s="3"/>
      <c r="C477" s="3"/>
      <c r="D477" s="3"/>
      <c r="E477" s="208"/>
      <c r="F477" s="3"/>
      <c r="G477" s="3"/>
      <c r="H477" s="3"/>
      <c r="I477" s="3"/>
      <c r="J477" s="3"/>
      <c r="K477" s="71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.75" customHeight="1">
      <c r="A478" s="3"/>
      <c r="B478" s="3"/>
      <c r="C478" s="3"/>
      <c r="D478" s="3"/>
      <c r="E478" s="208"/>
      <c r="F478" s="3"/>
      <c r="G478" s="3"/>
      <c r="H478" s="3"/>
      <c r="I478" s="3"/>
      <c r="J478" s="3"/>
      <c r="K478" s="71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.75" customHeight="1">
      <c r="A479" s="3"/>
      <c r="B479" s="3"/>
      <c r="C479" s="3"/>
      <c r="D479" s="3"/>
      <c r="E479" s="208"/>
      <c r="F479" s="3"/>
      <c r="G479" s="3"/>
      <c r="H479" s="3"/>
      <c r="I479" s="3"/>
      <c r="J479" s="3"/>
      <c r="K479" s="71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.75" customHeight="1">
      <c r="A480" s="3"/>
      <c r="B480" s="3"/>
      <c r="C480" s="3"/>
      <c r="D480" s="3"/>
      <c r="E480" s="208"/>
      <c r="F480" s="3"/>
      <c r="G480" s="3"/>
      <c r="H480" s="3"/>
      <c r="I480" s="3"/>
      <c r="J480" s="3"/>
      <c r="K480" s="71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.75" customHeight="1">
      <c r="A481" s="3"/>
      <c r="B481" s="3"/>
      <c r="C481" s="3"/>
      <c r="D481" s="3"/>
      <c r="E481" s="208"/>
      <c r="F481" s="3"/>
      <c r="G481" s="3"/>
      <c r="H481" s="3"/>
      <c r="I481" s="3"/>
      <c r="J481" s="3"/>
      <c r="K481" s="71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.75" customHeight="1">
      <c r="A482" s="3"/>
      <c r="B482" s="3"/>
      <c r="C482" s="3"/>
      <c r="D482" s="3"/>
      <c r="E482" s="208"/>
      <c r="F482" s="3"/>
      <c r="G482" s="3"/>
      <c r="H482" s="3"/>
      <c r="I482" s="3"/>
      <c r="J482" s="3"/>
      <c r="K482" s="71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.75" customHeight="1">
      <c r="A483" s="3"/>
      <c r="B483" s="3"/>
      <c r="C483" s="3"/>
      <c r="D483" s="3"/>
      <c r="E483" s="208"/>
      <c r="F483" s="3"/>
      <c r="G483" s="3"/>
      <c r="H483" s="3"/>
      <c r="I483" s="3"/>
      <c r="J483" s="3"/>
      <c r="K483" s="71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.75" customHeight="1">
      <c r="A484" s="3"/>
      <c r="B484" s="3"/>
      <c r="C484" s="3"/>
      <c r="D484" s="3"/>
      <c r="E484" s="208"/>
      <c r="F484" s="3"/>
      <c r="G484" s="3"/>
      <c r="H484" s="3"/>
      <c r="I484" s="3"/>
      <c r="J484" s="3"/>
      <c r="K484" s="71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.75" customHeight="1">
      <c r="A485" s="3"/>
      <c r="B485" s="3"/>
      <c r="C485" s="3"/>
      <c r="D485" s="3"/>
      <c r="E485" s="208"/>
      <c r="F485" s="3"/>
      <c r="G485" s="3"/>
      <c r="H485" s="3"/>
      <c r="I485" s="3"/>
      <c r="J485" s="3"/>
      <c r="K485" s="71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.75" customHeight="1">
      <c r="A486" s="3"/>
      <c r="B486" s="3"/>
      <c r="C486" s="3"/>
      <c r="D486" s="3"/>
      <c r="E486" s="208"/>
      <c r="F486" s="3"/>
      <c r="G486" s="3"/>
      <c r="H486" s="3"/>
      <c r="I486" s="3"/>
      <c r="J486" s="3"/>
      <c r="K486" s="71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.75" customHeight="1">
      <c r="A487" s="3"/>
      <c r="B487" s="3"/>
      <c r="C487" s="3"/>
      <c r="D487" s="3"/>
      <c r="E487" s="208"/>
      <c r="F487" s="3"/>
      <c r="G487" s="3"/>
      <c r="H487" s="3"/>
      <c r="I487" s="3"/>
      <c r="J487" s="3"/>
      <c r="K487" s="71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.75" customHeight="1">
      <c r="A488" s="3"/>
      <c r="B488" s="3"/>
      <c r="C488" s="3"/>
      <c r="D488" s="3"/>
      <c r="E488" s="208"/>
      <c r="F488" s="3"/>
      <c r="G488" s="3"/>
      <c r="H488" s="3"/>
      <c r="I488" s="3"/>
      <c r="J488" s="3"/>
      <c r="K488" s="71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.75" customHeight="1">
      <c r="A489" s="3"/>
      <c r="B489" s="3"/>
      <c r="C489" s="3"/>
      <c r="D489" s="3"/>
      <c r="E489" s="208"/>
      <c r="F489" s="3"/>
      <c r="G489" s="3"/>
      <c r="H489" s="3"/>
      <c r="I489" s="3"/>
      <c r="J489" s="3"/>
      <c r="K489" s="71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.75" customHeight="1">
      <c r="A490" s="3"/>
      <c r="B490" s="3"/>
      <c r="C490" s="3"/>
      <c r="D490" s="3"/>
      <c r="E490" s="208"/>
      <c r="F490" s="3"/>
      <c r="G490" s="3"/>
      <c r="H490" s="3"/>
      <c r="I490" s="3"/>
      <c r="J490" s="3"/>
      <c r="K490" s="71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.75" customHeight="1">
      <c r="A491" s="3"/>
      <c r="B491" s="3"/>
      <c r="C491" s="3"/>
      <c r="D491" s="3"/>
      <c r="E491" s="208"/>
      <c r="F491" s="3"/>
      <c r="G491" s="3"/>
      <c r="H491" s="3"/>
      <c r="I491" s="3"/>
      <c r="J491" s="3"/>
      <c r="K491" s="71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.75" customHeight="1">
      <c r="A492" s="3"/>
      <c r="B492" s="3"/>
      <c r="C492" s="3"/>
      <c r="D492" s="3"/>
      <c r="E492" s="208"/>
      <c r="F492" s="3"/>
      <c r="G492" s="3"/>
      <c r="H492" s="3"/>
      <c r="I492" s="3"/>
      <c r="J492" s="3"/>
      <c r="K492" s="71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.75" customHeight="1">
      <c r="A493" s="3"/>
      <c r="B493" s="3"/>
      <c r="C493" s="3"/>
      <c r="D493" s="3"/>
      <c r="E493" s="208"/>
      <c r="F493" s="3"/>
      <c r="G493" s="3"/>
      <c r="H493" s="3"/>
      <c r="I493" s="3"/>
      <c r="J493" s="3"/>
      <c r="K493" s="71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.75" customHeight="1">
      <c r="A494" s="3"/>
      <c r="B494" s="3"/>
      <c r="C494" s="3"/>
      <c r="D494" s="3"/>
      <c r="E494" s="208"/>
      <c r="F494" s="3"/>
      <c r="G494" s="3"/>
      <c r="H494" s="3"/>
      <c r="I494" s="3"/>
      <c r="J494" s="3"/>
      <c r="K494" s="71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.75" customHeight="1">
      <c r="A495" s="3"/>
      <c r="B495" s="3"/>
      <c r="C495" s="3"/>
      <c r="D495" s="3"/>
      <c r="E495" s="208"/>
      <c r="F495" s="3"/>
      <c r="G495" s="3"/>
      <c r="H495" s="3"/>
      <c r="I495" s="3"/>
      <c r="J495" s="3"/>
      <c r="K495" s="71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.75" customHeight="1">
      <c r="A496" s="3"/>
      <c r="B496" s="3"/>
      <c r="C496" s="3"/>
      <c r="D496" s="3"/>
      <c r="E496" s="208"/>
      <c r="F496" s="3"/>
      <c r="G496" s="3"/>
      <c r="H496" s="3"/>
      <c r="I496" s="3"/>
      <c r="J496" s="3"/>
      <c r="K496" s="71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.75" customHeight="1">
      <c r="A497" s="3"/>
      <c r="B497" s="3"/>
      <c r="C497" s="3"/>
      <c r="D497" s="3"/>
      <c r="E497" s="208"/>
      <c r="F497" s="3"/>
      <c r="G497" s="3"/>
      <c r="H497" s="3"/>
      <c r="I497" s="3"/>
      <c r="J497" s="3"/>
      <c r="K497" s="71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.75" customHeight="1">
      <c r="A498" s="3"/>
      <c r="B498" s="3"/>
      <c r="C498" s="3"/>
      <c r="D498" s="3"/>
      <c r="E498" s="208"/>
      <c r="F498" s="3"/>
      <c r="G498" s="3"/>
      <c r="H498" s="3"/>
      <c r="I498" s="3"/>
      <c r="J498" s="3"/>
      <c r="K498" s="71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.75" customHeight="1">
      <c r="A499" s="3"/>
      <c r="B499" s="3"/>
      <c r="C499" s="3"/>
      <c r="D499" s="3"/>
      <c r="E499" s="208"/>
      <c r="F499" s="3"/>
      <c r="G499" s="3"/>
      <c r="H499" s="3"/>
      <c r="I499" s="3"/>
      <c r="J499" s="3"/>
      <c r="K499" s="71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.75" customHeight="1">
      <c r="A500" s="3"/>
      <c r="B500" s="3"/>
      <c r="C500" s="3"/>
      <c r="D500" s="3"/>
      <c r="E500" s="208"/>
      <c r="F500" s="3"/>
      <c r="G500" s="3"/>
      <c r="H500" s="3"/>
      <c r="I500" s="3"/>
      <c r="J500" s="3"/>
      <c r="K500" s="71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.75" customHeight="1">
      <c r="A501" s="3"/>
      <c r="B501" s="3"/>
      <c r="C501" s="3"/>
      <c r="D501" s="3"/>
      <c r="E501" s="208"/>
      <c r="F501" s="3"/>
      <c r="G501" s="3"/>
      <c r="H501" s="3"/>
      <c r="I501" s="3"/>
      <c r="J501" s="3"/>
      <c r="K501" s="71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.75" customHeight="1">
      <c r="A502" s="3"/>
      <c r="B502" s="3"/>
      <c r="C502" s="3"/>
      <c r="D502" s="3"/>
      <c r="E502" s="208"/>
      <c r="F502" s="3"/>
      <c r="G502" s="3"/>
      <c r="H502" s="3"/>
      <c r="I502" s="3"/>
      <c r="J502" s="3"/>
      <c r="K502" s="71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.75" customHeight="1">
      <c r="A503" s="3"/>
      <c r="B503" s="3"/>
      <c r="C503" s="3"/>
      <c r="D503" s="3"/>
      <c r="E503" s="208"/>
      <c r="F503" s="3"/>
      <c r="G503" s="3"/>
      <c r="H503" s="3"/>
      <c r="I503" s="3"/>
      <c r="J503" s="3"/>
      <c r="K503" s="71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.75" customHeight="1">
      <c r="A504" s="3"/>
      <c r="B504" s="3"/>
      <c r="C504" s="3"/>
      <c r="D504" s="3"/>
      <c r="E504" s="208"/>
      <c r="F504" s="3"/>
      <c r="G504" s="3"/>
      <c r="H504" s="3"/>
      <c r="I504" s="3"/>
      <c r="J504" s="3"/>
      <c r="K504" s="71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.75" customHeight="1">
      <c r="A505" s="3"/>
      <c r="B505" s="3"/>
      <c r="C505" s="3"/>
      <c r="D505" s="3"/>
      <c r="E505" s="208"/>
      <c r="F505" s="3"/>
      <c r="G505" s="3"/>
      <c r="H505" s="3"/>
      <c r="I505" s="3"/>
      <c r="J505" s="3"/>
      <c r="K505" s="71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.75" customHeight="1">
      <c r="A506" s="3"/>
      <c r="B506" s="3"/>
      <c r="C506" s="3"/>
      <c r="D506" s="3"/>
      <c r="E506" s="208"/>
      <c r="F506" s="3"/>
      <c r="G506" s="3"/>
      <c r="H506" s="3"/>
      <c r="I506" s="3"/>
      <c r="J506" s="3"/>
      <c r="K506" s="71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.75" customHeight="1">
      <c r="A507" s="3"/>
      <c r="B507" s="3"/>
      <c r="C507" s="3"/>
      <c r="D507" s="3"/>
      <c r="E507" s="208"/>
      <c r="F507" s="3"/>
      <c r="G507" s="3"/>
      <c r="H507" s="3"/>
      <c r="I507" s="3"/>
      <c r="J507" s="3"/>
      <c r="K507" s="71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.75" customHeight="1">
      <c r="A508" s="3"/>
      <c r="B508" s="3"/>
      <c r="C508" s="3"/>
      <c r="D508" s="3"/>
      <c r="E508" s="208"/>
      <c r="F508" s="3"/>
      <c r="G508" s="3"/>
      <c r="H508" s="3"/>
      <c r="I508" s="3"/>
      <c r="J508" s="3"/>
      <c r="K508" s="71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.75" customHeight="1">
      <c r="A509" s="3"/>
      <c r="B509" s="3"/>
      <c r="C509" s="3"/>
      <c r="D509" s="3"/>
      <c r="E509" s="208"/>
      <c r="F509" s="3"/>
      <c r="G509" s="3"/>
      <c r="H509" s="3"/>
      <c r="I509" s="3"/>
      <c r="J509" s="3"/>
      <c r="K509" s="71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.75" customHeight="1">
      <c r="A510" s="3"/>
      <c r="B510" s="3"/>
      <c r="C510" s="3"/>
      <c r="D510" s="3"/>
      <c r="E510" s="208"/>
      <c r="F510" s="3"/>
      <c r="G510" s="3"/>
      <c r="H510" s="3"/>
      <c r="I510" s="3"/>
      <c r="J510" s="3"/>
      <c r="K510" s="71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.75" customHeight="1">
      <c r="A511" s="3"/>
      <c r="B511" s="3"/>
      <c r="C511" s="3"/>
      <c r="D511" s="3"/>
      <c r="E511" s="208"/>
      <c r="F511" s="3"/>
      <c r="G511" s="3"/>
      <c r="H511" s="3"/>
      <c r="I511" s="3"/>
      <c r="J511" s="3"/>
      <c r="K511" s="71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.75" customHeight="1">
      <c r="A512" s="3"/>
      <c r="B512" s="3"/>
      <c r="C512" s="3"/>
      <c r="D512" s="3"/>
      <c r="E512" s="208"/>
      <c r="F512" s="3"/>
      <c r="G512" s="3"/>
      <c r="H512" s="3"/>
      <c r="I512" s="3"/>
      <c r="J512" s="3"/>
      <c r="K512" s="71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.75" customHeight="1">
      <c r="A513" s="3"/>
      <c r="B513" s="3"/>
      <c r="C513" s="3"/>
      <c r="D513" s="3"/>
      <c r="E513" s="208"/>
      <c r="F513" s="3"/>
      <c r="G513" s="3"/>
      <c r="H513" s="3"/>
      <c r="I513" s="3"/>
      <c r="J513" s="3"/>
      <c r="K513" s="71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.75" customHeight="1">
      <c r="A514" s="3"/>
      <c r="B514" s="3"/>
      <c r="C514" s="3"/>
      <c r="D514" s="3"/>
      <c r="E514" s="208"/>
      <c r="F514" s="3"/>
      <c r="G514" s="3"/>
      <c r="H514" s="3"/>
      <c r="I514" s="3"/>
      <c r="J514" s="3"/>
      <c r="K514" s="71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.75" customHeight="1">
      <c r="A515" s="3"/>
      <c r="B515" s="3"/>
      <c r="C515" s="3"/>
      <c r="D515" s="3"/>
      <c r="E515" s="208"/>
      <c r="F515" s="3"/>
      <c r="G515" s="3"/>
      <c r="H515" s="3"/>
      <c r="I515" s="3"/>
      <c r="J515" s="3"/>
      <c r="K515" s="71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.75" customHeight="1">
      <c r="A516" s="3"/>
      <c r="B516" s="3"/>
      <c r="C516" s="3"/>
      <c r="D516" s="3"/>
      <c r="E516" s="208"/>
      <c r="F516" s="3"/>
      <c r="G516" s="3"/>
      <c r="H516" s="3"/>
      <c r="I516" s="3"/>
      <c r="J516" s="3"/>
      <c r="K516" s="71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.75" customHeight="1">
      <c r="A517" s="3"/>
      <c r="B517" s="3"/>
      <c r="C517" s="3"/>
      <c r="D517" s="3"/>
      <c r="E517" s="208"/>
      <c r="F517" s="3"/>
      <c r="G517" s="3"/>
      <c r="H517" s="3"/>
      <c r="I517" s="3"/>
      <c r="J517" s="3"/>
      <c r="K517" s="71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.75" customHeight="1">
      <c r="A518" s="3"/>
      <c r="B518" s="3"/>
      <c r="C518" s="3"/>
      <c r="D518" s="3"/>
      <c r="E518" s="208"/>
      <c r="F518" s="3"/>
      <c r="G518" s="3"/>
      <c r="H518" s="3"/>
      <c r="I518" s="3"/>
      <c r="J518" s="3"/>
      <c r="K518" s="71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.75" customHeight="1">
      <c r="A519" s="3"/>
      <c r="B519" s="3"/>
      <c r="C519" s="3"/>
      <c r="D519" s="3"/>
      <c r="E519" s="208"/>
      <c r="F519" s="3"/>
      <c r="G519" s="3"/>
      <c r="H519" s="3"/>
      <c r="I519" s="3"/>
      <c r="J519" s="3"/>
      <c r="K519" s="71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.75" customHeight="1">
      <c r="A520" s="3"/>
      <c r="B520" s="3"/>
      <c r="C520" s="3"/>
      <c r="D520" s="3"/>
      <c r="E520" s="208"/>
      <c r="F520" s="3"/>
      <c r="G520" s="3"/>
      <c r="H520" s="3"/>
      <c r="I520" s="3"/>
      <c r="J520" s="3"/>
      <c r="K520" s="71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.75" customHeight="1">
      <c r="A521" s="3"/>
      <c r="B521" s="3"/>
      <c r="C521" s="3"/>
      <c r="D521" s="3"/>
      <c r="E521" s="208"/>
      <c r="F521" s="3"/>
      <c r="G521" s="3"/>
      <c r="H521" s="3"/>
      <c r="I521" s="3"/>
      <c r="J521" s="3"/>
      <c r="K521" s="71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.75" customHeight="1">
      <c r="A522" s="3"/>
      <c r="B522" s="3"/>
      <c r="C522" s="3"/>
      <c r="D522" s="3"/>
      <c r="E522" s="208"/>
      <c r="F522" s="3"/>
      <c r="G522" s="3"/>
      <c r="H522" s="3"/>
      <c r="I522" s="3"/>
      <c r="J522" s="3"/>
      <c r="K522" s="71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.75" customHeight="1">
      <c r="A523" s="3"/>
      <c r="B523" s="3"/>
      <c r="C523" s="3"/>
      <c r="D523" s="3"/>
      <c r="E523" s="208"/>
      <c r="F523" s="3"/>
      <c r="G523" s="3"/>
      <c r="H523" s="3"/>
      <c r="I523" s="3"/>
      <c r="J523" s="3"/>
      <c r="K523" s="71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.75" customHeight="1">
      <c r="A524" s="3"/>
      <c r="B524" s="3"/>
      <c r="C524" s="3"/>
      <c r="D524" s="3"/>
      <c r="E524" s="208"/>
      <c r="F524" s="3"/>
      <c r="G524" s="3"/>
      <c r="H524" s="3"/>
      <c r="I524" s="3"/>
      <c r="J524" s="3"/>
      <c r="K524" s="71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.75" customHeight="1">
      <c r="A525" s="3"/>
      <c r="B525" s="3"/>
      <c r="C525" s="3"/>
      <c r="D525" s="3"/>
      <c r="E525" s="208"/>
      <c r="F525" s="3"/>
      <c r="G525" s="3"/>
      <c r="H525" s="3"/>
      <c r="I525" s="3"/>
      <c r="J525" s="3"/>
      <c r="K525" s="71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.75" customHeight="1">
      <c r="A526" s="3"/>
      <c r="B526" s="3"/>
      <c r="C526" s="3"/>
      <c r="D526" s="3"/>
      <c r="E526" s="208"/>
      <c r="F526" s="3"/>
      <c r="G526" s="3"/>
      <c r="H526" s="3"/>
      <c r="I526" s="3"/>
      <c r="J526" s="3"/>
      <c r="K526" s="71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.75" customHeight="1">
      <c r="A527" s="3"/>
      <c r="B527" s="3"/>
      <c r="C527" s="3"/>
      <c r="D527" s="3"/>
      <c r="E527" s="208"/>
      <c r="F527" s="3"/>
      <c r="G527" s="3"/>
      <c r="H527" s="3"/>
      <c r="I527" s="3"/>
      <c r="J527" s="3"/>
      <c r="K527" s="71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.75" customHeight="1">
      <c r="A528" s="3"/>
      <c r="B528" s="3"/>
      <c r="C528" s="3"/>
      <c r="D528" s="3"/>
      <c r="E528" s="208"/>
      <c r="F528" s="3"/>
      <c r="G528" s="3"/>
      <c r="H528" s="3"/>
      <c r="I528" s="3"/>
      <c r="J528" s="3"/>
      <c r="K528" s="71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.75" customHeight="1">
      <c r="A529" s="3"/>
      <c r="B529" s="3"/>
      <c r="C529" s="3"/>
      <c r="D529" s="3"/>
      <c r="E529" s="208"/>
      <c r="F529" s="3"/>
      <c r="G529" s="3"/>
      <c r="H529" s="3"/>
      <c r="I529" s="3"/>
      <c r="J529" s="3"/>
      <c r="K529" s="71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.75" customHeight="1">
      <c r="A530" s="3"/>
      <c r="B530" s="3"/>
      <c r="C530" s="3"/>
      <c r="D530" s="3"/>
      <c r="E530" s="208"/>
      <c r="F530" s="3"/>
      <c r="G530" s="3"/>
      <c r="H530" s="3"/>
      <c r="I530" s="3"/>
      <c r="J530" s="3"/>
      <c r="K530" s="71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.75" customHeight="1">
      <c r="A531" s="3"/>
      <c r="B531" s="3"/>
      <c r="C531" s="3"/>
      <c r="D531" s="3"/>
      <c r="E531" s="208"/>
      <c r="F531" s="3"/>
      <c r="G531" s="3"/>
      <c r="H531" s="3"/>
      <c r="I531" s="3"/>
      <c r="J531" s="3"/>
      <c r="K531" s="71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.75" customHeight="1">
      <c r="A532" s="3"/>
      <c r="B532" s="3"/>
      <c r="C532" s="3"/>
      <c r="D532" s="3"/>
      <c r="E532" s="208"/>
      <c r="F532" s="3"/>
      <c r="G532" s="3"/>
      <c r="H532" s="3"/>
      <c r="I532" s="3"/>
      <c r="J532" s="3"/>
      <c r="K532" s="71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.75" customHeight="1">
      <c r="A533" s="3"/>
      <c r="B533" s="3"/>
      <c r="C533" s="3"/>
      <c r="D533" s="3"/>
      <c r="E533" s="208"/>
      <c r="F533" s="3"/>
      <c r="G533" s="3"/>
      <c r="H533" s="3"/>
      <c r="I533" s="3"/>
      <c r="J533" s="3"/>
      <c r="K533" s="71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.75" customHeight="1">
      <c r="A534" s="3"/>
      <c r="B534" s="3"/>
      <c r="C534" s="3"/>
      <c r="D534" s="3"/>
      <c r="E534" s="208"/>
      <c r="F534" s="3"/>
      <c r="G534" s="3"/>
      <c r="H534" s="3"/>
      <c r="I534" s="3"/>
      <c r="J534" s="3"/>
      <c r="K534" s="71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.75" customHeight="1">
      <c r="A535" s="3"/>
      <c r="B535" s="3"/>
      <c r="C535" s="3"/>
      <c r="D535" s="3"/>
      <c r="E535" s="208"/>
      <c r="F535" s="3"/>
      <c r="G535" s="3"/>
      <c r="H535" s="3"/>
      <c r="I535" s="3"/>
      <c r="J535" s="3"/>
      <c r="K535" s="71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.75" customHeight="1">
      <c r="A536" s="3"/>
      <c r="B536" s="3"/>
      <c r="C536" s="3"/>
      <c r="D536" s="3"/>
      <c r="E536" s="208"/>
      <c r="F536" s="3"/>
      <c r="G536" s="3"/>
      <c r="H536" s="3"/>
      <c r="I536" s="3"/>
      <c r="J536" s="3"/>
      <c r="K536" s="71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.75" customHeight="1">
      <c r="A537" s="3"/>
      <c r="B537" s="3"/>
      <c r="C537" s="3"/>
      <c r="D537" s="3"/>
      <c r="E537" s="208"/>
      <c r="F537" s="3"/>
      <c r="G537" s="3"/>
      <c r="H537" s="3"/>
      <c r="I537" s="3"/>
      <c r="J537" s="3"/>
      <c r="K537" s="71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.75" customHeight="1">
      <c r="A538" s="3"/>
      <c r="B538" s="3"/>
      <c r="C538" s="3"/>
      <c r="D538" s="3"/>
      <c r="E538" s="208"/>
      <c r="F538" s="3"/>
      <c r="G538" s="3"/>
      <c r="H538" s="3"/>
      <c r="I538" s="3"/>
      <c r="J538" s="3"/>
      <c r="K538" s="71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.75" customHeight="1">
      <c r="A539" s="3"/>
      <c r="B539" s="3"/>
      <c r="C539" s="3"/>
      <c r="D539" s="3"/>
      <c r="E539" s="208"/>
      <c r="F539" s="3"/>
      <c r="G539" s="3"/>
      <c r="H539" s="3"/>
      <c r="I539" s="3"/>
      <c r="J539" s="3"/>
      <c r="K539" s="71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.75" customHeight="1">
      <c r="A540" s="3"/>
      <c r="B540" s="3"/>
      <c r="C540" s="3"/>
      <c r="D540" s="3"/>
      <c r="E540" s="208"/>
      <c r="F540" s="3"/>
      <c r="G540" s="3"/>
      <c r="H540" s="3"/>
      <c r="I540" s="3"/>
      <c r="J540" s="3"/>
      <c r="K540" s="71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.75" customHeight="1">
      <c r="A541" s="3"/>
      <c r="B541" s="3"/>
      <c r="C541" s="3"/>
      <c r="D541" s="3"/>
      <c r="E541" s="208"/>
      <c r="F541" s="3"/>
      <c r="G541" s="3"/>
      <c r="H541" s="3"/>
      <c r="I541" s="3"/>
      <c r="J541" s="3"/>
      <c r="K541" s="71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.75" customHeight="1">
      <c r="A542" s="3"/>
      <c r="B542" s="3"/>
      <c r="C542" s="3"/>
      <c r="D542" s="3"/>
      <c r="E542" s="208"/>
      <c r="F542" s="3"/>
      <c r="G542" s="3"/>
      <c r="H542" s="3"/>
      <c r="I542" s="3"/>
      <c r="J542" s="3"/>
      <c r="K542" s="71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.75" customHeight="1">
      <c r="A543" s="3"/>
      <c r="B543" s="3"/>
      <c r="C543" s="3"/>
      <c r="D543" s="3"/>
      <c r="E543" s="208"/>
      <c r="F543" s="3"/>
      <c r="G543" s="3"/>
      <c r="H543" s="3"/>
      <c r="I543" s="3"/>
      <c r="J543" s="3"/>
      <c r="K543" s="71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.75" customHeight="1">
      <c r="A544" s="3"/>
      <c r="B544" s="3"/>
      <c r="C544" s="3"/>
      <c r="D544" s="3"/>
      <c r="E544" s="208"/>
      <c r="F544" s="3"/>
      <c r="G544" s="3"/>
      <c r="H544" s="3"/>
      <c r="I544" s="3"/>
      <c r="J544" s="3"/>
      <c r="K544" s="71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.75" customHeight="1">
      <c r="A545" s="3"/>
      <c r="B545" s="3"/>
      <c r="C545" s="3"/>
      <c r="D545" s="3"/>
      <c r="E545" s="208"/>
      <c r="F545" s="3"/>
      <c r="G545" s="3"/>
      <c r="H545" s="3"/>
      <c r="I545" s="3"/>
      <c r="J545" s="3"/>
      <c r="K545" s="71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.75" customHeight="1">
      <c r="A546" s="3"/>
      <c r="B546" s="3"/>
      <c r="C546" s="3"/>
      <c r="D546" s="3"/>
      <c r="E546" s="208"/>
      <c r="F546" s="3"/>
      <c r="G546" s="3"/>
      <c r="H546" s="3"/>
      <c r="I546" s="3"/>
      <c r="J546" s="3"/>
      <c r="K546" s="71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.75" customHeight="1">
      <c r="A547" s="3"/>
      <c r="B547" s="3"/>
      <c r="C547" s="3"/>
      <c r="D547" s="3"/>
      <c r="E547" s="208"/>
      <c r="F547" s="3"/>
      <c r="G547" s="3"/>
      <c r="H547" s="3"/>
      <c r="I547" s="3"/>
      <c r="J547" s="3"/>
      <c r="K547" s="71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.75" customHeight="1">
      <c r="A548" s="3"/>
      <c r="B548" s="3"/>
      <c r="C548" s="3"/>
      <c r="D548" s="3"/>
      <c r="E548" s="208"/>
      <c r="F548" s="3"/>
      <c r="G548" s="3"/>
      <c r="H548" s="3"/>
      <c r="I548" s="3"/>
      <c r="J548" s="3"/>
      <c r="K548" s="71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.75" customHeight="1">
      <c r="A549" s="3"/>
      <c r="B549" s="3"/>
      <c r="C549" s="3"/>
      <c r="D549" s="3"/>
      <c r="E549" s="208"/>
      <c r="F549" s="3"/>
      <c r="G549" s="3"/>
      <c r="H549" s="3"/>
      <c r="I549" s="3"/>
      <c r="J549" s="3"/>
      <c r="K549" s="71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.75" customHeight="1">
      <c r="A550" s="3"/>
      <c r="B550" s="3"/>
      <c r="C550" s="3"/>
      <c r="D550" s="3"/>
      <c r="E550" s="208"/>
      <c r="F550" s="3"/>
      <c r="G550" s="3"/>
      <c r="H550" s="3"/>
      <c r="I550" s="3"/>
      <c r="J550" s="3"/>
      <c r="K550" s="71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.75" customHeight="1">
      <c r="A551" s="3"/>
      <c r="B551" s="3"/>
      <c r="C551" s="3"/>
      <c r="D551" s="3"/>
      <c r="E551" s="208"/>
      <c r="F551" s="3"/>
      <c r="G551" s="3"/>
      <c r="H551" s="3"/>
      <c r="I551" s="3"/>
      <c r="J551" s="3"/>
      <c r="K551" s="71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.75" customHeight="1">
      <c r="A552" s="3"/>
      <c r="B552" s="3"/>
      <c r="C552" s="3"/>
      <c r="D552" s="3"/>
      <c r="E552" s="208"/>
      <c r="F552" s="3"/>
      <c r="G552" s="3"/>
      <c r="H552" s="3"/>
      <c r="I552" s="3"/>
      <c r="J552" s="3"/>
      <c r="K552" s="71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.75" customHeight="1">
      <c r="A553" s="3"/>
      <c r="B553" s="3"/>
      <c r="C553" s="3"/>
      <c r="D553" s="3"/>
      <c r="E553" s="208"/>
      <c r="F553" s="3"/>
      <c r="G553" s="3"/>
      <c r="H553" s="3"/>
      <c r="I553" s="3"/>
      <c r="J553" s="3"/>
      <c r="K553" s="71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.75" customHeight="1">
      <c r="A554" s="3"/>
      <c r="B554" s="3"/>
      <c r="C554" s="3"/>
      <c r="D554" s="3"/>
      <c r="E554" s="208"/>
      <c r="F554" s="3"/>
      <c r="G554" s="3"/>
      <c r="H554" s="3"/>
      <c r="I554" s="3"/>
      <c r="J554" s="3"/>
      <c r="K554" s="71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.75" customHeight="1">
      <c r="A555" s="3"/>
      <c r="B555" s="3"/>
      <c r="C555" s="3"/>
      <c r="D555" s="3"/>
      <c r="E555" s="208"/>
      <c r="F555" s="3"/>
      <c r="G555" s="3"/>
      <c r="H555" s="3"/>
      <c r="I555" s="3"/>
      <c r="J555" s="3"/>
      <c r="K555" s="71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.75" customHeight="1">
      <c r="A556" s="3"/>
      <c r="B556" s="3"/>
      <c r="C556" s="3"/>
      <c r="D556" s="3"/>
      <c r="E556" s="208"/>
      <c r="F556" s="3"/>
      <c r="G556" s="3"/>
      <c r="H556" s="3"/>
      <c r="I556" s="3"/>
      <c r="J556" s="3"/>
      <c r="K556" s="71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.75" customHeight="1">
      <c r="A557" s="3"/>
      <c r="B557" s="3"/>
      <c r="C557" s="3"/>
      <c r="D557" s="3"/>
      <c r="E557" s="208"/>
      <c r="F557" s="3"/>
      <c r="G557" s="3"/>
      <c r="H557" s="3"/>
      <c r="I557" s="3"/>
      <c r="J557" s="3"/>
      <c r="K557" s="71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.75" customHeight="1">
      <c r="A558" s="3"/>
      <c r="B558" s="3"/>
      <c r="C558" s="3"/>
      <c r="D558" s="3"/>
      <c r="E558" s="208"/>
      <c r="F558" s="3"/>
      <c r="G558" s="3"/>
      <c r="H558" s="3"/>
      <c r="I558" s="3"/>
      <c r="J558" s="3"/>
      <c r="K558" s="71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.75" customHeight="1">
      <c r="A559" s="3"/>
      <c r="B559" s="3"/>
      <c r="C559" s="3"/>
      <c r="D559" s="3"/>
      <c r="E559" s="208"/>
      <c r="F559" s="3"/>
      <c r="G559" s="3"/>
      <c r="H559" s="3"/>
      <c r="I559" s="3"/>
      <c r="J559" s="3"/>
      <c r="K559" s="71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.75" customHeight="1">
      <c r="A560" s="3"/>
      <c r="B560" s="3"/>
      <c r="C560" s="3"/>
      <c r="D560" s="3"/>
      <c r="E560" s="208"/>
      <c r="F560" s="3"/>
      <c r="G560" s="3"/>
      <c r="H560" s="3"/>
      <c r="I560" s="3"/>
      <c r="J560" s="3"/>
      <c r="K560" s="71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.75" customHeight="1">
      <c r="A561" s="3"/>
      <c r="B561" s="3"/>
      <c r="C561" s="3"/>
      <c r="D561" s="3"/>
      <c r="E561" s="208"/>
      <c r="F561" s="3"/>
      <c r="G561" s="3"/>
      <c r="H561" s="3"/>
      <c r="I561" s="3"/>
      <c r="J561" s="3"/>
      <c r="K561" s="71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.75" customHeight="1">
      <c r="A562" s="3"/>
      <c r="B562" s="3"/>
      <c r="C562" s="3"/>
      <c r="D562" s="3"/>
      <c r="E562" s="208"/>
      <c r="F562" s="3"/>
      <c r="G562" s="3"/>
      <c r="H562" s="3"/>
      <c r="I562" s="3"/>
      <c r="J562" s="3"/>
      <c r="K562" s="71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.75" customHeight="1">
      <c r="A563" s="3"/>
      <c r="B563" s="3"/>
      <c r="C563" s="3"/>
      <c r="D563" s="3"/>
      <c r="E563" s="208"/>
      <c r="F563" s="3"/>
      <c r="G563" s="3"/>
      <c r="H563" s="3"/>
      <c r="I563" s="3"/>
      <c r="J563" s="3"/>
      <c r="K563" s="71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.75" customHeight="1">
      <c r="A564" s="3"/>
      <c r="B564" s="3"/>
      <c r="C564" s="3"/>
      <c r="D564" s="3"/>
      <c r="E564" s="208"/>
      <c r="F564" s="3"/>
      <c r="G564" s="3"/>
      <c r="H564" s="3"/>
      <c r="I564" s="3"/>
      <c r="J564" s="3"/>
      <c r="K564" s="71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.75" customHeight="1">
      <c r="A565" s="3"/>
      <c r="B565" s="3"/>
      <c r="C565" s="3"/>
      <c r="D565" s="3"/>
      <c r="E565" s="208"/>
      <c r="F565" s="3"/>
      <c r="G565" s="3"/>
      <c r="H565" s="3"/>
      <c r="I565" s="3"/>
      <c r="J565" s="3"/>
      <c r="K565" s="71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.75" customHeight="1">
      <c r="A566" s="3"/>
      <c r="B566" s="3"/>
      <c r="C566" s="3"/>
      <c r="D566" s="3"/>
      <c r="E566" s="208"/>
      <c r="F566" s="3"/>
      <c r="G566" s="3"/>
      <c r="H566" s="3"/>
      <c r="I566" s="3"/>
      <c r="J566" s="3"/>
      <c r="K566" s="71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.75" customHeight="1">
      <c r="A567" s="3"/>
      <c r="B567" s="3"/>
      <c r="C567" s="3"/>
      <c r="D567" s="3"/>
      <c r="E567" s="208"/>
      <c r="F567" s="3"/>
      <c r="G567" s="3"/>
      <c r="H567" s="3"/>
      <c r="I567" s="3"/>
      <c r="J567" s="3"/>
      <c r="K567" s="71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.75" customHeight="1">
      <c r="A568" s="3"/>
      <c r="B568" s="3"/>
      <c r="C568" s="3"/>
      <c r="D568" s="3"/>
      <c r="E568" s="208"/>
      <c r="F568" s="3"/>
      <c r="G568" s="3"/>
      <c r="H568" s="3"/>
      <c r="I568" s="3"/>
      <c r="J568" s="3"/>
      <c r="K568" s="71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.75" customHeight="1">
      <c r="A569" s="3"/>
      <c r="B569" s="3"/>
      <c r="C569" s="3"/>
      <c r="D569" s="3"/>
      <c r="E569" s="208"/>
      <c r="F569" s="3"/>
      <c r="G569" s="3"/>
      <c r="H569" s="3"/>
      <c r="I569" s="3"/>
      <c r="J569" s="3"/>
      <c r="K569" s="71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.75" customHeight="1">
      <c r="A570" s="3"/>
      <c r="B570" s="3"/>
      <c r="C570" s="3"/>
      <c r="D570" s="3"/>
      <c r="E570" s="208"/>
      <c r="F570" s="3"/>
      <c r="G570" s="3"/>
      <c r="H570" s="3"/>
      <c r="I570" s="3"/>
      <c r="J570" s="3"/>
      <c r="K570" s="71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.75" customHeight="1">
      <c r="A571" s="3"/>
      <c r="B571" s="3"/>
      <c r="C571" s="3"/>
      <c r="D571" s="3"/>
      <c r="E571" s="208"/>
      <c r="F571" s="3"/>
      <c r="G571" s="3"/>
      <c r="H571" s="3"/>
      <c r="I571" s="3"/>
      <c r="J571" s="3"/>
      <c r="K571" s="71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.75" customHeight="1">
      <c r="A572" s="3"/>
      <c r="B572" s="3"/>
      <c r="C572" s="3"/>
      <c r="D572" s="3"/>
      <c r="E572" s="208"/>
      <c r="F572" s="3"/>
      <c r="G572" s="3"/>
      <c r="H572" s="3"/>
      <c r="I572" s="3"/>
      <c r="J572" s="3"/>
      <c r="K572" s="71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.75" customHeight="1">
      <c r="A573" s="3"/>
      <c r="B573" s="3"/>
      <c r="C573" s="3"/>
      <c r="D573" s="3"/>
      <c r="E573" s="208"/>
      <c r="F573" s="3"/>
      <c r="G573" s="3"/>
      <c r="H573" s="3"/>
      <c r="I573" s="3"/>
      <c r="J573" s="3"/>
      <c r="K573" s="71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.75" customHeight="1">
      <c r="A574" s="3"/>
      <c r="B574" s="3"/>
      <c r="C574" s="3"/>
      <c r="D574" s="3"/>
      <c r="E574" s="208"/>
      <c r="F574" s="3"/>
      <c r="G574" s="3"/>
      <c r="H574" s="3"/>
      <c r="I574" s="3"/>
      <c r="J574" s="3"/>
      <c r="K574" s="71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.75" customHeight="1">
      <c r="A575" s="3"/>
      <c r="B575" s="3"/>
      <c r="C575" s="3"/>
      <c r="D575" s="3"/>
      <c r="E575" s="208"/>
      <c r="F575" s="3"/>
      <c r="G575" s="3"/>
      <c r="H575" s="3"/>
      <c r="I575" s="3"/>
      <c r="J575" s="3"/>
      <c r="K575" s="71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.75" customHeight="1">
      <c r="A576" s="3"/>
      <c r="B576" s="3"/>
      <c r="C576" s="3"/>
      <c r="D576" s="3"/>
      <c r="E576" s="208"/>
      <c r="F576" s="3"/>
      <c r="G576" s="3"/>
      <c r="H576" s="3"/>
      <c r="I576" s="3"/>
      <c r="J576" s="3"/>
      <c r="K576" s="71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.75" customHeight="1">
      <c r="A577" s="3"/>
      <c r="B577" s="3"/>
      <c r="C577" s="3"/>
      <c r="D577" s="3"/>
      <c r="E577" s="208"/>
      <c r="F577" s="3"/>
      <c r="G577" s="3"/>
      <c r="H577" s="3"/>
      <c r="I577" s="3"/>
      <c r="J577" s="3"/>
      <c r="K577" s="71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.75" customHeight="1">
      <c r="A578" s="3"/>
      <c r="B578" s="3"/>
      <c r="C578" s="3"/>
      <c r="D578" s="3"/>
      <c r="E578" s="208"/>
      <c r="F578" s="3"/>
      <c r="G578" s="3"/>
      <c r="H578" s="3"/>
      <c r="I578" s="3"/>
      <c r="J578" s="3"/>
      <c r="K578" s="71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.75" customHeight="1">
      <c r="A579" s="3"/>
      <c r="B579" s="3"/>
      <c r="C579" s="3"/>
      <c r="D579" s="3"/>
      <c r="E579" s="208"/>
      <c r="F579" s="3"/>
      <c r="G579" s="3"/>
      <c r="H579" s="3"/>
      <c r="I579" s="3"/>
      <c r="J579" s="3"/>
      <c r="K579" s="71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.75" customHeight="1">
      <c r="A580" s="3"/>
      <c r="B580" s="3"/>
      <c r="C580" s="3"/>
      <c r="D580" s="3"/>
      <c r="E580" s="208"/>
      <c r="F580" s="3"/>
      <c r="G580" s="3"/>
      <c r="H580" s="3"/>
      <c r="I580" s="3"/>
      <c r="J580" s="3"/>
      <c r="K580" s="71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.75" customHeight="1">
      <c r="A581" s="3"/>
      <c r="B581" s="3"/>
      <c r="C581" s="3"/>
      <c r="D581" s="3"/>
      <c r="E581" s="208"/>
      <c r="F581" s="3"/>
      <c r="G581" s="3"/>
      <c r="H581" s="3"/>
      <c r="I581" s="3"/>
      <c r="J581" s="3"/>
      <c r="K581" s="71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.75" customHeight="1">
      <c r="A582" s="3"/>
      <c r="B582" s="3"/>
      <c r="C582" s="3"/>
      <c r="D582" s="3"/>
      <c r="E582" s="208"/>
      <c r="F582" s="3"/>
      <c r="G582" s="3"/>
      <c r="H582" s="3"/>
      <c r="I582" s="3"/>
      <c r="J582" s="3"/>
      <c r="K582" s="71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.75" customHeight="1">
      <c r="A583" s="3"/>
      <c r="B583" s="3"/>
      <c r="C583" s="3"/>
      <c r="D583" s="3"/>
      <c r="E583" s="208"/>
      <c r="F583" s="3"/>
      <c r="G583" s="3"/>
      <c r="H583" s="3"/>
      <c r="I583" s="3"/>
      <c r="J583" s="3"/>
      <c r="K583" s="71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.75" customHeight="1">
      <c r="A584" s="3"/>
      <c r="B584" s="3"/>
      <c r="C584" s="3"/>
      <c r="D584" s="3"/>
      <c r="E584" s="208"/>
      <c r="F584" s="3"/>
      <c r="G584" s="3"/>
      <c r="H584" s="3"/>
      <c r="I584" s="3"/>
      <c r="J584" s="3"/>
      <c r="K584" s="71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.75" customHeight="1">
      <c r="A585" s="3"/>
      <c r="B585" s="3"/>
      <c r="C585" s="3"/>
      <c r="D585" s="3"/>
      <c r="E585" s="208"/>
      <c r="F585" s="3"/>
      <c r="G585" s="3"/>
      <c r="H585" s="3"/>
      <c r="I585" s="3"/>
      <c r="J585" s="3"/>
      <c r="K585" s="71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.75" customHeight="1">
      <c r="A586" s="3"/>
      <c r="B586" s="3"/>
      <c r="C586" s="3"/>
      <c r="D586" s="3"/>
      <c r="E586" s="208"/>
      <c r="F586" s="3"/>
      <c r="G586" s="3"/>
      <c r="H586" s="3"/>
      <c r="I586" s="3"/>
      <c r="J586" s="3"/>
      <c r="K586" s="71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.75" customHeight="1">
      <c r="A587" s="3"/>
      <c r="B587" s="3"/>
      <c r="C587" s="3"/>
      <c r="D587" s="3"/>
      <c r="E587" s="208"/>
      <c r="F587" s="3"/>
      <c r="G587" s="3"/>
      <c r="H587" s="3"/>
      <c r="I587" s="3"/>
      <c r="J587" s="3"/>
      <c r="K587" s="71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.75" customHeight="1">
      <c r="A588" s="3"/>
      <c r="B588" s="3"/>
      <c r="C588" s="3"/>
      <c r="D588" s="3"/>
      <c r="E588" s="208"/>
      <c r="F588" s="3"/>
      <c r="G588" s="3"/>
      <c r="H588" s="3"/>
      <c r="I588" s="3"/>
      <c r="J588" s="3"/>
      <c r="K588" s="71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.75" customHeight="1">
      <c r="A589" s="3"/>
      <c r="B589" s="3"/>
      <c r="C589" s="3"/>
      <c r="D589" s="3"/>
      <c r="E589" s="208"/>
      <c r="F589" s="3"/>
      <c r="G589" s="3"/>
      <c r="H589" s="3"/>
      <c r="I589" s="3"/>
      <c r="J589" s="3"/>
      <c r="K589" s="71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.75" customHeight="1">
      <c r="A590" s="3"/>
      <c r="B590" s="3"/>
      <c r="C590" s="3"/>
      <c r="D590" s="3"/>
      <c r="E590" s="208"/>
      <c r="F590" s="3"/>
      <c r="G590" s="3"/>
      <c r="H590" s="3"/>
      <c r="I590" s="3"/>
      <c r="J590" s="3"/>
      <c r="K590" s="71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.75" customHeight="1">
      <c r="A591" s="3"/>
      <c r="B591" s="3"/>
      <c r="C591" s="3"/>
      <c r="D591" s="3"/>
      <c r="E591" s="208"/>
      <c r="F591" s="3"/>
      <c r="G591" s="3"/>
      <c r="H591" s="3"/>
      <c r="I591" s="3"/>
      <c r="J591" s="3"/>
      <c r="K591" s="71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.75" customHeight="1">
      <c r="A592" s="3"/>
      <c r="B592" s="3"/>
      <c r="C592" s="3"/>
      <c r="D592" s="3"/>
      <c r="E592" s="208"/>
      <c r="F592" s="3"/>
      <c r="G592" s="3"/>
      <c r="H592" s="3"/>
      <c r="I592" s="3"/>
      <c r="J592" s="3"/>
      <c r="K592" s="71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.75" customHeight="1">
      <c r="A593" s="3"/>
      <c r="B593" s="3"/>
      <c r="C593" s="3"/>
      <c r="D593" s="3"/>
      <c r="E593" s="208"/>
      <c r="F593" s="3"/>
      <c r="G593" s="3"/>
      <c r="H593" s="3"/>
      <c r="I593" s="3"/>
      <c r="J593" s="3"/>
      <c r="K593" s="71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.75" customHeight="1">
      <c r="A594" s="3"/>
      <c r="B594" s="3"/>
      <c r="C594" s="3"/>
      <c r="D594" s="3"/>
      <c r="E594" s="208"/>
      <c r="F594" s="3"/>
      <c r="G594" s="3"/>
      <c r="H594" s="3"/>
      <c r="I594" s="3"/>
      <c r="J594" s="3"/>
      <c r="K594" s="71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.75" customHeight="1">
      <c r="A595" s="3"/>
      <c r="B595" s="3"/>
      <c r="C595" s="3"/>
      <c r="D595" s="3"/>
      <c r="E595" s="208"/>
      <c r="F595" s="3"/>
      <c r="G595" s="3"/>
      <c r="H595" s="3"/>
      <c r="I595" s="3"/>
      <c r="J595" s="3"/>
      <c r="K595" s="71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.75" customHeight="1">
      <c r="A596" s="3"/>
      <c r="B596" s="3"/>
      <c r="C596" s="3"/>
      <c r="D596" s="3"/>
      <c r="E596" s="208"/>
      <c r="F596" s="3"/>
      <c r="G596" s="3"/>
      <c r="H596" s="3"/>
      <c r="I596" s="3"/>
      <c r="J596" s="3"/>
      <c r="K596" s="71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.75" customHeight="1">
      <c r="A597" s="3"/>
      <c r="B597" s="3"/>
      <c r="C597" s="3"/>
      <c r="D597" s="3"/>
      <c r="E597" s="208"/>
      <c r="F597" s="3"/>
      <c r="G597" s="3"/>
      <c r="H597" s="3"/>
      <c r="I597" s="3"/>
      <c r="J597" s="3"/>
      <c r="K597" s="71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.75" customHeight="1">
      <c r="A598" s="3"/>
      <c r="B598" s="3"/>
      <c r="C598" s="3"/>
      <c r="D598" s="3"/>
      <c r="E598" s="208"/>
      <c r="F598" s="3"/>
      <c r="G598" s="3"/>
      <c r="H598" s="3"/>
      <c r="I598" s="3"/>
      <c r="J598" s="3"/>
      <c r="K598" s="71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.75" customHeight="1">
      <c r="A599" s="3"/>
      <c r="B599" s="3"/>
      <c r="C599" s="3"/>
      <c r="D599" s="3"/>
      <c r="E599" s="208"/>
      <c r="F599" s="3"/>
      <c r="G599" s="3"/>
      <c r="H599" s="3"/>
      <c r="I599" s="3"/>
      <c r="J599" s="3"/>
      <c r="K599" s="71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.75" customHeight="1">
      <c r="A600" s="3"/>
      <c r="B600" s="3"/>
      <c r="C600" s="3"/>
      <c r="D600" s="3"/>
      <c r="E600" s="208"/>
      <c r="F600" s="3"/>
      <c r="G600" s="3"/>
      <c r="H600" s="3"/>
      <c r="I600" s="3"/>
      <c r="J600" s="3"/>
      <c r="K600" s="71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.75" customHeight="1">
      <c r="A601" s="3"/>
      <c r="B601" s="3"/>
      <c r="C601" s="3"/>
      <c r="D601" s="3"/>
      <c r="E601" s="208"/>
      <c r="F601" s="3"/>
      <c r="G601" s="3"/>
      <c r="H601" s="3"/>
      <c r="I601" s="3"/>
      <c r="J601" s="3"/>
      <c r="K601" s="71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.75" customHeight="1">
      <c r="A602" s="3"/>
      <c r="B602" s="3"/>
      <c r="C602" s="3"/>
      <c r="D602" s="3"/>
      <c r="E602" s="208"/>
      <c r="F602" s="3"/>
      <c r="G602" s="3"/>
      <c r="H602" s="3"/>
      <c r="I602" s="3"/>
      <c r="J602" s="3"/>
      <c r="K602" s="71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.75" customHeight="1">
      <c r="A603" s="3"/>
      <c r="B603" s="3"/>
      <c r="C603" s="3"/>
      <c r="D603" s="3"/>
      <c r="E603" s="208"/>
      <c r="F603" s="3"/>
      <c r="G603" s="3"/>
      <c r="H603" s="3"/>
      <c r="I603" s="3"/>
      <c r="J603" s="3"/>
      <c r="K603" s="71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.75" customHeight="1">
      <c r="A604" s="3"/>
      <c r="B604" s="3"/>
      <c r="C604" s="3"/>
      <c r="D604" s="3"/>
      <c r="E604" s="208"/>
      <c r="F604" s="3"/>
      <c r="G604" s="3"/>
      <c r="H604" s="3"/>
      <c r="I604" s="3"/>
      <c r="J604" s="3"/>
      <c r="K604" s="71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.75" customHeight="1">
      <c r="A605" s="3"/>
      <c r="B605" s="3"/>
      <c r="C605" s="3"/>
      <c r="D605" s="3"/>
      <c r="E605" s="208"/>
      <c r="F605" s="3"/>
      <c r="G605" s="3"/>
      <c r="H605" s="3"/>
      <c r="I605" s="3"/>
      <c r="J605" s="3"/>
      <c r="K605" s="71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.75" customHeight="1">
      <c r="A606" s="3"/>
      <c r="B606" s="3"/>
      <c r="C606" s="3"/>
      <c r="D606" s="3"/>
      <c r="E606" s="208"/>
      <c r="F606" s="3"/>
      <c r="G606" s="3"/>
      <c r="H606" s="3"/>
      <c r="I606" s="3"/>
      <c r="J606" s="3"/>
      <c r="K606" s="71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.75" customHeight="1">
      <c r="A607" s="3"/>
      <c r="B607" s="3"/>
      <c r="C607" s="3"/>
      <c r="D607" s="3"/>
      <c r="E607" s="208"/>
      <c r="F607" s="3"/>
      <c r="G607" s="3"/>
      <c r="H607" s="3"/>
      <c r="I607" s="3"/>
      <c r="J607" s="3"/>
      <c r="K607" s="71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.75" customHeight="1">
      <c r="A608" s="3"/>
      <c r="B608" s="3"/>
      <c r="C608" s="3"/>
      <c r="D608" s="3"/>
      <c r="E608" s="208"/>
      <c r="F608" s="3"/>
      <c r="G608" s="3"/>
      <c r="H608" s="3"/>
      <c r="I608" s="3"/>
      <c r="J608" s="3"/>
      <c r="K608" s="71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.75" customHeight="1">
      <c r="A609" s="3"/>
      <c r="B609" s="3"/>
      <c r="C609" s="3"/>
      <c r="D609" s="3"/>
      <c r="E609" s="208"/>
      <c r="F609" s="3"/>
      <c r="G609" s="3"/>
      <c r="H609" s="3"/>
      <c r="I609" s="3"/>
      <c r="J609" s="3"/>
      <c r="K609" s="71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.75" customHeight="1">
      <c r="A610" s="3"/>
      <c r="B610" s="3"/>
      <c r="C610" s="3"/>
      <c r="D610" s="3"/>
      <c r="E610" s="208"/>
      <c r="F610" s="3"/>
      <c r="G610" s="3"/>
      <c r="H610" s="3"/>
      <c r="I610" s="3"/>
      <c r="J610" s="3"/>
      <c r="K610" s="71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.75" customHeight="1">
      <c r="A611" s="3"/>
      <c r="B611" s="3"/>
      <c r="C611" s="3"/>
      <c r="D611" s="3"/>
      <c r="E611" s="208"/>
      <c r="F611" s="3"/>
      <c r="G611" s="3"/>
      <c r="H611" s="3"/>
      <c r="I611" s="3"/>
      <c r="J611" s="3"/>
      <c r="K611" s="71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.75" customHeight="1">
      <c r="A612" s="3"/>
      <c r="B612" s="3"/>
      <c r="C612" s="3"/>
      <c r="D612" s="3"/>
      <c r="E612" s="208"/>
      <c r="F612" s="3"/>
      <c r="G612" s="3"/>
      <c r="H612" s="3"/>
      <c r="I612" s="3"/>
      <c r="J612" s="3"/>
      <c r="K612" s="71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.75" customHeight="1">
      <c r="A613" s="3"/>
      <c r="B613" s="3"/>
      <c r="C613" s="3"/>
      <c r="D613" s="3"/>
      <c r="E613" s="208"/>
      <c r="F613" s="3"/>
      <c r="G613" s="3"/>
      <c r="H613" s="3"/>
      <c r="I613" s="3"/>
      <c r="J613" s="3"/>
      <c r="K613" s="71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.75" customHeight="1">
      <c r="A614" s="3"/>
      <c r="B614" s="3"/>
      <c r="C614" s="3"/>
      <c r="D614" s="3"/>
      <c r="E614" s="208"/>
      <c r="F614" s="3"/>
      <c r="G614" s="3"/>
      <c r="H614" s="3"/>
      <c r="I614" s="3"/>
      <c r="J614" s="3"/>
      <c r="K614" s="71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.75" customHeight="1">
      <c r="A615" s="3"/>
      <c r="B615" s="3"/>
      <c r="C615" s="3"/>
      <c r="D615" s="3"/>
      <c r="E615" s="208"/>
      <c r="F615" s="3"/>
      <c r="G615" s="3"/>
      <c r="H615" s="3"/>
      <c r="I615" s="3"/>
      <c r="J615" s="3"/>
      <c r="K615" s="71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.75" customHeight="1">
      <c r="A616" s="3"/>
      <c r="B616" s="3"/>
      <c r="C616" s="3"/>
      <c r="D616" s="3"/>
      <c r="E616" s="208"/>
      <c r="F616" s="3"/>
      <c r="G616" s="3"/>
      <c r="H616" s="3"/>
      <c r="I616" s="3"/>
      <c r="J616" s="3"/>
      <c r="K616" s="71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.75" customHeight="1">
      <c r="A617" s="3"/>
      <c r="B617" s="3"/>
      <c r="C617" s="3"/>
      <c r="D617" s="3"/>
      <c r="E617" s="208"/>
      <c r="F617" s="3"/>
      <c r="G617" s="3"/>
      <c r="H617" s="3"/>
      <c r="I617" s="3"/>
      <c r="J617" s="3"/>
      <c r="K617" s="71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.75" customHeight="1">
      <c r="A618" s="3"/>
      <c r="B618" s="3"/>
      <c r="C618" s="3"/>
      <c r="D618" s="3"/>
      <c r="E618" s="208"/>
      <c r="F618" s="3"/>
      <c r="G618" s="3"/>
      <c r="H618" s="3"/>
      <c r="I618" s="3"/>
      <c r="J618" s="3"/>
      <c r="K618" s="71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.75" customHeight="1">
      <c r="A619" s="3"/>
      <c r="B619" s="3"/>
      <c r="C619" s="3"/>
      <c r="D619" s="3"/>
      <c r="E619" s="208"/>
      <c r="F619" s="3"/>
      <c r="G619" s="3"/>
      <c r="H619" s="3"/>
      <c r="I619" s="3"/>
      <c r="J619" s="3"/>
      <c r="K619" s="71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.75" customHeight="1">
      <c r="A620" s="3"/>
      <c r="B620" s="3"/>
      <c r="C620" s="3"/>
      <c r="D620" s="3"/>
      <c r="E620" s="208"/>
      <c r="F620" s="3"/>
      <c r="G620" s="3"/>
      <c r="H620" s="3"/>
      <c r="I620" s="3"/>
      <c r="J620" s="3"/>
      <c r="K620" s="71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.75" customHeight="1">
      <c r="A621" s="3"/>
      <c r="B621" s="3"/>
      <c r="C621" s="3"/>
      <c r="D621" s="3"/>
      <c r="E621" s="208"/>
      <c r="F621" s="3"/>
      <c r="G621" s="3"/>
      <c r="H621" s="3"/>
      <c r="I621" s="3"/>
      <c r="J621" s="3"/>
      <c r="K621" s="71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.75" customHeight="1">
      <c r="A622" s="3"/>
      <c r="B622" s="3"/>
      <c r="C622" s="3"/>
      <c r="D622" s="3"/>
      <c r="E622" s="208"/>
      <c r="F622" s="3"/>
      <c r="G622" s="3"/>
      <c r="H622" s="3"/>
      <c r="I622" s="3"/>
      <c r="J622" s="3"/>
      <c r="K622" s="71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.75" customHeight="1">
      <c r="A623" s="3"/>
      <c r="B623" s="3"/>
      <c r="C623" s="3"/>
      <c r="D623" s="3"/>
      <c r="E623" s="208"/>
      <c r="F623" s="3"/>
      <c r="G623" s="3"/>
      <c r="H623" s="3"/>
      <c r="I623" s="3"/>
      <c r="J623" s="3"/>
      <c r="K623" s="71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.75" customHeight="1">
      <c r="A624" s="3"/>
      <c r="B624" s="3"/>
      <c r="C624" s="3"/>
      <c r="D624" s="3"/>
      <c r="E624" s="208"/>
      <c r="F624" s="3"/>
      <c r="G624" s="3"/>
      <c r="H624" s="3"/>
      <c r="I624" s="3"/>
      <c r="J624" s="3"/>
      <c r="K624" s="71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.75" customHeight="1">
      <c r="A625" s="3"/>
      <c r="B625" s="3"/>
      <c r="C625" s="3"/>
      <c r="D625" s="3"/>
      <c r="E625" s="208"/>
      <c r="F625" s="3"/>
      <c r="G625" s="3"/>
      <c r="H625" s="3"/>
      <c r="I625" s="3"/>
      <c r="J625" s="3"/>
      <c r="K625" s="71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.75" customHeight="1">
      <c r="A626" s="3"/>
      <c r="B626" s="3"/>
      <c r="C626" s="3"/>
      <c r="D626" s="3"/>
      <c r="E626" s="208"/>
      <c r="F626" s="3"/>
      <c r="G626" s="3"/>
      <c r="H626" s="3"/>
      <c r="I626" s="3"/>
      <c r="J626" s="3"/>
      <c r="K626" s="71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.75" customHeight="1">
      <c r="A627" s="3"/>
      <c r="B627" s="3"/>
      <c r="C627" s="3"/>
      <c r="D627" s="3"/>
      <c r="E627" s="208"/>
      <c r="F627" s="3"/>
      <c r="G627" s="3"/>
      <c r="H627" s="3"/>
      <c r="I627" s="3"/>
      <c r="J627" s="3"/>
      <c r="K627" s="71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.75" customHeight="1">
      <c r="A628" s="3"/>
      <c r="B628" s="3"/>
      <c r="C628" s="3"/>
      <c r="D628" s="3"/>
      <c r="E628" s="208"/>
      <c r="F628" s="3"/>
      <c r="G628" s="3"/>
      <c r="H628" s="3"/>
      <c r="I628" s="3"/>
      <c r="J628" s="3"/>
      <c r="K628" s="71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.75" customHeight="1">
      <c r="A629" s="3"/>
      <c r="B629" s="3"/>
      <c r="C629" s="3"/>
      <c r="D629" s="3"/>
      <c r="E629" s="208"/>
      <c r="F629" s="3"/>
      <c r="G629" s="3"/>
      <c r="H629" s="3"/>
      <c r="I629" s="3"/>
      <c r="J629" s="3"/>
      <c r="K629" s="71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.75" customHeight="1">
      <c r="A630" s="3"/>
      <c r="B630" s="3"/>
      <c r="C630" s="3"/>
      <c r="D630" s="3"/>
      <c r="E630" s="208"/>
      <c r="F630" s="3"/>
      <c r="G630" s="3"/>
      <c r="H630" s="3"/>
      <c r="I630" s="3"/>
      <c r="J630" s="3"/>
      <c r="K630" s="71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.75" customHeight="1">
      <c r="A631" s="3"/>
      <c r="B631" s="3"/>
      <c r="C631" s="3"/>
      <c r="D631" s="3"/>
      <c r="E631" s="208"/>
      <c r="F631" s="3"/>
      <c r="G631" s="3"/>
      <c r="H631" s="3"/>
      <c r="I631" s="3"/>
      <c r="J631" s="3"/>
      <c r="K631" s="71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.75" customHeight="1">
      <c r="A632" s="3"/>
      <c r="B632" s="3"/>
      <c r="C632" s="3"/>
      <c r="D632" s="3"/>
      <c r="E632" s="208"/>
      <c r="F632" s="3"/>
      <c r="G632" s="3"/>
      <c r="H632" s="3"/>
      <c r="I632" s="3"/>
      <c r="J632" s="3"/>
      <c r="K632" s="71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.75" customHeight="1">
      <c r="A633" s="3"/>
      <c r="B633" s="3"/>
      <c r="C633" s="3"/>
      <c r="D633" s="3"/>
      <c r="E633" s="208"/>
      <c r="F633" s="3"/>
      <c r="G633" s="3"/>
      <c r="H633" s="3"/>
      <c r="I633" s="3"/>
      <c r="J633" s="3"/>
      <c r="K633" s="71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.75" customHeight="1">
      <c r="A634" s="3"/>
      <c r="B634" s="3"/>
      <c r="C634" s="3"/>
      <c r="D634" s="3"/>
      <c r="E634" s="208"/>
      <c r="F634" s="3"/>
      <c r="G634" s="3"/>
      <c r="H634" s="3"/>
      <c r="I634" s="3"/>
      <c r="J634" s="3"/>
      <c r="K634" s="71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.75" customHeight="1">
      <c r="A635" s="3"/>
      <c r="B635" s="3"/>
      <c r="C635" s="3"/>
      <c r="D635" s="3"/>
      <c r="E635" s="208"/>
      <c r="F635" s="3"/>
      <c r="G635" s="3"/>
      <c r="H635" s="3"/>
      <c r="I635" s="3"/>
      <c r="J635" s="3"/>
      <c r="K635" s="71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.75" customHeight="1">
      <c r="A636" s="3"/>
      <c r="B636" s="3"/>
      <c r="C636" s="3"/>
      <c r="D636" s="3"/>
      <c r="E636" s="208"/>
      <c r="F636" s="3"/>
      <c r="G636" s="3"/>
      <c r="H636" s="3"/>
      <c r="I636" s="3"/>
      <c r="J636" s="3"/>
      <c r="K636" s="71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.75" customHeight="1">
      <c r="A637" s="3"/>
      <c r="B637" s="3"/>
      <c r="C637" s="3"/>
      <c r="D637" s="3"/>
      <c r="E637" s="208"/>
      <c r="F637" s="3"/>
      <c r="G637" s="3"/>
      <c r="H637" s="3"/>
      <c r="I637" s="3"/>
      <c r="J637" s="3"/>
      <c r="K637" s="71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.75" customHeight="1">
      <c r="A638" s="3"/>
      <c r="B638" s="3"/>
      <c r="C638" s="3"/>
      <c r="D638" s="3"/>
      <c r="E638" s="208"/>
      <c r="F638" s="3"/>
      <c r="G638" s="3"/>
      <c r="H638" s="3"/>
      <c r="I638" s="3"/>
      <c r="J638" s="3"/>
      <c r="K638" s="71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.75" customHeight="1">
      <c r="A639" s="3"/>
      <c r="B639" s="3"/>
      <c r="C639" s="3"/>
      <c r="D639" s="3"/>
      <c r="E639" s="208"/>
      <c r="F639" s="3"/>
      <c r="G639" s="3"/>
      <c r="H639" s="3"/>
      <c r="I639" s="3"/>
      <c r="J639" s="3"/>
      <c r="K639" s="71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.75" customHeight="1">
      <c r="A640" s="3"/>
      <c r="B640" s="3"/>
      <c r="C640" s="3"/>
      <c r="D640" s="3"/>
      <c r="E640" s="208"/>
      <c r="F640" s="3"/>
      <c r="G640" s="3"/>
      <c r="H640" s="3"/>
      <c r="I640" s="3"/>
      <c r="J640" s="3"/>
      <c r="K640" s="71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.75" customHeight="1">
      <c r="A641" s="3"/>
      <c r="B641" s="3"/>
      <c r="C641" s="3"/>
      <c r="D641" s="3"/>
      <c r="E641" s="208"/>
      <c r="F641" s="3"/>
      <c r="G641" s="3"/>
      <c r="H641" s="3"/>
      <c r="I641" s="3"/>
      <c r="J641" s="3"/>
      <c r="K641" s="71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.75" customHeight="1">
      <c r="A642" s="3"/>
      <c r="B642" s="3"/>
      <c r="C642" s="3"/>
      <c r="D642" s="3"/>
      <c r="E642" s="208"/>
      <c r="F642" s="3"/>
      <c r="G642" s="3"/>
      <c r="H642" s="3"/>
      <c r="I642" s="3"/>
      <c r="J642" s="3"/>
      <c r="K642" s="71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.75" customHeight="1">
      <c r="A643" s="3"/>
      <c r="B643" s="3"/>
      <c r="C643" s="3"/>
      <c r="D643" s="3"/>
      <c r="E643" s="208"/>
      <c r="F643" s="3"/>
      <c r="G643" s="3"/>
      <c r="H643" s="3"/>
      <c r="I643" s="3"/>
      <c r="J643" s="3"/>
      <c r="K643" s="71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.75" customHeight="1">
      <c r="A644" s="3"/>
      <c r="B644" s="3"/>
      <c r="C644" s="3"/>
      <c r="D644" s="3"/>
      <c r="E644" s="208"/>
      <c r="F644" s="3"/>
      <c r="G644" s="3"/>
      <c r="H644" s="3"/>
      <c r="I644" s="3"/>
      <c r="J644" s="3"/>
      <c r="K644" s="71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.75" customHeight="1">
      <c r="A645" s="3"/>
      <c r="B645" s="3"/>
      <c r="C645" s="3"/>
      <c r="D645" s="3"/>
      <c r="E645" s="208"/>
      <c r="F645" s="3"/>
      <c r="G645" s="3"/>
      <c r="H645" s="3"/>
      <c r="I645" s="3"/>
      <c r="J645" s="3"/>
      <c r="K645" s="71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.75" customHeight="1">
      <c r="A646" s="3"/>
      <c r="B646" s="3"/>
      <c r="C646" s="3"/>
      <c r="D646" s="3"/>
      <c r="E646" s="208"/>
      <c r="F646" s="3"/>
      <c r="G646" s="3"/>
      <c r="H646" s="3"/>
      <c r="I646" s="3"/>
      <c r="J646" s="3"/>
      <c r="K646" s="71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.75" customHeight="1">
      <c r="A647" s="3"/>
      <c r="B647" s="3"/>
      <c r="C647" s="3"/>
      <c r="D647" s="3"/>
      <c r="E647" s="208"/>
      <c r="F647" s="3"/>
      <c r="G647" s="3"/>
      <c r="H647" s="3"/>
      <c r="I647" s="3"/>
      <c r="J647" s="3"/>
      <c r="K647" s="71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.75" customHeight="1">
      <c r="A648" s="3"/>
      <c r="B648" s="3"/>
      <c r="C648" s="3"/>
      <c r="D648" s="3"/>
      <c r="E648" s="208"/>
      <c r="F648" s="3"/>
      <c r="G648" s="3"/>
      <c r="H648" s="3"/>
      <c r="I648" s="3"/>
      <c r="J648" s="3"/>
      <c r="K648" s="71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.75" customHeight="1">
      <c r="A649" s="3"/>
      <c r="B649" s="3"/>
      <c r="C649" s="3"/>
      <c r="D649" s="3"/>
      <c r="E649" s="208"/>
      <c r="F649" s="3"/>
      <c r="G649" s="3"/>
      <c r="H649" s="3"/>
      <c r="I649" s="3"/>
      <c r="J649" s="3"/>
      <c r="K649" s="71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.75" customHeight="1">
      <c r="A650" s="3"/>
      <c r="B650" s="3"/>
      <c r="C650" s="3"/>
      <c r="D650" s="3"/>
      <c r="E650" s="208"/>
      <c r="F650" s="3"/>
      <c r="G650" s="3"/>
      <c r="H650" s="3"/>
      <c r="I650" s="3"/>
      <c r="J650" s="3"/>
      <c r="K650" s="71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.75" customHeight="1">
      <c r="A651" s="3"/>
      <c r="B651" s="3"/>
      <c r="C651" s="3"/>
      <c r="D651" s="3"/>
      <c r="E651" s="208"/>
      <c r="F651" s="3"/>
      <c r="G651" s="3"/>
      <c r="H651" s="3"/>
      <c r="I651" s="3"/>
      <c r="J651" s="3"/>
      <c r="K651" s="71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.75" customHeight="1">
      <c r="A652" s="3"/>
      <c r="B652" s="3"/>
      <c r="C652" s="3"/>
      <c r="D652" s="3"/>
      <c r="E652" s="208"/>
      <c r="F652" s="3"/>
      <c r="G652" s="3"/>
      <c r="H652" s="3"/>
      <c r="I652" s="3"/>
      <c r="J652" s="3"/>
      <c r="K652" s="71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.75" customHeight="1">
      <c r="A653" s="3"/>
      <c r="B653" s="3"/>
      <c r="C653" s="3"/>
      <c r="D653" s="3"/>
      <c r="E653" s="208"/>
      <c r="F653" s="3"/>
      <c r="G653" s="3"/>
      <c r="H653" s="3"/>
      <c r="I653" s="3"/>
      <c r="J653" s="3"/>
      <c r="K653" s="71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.75" customHeight="1">
      <c r="A654" s="3"/>
      <c r="B654" s="3"/>
      <c r="C654" s="3"/>
      <c r="D654" s="3"/>
      <c r="E654" s="208"/>
      <c r="F654" s="3"/>
      <c r="G654" s="3"/>
      <c r="H654" s="3"/>
      <c r="I654" s="3"/>
      <c r="J654" s="3"/>
      <c r="K654" s="71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.75" customHeight="1">
      <c r="A655" s="3"/>
      <c r="B655" s="3"/>
      <c r="C655" s="3"/>
      <c r="D655" s="3"/>
      <c r="E655" s="208"/>
      <c r="F655" s="3"/>
      <c r="G655" s="3"/>
      <c r="H655" s="3"/>
      <c r="I655" s="3"/>
      <c r="J655" s="3"/>
      <c r="K655" s="71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.75" customHeight="1">
      <c r="A656" s="3"/>
      <c r="B656" s="3"/>
      <c r="C656" s="3"/>
      <c r="D656" s="3"/>
      <c r="E656" s="208"/>
      <c r="F656" s="3"/>
      <c r="G656" s="3"/>
      <c r="H656" s="3"/>
      <c r="I656" s="3"/>
      <c r="J656" s="3"/>
      <c r="K656" s="71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.75" customHeight="1">
      <c r="A657" s="3"/>
      <c r="B657" s="3"/>
      <c r="C657" s="3"/>
      <c r="D657" s="3"/>
      <c r="E657" s="208"/>
      <c r="F657" s="3"/>
      <c r="G657" s="3"/>
      <c r="H657" s="3"/>
      <c r="I657" s="3"/>
      <c r="J657" s="3"/>
      <c r="K657" s="71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.75" customHeight="1">
      <c r="A658" s="3"/>
      <c r="B658" s="3"/>
      <c r="C658" s="3"/>
      <c r="D658" s="3"/>
      <c r="E658" s="208"/>
      <c r="F658" s="3"/>
      <c r="G658" s="3"/>
      <c r="H658" s="3"/>
      <c r="I658" s="3"/>
      <c r="J658" s="3"/>
      <c r="K658" s="71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.75" customHeight="1">
      <c r="A659" s="3"/>
      <c r="B659" s="3"/>
      <c r="C659" s="3"/>
      <c r="D659" s="3"/>
      <c r="E659" s="208"/>
      <c r="F659" s="3"/>
      <c r="G659" s="3"/>
      <c r="H659" s="3"/>
      <c r="I659" s="3"/>
      <c r="J659" s="3"/>
      <c r="K659" s="71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.75" customHeight="1">
      <c r="A660" s="3"/>
      <c r="B660" s="3"/>
      <c r="C660" s="3"/>
      <c r="D660" s="3"/>
      <c r="E660" s="208"/>
      <c r="F660" s="3"/>
      <c r="G660" s="3"/>
      <c r="H660" s="3"/>
      <c r="I660" s="3"/>
      <c r="J660" s="3"/>
      <c r="K660" s="71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.75" customHeight="1">
      <c r="A661" s="3"/>
      <c r="B661" s="3"/>
      <c r="C661" s="3"/>
      <c r="D661" s="3"/>
      <c r="E661" s="208"/>
      <c r="F661" s="3"/>
      <c r="G661" s="3"/>
      <c r="H661" s="3"/>
      <c r="I661" s="3"/>
      <c r="J661" s="3"/>
      <c r="K661" s="71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.75" customHeight="1">
      <c r="A662" s="3"/>
      <c r="B662" s="3"/>
      <c r="C662" s="3"/>
      <c r="D662" s="3"/>
      <c r="E662" s="208"/>
      <c r="F662" s="3"/>
      <c r="G662" s="3"/>
      <c r="H662" s="3"/>
      <c r="I662" s="3"/>
      <c r="J662" s="3"/>
      <c r="K662" s="71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.75" customHeight="1">
      <c r="A663" s="3"/>
      <c r="B663" s="3"/>
      <c r="C663" s="3"/>
      <c r="D663" s="3"/>
      <c r="E663" s="208"/>
      <c r="F663" s="3"/>
      <c r="G663" s="3"/>
      <c r="H663" s="3"/>
      <c r="I663" s="3"/>
      <c r="J663" s="3"/>
      <c r="K663" s="71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.75" customHeight="1">
      <c r="A664" s="3"/>
      <c r="B664" s="3"/>
      <c r="C664" s="3"/>
      <c r="D664" s="3"/>
      <c r="E664" s="208"/>
      <c r="F664" s="3"/>
      <c r="G664" s="3"/>
      <c r="H664" s="3"/>
      <c r="I664" s="3"/>
      <c r="J664" s="3"/>
      <c r="K664" s="71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.75" customHeight="1">
      <c r="A665" s="3"/>
      <c r="B665" s="3"/>
      <c r="C665" s="3"/>
      <c r="D665" s="3"/>
      <c r="E665" s="208"/>
      <c r="F665" s="3"/>
      <c r="G665" s="3"/>
      <c r="H665" s="3"/>
      <c r="I665" s="3"/>
      <c r="J665" s="3"/>
      <c r="K665" s="71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.75" customHeight="1">
      <c r="A666" s="3"/>
      <c r="B666" s="3"/>
      <c r="C666" s="3"/>
      <c r="D666" s="3"/>
      <c r="E666" s="208"/>
      <c r="F666" s="3"/>
      <c r="G666" s="3"/>
      <c r="H666" s="3"/>
      <c r="I666" s="3"/>
      <c r="J666" s="3"/>
      <c r="K666" s="71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.75" customHeight="1">
      <c r="A667" s="3"/>
      <c r="B667" s="3"/>
      <c r="C667" s="3"/>
      <c r="D667" s="3"/>
      <c r="E667" s="208"/>
      <c r="F667" s="3"/>
      <c r="G667" s="3"/>
      <c r="H667" s="3"/>
      <c r="I667" s="3"/>
      <c r="J667" s="3"/>
      <c r="K667" s="71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.75" customHeight="1">
      <c r="A668" s="3"/>
      <c r="B668" s="3"/>
      <c r="C668" s="3"/>
      <c r="D668" s="3"/>
      <c r="E668" s="208"/>
      <c r="F668" s="3"/>
      <c r="G668" s="3"/>
      <c r="H668" s="3"/>
      <c r="I668" s="3"/>
      <c r="J668" s="3"/>
      <c r="K668" s="71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.75" customHeight="1">
      <c r="A669" s="3"/>
      <c r="B669" s="3"/>
      <c r="C669" s="3"/>
      <c r="D669" s="3"/>
      <c r="E669" s="208"/>
      <c r="F669" s="3"/>
      <c r="G669" s="3"/>
      <c r="H669" s="3"/>
      <c r="I669" s="3"/>
      <c r="J669" s="3"/>
      <c r="K669" s="71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.75" customHeight="1">
      <c r="A670" s="3"/>
      <c r="B670" s="3"/>
      <c r="C670" s="3"/>
      <c r="D670" s="3"/>
      <c r="E670" s="208"/>
      <c r="F670" s="3"/>
      <c r="G670" s="3"/>
      <c r="H670" s="3"/>
      <c r="I670" s="3"/>
      <c r="J670" s="3"/>
      <c r="K670" s="71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.75" customHeight="1">
      <c r="A671" s="3"/>
      <c r="B671" s="3"/>
      <c r="C671" s="3"/>
      <c r="D671" s="3"/>
      <c r="E671" s="208"/>
      <c r="F671" s="3"/>
      <c r="G671" s="3"/>
      <c r="H671" s="3"/>
      <c r="I671" s="3"/>
      <c r="J671" s="3"/>
      <c r="K671" s="71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.75" customHeight="1">
      <c r="A672" s="3"/>
      <c r="B672" s="3"/>
      <c r="C672" s="3"/>
      <c r="D672" s="3"/>
      <c r="E672" s="208"/>
      <c r="F672" s="3"/>
      <c r="G672" s="3"/>
      <c r="H672" s="3"/>
      <c r="I672" s="3"/>
      <c r="J672" s="3"/>
      <c r="K672" s="71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.75" customHeight="1">
      <c r="A673" s="3"/>
      <c r="B673" s="3"/>
      <c r="C673" s="3"/>
      <c r="D673" s="3"/>
      <c r="E673" s="208"/>
      <c r="F673" s="3"/>
      <c r="G673" s="3"/>
      <c r="H673" s="3"/>
      <c r="I673" s="3"/>
      <c r="J673" s="3"/>
      <c r="K673" s="71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.75" customHeight="1">
      <c r="A674" s="3"/>
      <c r="B674" s="3"/>
      <c r="C674" s="3"/>
      <c r="D674" s="3"/>
      <c r="E674" s="208"/>
      <c r="F674" s="3"/>
      <c r="G674" s="3"/>
      <c r="H674" s="3"/>
      <c r="I674" s="3"/>
      <c r="J674" s="3"/>
      <c r="K674" s="71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.75" customHeight="1">
      <c r="A675" s="3"/>
      <c r="B675" s="3"/>
      <c r="C675" s="3"/>
      <c r="D675" s="3"/>
      <c r="E675" s="208"/>
      <c r="F675" s="3"/>
      <c r="G675" s="3"/>
      <c r="H675" s="3"/>
      <c r="I675" s="3"/>
      <c r="J675" s="3"/>
      <c r="K675" s="71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.75" customHeight="1">
      <c r="A676" s="3"/>
      <c r="B676" s="3"/>
      <c r="C676" s="3"/>
      <c r="D676" s="3"/>
      <c r="E676" s="208"/>
      <c r="F676" s="3"/>
      <c r="G676" s="3"/>
      <c r="H676" s="3"/>
      <c r="I676" s="3"/>
      <c r="J676" s="3"/>
      <c r="K676" s="71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.75" customHeight="1">
      <c r="A677" s="3"/>
      <c r="B677" s="3"/>
      <c r="C677" s="3"/>
      <c r="D677" s="3"/>
      <c r="E677" s="208"/>
      <c r="F677" s="3"/>
      <c r="G677" s="3"/>
      <c r="H677" s="3"/>
      <c r="I677" s="3"/>
      <c r="J677" s="3"/>
      <c r="K677" s="71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.75" customHeight="1">
      <c r="A678" s="3"/>
      <c r="B678" s="3"/>
      <c r="C678" s="3"/>
      <c r="D678" s="3"/>
      <c r="E678" s="208"/>
      <c r="F678" s="3"/>
      <c r="G678" s="3"/>
      <c r="H678" s="3"/>
      <c r="I678" s="3"/>
      <c r="J678" s="3"/>
      <c r="K678" s="71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.75" customHeight="1">
      <c r="A679" s="3"/>
      <c r="B679" s="3"/>
      <c r="C679" s="3"/>
      <c r="D679" s="3"/>
      <c r="E679" s="208"/>
      <c r="F679" s="3"/>
      <c r="G679" s="3"/>
      <c r="H679" s="3"/>
      <c r="I679" s="3"/>
      <c r="J679" s="3"/>
      <c r="K679" s="71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.75" customHeight="1">
      <c r="A680" s="3"/>
      <c r="B680" s="3"/>
      <c r="C680" s="3"/>
      <c r="D680" s="3"/>
      <c r="E680" s="208"/>
      <c r="F680" s="3"/>
      <c r="G680" s="3"/>
      <c r="H680" s="3"/>
      <c r="I680" s="3"/>
      <c r="J680" s="3"/>
      <c r="K680" s="71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.75" customHeight="1">
      <c r="A681" s="3"/>
      <c r="B681" s="3"/>
      <c r="C681" s="3"/>
      <c r="D681" s="3"/>
      <c r="E681" s="208"/>
      <c r="F681" s="3"/>
      <c r="G681" s="3"/>
      <c r="H681" s="3"/>
      <c r="I681" s="3"/>
      <c r="J681" s="3"/>
      <c r="K681" s="71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.75" customHeight="1">
      <c r="A682" s="3"/>
      <c r="B682" s="3"/>
      <c r="C682" s="3"/>
      <c r="D682" s="3"/>
      <c r="E682" s="208"/>
      <c r="F682" s="3"/>
      <c r="G682" s="3"/>
      <c r="H682" s="3"/>
      <c r="I682" s="3"/>
      <c r="J682" s="3"/>
      <c r="K682" s="71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.75" customHeight="1">
      <c r="A683" s="3"/>
      <c r="B683" s="3"/>
      <c r="C683" s="3"/>
      <c r="D683" s="3"/>
      <c r="E683" s="208"/>
      <c r="F683" s="3"/>
      <c r="G683" s="3"/>
      <c r="H683" s="3"/>
      <c r="I683" s="3"/>
      <c r="J683" s="3"/>
      <c r="K683" s="71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.75" customHeight="1">
      <c r="A684" s="3"/>
      <c r="B684" s="3"/>
      <c r="C684" s="3"/>
      <c r="D684" s="3"/>
      <c r="E684" s="208"/>
      <c r="F684" s="3"/>
      <c r="G684" s="3"/>
      <c r="H684" s="3"/>
      <c r="I684" s="3"/>
      <c r="J684" s="3"/>
      <c r="K684" s="71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.75" customHeight="1">
      <c r="A685" s="3"/>
      <c r="B685" s="3"/>
      <c r="C685" s="3"/>
      <c r="D685" s="3"/>
      <c r="E685" s="208"/>
      <c r="F685" s="3"/>
      <c r="G685" s="3"/>
      <c r="H685" s="3"/>
      <c r="I685" s="3"/>
      <c r="J685" s="3"/>
      <c r="K685" s="71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.75" customHeight="1">
      <c r="A686" s="3"/>
      <c r="B686" s="3"/>
      <c r="C686" s="3"/>
      <c r="D686" s="3"/>
      <c r="E686" s="208"/>
      <c r="F686" s="3"/>
      <c r="G686" s="3"/>
      <c r="H686" s="3"/>
      <c r="I686" s="3"/>
      <c r="J686" s="3"/>
      <c r="K686" s="71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.75" customHeight="1">
      <c r="A687" s="3"/>
      <c r="B687" s="3"/>
      <c r="C687" s="3"/>
      <c r="D687" s="3"/>
      <c r="E687" s="208"/>
      <c r="F687" s="3"/>
      <c r="G687" s="3"/>
      <c r="H687" s="3"/>
      <c r="I687" s="3"/>
      <c r="J687" s="3"/>
      <c r="K687" s="71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.75" customHeight="1">
      <c r="A688" s="3"/>
      <c r="B688" s="3"/>
      <c r="C688" s="3"/>
      <c r="D688" s="3"/>
      <c r="E688" s="208"/>
      <c r="F688" s="3"/>
      <c r="G688" s="3"/>
      <c r="H688" s="3"/>
      <c r="I688" s="3"/>
      <c r="J688" s="3"/>
      <c r="K688" s="71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.75" customHeight="1">
      <c r="A689" s="3"/>
      <c r="B689" s="3"/>
      <c r="C689" s="3"/>
      <c r="D689" s="3"/>
      <c r="E689" s="208"/>
      <c r="F689" s="3"/>
      <c r="G689" s="3"/>
      <c r="H689" s="3"/>
      <c r="I689" s="3"/>
      <c r="J689" s="3"/>
      <c r="K689" s="71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.75" customHeight="1">
      <c r="A690" s="3"/>
      <c r="B690" s="3"/>
      <c r="C690" s="3"/>
      <c r="D690" s="3"/>
      <c r="E690" s="208"/>
      <c r="F690" s="3"/>
      <c r="G690" s="3"/>
      <c r="H690" s="3"/>
      <c r="I690" s="3"/>
      <c r="J690" s="3"/>
      <c r="K690" s="71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.75" customHeight="1">
      <c r="A691" s="3"/>
      <c r="B691" s="3"/>
      <c r="C691" s="3"/>
      <c r="D691" s="3"/>
      <c r="E691" s="208"/>
      <c r="F691" s="3"/>
      <c r="G691" s="3"/>
      <c r="H691" s="3"/>
      <c r="I691" s="3"/>
      <c r="J691" s="3"/>
      <c r="K691" s="71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.75" customHeight="1">
      <c r="A692" s="3"/>
      <c r="B692" s="3"/>
      <c r="C692" s="3"/>
      <c r="D692" s="3"/>
      <c r="E692" s="208"/>
      <c r="F692" s="3"/>
      <c r="G692" s="3"/>
      <c r="H692" s="3"/>
      <c r="I692" s="3"/>
      <c r="J692" s="3"/>
      <c r="K692" s="71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.75" customHeight="1">
      <c r="A693" s="3"/>
      <c r="B693" s="3"/>
      <c r="C693" s="3"/>
      <c r="D693" s="3"/>
      <c r="E693" s="208"/>
      <c r="F693" s="3"/>
      <c r="G693" s="3"/>
      <c r="H693" s="3"/>
      <c r="I693" s="3"/>
      <c r="J693" s="3"/>
      <c r="K693" s="71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.75" customHeight="1">
      <c r="A694" s="3"/>
      <c r="B694" s="3"/>
      <c r="C694" s="3"/>
      <c r="D694" s="3"/>
      <c r="E694" s="208"/>
      <c r="F694" s="3"/>
      <c r="G694" s="3"/>
      <c r="H694" s="3"/>
      <c r="I694" s="3"/>
      <c r="J694" s="3"/>
      <c r="K694" s="71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.75" customHeight="1">
      <c r="A695" s="3"/>
      <c r="B695" s="3"/>
      <c r="C695" s="3"/>
      <c r="D695" s="3"/>
      <c r="E695" s="208"/>
      <c r="F695" s="3"/>
      <c r="G695" s="3"/>
      <c r="H695" s="3"/>
      <c r="I695" s="3"/>
      <c r="J695" s="3"/>
      <c r="K695" s="71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.75" customHeight="1">
      <c r="A696" s="3"/>
      <c r="B696" s="3"/>
      <c r="C696" s="3"/>
      <c r="D696" s="3"/>
      <c r="E696" s="208"/>
      <c r="F696" s="3"/>
      <c r="G696" s="3"/>
      <c r="H696" s="3"/>
      <c r="I696" s="3"/>
      <c r="J696" s="3"/>
      <c r="K696" s="71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.75" customHeight="1">
      <c r="A697" s="3"/>
      <c r="B697" s="3"/>
      <c r="C697" s="3"/>
      <c r="D697" s="3"/>
      <c r="E697" s="208"/>
      <c r="F697" s="3"/>
      <c r="G697" s="3"/>
      <c r="H697" s="3"/>
      <c r="I697" s="3"/>
      <c r="J697" s="3"/>
      <c r="K697" s="71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.75" customHeight="1">
      <c r="A698" s="3"/>
      <c r="B698" s="3"/>
      <c r="C698" s="3"/>
      <c r="D698" s="3"/>
      <c r="E698" s="208"/>
      <c r="F698" s="3"/>
      <c r="G698" s="3"/>
      <c r="H698" s="3"/>
      <c r="I698" s="3"/>
      <c r="J698" s="3"/>
      <c r="K698" s="71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.75" customHeight="1">
      <c r="A699" s="3"/>
      <c r="B699" s="3"/>
      <c r="C699" s="3"/>
      <c r="D699" s="3"/>
      <c r="E699" s="208"/>
      <c r="F699" s="3"/>
      <c r="G699" s="3"/>
      <c r="H699" s="3"/>
      <c r="I699" s="3"/>
      <c r="J699" s="3"/>
      <c r="K699" s="71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.75" customHeight="1">
      <c r="A700" s="3"/>
      <c r="B700" s="3"/>
      <c r="C700" s="3"/>
      <c r="D700" s="3"/>
      <c r="E700" s="208"/>
      <c r="F700" s="3"/>
      <c r="G700" s="3"/>
      <c r="H700" s="3"/>
      <c r="I700" s="3"/>
      <c r="J700" s="3"/>
      <c r="K700" s="71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.75" customHeight="1">
      <c r="A701" s="3"/>
      <c r="B701" s="3"/>
      <c r="C701" s="3"/>
      <c r="D701" s="3"/>
      <c r="E701" s="208"/>
      <c r="F701" s="3"/>
      <c r="G701" s="3"/>
      <c r="H701" s="3"/>
      <c r="I701" s="3"/>
      <c r="J701" s="3"/>
      <c r="K701" s="71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.75" customHeight="1">
      <c r="A702" s="3"/>
      <c r="B702" s="3"/>
      <c r="C702" s="3"/>
      <c r="D702" s="3"/>
      <c r="E702" s="208"/>
      <c r="F702" s="3"/>
      <c r="G702" s="3"/>
      <c r="H702" s="3"/>
      <c r="I702" s="3"/>
      <c r="J702" s="3"/>
      <c r="K702" s="71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.75" customHeight="1">
      <c r="A703" s="3"/>
      <c r="B703" s="3"/>
      <c r="C703" s="3"/>
      <c r="D703" s="3"/>
      <c r="E703" s="208"/>
      <c r="F703" s="3"/>
      <c r="G703" s="3"/>
      <c r="H703" s="3"/>
      <c r="I703" s="3"/>
      <c r="J703" s="3"/>
      <c r="K703" s="71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.75" customHeight="1">
      <c r="A704" s="3"/>
      <c r="B704" s="3"/>
      <c r="C704" s="3"/>
      <c r="D704" s="3"/>
      <c r="E704" s="208"/>
      <c r="F704" s="3"/>
      <c r="G704" s="3"/>
      <c r="H704" s="3"/>
      <c r="I704" s="3"/>
      <c r="J704" s="3"/>
      <c r="K704" s="71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.75" customHeight="1">
      <c r="A705" s="3"/>
      <c r="B705" s="3"/>
      <c r="C705" s="3"/>
      <c r="D705" s="3"/>
      <c r="E705" s="208"/>
      <c r="F705" s="3"/>
      <c r="G705" s="3"/>
      <c r="H705" s="3"/>
      <c r="I705" s="3"/>
      <c r="J705" s="3"/>
      <c r="K705" s="71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.75" customHeight="1">
      <c r="A706" s="3"/>
      <c r="B706" s="3"/>
      <c r="C706" s="3"/>
      <c r="D706" s="3"/>
      <c r="E706" s="208"/>
      <c r="F706" s="3"/>
      <c r="G706" s="3"/>
      <c r="H706" s="3"/>
      <c r="I706" s="3"/>
      <c r="J706" s="3"/>
      <c r="K706" s="71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.75" customHeight="1">
      <c r="A707" s="3"/>
      <c r="B707" s="3"/>
      <c r="C707" s="3"/>
      <c r="D707" s="3"/>
      <c r="E707" s="208"/>
      <c r="F707" s="3"/>
      <c r="G707" s="3"/>
      <c r="H707" s="3"/>
      <c r="I707" s="3"/>
      <c r="J707" s="3"/>
      <c r="K707" s="71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.75" customHeight="1">
      <c r="A708" s="3"/>
      <c r="B708" s="3"/>
      <c r="C708" s="3"/>
      <c r="D708" s="3"/>
      <c r="E708" s="208"/>
      <c r="F708" s="3"/>
      <c r="G708" s="3"/>
      <c r="H708" s="3"/>
      <c r="I708" s="3"/>
      <c r="J708" s="3"/>
      <c r="K708" s="71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.75" customHeight="1">
      <c r="A709" s="3"/>
      <c r="B709" s="3"/>
      <c r="C709" s="3"/>
      <c r="D709" s="3"/>
      <c r="E709" s="208"/>
      <c r="F709" s="3"/>
      <c r="G709" s="3"/>
      <c r="H709" s="3"/>
      <c r="I709" s="3"/>
      <c r="J709" s="3"/>
      <c r="K709" s="71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.75" customHeight="1">
      <c r="A710" s="3"/>
      <c r="B710" s="3"/>
      <c r="C710" s="3"/>
      <c r="D710" s="3"/>
      <c r="E710" s="208"/>
      <c r="F710" s="3"/>
      <c r="G710" s="3"/>
      <c r="H710" s="3"/>
      <c r="I710" s="3"/>
      <c r="J710" s="3"/>
      <c r="K710" s="71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.75" customHeight="1">
      <c r="A711" s="3"/>
      <c r="B711" s="3"/>
      <c r="C711" s="3"/>
      <c r="D711" s="3"/>
      <c r="E711" s="208"/>
      <c r="F711" s="3"/>
      <c r="G711" s="3"/>
      <c r="H711" s="3"/>
      <c r="I711" s="3"/>
      <c r="J711" s="3"/>
      <c r="K711" s="71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.75" customHeight="1">
      <c r="A712" s="3"/>
      <c r="B712" s="3"/>
      <c r="C712" s="3"/>
      <c r="D712" s="3"/>
      <c r="E712" s="208"/>
      <c r="F712" s="3"/>
      <c r="G712" s="3"/>
      <c r="H712" s="3"/>
      <c r="I712" s="3"/>
      <c r="J712" s="3"/>
      <c r="K712" s="71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.75" customHeight="1">
      <c r="A713" s="3"/>
      <c r="B713" s="3"/>
      <c r="C713" s="3"/>
      <c r="D713" s="3"/>
      <c r="E713" s="208"/>
      <c r="F713" s="3"/>
      <c r="G713" s="3"/>
      <c r="H713" s="3"/>
      <c r="I713" s="3"/>
      <c r="J713" s="3"/>
      <c r="K713" s="71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.75" customHeight="1">
      <c r="A714" s="3"/>
      <c r="B714" s="3"/>
      <c r="C714" s="3"/>
      <c r="D714" s="3"/>
      <c r="E714" s="208"/>
      <c r="F714" s="3"/>
      <c r="G714" s="3"/>
      <c r="H714" s="3"/>
      <c r="I714" s="3"/>
      <c r="J714" s="3"/>
      <c r="K714" s="71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.75" customHeight="1">
      <c r="A715" s="3"/>
      <c r="B715" s="3"/>
      <c r="C715" s="3"/>
      <c r="D715" s="3"/>
      <c r="E715" s="208"/>
      <c r="F715" s="3"/>
      <c r="G715" s="3"/>
      <c r="H715" s="3"/>
      <c r="I715" s="3"/>
      <c r="J715" s="3"/>
      <c r="K715" s="71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.75" customHeight="1">
      <c r="A716" s="3"/>
      <c r="B716" s="3"/>
      <c r="C716" s="3"/>
      <c r="D716" s="3"/>
      <c r="E716" s="208"/>
      <c r="F716" s="3"/>
      <c r="G716" s="3"/>
      <c r="H716" s="3"/>
      <c r="I716" s="3"/>
      <c r="J716" s="3"/>
      <c r="K716" s="71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.75" customHeight="1">
      <c r="A717" s="3"/>
      <c r="B717" s="3"/>
      <c r="C717" s="3"/>
      <c r="D717" s="3"/>
      <c r="E717" s="208"/>
      <c r="F717" s="3"/>
      <c r="G717" s="3"/>
      <c r="H717" s="3"/>
      <c r="I717" s="3"/>
      <c r="J717" s="3"/>
      <c r="K717" s="71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.75" customHeight="1">
      <c r="A718" s="3"/>
      <c r="B718" s="3"/>
      <c r="C718" s="3"/>
      <c r="D718" s="3"/>
      <c r="E718" s="208"/>
      <c r="F718" s="3"/>
      <c r="G718" s="3"/>
      <c r="H718" s="3"/>
      <c r="I718" s="3"/>
      <c r="J718" s="3"/>
      <c r="K718" s="71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.75" customHeight="1">
      <c r="A719" s="3"/>
      <c r="B719" s="3"/>
      <c r="C719" s="3"/>
      <c r="D719" s="3"/>
      <c r="E719" s="208"/>
      <c r="F719" s="3"/>
      <c r="G719" s="3"/>
      <c r="H719" s="3"/>
      <c r="I719" s="3"/>
      <c r="J719" s="3"/>
      <c r="K719" s="71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.75" customHeight="1">
      <c r="A720" s="3"/>
      <c r="B720" s="3"/>
      <c r="C720" s="3"/>
      <c r="D720" s="3"/>
      <c r="E720" s="208"/>
      <c r="F720" s="3"/>
      <c r="G720" s="3"/>
      <c r="H720" s="3"/>
      <c r="I720" s="3"/>
      <c r="J720" s="3"/>
      <c r="K720" s="71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.75" customHeight="1">
      <c r="A721" s="3"/>
      <c r="B721" s="3"/>
      <c r="C721" s="3"/>
      <c r="D721" s="3"/>
      <c r="E721" s="208"/>
      <c r="F721" s="3"/>
      <c r="G721" s="3"/>
      <c r="H721" s="3"/>
      <c r="I721" s="3"/>
      <c r="J721" s="3"/>
      <c r="K721" s="71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.75" customHeight="1">
      <c r="A722" s="3"/>
      <c r="B722" s="3"/>
      <c r="C722" s="3"/>
      <c r="D722" s="3"/>
      <c r="E722" s="208"/>
      <c r="F722" s="3"/>
      <c r="G722" s="3"/>
      <c r="H722" s="3"/>
      <c r="I722" s="3"/>
      <c r="J722" s="3"/>
      <c r="K722" s="71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.75" customHeight="1">
      <c r="A723" s="3"/>
      <c r="B723" s="3"/>
      <c r="C723" s="3"/>
      <c r="D723" s="3"/>
      <c r="E723" s="208"/>
      <c r="F723" s="3"/>
      <c r="G723" s="3"/>
      <c r="H723" s="3"/>
      <c r="I723" s="3"/>
      <c r="J723" s="3"/>
      <c r="K723" s="71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.75" customHeight="1">
      <c r="A724" s="3"/>
      <c r="B724" s="3"/>
      <c r="C724" s="3"/>
      <c r="D724" s="3"/>
      <c r="E724" s="208"/>
      <c r="F724" s="3"/>
      <c r="G724" s="3"/>
      <c r="H724" s="3"/>
      <c r="I724" s="3"/>
      <c r="J724" s="3"/>
      <c r="K724" s="71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.75" customHeight="1">
      <c r="A725" s="3"/>
      <c r="B725" s="3"/>
      <c r="C725" s="3"/>
      <c r="D725" s="3"/>
      <c r="E725" s="208"/>
      <c r="F725" s="3"/>
      <c r="G725" s="3"/>
      <c r="H725" s="3"/>
      <c r="I725" s="3"/>
      <c r="J725" s="3"/>
      <c r="K725" s="71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.75" customHeight="1">
      <c r="A726" s="3"/>
      <c r="B726" s="3"/>
      <c r="C726" s="3"/>
      <c r="D726" s="3"/>
      <c r="E726" s="208"/>
      <c r="F726" s="3"/>
      <c r="G726" s="3"/>
      <c r="H726" s="3"/>
      <c r="I726" s="3"/>
      <c r="J726" s="3"/>
      <c r="K726" s="71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.75" customHeight="1">
      <c r="A727" s="3"/>
      <c r="B727" s="3"/>
      <c r="C727" s="3"/>
      <c r="D727" s="3"/>
      <c r="E727" s="208"/>
      <c r="F727" s="3"/>
      <c r="G727" s="3"/>
      <c r="H727" s="3"/>
      <c r="I727" s="3"/>
      <c r="J727" s="3"/>
      <c r="K727" s="71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.75" customHeight="1">
      <c r="A728" s="3"/>
      <c r="B728" s="3"/>
      <c r="C728" s="3"/>
      <c r="D728" s="3"/>
      <c r="E728" s="208"/>
      <c r="F728" s="3"/>
      <c r="G728" s="3"/>
      <c r="H728" s="3"/>
      <c r="I728" s="3"/>
      <c r="J728" s="3"/>
      <c r="K728" s="71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.75" customHeight="1">
      <c r="A729" s="3"/>
      <c r="B729" s="3"/>
      <c r="C729" s="3"/>
      <c r="D729" s="3"/>
      <c r="E729" s="208"/>
      <c r="F729" s="3"/>
      <c r="G729" s="3"/>
      <c r="H729" s="3"/>
      <c r="I729" s="3"/>
      <c r="J729" s="3"/>
      <c r="K729" s="71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.75" customHeight="1">
      <c r="A730" s="3"/>
      <c r="B730" s="3"/>
      <c r="C730" s="3"/>
      <c r="D730" s="3"/>
      <c r="E730" s="208"/>
      <c r="F730" s="3"/>
      <c r="G730" s="3"/>
      <c r="H730" s="3"/>
      <c r="I730" s="3"/>
      <c r="J730" s="3"/>
      <c r="K730" s="71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.75" customHeight="1">
      <c r="A731" s="3"/>
      <c r="B731" s="3"/>
      <c r="C731" s="3"/>
      <c r="D731" s="3"/>
      <c r="E731" s="208"/>
      <c r="F731" s="3"/>
      <c r="G731" s="3"/>
      <c r="H731" s="3"/>
      <c r="I731" s="3"/>
      <c r="J731" s="3"/>
      <c r="K731" s="71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.75" customHeight="1">
      <c r="A732" s="3"/>
      <c r="B732" s="3"/>
      <c r="C732" s="3"/>
      <c r="D732" s="3"/>
      <c r="E732" s="208"/>
      <c r="F732" s="3"/>
      <c r="G732" s="3"/>
      <c r="H732" s="3"/>
      <c r="I732" s="3"/>
      <c r="J732" s="3"/>
      <c r="K732" s="71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.75" customHeight="1">
      <c r="A733" s="3"/>
      <c r="B733" s="3"/>
      <c r="C733" s="3"/>
      <c r="D733" s="3"/>
      <c r="E733" s="208"/>
      <c r="F733" s="3"/>
      <c r="G733" s="3"/>
      <c r="H733" s="3"/>
      <c r="I733" s="3"/>
      <c r="J733" s="3"/>
      <c r="K733" s="71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.75" customHeight="1">
      <c r="A734" s="3"/>
      <c r="B734" s="3"/>
      <c r="C734" s="3"/>
      <c r="D734" s="3"/>
      <c r="E734" s="208"/>
      <c r="F734" s="3"/>
      <c r="G734" s="3"/>
      <c r="H734" s="3"/>
      <c r="I734" s="3"/>
      <c r="J734" s="3"/>
      <c r="K734" s="71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.75" customHeight="1">
      <c r="A735" s="3"/>
      <c r="B735" s="3"/>
      <c r="C735" s="3"/>
      <c r="D735" s="3"/>
      <c r="E735" s="208"/>
      <c r="F735" s="3"/>
      <c r="G735" s="3"/>
      <c r="H735" s="3"/>
      <c r="I735" s="3"/>
      <c r="J735" s="3"/>
      <c r="K735" s="71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.75" customHeight="1">
      <c r="A736" s="3"/>
      <c r="B736" s="3"/>
      <c r="C736" s="3"/>
      <c r="D736" s="3"/>
      <c r="E736" s="208"/>
      <c r="F736" s="3"/>
      <c r="G736" s="3"/>
      <c r="H736" s="3"/>
      <c r="I736" s="3"/>
      <c r="J736" s="3"/>
      <c r="K736" s="71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.75" customHeight="1">
      <c r="A737" s="3"/>
      <c r="B737" s="3"/>
      <c r="C737" s="3"/>
      <c r="D737" s="3"/>
      <c r="E737" s="208"/>
      <c r="F737" s="3"/>
      <c r="G737" s="3"/>
      <c r="H737" s="3"/>
      <c r="I737" s="3"/>
      <c r="J737" s="3"/>
      <c r="K737" s="71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.75" customHeight="1">
      <c r="A738" s="3"/>
      <c r="B738" s="3"/>
      <c r="C738" s="3"/>
      <c r="D738" s="3"/>
      <c r="E738" s="208"/>
      <c r="F738" s="3"/>
      <c r="G738" s="3"/>
      <c r="H738" s="3"/>
      <c r="I738" s="3"/>
      <c r="J738" s="3"/>
      <c r="K738" s="71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.75" customHeight="1">
      <c r="A739" s="3"/>
      <c r="B739" s="3"/>
      <c r="C739" s="3"/>
      <c r="D739" s="3"/>
      <c r="E739" s="208"/>
      <c r="F739" s="3"/>
      <c r="G739" s="3"/>
      <c r="H739" s="3"/>
      <c r="I739" s="3"/>
      <c r="J739" s="3"/>
      <c r="K739" s="71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.75" customHeight="1">
      <c r="A740" s="3"/>
      <c r="B740" s="3"/>
      <c r="C740" s="3"/>
      <c r="D740" s="3"/>
      <c r="E740" s="208"/>
      <c r="F740" s="3"/>
      <c r="G740" s="3"/>
      <c r="H740" s="3"/>
      <c r="I740" s="3"/>
      <c r="J740" s="3"/>
      <c r="K740" s="71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.75" customHeight="1">
      <c r="A741" s="3"/>
      <c r="B741" s="3"/>
      <c r="C741" s="3"/>
      <c r="D741" s="3"/>
      <c r="E741" s="208"/>
      <c r="F741" s="3"/>
      <c r="G741" s="3"/>
      <c r="H741" s="3"/>
      <c r="I741" s="3"/>
      <c r="J741" s="3"/>
      <c r="K741" s="71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.75" customHeight="1">
      <c r="A742" s="3"/>
      <c r="B742" s="3"/>
      <c r="C742" s="3"/>
      <c r="D742" s="3"/>
      <c r="E742" s="208"/>
      <c r="F742" s="3"/>
      <c r="G742" s="3"/>
      <c r="H742" s="3"/>
      <c r="I742" s="3"/>
      <c r="J742" s="3"/>
      <c r="K742" s="71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.75" customHeight="1">
      <c r="A743" s="3"/>
      <c r="B743" s="3"/>
      <c r="C743" s="3"/>
      <c r="D743" s="3"/>
      <c r="E743" s="208"/>
      <c r="F743" s="3"/>
      <c r="G743" s="3"/>
      <c r="H743" s="3"/>
      <c r="I743" s="3"/>
      <c r="J743" s="3"/>
      <c r="K743" s="71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.75" customHeight="1">
      <c r="A744" s="3"/>
      <c r="B744" s="3"/>
      <c r="C744" s="3"/>
      <c r="D744" s="3"/>
      <c r="E744" s="208"/>
      <c r="F744" s="3"/>
      <c r="G744" s="3"/>
      <c r="H744" s="3"/>
      <c r="I744" s="3"/>
      <c r="J744" s="3"/>
      <c r="K744" s="71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.75" customHeight="1">
      <c r="A745" s="3"/>
      <c r="B745" s="3"/>
      <c r="C745" s="3"/>
      <c r="D745" s="3"/>
      <c r="E745" s="208"/>
      <c r="F745" s="3"/>
      <c r="G745" s="3"/>
      <c r="H745" s="3"/>
      <c r="I745" s="3"/>
      <c r="J745" s="3"/>
      <c r="K745" s="71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.75" customHeight="1">
      <c r="A746" s="3"/>
      <c r="B746" s="3"/>
      <c r="C746" s="3"/>
      <c r="D746" s="3"/>
      <c r="E746" s="208"/>
      <c r="F746" s="3"/>
      <c r="G746" s="3"/>
      <c r="H746" s="3"/>
      <c r="I746" s="3"/>
      <c r="J746" s="3"/>
      <c r="K746" s="71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.75" customHeight="1">
      <c r="A747" s="3"/>
      <c r="B747" s="3"/>
      <c r="C747" s="3"/>
      <c r="D747" s="3"/>
      <c r="E747" s="208"/>
      <c r="F747" s="3"/>
      <c r="G747" s="3"/>
      <c r="H747" s="3"/>
      <c r="I747" s="3"/>
      <c r="J747" s="3"/>
      <c r="K747" s="71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.75" customHeight="1">
      <c r="A748" s="3"/>
      <c r="B748" s="3"/>
      <c r="C748" s="3"/>
      <c r="D748" s="3"/>
      <c r="E748" s="208"/>
      <c r="F748" s="3"/>
      <c r="G748" s="3"/>
      <c r="H748" s="3"/>
      <c r="I748" s="3"/>
      <c r="J748" s="3"/>
      <c r="K748" s="71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.75" customHeight="1">
      <c r="A749" s="3"/>
      <c r="B749" s="3"/>
      <c r="C749" s="3"/>
      <c r="D749" s="3"/>
      <c r="E749" s="208"/>
      <c r="F749" s="3"/>
      <c r="G749" s="3"/>
      <c r="H749" s="3"/>
      <c r="I749" s="3"/>
      <c r="J749" s="3"/>
      <c r="K749" s="71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.75" customHeight="1">
      <c r="A750" s="3"/>
      <c r="B750" s="3"/>
      <c r="C750" s="3"/>
      <c r="D750" s="3"/>
      <c r="E750" s="208"/>
      <c r="F750" s="3"/>
      <c r="G750" s="3"/>
      <c r="H750" s="3"/>
      <c r="I750" s="3"/>
      <c r="J750" s="3"/>
      <c r="K750" s="71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.75" customHeight="1">
      <c r="A751" s="3"/>
      <c r="B751" s="3"/>
      <c r="C751" s="3"/>
      <c r="D751" s="3"/>
      <c r="E751" s="208"/>
      <c r="F751" s="3"/>
      <c r="G751" s="3"/>
      <c r="H751" s="3"/>
      <c r="I751" s="3"/>
      <c r="J751" s="3"/>
      <c r="K751" s="71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.75" customHeight="1">
      <c r="A752" s="3"/>
      <c r="B752" s="3"/>
      <c r="C752" s="3"/>
      <c r="D752" s="3"/>
      <c r="E752" s="208"/>
      <c r="F752" s="3"/>
      <c r="G752" s="3"/>
      <c r="H752" s="3"/>
      <c r="I752" s="3"/>
      <c r="J752" s="3"/>
      <c r="K752" s="71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.75" customHeight="1">
      <c r="A753" s="3"/>
      <c r="B753" s="3"/>
      <c r="C753" s="3"/>
      <c r="D753" s="3"/>
      <c r="E753" s="208"/>
      <c r="F753" s="3"/>
      <c r="G753" s="3"/>
      <c r="H753" s="3"/>
      <c r="I753" s="3"/>
      <c r="J753" s="3"/>
      <c r="K753" s="71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.75" customHeight="1">
      <c r="A754" s="3"/>
      <c r="B754" s="3"/>
      <c r="C754" s="3"/>
      <c r="D754" s="3"/>
      <c r="E754" s="208"/>
      <c r="F754" s="3"/>
      <c r="G754" s="3"/>
      <c r="H754" s="3"/>
      <c r="I754" s="3"/>
      <c r="J754" s="3"/>
      <c r="K754" s="71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.75" customHeight="1">
      <c r="A755" s="3"/>
      <c r="B755" s="3"/>
      <c r="C755" s="3"/>
      <c r="D755" s="3"/>
      <c r="E755" s="208"/>
      <c r="F755" s="3"/>
      <c r="G755" s="3"/>
      <c r="H755" s="3"/>
      <c r="I755" s="3"/>
      <c r="J755" s="3"/>
      <c r="K755" s="71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.75" customHeight="1">
      <c r="A756" s="3"/>
      <c r="B756" s="3"/>
      <c r="C756" s="3"/>
      <c r="D756" s="3"/>
      <c r="E756" s="208"/>
      <c r="F756" s="3"/>
      <c r="G756" s="3"/>
      <c r="H756" s="3"/>
      <c r="I756" s="3"/>
      <c r="J756" s="3"/>
      <c r="K756" s="71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.75" customHeight="1">
      <c r="A757" s="3"/>
      <c r="B757" s="3"/>
      <c r="C757" s="3"/>
      <c r="D757" s="3"/>
      <c r="E757" s="208"/>
      <c r="F757" s="3"/>
      <c r="G757" s="3"/>
      <c r="H757" s="3"/>
      <c r="I757" s="3"/>
      <c r="J757" s="3"/>
      <c r="K757" s="71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.75" customHeight="1">
      <c r="A758" s="3"/>
      <c r="B758" s="3"/>
      <c r="C758" s="3"/>
      <c r="D758" s="3"/>
      <c r="E758" s="208"/>
      <c r="F758" s="3"/>
      <c r="G758" s="3"/>
      <c r="H758" s="3"/>
      <c r="I758" s="3"/>
      <c r="J758" s="3"/>
      <c r="K758" s="71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.75" customHeight="1">
      <c r="A759" s="3"/>
      <c r="B759" s="3"/>
      <c r="C759" s="3"/>
      <c r="D759" s="3"/>
      <c r="E759" s="208"/>
      <c r="F759" s="3"/>
      <c r="G759" s="3"/>
      <c r="H759" s="3"/>
      <c r="I759" s="3"/>
      <c r="J759" s="3"/>
      <c r="K759" s="71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.75" customHeight="1">
      <c r="A760" s="3"/>
      <c r="B760" s="3"/>
      <c r="C760" s="3"/>
      <c r="D760" s="3"/>
      <c r="E760" s="208"/>
      <c r="F760" s="3"/>
      <c r="G760" s="3"/>
      <c r="H760" s="3"/>
      <c r="I760" s="3"/>
      <c r="J760" s="3"/>
      <c r="K760" s="71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.75" customHeight="1">
      <c r="A761" s="3"/>
      <c r="B761" s="3"/>
      <c r="C761" s="3"/>
      <c r="D761" s="3"/>
      <c r="E761" s="208"/>
      <c r="F761" s="3"/>
      <c r="G761" s="3"/>
      <c r="H761" s="3"/>
      <c r="I761" s="3"/>
      <c r="J761" s="3"/>
      <c r="K761" s="71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.75" customHeight="1">
      <c r="A762" s="3"/>
      <c r="B762" s="3"/>
      <c r="C762" s="3"/>
      <c r="D762" s="3"/>
      <c r="E762" s="208"/>
      <c r="F762" s="3"/>
      <c r="G762" s="3"/>
      <c r="H762" s="3"/>
      <c r="I762" s="3"/>
      <c r="J762" s="3"/>
      <c r="K762" s="71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.75" customHeight="1">
      <c r="A763" s="3"/>
      <c r="B763" s="3"/>
      <c r="C763" s="3"/>
      <c r="D763" s="3"/>
      <c r="E763" s="208"/>
      <c r="F763" s="3"/>
      <c r="G763" s="3"/>
      <c r="H763" s="3"/>
      <c r="I763" s="3"/>
      <c r="J763" s="3"/>
      <c r="K763" s="71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.75" customHeight="1">
      <c r="A764" s="3"/>
      <c r="B764" s="3"/>
      <c r="C764" s="3"/>
      <c r="D764" s="3"/>
      <c r="E764" s="208"/>
      <c r="F764" s="3"/>
      <c r="G764" s="3"/>
      <c r="H764" s="3"/>
      <c r="I764" s="3"/>
      <c r="J764" s="3"/>
      <c r="K764" s="71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.75" customHeight="1">
      <c r="A765" s="3"/>
      <c r="B765" s="3"/>
      <c r="C765" s="3"/>
      <c r="D765" s="3"/>
      <c r="E765" s="208"/>
      <c r="F765" s="3"/>
      <c r="G765" s="3"/>
      <c r="H765" s="3"/>
      <c r="I765" s="3"/>
      <c r="J765" s="3"/>
      <c r="K765" s="71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208"/>
      <c r="F766" s="3"/>
      <c r="G766" s="3"/>
      <c r="H766" s="3"/>
      <c r="I766" s="3"/>
      <c r="J766" s="3"/>
      <c r="K766" s="71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208"/>
      <c r="F767" s="3"/>
      <c r="G767" s="3"/>
      <c r="H767" s="3"/>
      <c r="I767" s="3"/>
      <c r="J767" s="3"/>
      <c r="K767" s="71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.75" customHeight="1">
      <c r="A768" s="3"/>
      <c r="B768" s="3"/>
      <c r="C768" s="3"/>
      <c r="D768" s="3"/>
      <c r="E768" s="208"/>
      <c r="F768" s="3"/>
      <c r="G768" s="3"/>
      <c r="H768" s="3"/>
      <c r="I768" s="3"/>
      <c r="J768" s="3"/>
      <c r="K768" s="71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.75" customHeight="1">
      <c r="A769" s="3"/>
      <c r="B769" s="3"/>
      <c r="C769" s="3"/>
      <c r="D769" s="3"/>
      <c r="E769" s="208"/>
      <c r="F769" s="3"/>
      <c r="G769" s="3"/>
      <c r="H769" s="3"/>
      <c r="I769" s="3"/>
      <c r="J769" s="3"/>
      <c r="K769" s="71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.75" customHeight="1">
      <c r="A770" s="3"/>
      <c r="B770" s="3"/>
      <c r="C770" s="3"/>
      <c r="D770" s="3"/>
      <c r="E770" s="208"/>
      <c r="F770" s="3"/>
      <c r="G770" s="3"/>
      <c r="H770" s="3"/>
      <c r="I770" s="3"/>
      <c r="J770" s="3"/>
      <c r="K770" s="71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.75" customHeight="1">
      <c r="A771" s="3"/>
      <c r="B771" s="3"/>
      <c r="C771" s="3"/>
      <c r="D771" s="3"/>
      <c r="E771" s="208"/>
      <c r="F771" s="3"/>
      <c r="G771" s="3"/>
      <c r="H771" s="3"/>
      <c r="I771" s="3"/>
      <c r="J771" s="3"/>
      <c r="K771" s="71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.75" customHeight="1">
      <c r="A772" s="3"/>
      <c r="B772" s="3"/>
      <c r="C772" s="3"/>
      <c r="D772" s="3"/>
      <c r="E772" s="208"/>
      <c r="F772" s="3"/>
      <c r="G772" s="3"/>
      <c r="H772" s="3"/>
      <c r="I772" s="3"/>
      <c r="J772" s="3"/>
      <c r="K772" s="71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.75" customHeight="1">
      <c r="A773" s="3"/>
      <c r="B773" s="3"/>
      <c r="C773" s="3"/>
      <c r="D773" s="3"/>
      <c r="E773" s="208"/>
      <c r="F773" s="3"/>
      <c r="G773" s="3"/>
      <c r="H773" s="3"/>
      <c r="I773" s="3"/>
      <c r="J773" s="3"/>
      <c r="K773" s="71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.75" customHeight="1">
      <c r="A774" s="3"/>
      <c r="B774" s="3"/>
      <c r="C774" s="3"/>
      <c r="D774" s="3"/>
      <c r="E774" s="208"/>
      <c r="F774" s="3"/>
      <c r="G774" s="3"/>
      <c r="H774" s="3"/>
      <c r="I774" s="3"/>
      <c r="J774" s="3"/>
      <c r="K774" s="71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.75" customHeight="1">
      <c r="A775" s="3"/>
      <c r="B775" s="3"/>
      <c r="C775" s="3"/>
      <c r="D775" s="3"/>
      <c r="E775" s="208"/>
      <c r="F775" s="3"/>
      <c r="G775" s="3"/>
      <c r="H775" s="3"/>
      <c r="I775" s="3"/>
      <c r="J775" s="3"/>
      <c r="K775" s="71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.75" customHeight="1">
      <c r="A776" s="3"/>
      <c r="B776" s="3"/>
      <c r="C776" s="3"/>
      <c r="D776" s="3"/>
      <c r="E776" s="208"/>
      <c r="F776" s="3"/>
      <c r="G776" s="3"/>
      <c r="H776" s="3"/>
      <c r="I776" s="3"/>
      <c r="J776" s="3"/>
      <c r="K776" s="71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.75" customHeight="1">
      <c r="A777" s="3"/>
      <c r="B777" s="3"/>
      <c r="C777" s="3"/>
      <c r="D777" s="3"/>
      <c r="E777" s="208"/>
      <c r="F777" s="3"/>
      <c r="G777" s="3"/>
      <c r="H777" s="3"/>
      <c r="I777" s="3"/>
      <c r="J777" s="3"/>
      <c r="K777" s="71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.75" customHeight="1">
      <c r="A778" s="3"/>
      <c r="B778" s="3"/>
      <c r="C778" s="3"/>
      <c r="D778" s="3"/>
      <c r="E778" s="208"/>
      <c r="F778" s="3"/>
      <c r="G778" s="3"/>
      <c r="H778" s="3"/>
      <c r="I778" s="3"/>
      <c r="J778" s="3"/>
      <c r="K778" s="71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.75" customHeight="1">
      <c r="A779" s="3"/>
      <c r="B779" s="3"/>
      <c r="C779" s="3"/>
      <c r="D779" s="3"/>
      <c r="E779" s="208"/>
      <c r="F779" s="3"/>
      <c r="G779" s="3"/>
      <c r="H779" s="3"/>
      <c r="I779" s="3"/>
      <c r="J779" s="3"/>
      <c r="K779" s="71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.75" customHeight="1">
      <c r="A780" s="3"/>
      <c r="B780" s="3"/>
      <c r="C780" s="3"/>
      <c r="D780" s="3"/>
      <c r="E780" s="208"/>
      <c r="F780" s="3"/>
      <c r="G780" s="3"/>
      <c r="H780" s="3"/>
      <c r="I780" s="3"/>
      <c r="J780" s="3"/>
      <c r="K780" s="71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.75" customHeight="1">
      <c r="A781" s="3"/>
      <c r="B781" s="3"/>
      <c r="C781" s="3"/>
      <c r="D781" s="3"/>
      <c r="E781" s="208"/>
      <c r="F781" s="3"/>
      <c r="G781" s="3"/>
      <c r="H781" s="3"/>
      <c r="I781" s="3"/>
      <c r="J781" s="3"/>
      <c r="K781" s="71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.75" customHeight="1">
      <c r="A782" s="3"/>
      <c r="B782" s="3"/>
      <c r="C782" s="3"/>
      <c r="D782" s="3"/>
      <c r="E782" s="208"/>
      <c r="F782" s="3"/>
      <c r="G782" s="3"/>
      <c r="H782" s="3"/>
      <c r="I782" s="3"/>
      <c r="J782" s="3"/>
      <c r="K782" s="71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.75" customHeight="1">
      <c r="A783" s="3"/>
      <c r="B783" s="3"/>
      <c r="C783" s="3"/>
      <c r="D783" s="3"/>
      <c r="E783" s="208"/>
      <c r="F783" s="3"/>
      <c r="G783" s="3"/>
      <c r="H783" s="3"/>
      <c r="I783" s="3"/>
      <c r="J783" s="3"/>
      <c r="K783" s="71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.75" customHeight="1">
      <c r="A784" s="3"/>
      <c r="B784" s="3"/>
      <c r="C784" s="3"/>
      <c r="D784" s="3"/>
      <c r="E784" s="208"/>
      <c r="F784" s="3"/>
      <c r="G784" s="3"/>
      <c r="H784" s="3"/>
      <c r="I784" s="3"/>
      <c r="J784" s="3"/>
      <c r="K784" s="71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.75" customHeight="1">
      <c r="A785" s="3"/>
      <c r="B785" s="3"/>
      <c r="C785" s="3"/>
      <c r="D785" s="3"/>
      <c r="E785" s="208"/>
      <c r="F785" s="3"/>
      <c r="G785" s="3"/>
      <c r="H785" s="3"/>
      <c r="I785" s="3"/>
      <c r="J785" s="3"/>
      <c r="K785" s="71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.75" customHeight="1">
      <c r="A786" s="3"/>
      <c r="B786" s="3"/>
      <c r="C786" s="3"/>
      <c r="D786" s="3"/>
      <c r="E786" s="208"/>
      <c r="F786" s="3"/>
      <c r="G786" s="3"/>
      <c r="H786" s="3"/>
      <c r="I786" s="3"/>
      <c r="J786" s="3"/>
      <c r="K786" s="71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.75" customHeight="1">
      <c r="A787" s="3"/>
      <c r="B787" s="3"/>
      <c r="C787" s="3"/>
      <c r="D787" s="3"/>
      <c r="E787" s="208"/>
      <c r="F787" s="3"/>
      <c r="G787" s="3"/>
      <c r="H787" s="3"/>
      <c r="I787" s="3"/>
      <c r="J787" s="3"/>
      <c r="K787" s="71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.75" customHeight="1">
      <c r="A788" s="3"/>
      <c r="B788" s="3"/>
      <c r="C788" s="3"/>
      <c r="D788" s="3"/>
      <c r="E788" s="208"/>
      <c r="F788" s="3"/>
      <c r="G788" s="3"/>
      <c r="H788" s="3"/>
      <c r="I788" s="3"/>
      <c r="J788" s="3"/>
      <c r="K788" s="71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.75" customHeight="1">
      <c r="A789" s="3"/>
      <c r="B789" s="3"/>
      <c r="C789" s="3"/>
      <c r="D789" s="3"/>
      <c r="E789" s="208"/>
      <c r="F789" s="3"/>
      <c r="G789" s="3"/>
      <c r="H789" s="3"/>
      <c r="I789" s="3"/>
      <c r="J789" s="3"/>
      <c r="K789" s="71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.75" customHeight="1">
      <c r="A790" s="3"/>
      <c r="B790" s="3"/>
      <c r="C790" s="3"/>
      <c r="D790" s="3"/>
      <c r="E790" s="208"/>
      <c r="F790" s="3"/>
      <c r="G790" s="3"/>
      <c r="H790" s="3"/>
      <c r="I790" s="3"/>
      <c r="J790" s="3"/>
      <c r="K790" s="71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.75" customHeight="1">
      <c r="A791" s="3"/>
      <c r="B791" s="3"/>
      <c r="C791" s="3"/>
      <c r="D791" s="3"/>
      <c r="E791" s="208"/>
      <c r="F791" s="3"/>
      <c r="G791" s="3"/>
      <c r="H791" s="3"/>
      <c r="I791" s="3"/>
      <c r="J791" s="3"/>
      <c r="K791" s="71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.75" customHeight="1">
      <c r="A792" s="3"/>
      <c r="B792" s="3"/>
      <c r="C792" s="3"/>
      <c r="D792" s="3"/>
      <c r="E792" s="208"/>
      <c r="F792" s="3"/>
      <c r="G792" s="3"/>
      <c r="H792" s="3"/>
      <c r="I792" s="3"/>
      <c r="J792" s="3"/>
      <c r="K792" s="71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.75" customHeight="1">
      <c r="A793" s="3"/>
      <c r="B793" s="3"/>
      <c r="C793" s="3"/>
      <c r="D793" s="3"/>
      <c r="E793" s="208"/>
      <c r="F793" s="3"/>
      <c r="G793" s="3"/>
      <c r="H793" s="3"/>
      <c r="I793" s="3"/>
      <c r="J793" s="3"/>
      <c r="K793" s="71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.75" customHeight="1">
      <c r="A794" s="3"/>
      <c r="B794" s="3"/>
      <c r="C794" s="3"/>
      <c r="D794" s="3"/>
      <c r="E794" s="208"/>
      <c r="F794" s="3"/>
      <c r="G794" s="3"/>
      <c r="H794" s="3"/>
      <c r="I794" s="3"/>
      <c r="J794" s="3"/>
      <c r="K794" s="716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.75" customHeight="1">
      <c r="A795" s="3"/>
      <c r="B795" s="3"/>
      <c r="C795" s="3"/>
      <c r="D795" s="3"/>
      <c r="E795" s="208"/>
      <c r="F795" s="3"/>
      <c r="G795" s="3"/>
      <c r="H795" s="3"/>
      <c r="I795" s="3"/>
      <c r="J795" s="3"/>
      <c r="K795" s="716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.75" customHeight="1">
      <c r="A796" s="3"/>
      <c r="B796" s="3"/>
      <c r="C796" s="3"/>
      <c r="D796" s="3"/>
      <c r="E796" s="208"/>
      <c r="F796" s="3"/>
      <c r="G796" s="3"/>
      <c r="H796" s="3"/>
      <c r="I796" s="3"/>
      <c r="J796" s="3"/>
      <c r="K796" s="716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.75" customHeight="1">
      <c r="A797" s="3"/>
      <c r="B797" s="3"/>
      <c r="C797" s="3"/>
      <c r="D797" s="3"/>
      <c r="E797" s="208"/>
      <c r="F797" s="3"/>
      <c r="G797" s="3"/>
      <c r="H797" s="3"/>
      <c r="I797" s="3"/>
      <c r="J797" s="3"/>
      <c r="K797" s="716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.75" customHeight="1">
      <c r="A798" s="3"/>
      <c r="B798" s="3"/>
      <c r="C798" s="3"/>
      <c r="D798" s="3"/>
      <c r="E798" s="208"/>
      <c r="F798" s="3"/>
      <c r="G798" s="3"/>
      <c r="H798" s="3"/>
      <c r="I798" s="3"/>
      <c r="J798" s="3"/>
      <c r="K798" s="716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.75" customHeight="1">
      <c r="A799" s="3"/>
      <c r="B799" s="3"/>
      <c r="C799" s="3"/>
      <c r="D799" s="3"/>
      <c r="E799" s="208"/>
      <c r="F799" s="3"/>
      <c r="G799" s="3"/>
      <c r="H799" s="3"/>
      <c r="I799" s="3"/>
      <c r="J799" s="3"/>
      <c r="K799" s="716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.75" customHeight="1">
      <c r="A800" s="3"/>
      <c r="B800" s="3"/>
      <c r="C800" s="3"/>
      <c r="D800" s="3"/>
      <c r="E800" s="208"/>
      <c r="F800" s="3"/>
      <c r="G800" s="3"/>
      <c r="H800" s="3"/>
      <c r="I800" s="3"/>
      <c r="J800" s="3"/>
      <c r="K800" s="716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.75" customHeight="1">
      <c r="A801" s="3"/>
      <c r="B801" s="3"/>
      <c r="C801" s="3"/>
      <c r="D801" s="3"/>
      <c r="E801" s="208"/>
      <c r="F801" s="3"/>
      <c r="G801" s="3"/>
      <c r="H801" s="3"/>
      <c r="I801" s="3"/>
      <c r="J801" s="3"/>
      <c r="K801" s="716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.75" customHeight="1">
      <c r="A802" s="3"/>
      <c r="B802" s="3"/>
      <c r="C802" s="3"/>
      <c r="D802" s="3"/>
      <c r="E802" s="208"/>
      <c r="F802" s="3"/>
      <c r="G802" s="3"/>
      <c r="H802" s="3"/>
      <c r="I802" s="3"/>
      <c r="J802" s="3"/>
      <c r="K802" s="716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.75" customHeight="1">
      <c r="A803" s="3"/>
      <c r="B803" s="3"/>
      <c r="C803" s="3"/>
      <c r="D803" s="3"/>
      <c r="E803" s="208"/>
      <c r="F803" s="3"/>
      <c r="G803" s="3"/>
      <c r="H803" s="3"/>
      <c r="I803" s="3"/>
      <c r="J803" s="3"/>
      <c r="K803" s="716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.75" customHeight="1">
      <c r="A804" s="3"/>
      <c r="B804" s="3"/>
      <c r="C804" s="3"/>
      <c r="D804" s="3"/>
      <c r="E804" s="208"/>
      <c r="F804" s="3"/>
      <c r="G804" s="3"/>
      <c r="H804" s="3"/>
      <c r="I804" s="3"/>
      <c r="J804" s="3"/>
      <c r="K804" s="716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.75" customHeight="1">
      <c r="A805" s="3"/>
      <c r="B805" s="3"/>
      <c r="C805" s="3"/>
      <c r="D805" s="3"/>
      <c r="E805" s="208"/>
      <c r="F805" s="3"/>
      <c r="G805" s="3"/>
      <c r="H805" s="3"/>
      <c r="I805" s="3"/>
      <c r="J805" s="3"/>
      <c r="K805" s="716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.75" customHeight="1">
      <c r="A806" s="3"/>
      <c r="B806" s="3"/>
      <c r="C806" s="3"/>
      <c r="D806" s="3"/>
      <c r="E806" s="208"/>
      <c r="F806" s="3"/>
      <c r="G806" s="3"/>
      <c r="H806" s="3"/>
      <c r="I806" s="3"/>
      <c r="J806" s="3"/>
      <c r="K806" s="716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.75" customHeight="1">
      <c r="A807" s="3"/>
      <c r="B807" s="3"/>
      <c r="C807" s="3"/>
      <c r="D807" s="3"/>
      <c r="E807" s="208"/>
      <c r="F807" s="3"/>
      <c r="G807" s="3"/>
      <c r="H807" s="3"/>
      <c r="I807" s="3"/>
      <c r="J807" s="3"/>
      <c r="K807" s="716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.75" customHeight="1">
      <c r="A808" s="3"/>
      <c r="B808" s="3"/>
      <c r="C808" s="3"/>
      <c r="D808" s="3"/>
      <c r="E808" s="208"/>
      <c r="F808" s="3"/>
      <c r="G808" s="3"/>
      <c r="H808" s="3"/>
      <c r="I808" s="3"/>
      <c r="J808" s="3"/>
      <c r="K808" s="716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.75" customHeight="1">
      <c r="A809" s="3"/>
      <c r="B809" s="3"/>
      <c r="C809" s="3"/>
      <c r="D809" s="3"/>
      <c r="E809" s="208"/>
      <c r="F809" s="3"/>
      <c r="G809" s="3"/>
      <c r="H809" s="3"/>
      <c r="I809" s="3"/>
      <c r="J809" s="3"/>
      <c r="K809" s="716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.75" customHeight="1">
      <c r="A810" s="3"/>
      <c r="B810" s="3"/>
      <c r="C810" s="3"/>
      <c r="D810" s="3"/>
      <c r="E810" s="208"/>
      <c r="F810" s="3"/>
      <c r="G810" s="3"/>
      <c r="H810" s="3"/>
      <c r="I810" s="3"/>
      <c r="J810" s="3"/>
      <c r="K810" s="716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.75" customHeight="1">
      <c r="A811" s="3"/>
      <c r="B811" s="3"/>
      <c r="C811" s="3"/>
      <c r="D811" s="3"/>
      <c r="E811" s="208"/>
      <c r="F811" s="3"/>
      <c r="G811" s="3"/>
      <c r="H811" s="3"/>
      <c r="I811" s="3"/>
      <c r="J811" s="3"/>
      <c r="K811" s="716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.75" customHeight="1">
      <c r="A812" s="3"/>
      <c r="B812" s="3"/>
      <c r="C812" s="3"/>
      <c r="D812" s="3"/>
      <c r="E812" s="208"/>
      <c r="F812" s="3"/>
      <c r="G812" s="3"/>
      <c r="H812" s="3"/>
      <c r="I812" s="3"/>
      <c r="J812" s="3"/>
      <c r="K812" s="716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.75" customHeight="1">
      <c r="A813" s="3"/>
      <c r="B813" s="3"/>
      <c r="C813" s="3"/>
      <c r="D813" s="3"/>
      <c r="E813" s="208"/>
      <c r="F813" s="3"/>
      <c r="G813" s="3"/>
      <c r="H813" s="3"/>
      <c r="I813" s="3"/>
      <c r="J813" s="3"/>
      <c r="K813" s="716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.75" customHeight="1">
      <c r="A814" s="3"/>
      <c r="B814" s="3"/>
      <c r="C814" s="3"/>
      <c r="D814" s="3"/>
      <c r="E814" s="208"/>
      <c r="F814" s="3"/>
      <c r="G814" s="3"/>
      <c r="H814" s="3"/>
      <c r="I814" s="3"/>
      <c r="J814" s="3"/>
      <c r="K814" s="716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.75" customHeight="1">
      <c r="A815" s="3"/>
      <c r="B815" s="3"/>
      <c r="C815" s="3"/>
      <c r="D815" s="3"/>
      <c r="E815" s="208"/>
      <c r="F815" s="3"/>
      <c r="G815" s="3"/>
      <c r="H815" s="3"/>
      <c r="I815" s="3"/>
      <c r="J815" s="3"/>
      <c r="K815" s="716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.75" customHeight="1">
      <c r="A816" s="3"/>
      <c r="B816" s="3"/>
      <c r="C816" s="3"/>
      <c r="D816" s="3"/>
      <c r="E816" s="208"/>
      <c r="F816" s="3"/>
      <c r="G816" s="3"/>
      <c r="H816" s="3"/>
      <c r="I816" s="3"/>
      <c r="J816" s="3"/>
      <c r="K816" s="716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.75" customHeight="1">
      <c r="A817" s="3"/>
      <c r="B817" s="3"/>
      <c r="C817" s="3"/>
      <c r="D817" s="3"/>
      <c r="E817" s="208"/>
      <c r="F817" s="3"/>
      <c r="G817" s="3"/>
      <c r="H817" s="3"/>
      <c r="I817" s="3"/>
      <c r="J817" s="3"/>
      <c r="K817" s="716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.75" customHeight="1">
      <c r="A818" s="3"/>
      <c r="B818" s="3"/>
      <c r="C818" s="3"/>
      <c r="D818" s="3"/>
      <c r="E818" s="208"/>
      <c r="F818" s="3"/>
      <c r="G818" s="3"/>
      <c r="H818" s="3"/>
      <c r="I818" s="3"/>
      <c r="J818" s="3"/>
      <c r="K818" s="716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.75" customHeight="1">
      <c r="A819" s="3"/>
      <c r="B819" s="3"/>
      <c r="C819" s="3"/>
      <c r="D819" s="3"/>
      <c r="E819" s="208"/>
      <c r="F819" s="3"/>
      <c r="G819" s="3"/>
      <c r="H819" s="3"/>
      <c r="I819" s="3"/>
      <c r="J819" s="3"/>
      <c r="K819" s="716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.75" customHeight="1">
      <c r="A820" s="3"/>
      <c r="B820" s="3"/>
      <c r="C820" s="3"/>
      <c r="D820" s="3"/>
      <c r="E820" s="208"/>
      <c r="F820" s="3"/>
      <c r="G820" s="3"/>
      <c r="H820" s="3"/>
      <c r="I820" s="3"/>
      <c r="J820" s="3"/>
      <c r="K820" s="716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.75" customHeight="1">
      <c r="A821" s="3"/>
      <c r="B821" s="3"/>
      <c r="C821" s="3"/>
      <c r="D821" s="3"/>
      <c r="E821" s="208"/>
      <c r="F821" s="3"/>
      <c r="G821" s="3"/>
      <c r="H821" s="3"/>
      <c r="I821" s="3"/>
      <c r="J821" s="3"/>
      <c r="K821" s="716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.75" customHeight="1">
      <c r="A822" s="3"/>
      <c r="B822" s="3"/>
      <c r="C822" s="3"/>
      <c r="D822" s="3"/>
      <c r="E822" s="208"/>
      <c r="F822" s="3"/>
      <c r="G822" s="3"/>
      <c r="H822" s="3"/>
      <c r="I822" s="3"/>
      <c r="J822" s="3"/>
      <c r="K822" s="716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.75" customHeight="1">
      <c r="A823" s="3"/>
      <c r="B823" s="3"/>
      <c r="C823" s="3"/>
      <c r="D823" s="3"/>
      <c r="E823" s="208"/>
      <c r="F823" s="3"/>
      <c r="G823" s="3"/>
      <c r="H823" s="3"/>
      <c r="I823" s="3"/>
      <c r="J823" s="3"/>
      <c r="K823" s="716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.75" customHeight="1">
      <c r="A824" s="3"/>
      <c r="B824" s="3"/>
      <c r="C824" s="3"/>
      <c r="D824" s="3"/>
      <c r="E824" s="208"/>
      <c r="F824" s="3"/>
      <c r="G824" s="3"/>
      <c r="H824" s="3"/>
      <c r="I824" s="3"/>
      <c r="J824" s="3"/>
      <c r="K824" s="716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.75" customHeight="1">
      <c r="A825" s="3"/>
      <c r="B825" s="3"/>
      <c r="C825" s="3"/>
      <c r="D825" s="3"/>
      <c r="E825" s="208"/>
      <c r="F825" s="3"/>
      <c r="G825" s="3"/>
      <c r="H825" s="3"/>
      <c r="I825" s="3"/>
      <c r="J825" s="3"/>
      <c r="K825" s="716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.75" customHeight="1">
      <c r="A826" s="3"/>
      <c r="B826" s="3"/>
      <c r="C826" s="3"/>
      <c r="D826" s="3"/>
      <c r="E826" s="208"/>
      <c r="F826" s="3"/>
      <c r="G826" s="3"/>
      <c r="H826" s="3"/>
      <c r="I826" s="3"/>
      <c r="J826" s="3"/>
      <c r="K826" s="716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.75" customHeight="1">
      <c r="A827" s="3"/>
      <c r="B827" s="3"/>
      <c r="C827" s="3"/>
      <c r="D827" s="3"/>
      <c r="E827" s="208"/>
      <c r="F827" s="3"/>
      <c r="G827" s="3"/>
      <c r="H827" s="3"/>
      <c r="I827" s="3"/>
      <c r="J827" s="3"/>
      <c r="K827" s="716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.75" customHeight="1">
      <c r="A828" s="3"/>
      <c r="B828" s="3"/>
      <c r="C828" s="3"/>
      <c r="D828" s="3"/>
      <c r="E828" s="208"/>
      <c r="F828" s="3"/>
      <c r="G828" s="3"/>
      <c r="H828" s="3"/>
      <c r="I828" s="3"/>
      <c r="J828" s="3"/>
      <c r="K828" s="716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.75" customHeight="1">
      <c r="A829" s="3"/>
      <c r="B829" s="3"/>
      <c r="C829" s="3"/>
      <c r="D829" s="3"/>
      <c r="E829" s="208"/>
      <c r="F829" s="3"/>
      <c r="G829" s="3"/>
      <c r="H829" s="3"/>
      <c r="I829" s="3"/>
      <c r="J829" s="3"/>
      <c r="K829" s="716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.75" customHeight="1">
      <c r="A830" s="3"/>
      <c r="B830" s="3"/>
      <c r="C830" s="3"/>
      <c r="D830" s="3"/>
      <c r="E830" s="208"/>
      <c r="F830" s="3"/>
      <c r="G830" s="3"/>
      <c r="H830" s="3"/>
      <c r="I830" s="3"/>
      <c r="J830" s="3"/>
      <c r="K830" s="716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.75" customHeight="1">
      <c r="A831" s="3"/>
      <c r="B831" s="3"/>
      <c r="C831" s="3"/>
      <c r="D831" s="3"/>
      <c r="E831" s="208"/>
      <c r="F831" s="3"/>
      <c r="G831" s="3"/>
      <c r="H831" s="3"/>
      <c r="I831" s="3"/>
      <c r="J831" s="3"/>
      <c r="K831" s="716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.75" customHeight="1">
      <c r="A832" s="3"/>
      <c r="B832" s="3"/>
      <c r="C832" s="3"/>
      <c r="D832" s="3"/>
      <c r="E832" s="208"/>
      <c r="F832" s="3"/>
      <c r="G832" s="3"/>
      <c r="H832" s="3"/>
      <c r="I832" s="3"/>
      <c r="J832" s="3"/>
      <c r="K832" s="716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.75" customHeight="1">
      <c r="A833" s="3"/>
      <c r="B833" s="3"/>
      <c r="C833" s="3"/>
      <c r="D833" s="3"/>
      <c r="E833" s="208"/>
      <c r="F833" s="3"/>
      <c r="G833" s="3"/>
      <c r="H833" s="3"/>
      <c r="I833" s="3"/>
      <c r="J833" s="3"/>
      <c r="K833" s="716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.75" customHeight="1">
      <c r="A834" s="3"/>
      <c r="B834" s="3"/>
      <c r="C834" s="3"/>
      <c r="D834" s="3"/>
      <c r="E834" s="208"/>
      <c r="F834" s="3"/>
      <c r="G834" s="3"/>
      <c r="H834" s="3"/>
      <c r="I834" s="3"/>
      <c r="J834" s="3"/>
      <c r="K834" s="716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.75" customHeight="1">
      <c r="A835" s="3"/>
      <c r="B835" s="3"/>
      <c r="C835" s="3"/>
      <c r="D835" s="3"/>
      <c r="E835" s="208"/>
      <c r="F835" s="3"/>
      <c r="G835" s="3"/>
      <c r="H835" s="3"/>
      <c r="I835" s="3"/>
      <c r="J835" s="3"/>
      <c r="K835" s="716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.75" customHeight="1">
      <c r="A836" s="3"/>
      <c r="B836" s="3"/>
      <c r="C836" s="3"/>
      <c r="D836" s="3"/>
      <c r="E836" s="208"/>
      <c r="F836" s="3"/>
      <c r="G836" s="3"/>
      <c r="H836" s="3"/>
      <c r="I836" s="3"/>
      <c r="J836" s="3"/>
      <c r="K836" s="716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.75" customHeight="1">
      <c r="A837" s="3"/>
      <c r="B837" s="3"/>
      <c r="C837" s="3"/>
      <c r="D837" s="3"/>
      <c r="E837" s="208"/>
      <c r="F837" s="3"/>
      <c r="G837" s="3"/>
      <c r="H837" s="3"/>
      <c r="I837" s="3"/>
      <c r="J837" s="3"/>
      <c r="K837" s="716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.75" customHeight="1">
      <c r="A838" s="3"/>
      <c r="B838" s="3"/>
      <c r="C838" s="3"/>
      <c r="D838" s="3"/>
      <c r="E838" s="208"/>
      <c r="F838" s="3"/>
      <c r="G838" s="3"/>
      <c r="H838" s="3"/>
      <c r="I838" s="3"/>
      <c r="J838" s="3"/>
      <c r="K838" s="716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.75" customHeight="1">
      <c r="A839" s="3"/>
      <c r="B839" s="3"/>
      <c r="C839" s="3"/>
      <c r="D839" s="3"/>
      <c r="E839" s="208"/>
      <c r="F839" s="3"/>
      <c r="G839" s="3"/>
      <c r="H839" s="3"/>
      <c r="I839" s="3"/>
      <c r="J839" s="3"/>
      <c r="K839" s="716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.75" customHeight="1">
      <c r="A840" s="3"/>
      <c r="B840" s="3"/>
      <c r="C840" s="3"/>
      <c r="D840" s="3"/>
      <c r="E840" s="208"/>
      <c r="F840" s="3"/>
      <c r="G840" s="3"/>
      <c r="H840" s="3"/>
      <c r="I840" s="3"/>
      <c r="J840" s="3"/>
      <c r="K840" s="716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.75" customHeight="1">
      <c r="A841" s="3"/>
      <c r="B841" s="3"/>
      <c r="C841" s="3"/>
      <c r="D841" s="3"/>
      <c r="E841" s="208"/>
      <c r="F841" s="3"/>
      <c r="G841" s="3"/>
      <c r="H841" s="3"/>
      <c r="I841" s="3"/>
      <c r="J841" s="3"/>
      <c r="K841" s="716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.75" customHeight="1">
      <c r="A842" s="3"/>
      <c r="B842" s="3"/>
      <c r="C842" s="3"/>
      <c r="D842" s="3"/>
      <c r="E842" s="208"/>
      <c r="F842" s="3"/>
      <c r="G842" s="3"/>
      <c r="H842" s="3"/>
      <c r="I842" s="3"/>
      <c r="J842" s="3"/>
      <c r="K842" s="716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.75" customHeight="1">
      <c r="A843" s="3"/>
      <c r="B843" s="3"/>
      <c r="C843" s="3"/>
      <c r="D843" s="3"/>
      <c r="E843" s="208"/>
      <c r="F843" s="3"/>
      <c r="G843" s="3"/>
      <c r="H843" s="3"/>
      <c r="I843" s="3"/>
      <c r="J843" s="3"/>
      <c r="K843" s="716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.75" customHeight="1">
      <c r="A844" s="3"/>
      <c r="B844" s="3"/>
      <c r="C844" s="3"/>
      <c r="D844" s="3"/>
      <c r="E844" s="208"/>
      <c r="F844" s="3"/>
      <c r="G844" s="3"/>
      <c r="H844" s="3"/>
      <c r="I844" s="3"/>
      <c r="J844" s="3"/>
      <c r="K844" s="716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.75" customHeight="1">
      <c r="A845" s="3"/>
      <c r="B845" s="3"/>
      <c r="C845" s="3"/>
      <c r="D845" s="3"/>
      <c r="E845" s="208"/>
      <c r="F845" s="3"/>
      <c r="G845" s="3"/>
      <c r="H845" s="3"/>
      <c r="I845" s="3"/>
      <c r="J845" s="3"/>
      <c r="K845" s="716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.75" customHeight="1">
      <c r="A846" s="3"/>
      <c r="B846" s="3"/>
      <c r="C846" s="3"/>
      <c r="D846" s="3"/>
      <c r="E846" s="208"/>
      <c r="F846" s="3"/>
      <c r="G846" s="3"/>
      <c r="H846" s="3"/>
      <c r="I846" s="3"/>
      <c r="J846" s="3"/>
      <c r="K846" s="716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.75" customHeight="1">
      <c r="A847" s="3"/>
      <c r="B847" s="3"/>
      <c r="C847" s="3"/>
      <c r="D847" s="3"/>
      <c r="E847" s="208"/>
      <c r="F847" s="3"/>
      <c r="G847" s="3"/>
      <c r="H847" s="3"/>
      <c r="I847" s="3"/>
      <c r="J847" s="3"/>
      <c r="K847" s="716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.75" customHeight="1">
      <c r="A848" s="3"/>
      <c r="B848" s="3"/>
      <c r="C848" s="3"/>
      <c r="D848" s="3"/>
      <c r="E848" s="208"/>
      <c r="F848" s="3"/>
      <c r="G848" s="3"/>
      <c r="H848" s="3"/>
      <c r="I848" s="3"/>
      <c r="J848" s="3"/>
      <c r="K848" s="716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.75" customHeight="1">
      <c r="A849" s="3"/>
      <c r="B849" s="3"/>
      <c r="C849" s="3"/>
      <c r="D849" s="3"/>
      <c r="E849" s="208"/>
      <c r="F849" s="3"/>
      <c r="G849" s="3"/>
      <c r="H849" s="3"/>
      <c r="I849" s="3"/>
      <c r="J849" s="3"/>
      <c r="K849" s="716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.75" customHeight="1">
      <c r="A850" s="3"/>
      <c r="B850" s="3"/>
      <c r="C850" s="3"/>
      <c r="D850" s="3"/>
      <c r="E850" s="208"/>
      <c r="F850" s="3"/>
      <c r="G850" s="3"/>
      <c r="H850" s="3"/>
      <c r="I850" s="3"/>
      <c r="J850" s="3"/>
      <c r="K850" s="716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.75" customHeight="1">
      <c r="A851" s="3"/>
      <c r="B851" s="3"/>
      <c r="C851" s="3"/>
      <c r="D851" s="3"/>
      <c r="E851" s="208"/>
      <c r="F851" s="3"/>
      <c r="G851" s="3"/>
      <c r="H851" s="3"/>
      <c r="I851" s="3"/>
      <c r="J851" s="3"/>
      <c r="K851" s="716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.75" customHeight="1">
      <c r="A852" s="3"/>
      <c r="B852" s="3"/>
      <c r="C852" s="3"/>
      <c r="D852" s="3"/>
      <c r="E852" s="208"/>
      <c r="F852" s="3"/>
      <c r="G852" s="3"/>
      <c r="H852" s="3"/>
      <c r="I852" s="3"/>
      <c r="J852" s="3"/>
      <c r="K852" s="716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.75" customHeight="1">
      <c r="A853" s="3"/>
      <c r="B853" s="3"/>
      <c r="C853" s="3"/>
      <c r="D853" s="3"/>
      <c r="E853" s="208"/>
      <c r="F853" s="3"/>
      <c r="G853" s="3"/>
      <c r="H853" s="3"/>
      <c r="I853" s="3"/>
      <c r="J853" s="3"/>
      <c r="K853" s="716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.75" customHeight="1">
      <c r="A854" s="3"/>
      <c r="B854" s="3"/>
      <c r="C854" s="3"/>
      <c r="D854" s="3"/>
      <c r="E854" s="208"/>
      <c r="F854" s="3"/>
      <c r="G854" s="3"/>
      <c r="H854" s="3"/>
      <c r="I854" s="3"/>
      <c r="J854" s="3"/>
      <c r="K854" s="716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.75" customHeight="1">
      <c r="A855" s="3"/>
      <c r="B855" s="3"/>
      <c r="C855" s="3"/>
      <c r="D855" s="3"/>
      <c r="E855" s="208"/>
      <c r="F855" s="3"/>
      <c r="G855" s="3"/>
      <c r="H855" s="3"/>
      <c r="I855" s="3"/>
      <c r="J855" s="3"/>
      <c r="K855" s="716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.75" customHeight="1">
      <c r="A856" s="3"/>
      <c r="B856" s="3"/>
      <c r="C856" s="3"/>
      <c r="D856" s="3"/>
      <c r="E856" s="208"/>
      <c r="F856" s="3"/>
      <c r="G856" s="3"/>
      <c r="H856" s="3"/>
      <c r="I856" s="3"/>
      <c r="J856" s="3"/>
      <c r="K856" s="716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.75" customHeight="1">
      <c r="A857" s="3"/>
      <c r="B857" s="3"/>
      <c r="C857" s="3"/>
      <c r="D857" s="3"/>
      <c r="E857" s="208"/>
      <c r="F857" s="3"/>
      <c r="G857" s="3"/>
      <c r="H857" s="3"/>
      <c r="I857" s="3"/>
      <c r="J857" s="3"/>
      <c r="K857" s="716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.75" customHeight="1">
      <c r="A858" s="3"/>
      <c r="B858" s="3"/>
      <c r="C858" s="3"/>
      <c r="D858" s="3"/>
      <c r="E858" s="208"/>
      <c r="F858" s="3"/>
      <c r="G858" s="3"/>
      <c r="H858" s="3"/>
      <c r="I858" s="3"/>
      <c r="J858" s="3"/>
      <c r="K858" s="716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.75" customHeight="1">
      <c r="A859" s="3"/>
      <c r="B859" s="3"/>
      <c r="C859" s="3"/>
      <c r="D859" s="3"/>
      <c r="E859" s="208"/>
      <c r="F859" s="3"/>
      <c r="G859" s="3"/>
      <c r="H859" s="3"/>
      <c r="I859" s="3"/>
      <c r="J859" s="3"/>
      <c r="K859" s="716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.75" customHeight="1">
      <c r="A860" s="3"/>
      <c r="B860" s="3"/>
      <c r="C860" s="3"/>
      <c r="D860" s="3"/>
      <c r="E860" s="208"/>
      <c r="F860" s="3"/>
      <c r="G860" s="3"/>
      <c r="H860" s="3"/>
      <c r="I860" s="3"/>
      <c r="J860" s="3"/>
      <c r="K860" s="716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.75" customHeight="1">
      <c r="A861" s="3"/>
      <c r="B861" s="3"/>
      <c r="C861" s="3"/>
      <c r="D861" s="3"/>
      <c r="E861" s="208"/>
      <c r="F861" s="3"/>
      <c r="G861" s="3"/>
      <c r="H861" s="3"/>
      <c r="I861" s="3"/>
      <c r="J861" s="3"/>
      <c r="K861" s="716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.75" customHeight="1">
      <c r="A862" s="3"/>
      <c r="B862" s="3"/>
      <c r="C862" s="3"/>
      <c r="D862" s="3"/>
      <c r="E862" s="208"/>
      <c r="F862" s="3"/>
      <c r="G862" s="3"/>
      <c r="H862" s="3"/>
      <c r="I862" s="3"/>
      <c r="J862" s="3"/>
      <c r="K862" s="716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.75" customHeight="1">
      <c r="A863" s="3"/>
      <c r="B863" s="3"/>
      <c r="C863" s="3"/>
      <c r="D863" s="3"/>
      <c r="E863" s="208"/>
      <c r="F863" s="3"/>
      <c r="G863" s="3"/>
      <c r="H863" s="3"/>
      <c r="I863" s="3"/>
      <c r="J863" s="3"/>
      <c r="K863" s="716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.75" customHeight="1">
      <c r="A864" s="3"/>
      <c r="B864" s="3"/>
      <c r="C864" s="3"/>
      <c r="D864" s="3"/>
      <c r="E864" s="208"/>
      <c r="F864" s="3"/>
      <c r="G864" s="3"/>
      <c r="H864" s="3"/>
      <c r="I864" s="3"/>
      <c r="J864" s="3"/>
      <c r="K864" s="716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.75" customHeight="1">
      <c r="A865" s="3"/>
      <c r="B865" s="3"/>
      <c r="C865" s="3"/>
      <c r="D865" s="3"/>
      <c r="E865" s="208"/>
      <c r="F865" s="3"/>
      <c r="G865" s="3"/>
      <c r="H865" s="3"/>
      <c r="I865" s="3"/>
      <c r="J865" s="3"/>
      <c r="K865" s="716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.75" customHeight="1">
      <c r="A866" s="3"/>
      <c r="B866" s="3"/>
      <c r="C866" s="3"/>
      <c r="D866" s="3"/>
      <c r="E866" s="208"/>
      <c r="F866" s="3"/>
      <c r="G866" s="3"/>
      <c r="H866" s="3"/>
      <c r="I866" s="3"/>
      <c r="J866" s="3"/>
      <c r="K866" s="716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.75" customHeight="1">
      <c r="A867" s="3"/>
      <c r="B867" s="3"/>
      <c r="C867" s="3"/>
      <c r="D867" s="3"/>
      <c r="E867" s="208"/>
      <c r="F867" s="3"/>
      <c r="G867" s="3"/>
      <c r="H867" s="3"/>
      <c r="I867" s="3"/>
      <c r="J867" s="3"/>
      <c r="K867" s="716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.75" customHeight="1">
      <c r="A868" s="3"/>
      <c r="B868" s="3"/>
      <c r="C868" s="3"/>
      <c r="D868" s="3"/>
      <c r="E868" s="208"/>
      <c r="F868" s="3"/>
      <c r="G868" s="3"/>
      <c r="H868" s="3"/>
      <c r="I868" s="3"/>
      <c r="J868" s="3"/>
      <c r="K868" s="716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.75" customHeight="1">
      <c r="A869" s="3"/>
      <c r="B869" s="3"/>
      <c r="C869" s="3"/>
      <c r="D869" s="3"/>
      <c r="E869" s="208"/>
      <c r="F869" s="3"/>
      <c r="G869" s="3"/>
      <c r="H869" s="3"/>
      <c r="I869" s="3"/>
      <c r="J869" s="3"/>
      <c r="K869" s="716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.75" customHeight="1">
      <c r="A870" s="3"/>
      <c r="B870" s="3"/>
      <c r="C870" s="3"/>
      <c r="D870" s="3"/>
      <c r="E870" s="208"/>
      <c r="F870" s="3"/>
      <c r="G870" s="3"/>
      <c r="H870" s="3"/>
      <c r="I870" s="3"/>
      <c r="J870" s="3"/>
      <c r="K870" s="716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.75" customHeight="1">
      <c r="A871" s="3"/>
      <c r="B871" s="3"/>
      <c r="C871" s="3"/>
      <c r="D871" s="3"/>
      <c r="E871" s="208"/>
      <c r="F871" s="3"/>
      <c r="G871" s="3"/>
      <c r="H871" s="3"/>
      <c r="I871" s="3"/>
      <c r="J871" s="3"/>
      <c r="K871" s="716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.75" customHeight="1">
      <c r="A872" s="3"/>
      <c r="B872" s="3"/>
      <c r="C872" s="3"/>
      <c r="D872" s="3"/>
      <c r="E872" s="208"/>
      <c r="F872" s="3"/>
      <c r="G872" s="3"/>
      <c r="H872" s="3"/>
      <c r="I872" s="3"/>
      <c r="J872" s="3"/>
      <c r="K872" s="716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.75" customHeight="1">
      <c r="A873" s="3"/>
      <c r="B873" s="3"/>
      <c r="C873" s="3"/>
      <c r="D873" s="3"/>
      <c r="E873" s="208"/>
      <c r="F873" s="3"/>
      <c r="G873" s="3"/>
      <c r="H873" s="3"/>
      <c r="I873" s="3"/>
      <c r="J873" s="3"/>
      <c r="K873" s="716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.75" customHeight="1">
      <c r="A874" s="3"/>
      <c r="B874" s="3"/>
      <c r="C874" s="3"/>
      <c r="D874" s="3"/>
      <c r="E874" s="208"/>
      <c r="F874" s="3"/>
      <c r="G874" s="3"/>
      <c r="H874" s="3"/>
      <c r="I874" s="3"/>
      <c r="J874" s="3"/>
      <c r="K874" s="716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.75" customHeight="1">
      <c r="A875" s="3"/>
      <c r="B875" s="3"/>
      <c r="C875" s="3"/>
      <c r="D875" s="3"/>
      <c r="E875" s="208"/>
      <c r="F875" s="3"/>
      <c r="G875" s="3"/>
      <c r="H875" s="3"/>
      <c r="I875" s="3"/>
      <c r="J875" s="3"/>
      <c r="K875" s="716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.75" customHeight="1">
      <c r="A876" s="3"/>
      <c r="B876" s="3"/>
      <c r="C876" s="3"/>
      <c r="D876" s="3"/>
      <c r="E876" s="208"/>
      <c r="F876" s="3"/>
      <c r="G876" s="3"/>
      <c r="H876" s="3"/>
      <c r="I876" s="3"/>
      <c r="J876" s="3"/>
      <c r="K876" s="716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.75" customHeight="1">
      <c r="A877" s="3"/>
      <c r="B877" s="3"/>
      <c r="C877" s="3"/>
      <c r="D877" s="3"/>
      <c r="E877" s="208"/>
      <c r="F877" s="3"/>
      <c r="G877" s="3"/>
      <c r="H877" s="3"/>
      <c r="I877" s="3"/>
      <c r="J877" s="3"/>
      <c r="K877" s="716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.75" customHeight="1">
      <c r="A878" s="3"/>
      <c r="B878" s="3"/>
      <c r="C878" s="3"/>
      <c r="D878" s="3"/>
      <c r="E878" s="208"/>
      <c r="F878" s="3"/>
      <c r="G878" s="3"/>
      <c r="H878" s="3"/>
      <c r="I878" s="3"/>
      <c r="J878" s="3"/>
      <c r="K878" s="716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.75" customHeight="1">
      <c r="A879" s="3"/>
      <c r="B879" s="3"/>
      <c r="C879" s="3"/>
      <c r="D879" s="3"/>
      <c r="E879" s="208"/>
      <c r="F879" s="3"/>
      <c r="G879" s="3"/>
      <c r="H879" s="3"/>
      <c r="I879" s="3"/>
      <c r="J879" s="3"/>
      <c r="K879" s="716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.75" customHeight="1">
      <c r="A880" s="3"/>
      <c r="B880" s="3"/>
      <c r="C880" s="3"/>
      <c r="D880" s="3"/>
      <c r="E880" s="208"/>
      <c r="F880" s="3"/>
      <c r="G880" s="3"/>
      <c r="H880" s="3"/>
      <c r="I880" s="3"/>
      <c r="J880" s="3"/>
      <c r="K880" s="716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.75" customHeight="1">
      <c r="A881" s="3"/>
      <c r="B881" s="3"/>
      <c r="C881" s="3"/>
      <c r="D881" s="3"/>
      <c r="E881" s="208"/>
      <c r="F881" s="3"/>
      <c r="G881" s="3"/>
      <c r="H881" s="3"/>
      <c r="I881" s="3"/>
      <c r="J881" s="3"/>
      <c r="K881" s="716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.75" customHeight="1">
      <c r="A882" s="3"/>
      <c r="B882" s="3"/>
      <c r="C882" s="3"/>
      <c r="D882" s="3"/>
      <c r="E882" s="208"/>
      <c r="F882" s="3"/>
      <c r="G882" s="3"/>
      <c r="H882" s="3"/>
      <c r="I882" s="3"/>
      <c r="J882" s="3"/>
      <c r="K882" s="716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.75" customHeight="1">
      <c r="A883" s="3"/>
      <c r="B883" s="3"/>
      <c r="C883" s="3"/>
      <c r="D883" s="3"/>
      <c r="E883" s="208"/>
      <c r="F883" s="3"/>
      <c r="G883" s="3"/>
      <c r="H883" s="3"/>
      <c r="I883" s="3"/>
      <c r="J883" s="3"/>
      <c r="K883" s="716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.75" customHeight="1">
      <c r="A884" s="3"/>
      <c r="B884" s="3"/>
      <c r="C884" s="3"/>
      <c r="D884" s="3"/>
      <c r="E884" s="208"/>
      <c r="F884" s="3"/>
      <c r="G884" s="3"/>
      <c r="H884" s="3"/>
      <c r="I884" s="3"/>
      <c r="J884" s="3"/>
      <c r="K884" s="716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.75" customHeight="1">
      <c r="A885" s="3"/>
      <c r="B885" s="3"/>
      <c r="C885" s="3"/>
      <c r="D885" s="3"/>
      <c r="E885" s="208"/>
      <c r="F885" s="3"/>
      <c r="G885" s="3"/>
      <c r="H885" s="3"/>
      <c r="I885" s="3"/>
      <c r="J885" s="3"/>
      <c r="K885" s="716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208"/>
      <c r="F886" s="3"/>
      <c r="G886" s="3"/>
      <c r="H886" s="3"/>
      <c r="I886" s="3"/>
      <c r="J886" s="3"/>
      <c r="K886" s="716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208"/>
      <c r="F887" s="3"/>
      <c r="G887" s="3"/>
      <c r="H887" s="3"/>
      <c r="I887" s="3"/>
      <c r="J887" s="3"/>
      <c r="K887" s="716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5.75" customHeight="1">
      <c r="A888" s="3"/>
      <c r="B888" s="3"/>
      <c r="C888" s="3"/>
      <c r="D888" s="3"/>
      <c r="E888" s="208"/>
      <c r="F888" s="3"/>
      <c r="G888" s="3"/>
      <c r="H888" s="3"/>
      <c r="I888" s="3"/>
      <c r="J888" s="3"/>
      <c r="K888" s="716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208"/>
      <c r="F889" s="3"/>
      <c r="G889" s="3"/>
      <c r="H889" s="3"/>
      <c r="I889" s="3"/>
      <c r="J889" s="3"/>
      <c r="K889" s="716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208"/>
      <c r="F890" s="3"/>
      <c r="G890" s="3"/>
      <c r="H890" s="3"/>
      <c r="I890" s="3"/>
      <c r="J890" s="3"/>
      <c r="K890" s="716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208"/>
      <c r="F891" s="3"/>
      <c r="G891" s="3"/>
      <c r="H891" s="3"/>
      <c r="I891" s="3"/>
      <c r="J891" s="3"/>
      <c r="K891" s="716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208"/>
      <c r="F892" s="3"/>
      <c r="G892" s="3"/>
      <c r="H892" s="3"/>
      <c r="I892" s="3"/>
      <c r="J892" s="3"/>
      <c r="K892" s="716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208"/>
      <c r="F893" s="3"/>
      <c r="G893" s="3"/>
      <c r="H893" s="3"/>
      <c r="I893" s="3"/>
      <c r="J893" s="3"/>
      <c r="K893" s="716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208"/>
      <c r="F894" s="3"/>
      <c r="G894" s="3"/>
      <c r="H894" s="3"/>
      <c r="I894" s="3"/>
      <c r="J894" s="3"/>
      <c r="K894" s="716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208"/>
      <c r="F895" s="3"/>
      <c r="G895" s="3"/>
      <c r="H895" s="3"/>
      <c r="I895" s="3"/>
      <c r="J895" s="3"/>
      <c r="K895" s="716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208"/>
      <c r="F896" s="3"/>
      <c r="G896" s="3"/>
      <c r="H896" s="3"/>
      <c r="I896" s="3"/>
      <c r="J896" s="3"/>
      <c r="K896" s="716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208"/>
      <c r="F897" s="3"/>
      <c r="G897" s="3"/>
      <c r="H897" s="3"/>
      <c r="I897" s="3"/>
      <c r="J897" s="3"/>
      <c r="K897" s="716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208"/>
      <c r="F898" s="3"/>
      <c r="G898" s="3"/>
      <c r="H898" s="3"/>
      <c r="I898" s="3"/>
      <c r="J898" s="3"/>
      <c r="K898" s="716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208"/>
      <c r="F899" s="3"/>
      <c r="G899" s="3"/>
      <c r="H899" s="3"/>
      <c r="I899" s="3"/>
      <c r="J899" s="3"/>
      <c r="K899" s="716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208"/>
      <c r="F900" s="3"/>
      <c r="G900" s="3"/>
      <c r="H900" s="3"/>
      <c r="I900" s="3"/>
      <c r="J900" s="3"/>
      <c r="K900" s="716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208"/>
      <c r="F901" s="3"/>
      <c r="G901" s="3"/>
      <c r="H901" s="3"/>
      <c r="I901" s="3"/>
      <c r="J901" s="3"/>
      <c r="K901" s="716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208"/>
      <c r="F902" s="3"/>
      <c r="G902" s="3"/>
      <c r="H902" s="3"/>
      <c r="I902" s="3"/>
      <c r="J902" s="3"/>
      <c r="K902" s="716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208"/>
      <c r="F903" s="3"/>
      <c r="G903" s="3"/>
      <c r="H903" s="3"/>
      <c r="I903" s="3"/>
      <c r="J903" s="3"/>
      <c r="K903" s="716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208"/>
      <c r="F904" s="3"/>
      <c r="G904" s="3"/>
      <c r="H904" s="3"/>
      <c r="I904" s="3"/>
      <c r="J904" s="3"/>
      <c r="K904" s="716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208"/>
      <c r="F905" s="3"/>
      <c r="G905" s="3"/>
      <c r="H905" s="3"/>
      <c r="I905" s="3"/>
      <c r="J905" s="3"/>
      <c r="K905" s="716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208"/>
      <c r="F906" s="3"/>
      <c r="G906" s="3"/>
      <c r="H906" s="3"/>
      <c r="I906" s="3"/>
      <c r="J906" s="3"/>
      <c r="K906" s="716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208"/>
      <c r="F907" s="3"/>
      <c r="G907" s="3"/>
      <c r="H907" s="3"/>
      <c r="I907" s="3"/>
      <c r="J907" s="3"/>
      <c r="K907" s="716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208"/>
      <c r="F908" s="3"/>
      <c r="G908" s="3"/>
      <c r="H908" s="3"/>
      <c r="I908" s="3"/>
      <c r="J908" s="3"/>
      <c r="K908" s="716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208"/>
      <c r="F909" s="3"/>
      <c r="G909" s="3"/>
      <c r="H909" s="3"/>
      <c r="I909" s="3"/>
      <c r="J909" s="3"/>
      <c r="K909" s="716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208"/>
      <c r="F910" s="3"/>
      <c r="G910" s="3"/>
      <c r="H910" s="3"/>
      <c r="I910" s="3"/>
      <c r="J910" s="3"/>
      <c r="K910" s="716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208"/>
      <c r="F911" s="3"/>
      <c r="G911" s="3"/>
      <c r="H911" s="3"/>
      <c r="I911" s="3"/>
      <c r="J911" s="3"/>
      <c r="K911" s="716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208"/>
      <c r="F912" s="3"/>
      <c r="G912" s="3"/>
      <c r="H912" s="3"/>
      <c r="I912" s="3"/>
      <c r="J912" s="3"/>
      <c r="K912" s="716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208"/>
      <c r="F913" s="3"/>
      <c r="G913" s="3"/>
      <c r="H913" s="3"/>
      <c r="I913" s="3"/>
      <c r="J913" s="3"/>
      <c r="K913" s="716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208"/>
      <c r="F914" s="3"/>
      <c r="G914" s="3"/>
      <c r="H914" s="3"/>
      <c r="I914" s="3"/>
      <c r="J914" s="3"/>
      <c r="K914" s="716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208"/>
      <c r="F915" s="3"/>
      <c r="G915" s="3"/>
      <c r="H915" s="3"/>
      <c r="I915" s="3"/>
      <c r="J915" s="3"/>
      <c r="K915" s="716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208"/>
      <c r="F916" s="3"/>
      <c r="G916" s="3"/>
      <c r="H916" s="3"/>
      <c r="I916" s="3"/>
      <c r="J916" s="3"/>
      <c r="K916" s="716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208"/>
      <c r="F917" s="3"/>
      <c r="G917" s="3"/>
      <c r="H917" s="3"/>
      <c r="I917" s="3"/>
      <c r="J917" s="3"/>
      <c r="K917" s="716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208"/>
      <c r="F918" s="3"/>
      <c r="G918" s="3"/>
      <c r="H918" s="3"/>
      <c r="I918" s="3"/>
      <c r="J918" s="3"/>
      <c r="K918" s="716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208"/>
      <c r="F919" s="3"/>
      <c r="G919" s="3"/>
      <c r="H919" s="3"/>
      <c r="I919" s="3"/>
      <c r="J919" s="3"/>
      <c r="K919" s="716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208"/>
      <c r="F920" s="3"/>
      <c r="G920" s="3"/>
      <c r="H920" s="3"/>
      <c r="I920" s="3"/>
      <c r="J920" s="3"/>
      <c r="K920" s="716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208"/>
      <c r="F921" s="3"/>
      <c r="G921" s="3"/>
      <c r="H921" s="3"/>
      <c r="I921" s="3"/>
      <c r="J921" s="3"/>
      <c r="K921" s="716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208"/>
      <c r="F922" s="3"/>
      <c r="G922" s="3"/>
      <c r="H922" s="3"/>
      <c r="I922" s="3"/>
      <c r="J922" s="3"/>
      <c r="K922" s="716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208"/>
      <c r="F923" s="3"/>
      <c r="G923" s="3"/>
      <c r="H923" s="3"/>
      <c r="I923" s="3"/>
      <c r="J923" s="3"/>
      <c r="K923" s="716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208"/>
      <c r="F924" s="3"/>
      <c r="G924" s="3"/>
      <c r="H924" s="3"/>
      <c r="I924" s="3"/>
      <c r="J924" s="3"/>
      <c r="K924" s="716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208"/>
      <c r="F925" s="3"/>
      <c r="G925" s="3"/>
      <c r="H925" s="3"/>
      <c r="I925" s="3"/>
      <c r="J925" s="3"/>
      <c r="K925" s="716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208"/>
      <c r="F926" s="3"/>
      <c r="G926" s="3"/>
      <c r="H926" s="3"/>
      <c r="I926" s="3"/>
      <c r="J926" s="3"/>
      <c r="K926" s="716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208"/>
      <c r="F927" s="3"/>
      <c r="G927" s="3"/>
      <c r="H927" s="3"/>
      <c r="I927" s="3"/>
      <c r="J927" s="3"/>
      <c r="K927" s="716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208"/>
      <c r="F928" s="3"/>
      <c r="G928" s="3"/>
      <c r="H928" s="3"/>
      <c r="I928" s="3"/>
      <c r="J928" s="3"/>
      <c r="K928" s="716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208"/>
      <c r="F929" s="3"/>
      <c r="G929" s="3"/>
      <c r="H929" s="3"/>
      <c r="I929" s="3"/>
      <c r="J929" s="3"/>
      <c r="K929" s="716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208"/>
      <c r="F930" s="3"/>
      <c r="G930" s="3"/>
      <c r="H930" s="3"/>
      <c r="I930" s="3"/>
      <c r="J930" s="3"/>
      <c r="K930" s="716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208"/>
      <c r="F931" s="3"/>
      <c r="G931" s="3"/>
      <c r="H931" s="3"/>
      <c r="I931" s="3"/>
      <c r="J931" s="3"/>
      <c r="K931" s="716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208"/>
      <c r="F932" s="3"/>
      <c r="G932" s="3"/>
      <c r="H932" s="3"/>
      <c r="I932" s="3"/>
      <c r="J932" s="3"/>
      <c r="K932" s="716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208"/>
      <c r="F933" s="3"/>
      <c r="G933" s="3"/>
      <c r="H933" s="3"/>
      <c r="I933" s="3"/>
      <c r="J933" s="3"/>
      <c r="K933" s="716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208"/>
      <c r="F934" s="3"/>
      <c r="G934" s="3"/>
      <c r="H934" s="3"/>
      <c r="I934" s="3"/>
      <c r="J934" s="3"/>
      <c r="K934" s="716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208"/>
      <c r="F935" s="3"/>
      <c r="G935" s="3"/>
      <c r="H935" s="3"/>
      <c r="I935" s="3"/>
      <c r="J935" s="3"/>
      <c r="K935" s="716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208"/>
      <c r="F936" s="3"/>
      <c r="G936" s="3"/>
      <c r="H936" s="3"/>
      <c r="I936" s="3"/>
      <c r="J936" s="3"/>
      <c r="K936" s="716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208"/>
      <c r="F937" s="3"/>
      <c r="G937" s="3"/>
      <c r="H937" s="3"/>
      <c r="I937" s="3"/>
      <c r="J937" s="3"/>
      <c r="K937" s="716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208"/>
      <c r="F938" s="3"/>
      <c r="G938" s="3"/>
      <c r="H938" s="3"/>
      <c r="I938" s="3"/>
      <c r="J938" s="3"/>
      <c r="K938" s="716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208"/>
      <c r="F939" s="3"/>
      <c r="G939" s="3"/>
      <c r="H939" s="3"/>
      <c r="I939" s="3"/>
      <c r="J939" s="3"/>
      <c r="K939" s="716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208"/>
      <c r="F940" s="3"/>
      <c r="G940" s="3"/>
      <c r="H940" s="3"/>
      <c r="I940" s="3"/>
      <c r="J940" s="3"/>
      <c r="K940" s="716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208"/>
      <c r="F941" s="3"/>
      <c r="G941" s="3"/>
      <c r="H941" s="3"/>
      <c r="I941" s="3"/>
      <c r="J941" s="3"/>
      <c r="K941" s="716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208"/>
      <c r="F942" s="3"/>
      <c r="G942" s="3"/>
      <c r="H942" s="3"/>
      <c r="I942" s="3"/>
      <c r="J942" s="3"/>
      <c r="K942" s="716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208"/>
      <c r="F943" s="3"/>
      <c r="G943" s="3"/>
      <c r="H943" s="3"/>
      <c r="I943" s="3"/>
      <c r="J943" s="3"/>
      <c r="K943" s="716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208"/>
      <c r="F944" s="3"/>
      <c r="G944" s="3"/>
      <c r="H944" s="3"/>
      <c r="I944" s="3"/>
      <c r="J944" s="3"/>
      <c r="K944" s="716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208"/>
      <c r="F945" s="3"/>
      <c r="G945" s="3"/>
      <c r="H945" s="3"/>
      <c r="I945" s="3"/>
      <c r="J945" s="3"/>
      <c r="K945" s="716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208"/>
      <c r="F946" s="3"/>
      <c r="G946" s="3"/>
      <c r="H946" s="3"/>
      <c r="I946" s="3"/>
      <c r="J946" s="3"/>
      <c r="K946" s="716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208"/>
      <c r="F947" s="3"/>
      <c r="G947" s="3"/>
      <c r="H947" s="3"/>
      <c r="I947" s="3"/>
      <c r="J947" s="3"/>
      <c r="K947" s="716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208"/>
      <c r="F948" s="3"/>
      <c r="G948" s="3"/>
      <c r="H948" s="3"/>
      <c r="I948" s="3"/>
      <c r="J948" s="3"/>
      <c r="K948" s="716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208"/>
      <c r="F949" s="3"/>
      <c r="G949" s="3"/>
      <c r="H949" s="3"/>
      <c r="I949" s="3"/>
      <c r="J949" s="3"/>
      <c r="K949" s="716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208"/>
      <c r="F950" s="3"/>
      <c r="G950" s="3"/>
      <c r="H950" s="3"/>
      <c r="I950" s="3"/>
      <c r="J950" s="3"/>
      <c r="K950" s="716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208"/>
      <c r="F951" s="3"/>
      <c r="G951" s="3"/>
      <c r="H951" s="3"/>
      <c r="I951" s="3"/>
      <c r="J951" s="3"/>
      <c r="K951" s="716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208"/>
      <c r="F952" s="3"/>
      <c r="G952" s="3"/>
      <c r="H952" s="3"/>
      <c r="I952" s="3"/>
      <c r="J952" s="3"/>
      <c r="K952" s="716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208"/>
      <c r="F953" s="3"/>
      <c r="G953" s="3"/>
      <c r="H953" s="3"/>
      <c r="I953" s="3"/>
      <c r="J953" s="3"/>
      <c r="K953" s="716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208"/>
      <c r="F954" s="3"/>
      <c r="G954" s="3"/>
      <c r="H954" s="3"/>
      <c r="I954" s="3"/>
      <c r="J954" s="3"/>
      <c r="K954" s="716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208"/>
      <c r="F955" s="3"/>
      <c r="G955" s="3"/>
      <c r="H955" s="3"/>
      <c r="I955" s="3"/>
      <c r="J955" s="3"/>
      <c r="K955" s="716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208"/>
      <c r="F956" s="3"/>
      <c r="G956" s="3"/>
      <c r="H956" s="3"/>
      <c r="I956" s="3"/>
      <c r="J956" s="3"/>
      <c r="K956" s="716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208"/>
      <c r="F957" s="3"/>
      <c r="G957" s="3"/>
      <c r="H957" s="3"/>
      <c r="I957" s="3"/>
      <c r="J957" s="3"/>
      <c r="K957" s="716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208"/>
      <c r="F958" s="3"/>
      <c r="G958" s="3"/>
      <c r="H958" s="3"/>
      <c r="I958" s="3"/>
      <c r="J958" s="3"/>
      <c r="K958" s="716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208"/>
      <c r="F959" s="3"/>
      <c r="G959" s="3"/>
      <c r="H959" s="3"/>
      <c r="I959" s="3"/>
      <c r="J959" s="3"/>
      <c r="K959" s="716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208"/>
      <c r="F960" s="3"/>
      <c r="G960" s="3"/>
      <c r="H960" s="3"/>
      <c r="I960" s="3"/>
      <c r="J960" s="3"/>
      <c r="K960" s="716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208"/>
      <c r="F961" s="3"/>
      <c r="G961" s="3"/>
      <c r="H961" s="3"/>
      <c r="I961" s="3"/>
      <c r="J961" s="3"/>
      <c r="K961" s="716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208"/>
      <c r="F962" s="3"/>
      <c r="G962" s="3"/>
      <c r="H962" s="3"/>
      <c r="I962" s="3"/>
      <c r="J962" s="3"/>
      <c r="K962" s="716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208"/>
      <c r="F963" s="3"/>
      <c r="G963" s="3"/>
      <c r="H963" s="3"/>
      <c r="I963" s="3"/>
      <c r="J963" s="3"/>
      <c r="K963" s="716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208"/>
      <c r="F964" s="3"/>
      <c r="G964" s="3"/>
      <c r="H964" s="3"/>
      <c r="I964" s="3"/>
      <c r="J964" s="3"/>
      <c r="K964" s="716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208"/>
      <c r="F965" s="3"/>
      <c r="G965" s="3"/>
      <c r="H965" s="3"/>
      <c r="I965" s="3"/>
      <c r="J965" s="3"/>
      <c r="K965" s="716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208"/>
      <c r="F966" s="3"/>
      <c r="G966" s="3"/>
      <c r="H966" s="3"/>
      <c r="I966" s="3"/>
      <c r="J966" s="3"/>
      <c r="K966" s="716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208"/>
      <c r="F967" s="3"/>
      <c r="G967" s="3"/>
      <c r="H967" s="3"/>
      <c r="I967" s="3"/>
      <c r="J967" s="3"/>
      <c r="K967" s="716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208"/>
      <c r="F968" s="3"/>
      <c r="G968" s="3"/>
      <c r="H968" s="3"/>
      <c r="I968" s="3"/>
      <c r="J968" s="3"/>
      <c r="K968" s="716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208"/>
      <c r="F969" s="3"/>
      <c r="G969" s="3"/>
      <c r="H969" s="3"/>
      <c r="I969" s="3"/>
      <c r="J969" s="3"/>
      <c r="K969" s="716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208"/>
      <c r="F970" s="3"/>
      <c r="G970" s="3"/>
      <c r="H970" s="3"/>
      <c r="I970" s="3"/>
      <c r="J970" s="3"/>
      <c r="K970" s="716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208"/>
      <c r="F971" s="3"/>
      <c r="G971" s="3"/>
      <c r="H971" s="3"/>
      <c r="I971" s="3"/>
      <c r="J971" s="3"/>
      <c r="K971" s="716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208"/>
      <c r="F972" s="3"/>
      <c r="G972" s="3"/>
      <c r="H972" s="3"/>
      <c r="I972" s="3"/>
      <c r="J972" s="3"/>
      <c r="K972" s="716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208"/>
      <c r="F973" s="3"/>
      <c r="G973" s="3"/>
      <c r="H973" s="3"/>
      <c r="I973" s="3"/>
      <c r="J973" s="3"/>
      <c r="K973" s="716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208"/>
      <c r="F974" s="3"/>
      <c r="G974" s="3"/>
      <c r="H974" s="3"/>
      <c r="I974" s="3"/>
      <c r="J974" s="3"/>
      <c r="K974" s="716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208"/>
      <c r="F975" s="3"/>
      <c r="G975" s="3"/>
      <c r="H975" s="3"/>
      <c r="I975" s="3"/>
      <c r="J975" s="3"/>
      <c r="K975" s="716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208"/>
      <c r="F976" s="3"/>
      <c r="G976" s="3"/>
      <c r="H976" s="3"/>
      <c r="I976" s="3"/>
      <c r="J976" s="3"/>
      <c r="K976" s="716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208"/>
      <c r="F977" s="3"/>
      <c r="G977" s="3"/>
      <c r="H977" s="3"/>
      <c r="I977" s="3"/>
      <c r="J977" s="3"/>
      <c r="K977" s="716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208"/>
      <c r="F978" s="3"/>
      <c r="G978" s="3"/>
      <c r="H978" s="3"/>
      <c r="I978" s="3"/>
      <c r="J978" s="3"/>
      <c r="K978" s="716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208"/>
      <c r="F979" s="3"/>
      <c r="G979" s="3"/>
      <c r="H979" s="3"/>
      <c r="I979" s="3"/>
      <c r="J979" s="3"/>
      <c r="K979" s="716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208"/>
      <c r="F980" s="3"/>
      <c r="G980" s="3"/>
      <c r="H980" s="3"/>
      <c r="I980" s="3"/>
      <c r="J980" s="3"/>
      <c r="K980" s="716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208"/>
      <c r="F981" s="3"/>
      <c r="G981" s="3"/>
      <c r="H981" s="3"/>
      <c r="I981" s="3"/>
      <c r="J981" s="3"/>
      <c r="K981" s="716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208"/>
      <c r="F982" s="3"/>
      <c r="G982" s="3"/>
      <c r="H982" s="3"/>
      <c r="I982" s="3"/>
      <c r="J982" s="3"/>
      <c r="K982" s="716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208"/>
      <c r="F983" s="3"/>
      <c r="G983" s="3"/>
      <c r="H983" s="3"/>
      <c r="I983" s="3"/>
      <c r="J983" s="3"/>
      <c r="K983" s="716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208"/>
      <c r="F984" s="3"/>
      <c r="G984" s="3"/>
      <c r="H984" s="3"/>
      <c r="I984" s="3"/>
      <c r="J984" s="3"/>
      <c r="K984" s="716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208"/>
      <c r="F985" s="3"/>
      <c r="G985" s="3"/>
      <c r="H985" s="3"/>
      <c r="I985" s="3"/>
      <c r="J985" s="3"/>
      <c r="K985" s="716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208"/>
      <c r="F986" s="3"/>
      <c r="G986" s="3"/>
      <c r="H986" s="3"/>
      <c r="I986" s="3"/>
      <c r="J986" s="3"/>
      <c r="K986" s="716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208"/>
      <c r="F987" s="3"/>
      <c r="G987" s="3"/>
      <c r="H987" s="3"/>
      <c r="I987" s="3"/>
      <c r="J987" s="3"/>
      <c r="K987" s="716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208"/>
      <c r="F988" s="3"/>
      <c r="G988" s="3"/>
      <c r="H988" s="3"/>
      <c r="I988" s="3"/>
      <c r="J988" s="3"/>
      <c r="K988" s="716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208"/>
      <c r="F989" s="3"/>
      <c r="G989" s="3"/>
      <c r="H989" s="3"/>
      <c r="I989" s="3"/>
      <c r="J989" s="3"/>
      <c r="K989" s="716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208"/>
      <c r="F990" s="3"/>
      <c r="G990" s="3"/>
      <c r="H990" s="3"/>
      <c r="I990" s="3"/>
      <c r="J990" s="3"/>
      <c r="K990" s="716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208"/>
      <c r="F991" s="3"/>
      <c r="G991" s="3"/>
      <c r="H991" s="3"/>
      <c r="I991" s="3"/>
      <c r="J991" s="3"/>
      <c r="K991" s="716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208"/>
      <c r="F992" s="3"/>
      <c r="G992" s="3"/>
      <c r="H992" s="3"/>
      <c r="I992" s="3"/>
      <c r="J992" s="3"/>
      <c r="K992" s="716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208"/>
      <c r="F993" s="3"/>
      <c r="G993" s="3"/>
      <c r="H993" s="3"/>
      <c r="I993" s="3"/>
      <c r="J993" s="3"/>
      <c r="K993" s="716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208"/>
      <c r="F994" s="3"/>
      <c r="G994" s="3"/>
      <c r="H994" s="3"/>
      <c r="I994" s="3"/>
      <c r="J994" s="3"/>
      <c r="K994" s="716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208"/>
      <c r="F995" s="3"/>
      <c r="G995" s="3"/>
      <c r="H995" s="3"/>
      <c r="I995" s="3"/>
      <c r="J995" s="3"/>
      <c r="K995" s="716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208"/>
      <c r="F996" s="3"/>
      <c r="G996" s="3"/>
      <c r="H996" s="3"/>
      <c r="I996" s="3"/>
      <c r="J996" s="3"/>
      <c r="K996" s="716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208"/>
      <c r="F997" s="3"/>
      <c r="G997" s="3"/>
      <c r="H997" s="3"/>
      <c r="I997" s="3"/>
      <c r="J997" s="3"/>
      <c r="K997" s="716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208"/>
      <c r="F998" s="3"/>
      <c r="G998" s="3"/>
      <c r="H998" s="3"/>
      <c r="I998" s="3"/>
      <c r="J998" s="3"/>
      <c r="K998" s="716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208"/>
      <c r="F999" s="3"/>
      <c r="G999" s="3"/>
      <c r="H999" s="3"/>
      <c r="I999" s="3"/>
      <c r="J999" s="3"/>
      <c r="K999" s="716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208"/>
      <c r="F1000" s="3"/>
      <c r="G1000" s="3"/>
      <c r="H1000" s="3"/>
      <c r="I1000" s="3"/>
      <c r="J1000" s="3"/>
      <c r="K1000" s="716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H1"/>
    <mergeCell ref="B57:H57"/>
  </mergeCells>
  <pageMargins left="0.7" right="0.7" top="0.75" bottom="0.75" header="0" footer="0"/>
  <pageSetup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2:Z1010"/>
  <sheetViews>
    <sheetView workbookViewId="0">
      <selection activeCell="D8" sqref="D8"/>
    </sheetView>
  </sheetViews>
  <sheetFormatPr defaultColWidth="14.42578125" defaultRowHeight="15" customHeight="1"/>
  <cols>
    <col min="1" max="1" width="9.140625" customWidth="1"/>
    <col min="2" max="2" width="39.7109375" customWidth="1"/>
    <col min="3" max="3" width="27.28515625" customWidth="1"/>
    <col min="4" max="4" width="21.42578125" customWidth="1"/>
    <col min="5" max="6" width="19.7109375" customWidth="1"/>
    <col min="7" max="7" width="21.28515625" customWidth="1"/>
    <col min="8" max="26" width="9.140625" customWidth="1"/>
  </cols>
  <sheetData>
    <row r="2" spans="1:26" s="1020" customFormat="1" ht="15" customHeight="1"/>
    <row r="3" spans="1:26" s="1030" customFormat="1" ht="15" customHeight="1">
      <c r="B3" s="1034" t="s">
        <v>4172</v>
      </c>
      <c r="C3" s="1035"/>
    </row>
    <row r="4" spans="1:26" s="1030" customFormat="1" ht="15" customHeight="1">
      <c r="B4" s="1036" t="s">
        <v>10</v>
      </c>
      <c r="C4" s="1037">
        <v>9250000000</v>
      </c>
      <c r="D4" s="1031"/>
      <c r="F4" s="1032"/>
    </row>
    <row r="5" spans="1:26" s="1030" customFormat="1" ht="15" customHeight="1">
      <c r="B5" s="1038" t="s">
        <v>11</v>
      </c>
      <c r="C5" s="1039">
        <v>1260000000</v>
      </c>
      <c r="D5" s="1031"/>
      <c r="F5" s="1033"/>
    </row>
    <row r="6" spans="1:26" s="1030" customFormat="1" ht="15" customHeight="1">
      <c r="B6" s="1038" t="s">
        <v>12</v>
      </c>
      <c r="C6" s="1035">
        <v>906000000</v>
      </c>
      <c r="D6" s="1031"/>
      <c r="F6" s="1033"/>
    </row>
    <row r="7" spans="1:26" s="1030" customFormat="1" ht="15" customHeight="1">
      <c r="B7" s="1034" t="s">
        <v>7</v>
      </c>
      <c r="C7" s="1035">
        <f>SUM(C4:C6)</f>
        <v>11416000000</v>
      </c>
    </row>
    <row r="8" spans="1:26" s="1020" customFormat="1" ht="14.25" customHeight="1"/>
    <row r="11" spans="1:26" ht="15" customHeight="1">
      <c r="A11" s="841" t="s">
        <v>657</v>
      </c>
      <c r="B11" s="841" t="s">
        <v>3317</v>
      </c>
      <c r="C11" s="841" t="s">
        <v>3318</v>
      </c>
      <c r="D11" s="841" t="s">
        <v>3319</v>
      </c>
      <c r="E11" s="842" t="s">
        <v>3320</v>
      </c>
      <c r="F11" s="842" t="s">
        <v>3321</v>
      </c>
      <c r="G11" s="842" t="s">
        <v>3322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" customHeight="1">
      <c r="A12" s="843">
        <v>1</v>
      </c>
      <c r="B12" s="844" t="s">
        <v>3323</v>
      </c>
      <c r="C12" s="845">
        <v>5</v>
      </c>
      <c r="D12" s="845">
        <f t="shared" ref="D12:D764" si="0">C12*12</f>
        <v>60</v>
      </c>
      <c r="E12" s="846">
        <v>23310</v>
      </c>
      <c r="F12" s="846">
        <f t="shared" ref="F12:F764" si="1">C12*E12</f>
        <v>116550</v>
      </c>
      <c r="G12" s="847">
        <f>F12*12</f>
        <v>1398600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" customHeight="1">
      <c r="A13" s="843">
        <v>2</v>
      </c>
      <c r="B13" s="844" t="s">
        <v>3324</v>
      </c>
      <c r="C13" s="845">
        <v>300</v>
      </c>
      <c r="D13" s="845">
        <f t="shared" si="0"/>
        <v>3600</v>
      </c>
      <c r="E13" s="846">
        <v>14235.752</v>
      </c>
      <c r="F13" s="846">
        <f t="shared" si="1"/>
        <v>4270725.6000000006</v>
      </c>
      <c r="G13" s="847">
        <f>F13*12</f>
        <v>51248707.200000003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" customHeight="1">
      <c r="A14" s="843">
        <v>3</v>
      </c>
      <c r="B14" s="844" t="s">
        <v>3325</v>
      </c>
      <c r="C14" s="845">
        <v>350</v>
      </c>
      <c r="D14" s="845">
        <f t="shared" si="0"/>
        <v>4200</v>
      </c>
      <c r="E14" s="846">
        <v>14235.751999999999</v>
      </c>
      <c r="F14" s="846">
        <f t="shared" si="1"/>
        <v>4982513.1999999993</v>
      </c>
      <c r="G14" s="847">
        <f>F14*12</f>
        <v>59790158.399999991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" customHeight="1">
      <c r="A15" s="843">
        <v>4</v>
      </c>
      <c r="B15" s="844" t="s">
        <v>3326</v>
      </c>
      <c r="C15" s="845">
        <v>250</v>
      </c>
      <c r="D15" s="845">
        <f t="shared" si="0"/>
        <v>3000</v>
      </c>
      <c r="E15" s="846">
        <v>14235.752</v>
      </c>
      <c r="F15" s="846">
        <f t="shared" si="1"/>
        <v>3558938</v>
      </c>
      <c r="G15" s="847">
        <f>F15*12</f>
        <v>42707256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5" customHeight="1">
      <c r="A16" s="843">
        <v>5</v>
      </c>
      <c r="B16" s="844" t="s">
        <v>3327</v>
      </c>
      <c r="C16" s="845">
        <v>150</v>
      </c>
      <c r="D16" s="845">
        <f t="shared" si="0"/>
        <v>1800</v>
      </c>
      <c r="E16" s="846">
        <v>22200</v>
      </c>
      <c r="F16" s="846">
        <f t="shared" si="1"/>
        <v>3330000</v>
      </c>
      <c r="G16" s="847">
        <f>F16*12</f>
        <v>39960000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5" customHeight="1">
      <c r="A17" s="843">
        <v>6</v>
      </c>
      <c r="B17" s="844" t="s">
        <v>3328</v>
      </c>
      <c r="C17" s="845">
        <v>6500</v>
      </c>
      <c r="D17" s="845">
        <f t="shared" si="0"/>
        <v>78000</v>
      </c>
      <c r="E17" s="846">
        <v>838.60799999999995</v>
      </c>
      <c r="F17" s="846">
        <f t="shared" si="1"/>
        <v>5450952</v>
      </c>
      <c r="G17" s="847">
        <f>F17*12</f>
        <v>65411424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" customHeight="1">
      <c r="A18" s="843">
        <v>7</v>
      </c>
      <c r="B18" s="844" t="s">
        <v>3329</v>
      </c>
      <c r="C18" s="845">
        <v>18000</v>
      </c>
      <c r="D18" s="845">
        <f t="shared" si="0"/>
        <v>216000</v>
      </c>
      <c r="E18" s="846">
        <v>605.47199999999998</v>
      </c>
      <c r="F18" s="846">
        <f t="shared" si="1"/>
        <v>10898496</v>
      </c>
      <c r="G18" s="847">
        <f>F18*12</f>
        <v>130781952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" customHeight="1">
      <c r="A19" s="843">
        <v>8</v>
      </c>
      <c r="B19" s="844" t="s">
        <v>3330</v>
      </c>
      <c r="C19" s="845">
        <v>4000</v>
      </c>
      <c r="D19" s="845">
        <f t="shared" si="0"/>
        <v>48000</v>
      </c>
      <c r="E19" s="846">
        <v>699.30400000000009</v>
      </c>
      <c r="F19" s="846">
        <f t="shared" si="1"/>
        <v>2797216.0000000005</v>
      </c>
      <c r="G19" s="847">
        <f>F19*12</f>
        <v>33566592.000000007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" customHeight="1">
      <c r="A20" s="843">
        <v>9</v>
      </c>
      <c r="B20" s="844" t="s">
        <v>3331</v>
      </c>
      <c r="C20" s="845">
        <v>15</v>
      </c>
      <c r="D20" s="845">
        <f t="shared" si="0"/>
        <v>180</v>
      </c>
      <c r="E20" s="846">
        <v>532.96799999999996</v>
      </c>
      <c r="F20" s="846">
        <f t="shared" si="1"/>
        <v>7994.5199999999995</v>
      </c>
      <c r="G20" s="847">
        <f>F20*12</f>
        <v>95934.239999999991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5" customHeight="1">
      <c r="A21" s="843">
        <v>10</v>
      </c>
      <c r="B21" s="844" t="s">
        <v>3332</v>
      </c>
      <c r="C21" s="845">
        <v>130</v>
      </c>
      <c r="D21" s="845">
        <f t="shared" si="0"/>
        <v>1560</v>
      </c>
      <c r="E21" s="846">
        <v>754.8</v>
      </c>
      <c r="F21" s="846">
        <f t="shared" si="1"/>
        <v>98124</v>
      </c>
      <c r="G21" s="847">
        <f>F21*12</f>
        <v>1177488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5" customHeight="1">
      <c r="A22" s="843">
        <v>11</v>
      </c>
      <c r="B22" s="844" t="s">
        <v>3333</v>
      </c>
      <c r="C22" s="845">
        <v>6</v>
      </c>
      <c r="D22" s="845">
        <f t="shared" si="0"/>
        <v>72</v>
      </c>
      <c r="E22" s="846">
        <v>5421.2400000000007</v>
      </c>
      <c r="F22" s="846">
        <f t="shared" si="1"/>
        <v>32527.440000000002</v>
      </c>
      <c r="G22" s="847">
        <f>F22*12</f>
        <v>390329.28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" customHeight="1">
      <c r="A23" s="843">
        <v>12</v>
      </c>
      <c r="B23" s="844" t="s">
        <v>3334</v>
      </c>
      <c r="C23" s="845">
        <v>3600</v>
      </c>
      <c r="D23" s="845">
        <f t="shared" si="0"/>
        <v>43200</v>
      </c>
      <c r="E23" s="846">
        <v>4670</v>
      </c>
      <c r="F23" s="846">
        <f t="shared" si="1"/>
        <v>16812000</v>
      </c>
      <c r="G23" s="847">
        <f>F23*12</f>
        <v>201744000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" customHeight="1">
      <c r="A24" s="843">
        <v>14</v>
      </c>
      <c r="B24" s="844" t="s">
        <v>3335</v>
      </c>
      <c r="C24" s="845">
        <v>1</v>
      </c>
      <c r="D24" s="845">
        <f t="shared" si="0"/>
        <v>12</v>
      </c>
      <c r="E24" s="846">
        <v>1747000</v>
      </c>
      <c r="F24" s="846">
        <f t="shared" si="1"/>
        <v>1747000</v>
      </c>
      <c r="G24" s="847">
        <f>F24*12</f>
        <v>20964000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" customHeight="1">
      <c r="A25" s="843">
        <v>15</v>
      </c>
      <c r="B25" s="844" t="s">
        <v>3336</v>
      </c>
      <c r="C25" s="845">
        <v>1500</v>
      </c>
      <c r="D25" s="845">
        <f t="shared" si="0"/>
        <v>18000</v>
      </c>
      <c r="E25" s="846">
        <v>264.00799999999998</v>
      </c>
      <c r="F25" s="846">
        <f t="shared" si="1"/>
        <v>396012</v>
      </c>
      <c r="G25" s="847">
        <f>F25*12</f>
        <v>4752144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" customHeight="1">
      <c r="A26" s="843">
        <v>16</v>
      </c>
      <c r="B26" s="844" t="s">
        <v>3337</v>
      </c>
      <c r="C26" s="845">
        <v>200</v>
      </c>
      <c r="D26" s="845">
        <f t="shared" si="0"/>
        <v>2400</v>
      </c>
      <c r="E26" s="846">
        <v>615.87200000000007</v>
      </c>
      <c r="F26" s="846">
        <f t="shared" si="1"/>
        <v>123174.40000000001</v>
      </c>
      <c r="G26" s="847">
        <f>F26*12</f>
        <v>1478092.8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" customHeight="1">
      <c r="A27" s="843">
        <v>17</v>
      </c>
      <c r="B27" s="844" t="s">
        <v>3338</v>
      </c>
      <c r="C27" s="845">
        <v>100</v>
      </c>
      <c r="D27" s="845">
        <f t="shared" si="0"/>
        <v>1200</v>
      </c>
      <c r="E27" s="846">
        <v>643.24800000000005</v>
      </c>
      <c r="F27" s="846">
        <f t="shared" si="1"/>
        <v>64324.800000000003</v>
      </c>
      <c r="G27" s="847">
        <f>F27*12</f>
        <v>771897.60000000009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" customHeight="1">
      <c r="A28" s="843">
        <v>18</v>
      </c>
      <c r="B28" s="844" t="s">
        <v>3339</v>
      </c>
      <c r="C28" s="845">
        <v>250</v>
      </c>
      <c r="D28" s="845">
        <f t="shared" si="0"/>
        <v>3000</v>
      </c>
      <c r="E28" s="846">
        <v>197</v>
      </c>
      <c r="F28" s="846">
        <f t="shared" si="1"/>
        <v>49250</v>
      </c>
      <c r="G28" s="847">
        <f>F28*12</f>
        <v>591000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" customHeight="1">
      <c r="A29" s="843">
        <v>19</v>
      </c>
      <c r="B29" s="844" t="s">
        <v>3340</v>
      </c>
      <c r="C29" s="845">
        <v>10</v>
      </c>
      <c r="D29" s="845">
        <f t="shared" si="0"/>
        <v>120</v>
      </c>
      <c r="E29" s="846">
        <v>3796.2</v>
      </c>
      <c r="F29" s="846">
        <f t="shared" si="1"/>
        <v>37962</v>
      </c>
      <c r="G29" s="847">
        <f>F29*12</f>
        <v>455544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" customHeight="1">
      <c r="A30" s="843">
        <v>20</v>
      </c>
      <c r="B30" s="844" t="s">
        <v>3341</v>
      </c>
      <c r="C30" s="845">
        <v>1000</v>
      </c>
      <c r="D30" s="845">
        <f t="shared" si="0"/>
        <v>12000</v>
      </c>
      <c r="E30" s="846">
        <v>191.80800000000002</v>
      </c>
      <c r="F30" s="846">
        <f t="shared" si="1"/>
        <v>191808.00000000003</v>
      </c>
      <c r="G30" s="847">
        <f>F30*12</f>
        <v>2301696.0000000005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5" customHeight="1">
      <c r="A31" s="843">
        <v>21</v>
      </c>
      <c r="B31" s="844" t="s">
        <v>3342</v>
      </c>
      <c r="C31" s="845">
        <v>500</v>
      </c>
      <c r="D31" s="845">
        <f t="shared" si="0"/>
        <v>6000</v>
      </c>
      <c r="E31" s="846">
        <v>500</v>
      </c>
      <c r="F31" s="846">
        <f t="shared" si="1"/>
        <v>250000</v>
      </c>
      <c r="G31" s="847">
        <f>F31*12</f>
        <v>3000000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5" customHeight="1">
      <c r="A32" s="843">
        <v>22</v>
      </c>
      <c r="B32" s="844" t="s">
        <v>3343</v>
      </c>
      <c r="C32" s="845">
        <v>15</v>
      </c>
      <c r="D32" s="845">
        <f t="shared" si="0"/>
        <v>180</v>
      </c>
      <c r="E32" s="846">
        <v>7770</v>
      </c>
      <c r="F32" s="846">
        <f t="shared" si="1"/>
        <v>116550</v>
      </c>
      <c r="G32" s="847">
        <f>F32*12</f>
        <v>1398600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" customHeight="1">
      <c r="A33" s="843">
        <v>23</v>
      </c>
      <c r="B33" s="844" t="s">
        <v>3344</v>
      </c>
      <c r="C33" s="845">
        <v>1</v>
      </c>
      <c r="D33" s="845">
        <f t="shared" si="0"/>
        <v>12</v>
      </c>
      <c r="E33" s="846">
        <v>30192</v>
      </c>
      <c r="F33" s="846">
        <f t="shared" si="1"/>
        <v>30192</v>
      </c>
      <c r="G33" s="847">
        <f>F33*12</f>
        <v>362304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" customHeight="1">
      <c r="A34" s="843">
        <v>24</v>
      </c>
      <c r="B34" s="844" t="s">
        <v>3345</v>
      </c>
      <c r="C34" s="845">
        <v>80</v>
      </c>
      <c r="D34" s="845">
        <f t="shared" si="0"/>
        <v>960</v>
      </c>
      <c r="E34" s="846">
        <v>1576.2</v>
      </c>
      <c r="F34" s="846">
        <f t="shared" si="1"/>
        <v>126096</v>
      </c>
      <c r="G34" s="847">
        <f>F34*12</f>
        <v>1513152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" customHeight="1">
      <c r="A35" s="843">
        <v>25</v>
      </c>
      <c r="B35" s="844" t="s">
        <v>3346</v>
      </c>
      <c r="C35" s="845">
        <v>1000</v>
      </c>
      <c r="D35" s="845">
        <f t="shared" si="0"/>
        <v>12000</v>
      </c>
      <c r="E35" s="846">
        <v>216.44800000000001</v>
      </c>
      <c r="F35" s="846">
        <f t="shared" si="1"/>
        <v>216448</v>
      </c>
      <c r="G35" s="847">
        <f>F35*12</f>
        <v>2597376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" customHeight="1">
      <c r="A36" s="843">
        <v>26</v>
      </c>
      <c r="B36" s="844" t="s">
        <v>3347</v>
      </c>
      <c r="C36" s="845">
        <v>23000</v>
      </c>
      <c r="D36" s="845">
        <f t="shared" si="0"/>
        <v>276000</v>
      </c>
      <c r="E36" s="846">
        <v>106.56000000000002</v>
      </c>
      <c r="F36" s="846">
        <f t="shared" si="1"/>
        <v>2450880.0000000005</v>
      </c>
      <c r="G36" s="847">
        <f>F36*12</f>
        <v>29410560.000000007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" customHeight="1">
      <c r="A37" s="843">
        <v>27</v>
      </c>
      <c r="B37" s="844" t="s">
        <v>3348</v>
      </c>
      <c r="C37" s="845">
        <v>11000</v>
      </c>
      <c r="D37" s="845">
        <f t="shared" si="0"/>
        <v>132000</v>
      </c>
      <c r="E37" s="846">
        <v>99.903999999999996</v>
      </c>
      <c r="F37" s="846">
        <f t="shared" si="1"/>
        <v>1098944</v>
      </c>
      <c r="G37" s="847">
        <f>F37*12</f>
        <v>13187328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" customHeight="1">
      <c r="A38" s="843">
        <v>28</v>
      </c>
      <c r="B38" s="844" t="s">
        <v>3349</v>
      </c>
      <c r="C38" s="845">
        <v>100</v>
      </c>
      <c r="D38" s="845">
        <f t="shared" si="0"/>
        <v>1200</v>
      </c>
      <c r="E38" s="846">
        <v>3663</v>
      </c>
      <c r="F38" s="846">
        <f t="shared" si="1"/>
        <v>366300</v>
      </c>
      <c r="G38" s="847">
        <f>F38*12</f>
        <v>4395600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" customHeight="1">
      <c r="A39" s="843">
        <v>29</v>
      </c>
      <c r="B39" s="844" t="s">
        <v>3350</v>
      </c>
      <c r="C39" s="845">
        <v>5</v>
      </c>
      <c r="D39" s="845">
        <f t="shared" si="0"/>
        <v>60</v>
      </c>
      <c r="E39" s="846">
        <v>25530</v>
      </c>
      <c r="F39" s="846">
        <f t="shared" si="1"/>
        <v>127650</v>
      </c>
      <c r="G39" s="847">
        <f>F39*12</f>
        <v>1531800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" customHeight="1">
      <c r="A40" s="843">
        <v>30</v>
      </c>
      <c r="B40" s="844" t="s">
        <v>3351</v>
      </c>
      <c r="C40" s="845">
        <v>20</v>
      </c>
      <c r="D40" s="845">
        <f t="shared" si="0"/>
        <v>240</v>
      </c>
      <c r="E40" s="846">
        <v>25530</v>
      </c>
      <c r="F40" s="846">
        <f t="shared" si="1"/>
        <v>510600</v>
      </c>
      <c r="G40" s="847">
        <f>F40*12</f>
        <v>6127200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" customHeight="1">
      <c r="A41" s="843">
        <v>31</v>
      </c>
      <c r="B41" s="844" t="s">
        <v>3352</v>
      </c>
      <c r="C41" s="845">
        <v>4</v>
      </c>
      <c r="D41" s="845">
        <f t="shared" si="0"/>
        <v>48</v>
      </c>
      <c r="E41" s="846">
        <v>25641</v>
      </c>
      <c r="F41" s="846">
        <f t="shared" si="1"/>
        <v>102564</v>
      </c>
      <c r="G41" s="847">
        <f>F41*12</f>
        <v>1230768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5" customHeight="1">
      <c r="A42" s="843">
        <v>32</v>
      </c>
      <c r="B42" s="844" t="s">
        <v>3353</v>
      </c>
      <c r="C42" s="845">
        <v>310</v>
      </c>
      <c r="D42" s="845">
        <f t="shared" si="0"/>
        <v>3720</v>
      </c>
      <c r="E42" s="846">
        <v>503.47999999999996</v>
      </c>
      <c r="F42" s="846">
        <f t="shared" si="1"/>
        <v>156078.79999999999</v>
      </c>
      <c r="G42" s="847">
        <f>F42*12</f>
        <v>1872945.5999999999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5" customHeight="1">
      <c r="A43" s="843">
        <v>33</v>
      </c>
      <c r="B43" s="844" t="s">
        <v>3354</v>
      </c>
      <c r="C43" s="845">
        <v>250</v>
      </c>
      <c r="D43" s="845">
        <f t="shared" si="0"/>
        <v>3000</v>
      </c>
      <c r="E43" s="846">
        <v>23164</v>
      </c>
      <c r="F43" s="846">
        <f t="shared" si="1"/>
        <v>5791000</v>
      </c>
      <c r="G43" s="847">
        <f>F43*12</f>
        <v>69492000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" customHeight="1">
      <c r="A44" s="843">
        <v>34</v>
      </c>
      <c r="B44" s="844" t="s">
        <v>3355</v>
      </c>
      <c r="C44" s="845">
        <v>150</v>
      </c>
      <c r="D44" s="845">
        <f t="shared" si="0"/>
        <v>1800</v>
      </c>
      <c r="E44" s="846">
        <v>8769.8880000000008</v>
      </c>
      <c r="F44" s="846">
        <f t="shared" si="1"/>
        <v>1315483.2000000002</v>
      </c>
      <c r="G44" s="847">
        <f>F44*12</f>
        <v>15785798.400000002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" customHeight="1">
      <c r="A45" s="843">
        <v>35</v>
      </c>
      <c r="B45" s="844" t="s">
        <v>3356</v>
      </c>
      <c r="C45" s="845">
        <v>700</v>
      </c>
      <c r="D45" s="845">
        <f t="shared" si="0"/>
        <v>8400</v>
      </c>
      <c r="E45" s="846">
        <v>1887</v>
      </c>
      <c r="F45" s="846">
        <f t="shared" si="1"/>
        <v>1320900</v>
      </c>
      <c r="G45" s="847">
        <f>F45*12</f>
        <v>15850800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" customHeight="1">
      <c r="A46" s="843">
        <v>36</v>
      </c>
      <c r="B46" s="844" t="s">
        <v>3357</v>
      </c>
      <c r="C46" s="845">
        <v>9500</v>
      </c>
      <c r="D46" s="845">
        <f t="shared" si="0"/>
        <v>114000</v>
      </c>
      <c r="E46" s="846">
        <v>134</v>
      </c>
      <c r="F46" s="846">
        <f t="shared" si="1"/>
        <v>1273000</v>
      </c>
      <c r="G46" s="847">
        <f>F46*12</f>
        <v>15276000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" customHeight="1">
      <c r="A47" s="843">
        <v>37</v>
      </c>
      <c r="B47" s="844" t="s">
        <v>3358</v>
      </c>
      <c r="C47" s="845">
        <v>100</v>
      </c>
      <c r="D47" s="845">
        <f t="shared" si="0"/>
        <v>1200</v>
      </c>
      <c r="E47" s="846">
        <v>209.34399999999999</v>
      </c>
      <c r="F47" s="846">
        <f t="shared" si="1"/>
        <v>20934.399999999998</v>
      </c>
      <c r="G47" s="847">
        <f>F47*12</f>
        <v>251212.79999999999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" customHeight="1">
      <c r="A48" s="843">
        <v>38</v>
      </c>
      <c r="B48" s="844" t="s">
        <v>3359</v>
      </c>
      <c r="C48" s="845">
        <v>50</v>
      </c>
      <c r="D48" s="845">
        <f t="shared" si="0"/>
        <v>600</v>
      </c>
      <c r="E48" s="846">
        <v>4857.0320000000002</v>
      </c>
      <c r="F48" s="846">
        <f t="shared" si="1"/>
        <v>242851.6</v>
      </c>
      <c r="G48" s="847">
        <f>F48*12</f>
        <v>2914219.2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5" customHeight="1">
      <c r="A49" s="843">
        <v>39</v>
      </c>
      <c r="B49" s="844" t="s">
        <v>3360</v>
      </c>
      <c r="C49" s="845">
        <v>2500</v>
      </c>
      <c r="D49" s="845">
        <f t="shared" si="0"/>
        <v>30000</v>
      </c>
      <c r="E49" s="846">
        <v>170.94399999999999</v>
      </c>
      <c r="F49" s="846">
        <f t="shared" si="1"/>
        <v>427360</v>
      </c>
      <c r="G49" s="847">
        <f>F49*12</f>
        <v>5128320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" customHeight="1">
      <c r="A50" s="843">
        <v>40</v>
      </c>
      <c r="B50" s="844" t="s">
        <v>3361</v>
      </c>
      <c r="C50" s="845">
        <v>7</v>
      </c>
      <c r="D50" s="845">
        <f t="shared" si="0"/>
        <v>84</v>
      </c>
      <c r="E50" s="846">
        <v>3249.9680000000003</v>
      </c>
      <c r="F50" s="846">
        <f t="shared" si="1"/>
        <v>22749.776000000002</v>
      </c>
      <c r="G50" s="847">
        <f>F50*12</f>
        <v>272997.31200000003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" customHeight="1">
      <c r="A51" s="843">
        <v>41</v>
      </c>
      <c r="B51" s="844" t="s">
        <v>3362</v>
      </c>
      <c r="C51" s="845">
        <v>30</v>
      </c>
      <c r="D51" s="845">
        <f t="shared" si="0"/>
        <v>360</v>
      </c>
      <c r="E51" s="846">
        <v>105312</v>
      </c>
      <c r="F51" s="846">
        <f t="shared" si="1"/>
        <v>3159360</v>
      </c>
      <c r="G51" s="847">
        <f>F51*12</f>
        <v>37912320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" customHeight="1">
      <c r="A52" s="843">
        <v>42</v>
      </c>
      <c r="B52" s="844" t="s">
        <v>3363</v>
      </c>
      <c r="C52" s="845">
        <v>600</v>
      </c>
      <c r="D52" s="845">
        <f t="shared" si="0"/>
        <v>7200</v>
      </c>
      <c r="E52" s="846">
        <v>4568.7599999999993</v>
      </c>
      <c r="F52" s="846">
        <f t="shared" si="1"/>
        <v>2741255.9999999995</v>
      </c>
      <c r="G52" s="847">
        <f>F52*12</f>
        <v>32895071.999999993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" customHeight="1">
      <c r="A53" s="843">
        <v>43</v>
      </c>
      <c r="B53" s="844" t="s">
        <v>3364</v>
      </c>
      <c r="C53" s="845">
        <v>20</v>
      </c>
      <c r="D53" s="845">
        <f t="shared" si="0"/>
        <v>240</v>
      </c>
      <c r="E53" s="846">
        <v>42457.504000000001</v>
      </c>
      <c r="F53" s="846">
        <f t="shared" si="1"/>
        <v>849150.08000000007</v>
      </c>
      <c r="G53" s="847">
        <f>F53*12</f>
        <v>10189800.960000001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" customHeight="1">
      <c r="A54" s="843">
        <v>44</v>
      </c>
      <c r="B54" s="844" t="s">
        <v>3365</v>
      </c>
      <c r="C54" s="845">
        <v>20</v>
      </c>
      <c r="D54" s="845">
        <f t="shared" si="0"/>
        <v>240</v>
      </c>
      <c r="E54" s="846">
        <v>35853</v>
      </c>
      <c r="F54" s="846">
        <f t="shared" si="1"/>
        <v>717060</v>
      </c>
      <c r="G54" s="847">
        <f>F54*12</f>
        <v>8604720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5" customHeight="1">
      <c r="A55" s="843">
        <v>46</v>
      </c>
      <c r="B55" s="844" t="s">
        <v>3366</v>
      </c>
      <c r="C55" s="845">
        <v>500</v>
      </c>
      <c r="D55" s="845">
        <f t="shared" si="0"/>
        <v>6000</v>
      </c>
      <c r="E55" s="846">
        <v>4162.503999999999</v>
      </c>
      <c r="F55" s="846">
        <f t="shared" si="1"/>
        <v>2081251.9999999995</v>
      </c>
      <c r="G55" s="847">
        <f>F55*12</f>
        <v>24975023.999999993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" customHeight="1">
      <c r="A56" s="843">
        <v>47</v>
      </c>
      <c r="B56" s="844" t="s">
        <v>3367</v>
      </c>
      <c r="C56" s="845">
        <v>150</v>
      </c>
      <c r="D56" s="845">
        <f t="shared" si="0"/>
        <v>1800</v>
      </c>
      <c r="E56" s="846">
        <v>9990</v>
      </c>
      <c r="F56" s="846">
        <f t="shared" si="1"/>
        <v>1498500</v>
      </c>
      <c r="G56" s="847">
        <f>F56*12</f>
        <v>17982000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" customHeight="1">
      <c r="A57" s="843">
        <v>48</v>
      </c>
      <c r="B57" s="844" t="s">
        <v>3368</v>
      </c>
      <c r="C57" s="845">
        <v>10</v>
      </c>
      <c r="D57" s="845">
        <f t="shared" si="0"/>
        <v>120</v>
      </c>
      <c r="E57" s="846">
        <v>27750</v>
      </c>
      <c r="F57" s="846">
        <f t="shared" si="1"/>
        <v>277500</v>
      </c>
      <c r="G57" s="847">
        <f>F57*12</f>
        <v>3330000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" customHeight="1">
      <c r="A58" s="843">
        <v>49</v>
      </c>
      <c r="B58" s="844" t="s">
        <v>3369</v>
      </c>
      <c r="C58" s="845">
        <v>3</v>
      </c>
      <c r="D58" s="845">
        <f t="shared" si="0"/>
        <v>36</v>
      </c>
      <c r="E58" s="846">
        <v>43758</v>
      </c>
      <c r="F58" s="846">
        <f t="shared" si="1"/>
        <v>131274</v>
      </c>
      <c r="G58" s="847">
        <f>F58*12</f>
        <v>1575288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5" customHeight="1">
      <c r="A59" s="843">
        <v>51</v>
      </c>
      <c r="B59" s="844" t="s">
        <v>3370</v>
      </c>
      <c r="C59" s="845">
        <v>1000</v>
      </c>
      <c r="D59" s="845">
        <f t="shared" si="0"/>
        <v>12000</v>
      </c>
      <c r="E59" s="846">
        <v>227.584</v>
      </c>
      <c r="F59" s="846">
        <f t="shared" si="1"/>
        <v>227584</v>
      </c>
      <c r="G59" s="847">
        <f>F59*12</f>
        <v>2731008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" customHeight="1">
      <c r="A60" s="843">
        <v>52</v>
      </c>
      <c r="B60" s="844" t="s">
        <v>3371</v>
      </c>
      <c r="C60" s="845">
        <v>10</v>
      </c>
      <c r="D60" s="845">
        <f t="shared" si="0"/>
        <v>120</v>
      </c>
      <c r="E60" s="846">
        <v>350.00799999999998</v>
      </c>
      <c r="F60" s="846">
        <f t="shared" si="1"/>
        <v>3500.08</v>
      </c>
      <c r="G60" s="847">
        <f>F60*12</f>
        <v>42000.959999999999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" customHeight="1">
      <c r="A61" s="843">
        <v>53</v>
      </c>
      <c r="B61" s="844" t="s">
        <v>3372</v>
      </c>
      <c r="C61" s="845">
        <v>600</v>
      </c>
      <c r="D61" s="845">
        <f t="shared" si="0"/>
        <v>7200</v>
      </c>
      <c r="E61" s="846">
        <v>1464.6479999999999</v>
      </c>
      <c r="F61" s="846">
        <f t="shared" si="1"/>
        <v>878788.79999999993</v>
      </c>
      <c r="G61" s="847">
        <f>F61*12</f>
        <v>10545465.6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" customHeight="1">
      <c r="A62" s="843">
        <v>54</v>
      </c>
      <c r="B62" s="844" t="s">
        <v>3373</v>
      </c>
      <c r="C62" s="845">
        <v>300</v>
      </c>
      <c r="D62" s="845">
        <f t="shared" si="0"/>
        <v>3600</v>
      </c>
      <c r="E62" s="846">
        <v>6993</v>
      </c>
      <c r="F62" s="846">
        <f t="shared" si="1"/>
        <v>2097900</v>
      </c>
      <c r="G62" s="847">
        <f>F62*12</f>
        <v>25174800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5" customHeight="1">
      <c r="A63" s="843">
        <v>55</v>
      </c>
      <c r="B63" s="844" t="s">
        <v>3374</v>
      </c>
      <c r="C63" s="845">
        <v>1200</v>
      </c>
      <c r="D63" s="845">
        <f t="shared" si="0"/>
        <v>14400</v>
      </c>
      <c r="E63" s="846">
        <v>1850</v>
      </c>
      <c r="F63" s="846">
        <f t="shared" si="1"/>
        <v>2220000</v>
      </c>
      <c r="G63" s="847">
        <f>F63*12</f>
        <v>26640000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" customHeight="1">
      <c r="A64" s="843">
        <v>56</v>
      </c>
      <c r="B64" s="844" t="s">
        <v>3375</v>
      </c>
      <c r="C64" s="845">
        <v>2000</v>
      </c>
      <c r="D64" s="845">
        <f t="shared" si="0"/>
        <v>24000</v>
      </c>
      <c r="E64" s="846">
        <v>1800</v>
      </c>
      <c r="F64" s="846">
        <f t="shared" si="1"/>
        <v>3600000</v>
      </c>
      <c r="G64" s="847">
        <f>F64*12</f>
        <v>43200000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" customHeight="1">
      <c r="A65" s="843">
        <v>57</v>
      </c>
      <c r="B65" s="844" t="s">
        <v>3376</v>
      </c>
      <c r="C65" s="845">
        <v>50</v>
      </c>
      <c r="D65" s="845">
        <f t="shared" si="0"/>
        <v>600</v>
      </c>
      <c r="E65" s="846">
        <v>16650</v>
      </c>
      <c r="F65" s="846">
        <f t="shared" si="1"/>
        <v>832500</v>
      </c>
      <c r="G65" s="847">
        <f>F65*12</f>
        <v>9990000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5" customHeight="1">
      <c r="A66" s="843">
        <v>59</v>
      </c>
      <c r="B66" s="844" t="s">
        <v>3377</v>
      </c>
      <c r="C66" s="845">
        <v>1000</v>
      </c>
      <c r="D66" s="845">
        <f t="shared" si="0"/>
        <v>12000</v>
      </c>
      <c r="E66" s="846">
        <v>10205.344000000001</v>
      </c>
      <c r="F66" s="846">
        <f t="shared" si="1"/>
        <v>10205344.000000002</v>
      </c>
      <c r="G66" s="847">
        <f>F66*12</f>
        <v>122464128.00000003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" customHeight="1">
      <c r="A67" s="843">
        <v>60</v>
      </c>
      <c r="B67" s="844" t="s">
        <v>3378</v>
      </c>
      <c r="C67" s="845">
        <v>15000</v>
      </c>
      <c r="D67" s="845">
        <f t="shared" si="0"/>
        <v>180000</v>
      </c>
      <c r="E67" s="846">
        <v>632.70399999999995</v>
      </c>
      <c r="F67" s="846">
        <f t="shared" si="1"/>
        <v>9490560</v>
      </c>
      <c r="G67" s="847">
        <f>F67*12</f>
        <v>113886720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5" customHeight="1">
      <c r="A68" s="843">
        <v>61</v>
      </c>
      <c r="B68" s="844" t="s">
        <v>3379</v>
      </c>
      <c r="C68" s="845">
        <v>1000</v>
      </c>
      <c r="D68" s="845">
        <f t="shared" si="0"/>
        <v>12000</v>
      </c>
      <c r="E68" s="846">
        <v>1948.0479999999998</v>
      </c>
      <c r="F68" s="846">
        <f t="shared" si="1"/>
        <v>1948047.9999999998</v>
      </c>
      <c r="G68" s="847">
        <f>F68*12</f>
        <v>23376575.999999996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" customHeight="1">
      <c r="A69" s="843">
        <v>62</v>
      </c>
      <c r="B69" s="844" t="s">
        <v>3380</v>
      </c>
      <c r="C69" s="845">
        <v>4</v>
      </c>
      <c r="D69" s="845">
        <f t="shared" si="0"/>
        <v>48</v>
      </c>
      <c r="E69" s="846">
        <v>19980</v>
      </c>
      <c r="F69" s="846">
        <f t="shared" si="1"/>
        <v>79920</v>
      </c>
      <c r="G69" s="847">
        <f>F69*12</f>
        <v>959040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" customHeight="1">
      <c r="A70" s="843">
        <v>63</v>
      </c>
      <c r="B70" s="844" t="s">
        <v>3381</v>
      </c>
      <c r="C70" s="845">
        <v>10</v>
      </c>
      <c r="D70" s="845">
        <f t="shared" si="0"/>
        <v>120</v>
      </c>
      <c r="E70" s="846">
        <v>3778.0240000000003</v>
      </c>
      <c r="F70" s="846">
        <f t="shared" si="1"/>
        <v>37780.240000000005</v>
      </c>
      <c r="G70" s="847">
        <f>F70*12</f>
        <v>453362.88000000006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5" customHeight="1">
      <c r="A71" s="843">
        <v>64</v>
      </c>
      <c r="B71" s="844" t="s">
        <v>3382</v>
      </c>
      <c r="C71" s="845">
        <v>100</v>
      </c>
      <c r="D71" s="845">
        <f t="shared" si="0"/>
        <v>1200</v>
      </c>
      <c r="E71" s="846">
        <v>3064.9920000000002</v>
      </c>
      <c r="F71" s="846">
        <f t="shared" si="1"/>
        <v>306499.20000000001</v>
      </c>
      <c r="G71" s="847">
        <f>F71*12</f>
        <v>3677990.4000000004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" customHeight="1">
      <c r="A72" s="843">
        <v>65</v>
      </c>
      <c r="B72" s="844" t="s">
        <v>3383</v>
      </c>
      <c r="C72" s="845">
        <v>100</v>
      </c>
      <c r="D72" s="845">
        <f t="shared" si="0"/>
        <v>1200</v>
      </c>
      <c r="E72" s="846">
        <v>2202.8000000000002</v>
      </c>
      <c r="F72" s="846">
        <f t="shared" si="1"/>
        <v>220280.00000000003</v>
      </c>
      <c r="G72" s="847">
        <f>F72*12</f>
        <v>2643360.0000000005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5" customHeight="1">
      <c r="A73" s="843">
        <v>66</v>
      </c>
      <c r="B73" s="844" t="s">
        <v>3384</v>
      </c>
      <c r="C73" s="845">
        <v>100</v>
      </c>
      <c r="D73" s="845">
        <f t="shared" si="0"/>
        <v>1200</v>
      </c>
      <c r="E73" s="846">
        <v>1831.5040000000001</v>
      </c>
      <c r="F73" s="846">
        <f t="shared" si="1"/>
        <v>183150.40000000002</v>
      </c>
      <c r="G73" s="847">
        <f>F73*12</f>
        <v>2197804.8000000003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" customHeight="1">
      <c r="A74" s="843">
        <v>67</v>
      </c>
      <c r="B74" s="844" t="s">
        <v>3385</v>
      </c>
      <c r="C74" s="845">
        <v>100</v>
      </c>
      <c r="D74" s="845">
        <f t="shared" si="0"/>
        <v>1200</v>
      </c>
      <c r="E74" s="846">
        <v>2442</v>
      </c>
      <c r="F74" s="846">
        <f t="shared" si="1"/>
        <v>244200</v>
      </c>
      <c r="G74" s="847">
        <f>F74*12</f>
        <v>2930400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" customHeight="1">
      <c r="A75" s="843">
        <v>68</v>
      </c>
      <c r="B75" s="844" t="s">
        <v>3386</v>
      </c>
      <c r="C75" s="845">
        <v>1</v>
      </c>
      <c r="D75" s="845">
        <f t="shared" si="0"/>
        <v>12</v>
      </c>
      <c r="E75" s="846">
        <v>65906.247999999992</v>
      </c>
      <c r="F75" s="846">
        <f t="shared" si="1"/>
        <v>65906.247999999992</v>
      </c>
      <c r="G75" s="847">
        <f>F75*12</f>
        <v>790874.97599999991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5" customHeight="1">
      <c r="A76" s="843">
        <v>69</v>
      </c>
      <c r="B76" s="844" t="s">
        <v>3387</v>
      </c>
      <c r="C76" s="845">
        <v>21</v>
      </c>
      <c r="D76" s="845">
        <f t="shared" si="0"/>
        <v>252</v>
      </c>
      <c r="E76" s="846">
        <v>65906.248000000007</v>
      </c>
      <c r="F76" s="846">
        <f t="shared" si="1"/>
        <v>1384031.2080000001</v>
      </c>
      <c r="G76" s="847">
        <f>F76*12</f>
        <v>16608374.496000001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" customHeight="1">
      <c r="A77" s="843">
        <v>70</v>
      </c>
      <c r="B77" s="844" t="s">
        <v>3388</v>
      </c>
      <c r="C77" s="845">
        <v>8</v>
      </c>
      <c r="D77" s="845">
        <f t="shared" si="0"/>
        <v>96</v>
      </c>
      <c r="E77" s="846">
        <v>46828.128000000004</v>
      </c>
      <c r="F77" s="846">
        <f t="shared" si="1"/>
        <v>374625.02400000003</v>
      </c>
      <c r="G77" s="847">
        <f>F77*12</f>
        <v>4495500.2880000006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5" customHeight="1">
      <c r="A78" s="843">
        <v>71</v>
      </c>
      <c r="B78" s="844" t="s">
        <v>3389</v>
      </c>
      <c r="C78" s="845">
        <v>5</v>
      </c>
      <c r="D78" s="845">
        <f t="shared" si="0"/>
        <v>60</v>
      </c>
      <c r="E78" s="846">
        <v>46828</v>
      </c>
      <c r="F78" s="846">
        <f t="shared" si="1"/>
        <v>234140</v>
      </c>
      <c r="G78" s="847">
        <f>F78*12</f>
        <v>2809680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" customHeight="1">
      <c r="A79" s="843">
        <v>72</v>
      </c>
      <c r="B79" s="844" t="s">
        <v>3390</v>
      </c>
      <c r="C79" s="845">
        <v>1</v>
      </c>
      <c r="D79" s="845">
        <f t="shared" si="0"/>
        <v>12</v>
      </c>
      <c r="E79" s="846">
        <v>80475</v>
      </c>
      <c r="F79" s="846">
        <f t="shared" si="1"/>
        <v>80475</v>
      </c>
      <c r="G79" s="847">
        <f>F79*12</f>
        <v>965700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" customHeight="1">
      <c r="A80" s="843">
        <v>73</v>
      </c>
      <c r="B80" s="844" t="s">
        <v>3391</v>
      </c>
      <c r="C80" s="845">
        <v>15</v>
      </c>
      <c r="D80" s="845">
        <f t="shared" si="0"/>
        <v>180</v>
      </c>
      <c r="E80" s="846">
        <v>55500</v>
      </c>
      <c r="F80" s="846">
        <f t="shared" si="1"/>
        <v>832500</v>
      </c>
      <c r="G80" s="847">
        <f>F80*12</f>
        <v>9990000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5" customHeight="1">
      <c r="A81" s="843">
        <v>74</v>
      </c>
      <c r="B81" s="844" t="s">
        <v>3392</v>
      </c>
      <c r="C81" s="845">
        <v>10</v>
      </c>
      <c r="D81" s="845">
        <f t="shared" si="0"/>
        <v>120</v>
      </c>
      <c r="E81" s="846">
        <v>55500</v>
      </c>
      <c r="F81" s="846">
        <f t="shared" si="1"/>
        <v>555000</v>
      </c>
      <c r="G81" s="847">
        <f>F81*12</f>
        <v>6660000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5" customHeight="1">
      <c r="A82" s="843">
        <v>75</v>
      </c>
      <c r="B82" s="844" t="s">
        <v>3393</v>
      </c>
      <c r="C82" s="845">
        <v>37</v>
      </c>
      <c r="D82" s="845">
        <f t="shared" si="0"/>
        <v>444</v>
      </c>
      <c r="E82" s="846">
        <v>64172</v>
      </c>
      <c r="F82" s="846">
        <f t="shared" si="1"/>
        <v>2374364</v>
      </c>
      <c r="G82" s="847">
        <f>F82*12</f>
        <v>28492368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5" customHeight="1">
      <c r="A83" s="843">
        <v>76</v>
      </c>
      <c r="B83" s="844" t="s">
        <v>3394</v>
      </c>
      <c r="C83" s="845">
        <v>6</v>
      </c>
      <c r="D83" s="845">
        <f t="shared" si="0"/>
        <v>72</v>
      </c>
      <c r="E83" s="846">
        <v>45093.752</v>
      </c>
      <c r="F83" s="846">
        <f t="shared" si="1"/>
        <v>270562.51199999999</v>
      </c>
      <c r="G83" s="847">
        <f>F83*12</f>
        <v>3246750.1439999999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5" customHeight="1">
      <c r="A84" s="843">
        <v>77</v>
      </c>
      <c r="B84" s="844" t="s">
        <v>3395</v>
      </c>
      <c r="C84" s="845">
        <v>19</v>
      </c>
      <c r="D84" s="845">
        <f t="shared" si="0"/>
        <v>228</v>
      </c>
      <c r="E84" s="846">
        <v>66000</v>
      </c>
      <c r="F84" s="846">
        <f t="shared" si="1"/>
        <v>1254000</v>
      </c>
      <c r="G84" s="847">
        <f>F84*12</f>
        <v>15048000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5" customHeight="1">
      <c r="A85" s="843">
        <v>78</v>
      </c>
      <c r="B85" s="844" t="s">
        <v>3396</v>
      </c>
      <c r="C85" s="845">
        <v>21</v>
      </c>
      <c r="D85" s="845">
        <f t="shared" si="0"/>
        <v>252</v>
      </c>
      <c r="E85" s="846">
        <v>29484.384000000002</v>
      </c>
      <c r="F85" s="846">
        <f t="shared" si="1"/>
        <v>619172.06400000001</v>
      </c>
      <c r="G85" s="847">
        <f>F85*12</f>
        <v>7430064.7680000002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5" customHeight="1">
      <c r="A86" s="843">
        <v>79</v>
      </c>
      <c r="B86" s="844" t="s">
        <v>3397</v>
      </c>
      <c r="C86" s="845">
        <v>3</v>
      </c>
      <c r="D86" s="845">
        <f t="shared" si="0"/>
        <v>36</v>
      </c>
      <c r="E86" s="846">
        <v>46828.128000000004</v>
      </c>
      <c r="F86" s="846">
        <f t="shared" si="1"/>
        <v>140484.38400000002</v>
      </c>
      <c r="G86" s="847">
        <f>F86*12</f>
        <v>1685812.6080000002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5" customHeight="1">
      <c r="A87" s="843">
        <v>80</v>
      </c>
      <c r="B87" s="844" t="s">
        <v>3398</v>
      </c>
      <c r="C87" s="845">
        <v>9</v>
      </c>
      <c r="D87" s="845">
        <f t="shared" si="0"/>
        <v>108</v>
      </c>
      <c r="E87" s="846">
        <v>69375</v>
      </c>
      <c r="F87" s="846">
        <f t="shared" si="1"/>
        <v>624375</v>
      </c>
      <c r="G87" s="847">
        <f>F87*12</f>
        <v>7492500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5" customHeight="1">
      <c r="A88" s="843">
        <v>81</v>
      </c>
      <c r="B88" s="844" t="s">
        <v>3399</v>
      </c>
      <c r="C88" s="845">
        <v>1</v>
      </c>
      <c r="D88" s="845">
        <f t="shared" si="0"/>
        <v>12</v>
      </c>
      <c r="E88" s="846">
        <v>48562.504000000001</v>
      </c>
      <c r="F88" s="846">
        <f t="shared" si="1"/>
        <v>48562.504000000001</v>
      </c>
      <c r="G88" s="847">
        <f>F88*12</f>
        <v>582750.04799999995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5" customHeight="1">
      <c r="A89" s="843">
        <v>82</v>
      </c>
      <c r="B89" s="844" t="s">
        <v>3400</v>
      </c>
      <c r="C89" s="845">
        <v>20</v>
      </c>
      <c r="D89" s="845">
        <f t="shared" si="0"/>
        <v>240</v>
      </c>
      <c r="E89" s="846">
        <v>63131.248</v>
      </c>
      <c r="F89" s="846">
        <f t="shared" si="1"/>
        <v>1262624.96</v>
      </c>
      <c r="G89" s="847">
        <f>F89*12</f>
        <v>15151499.52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5" customHeight="1">
      <c r="A90" s="843">
        <v>83</v>
      </c>
      <c r="B90" s="844" t="s">
        <v>3401</v>
      </c>
      <c r="C90" s="845">
        <v>44</v>
      </c>
      <c r="D90" s="845">
        <f t="shared" si="0"/>
        <v>528</v>
      </c>
      <c r="E90" s="846">
        <v>69375</v>
      </c>
      <c r="F90" s="846">
        <f t="shared" si="1"/>
        <v>3052500</v>
      </c>
      <c r="G90" s="847">
        <f>F90*12</f>
        <v>36630000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5" customHeight="1">
      <c r="A91" s="843">
        <v>84</v>
      </c>
      <c r="B91" s="844" t="s">
        <v>3402</v>
      </c>
      <c r="C91" s="845">
        <v>3</v>
      </c>
      <c r="D91" s="845">
        <f t="shared" si="0"/>
        <v>36</v>
      </c>
      <c r="E91" s="846">
        <v>74925</v>
      </c>
      <c r="F91" s="846">
        <f t="shared" si="1"/>
        <v>224775</v>
      </c>
      <c r="G91" s="847">
        <f>F91*12</f>
        <v>2697300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5" customHeight="1">
      <c r="A92" s="843">
        <v>85</v>
      </c>
      <c r="B92" s="844" t="s">
        <v>3403</v>
      </c>
      <c r="C92" s="845">
        <v>1</v>
      </c>
      <c r="D92" s="845">
        <f t="shared" si="0"/>
        <v>12</v>
      </c>
      <c r="E92" s="846">
        <v>55500</v>
      </c>
      <c r="F92" s="846">
        <f t="shared" si="1"/>
        <v>55500</v>
      </c>
      <c r="G92" s="847">
        <f>F92*12</f>
        <v>666000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5" customHeight="1">
      <c r="A93" s="843">
        <v>86</v>
      </c>
      <c r="B93" s="844" t="s">
        <v>3404</v>
      </c>
      <c r="C93" s="845">
        <v>2</v>
      </c>
      <c r="D93" s="845">
        <f t="shared" si="0"/>
        <v>24</v>
      </c>
      <c r="E93" s="846">
        <v>88800</v>
      </c>
      <c r="F93" s="846">
        <f t="shared" si="1"/>
        <v>177600</v>
      </c>
      <c r="G93" s="847">
        <f>F93*12</f>
        <v>2131200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5" customHeight="1">
      <c r="A94" s="843">
        <v>87</v>
      </c>
      <c r="B94" s="844" t="s">
        <v>3405</v>
      </c>
      <c r="C94" s="845">
        <v>12</v>
      </c>
      <c r="D94" s="845">
        <f t="shared" si="0"/>
        <v>144</v>
      </c>
      <c r="E94" s="846">
        <v>29484.368000000002</v>
      </c>
      <c r="F94" s="846">
        <f t="shared" si="1"/>
        <v>353812.41600000003</v>
      </c>
      <c r="G94" s="847">
        <f>F94*12</f>
        <v>4245748.9920000006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5" customHeight="1">
      <c r="A95" s="843">
        <v>88</v>
      </c>
      <c r="B95" s="844" t="s">
        <v>3406</v>
      </c>
      <c r="C95" s="845">
        <v>55</v>
      </c>
      <c r="D95" s="845">
        <f t="shared" si="0"/>
        <v>660</v>
      </c>
      <c r="E95" s="846">
        <v>53765.632000000005</v>
      </c>
      <c r="F95" s="846">
        <f t="shared" si="1"/>
        <v>2957109.7600000002</v>
      </c>
      <c r="G95" s="847">
        <f>F95*12</f>
        <v>35485317.120000005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5" customHeight="1">
      <c r="A96" s="843">
        <v>89</v>
      </c>
      <c r="B96" s="844" t="s">
        <v>3407</v>
      </c>
      <c r="C96" s="845">
        <v>3</v>
      </c>
      <c r="D96" s="845">
        <f t="shared" si="0"/>
        <v>36</v>
      </c>
      <c r="E96" s="846">
        <v>60750</v>
      </c>
      <c r="F96" s="846">
        <f t="shared" si="1"/>
        <v>182250</v>
      </c>
      <c r="G96" s="847">
        <f>F96*12</f>
        <v>2187000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5" customHeight="1">
      <c r="A97" s="843">
        <v>90</v>
      </c>
      <c r="B97" s="844" t="s">
        <v>3408</v>
      </c>
      <c r="C97" s="845">
        <v>14</v>
      </c>
      <c r="D97" s="845">
        <f t="shared" si="0"/>
        <v>168</v>
      </c>
      <c r="E97" s="846">
        <v>50296.880000000005</v>
      </c>
      <c r="F97" s="846">
        <f t="shared" si="1"/>
        <v>704156.32000000007</v>
      </c>
      <c r="G97" s="847">
        <f>F97*12</f>
        <v>8449875.8399999999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5" customHeight="1">
      <c r="A98" s="843">
        <v>91</v>
      </c>
      <c r="B98" s="844" t="s">
        <v>3409</v>
      </c>
      <c r="C98" s="845">
        <v>1</v>
      </c>
      <c r="D98" s="845">
        <f t="shared" si="0"/>
        <v>12</v>
      </c>
      <c r="E98" s="846">
        <v>97125</v>
      </c>
      <c r="F98" s="846">
        <f t="shared" si="1"/>
        <v>97125</v>
      </c>
      <c r="G98" s="847">
        <f>F98*12</f>
        <v>1165500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5" customHeight="1">
      <c r="A99" s="843">
        <v>92</v>
      </c>
      <c r="B99" s="844" t="s">
        <v>3410</v>
      </c>
      <c r="C99" s="845">
        <v>4</v>
      </c>
      <c r="D99" s="845">
        <f t="shared" si="0"/>
        <v>48</v>
      </c>
      <c r="E99" s="846">
        <v>138750</v>
      </c>
      <c r="F99" s="846">
        <f t="shared" si="1"/>
        <v>555000</v>
      </c>
      <c r="G99" s="847">
        <f>F99*12</f>
        <v>6660000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5" customHeight="1">
      <c r="A100" s="843">
        <v>94</v>
      </c>
      <c r="B100" s="844" t="s">
        <v>3411</v>
      </c>
      <c r="C100" s="845">
        <v>5</v>
      </c>
      <c r="D100" s="845">
        <f t="shared" si="0"/>
        <v>60</v>
      </c>
      <c r="E100" s="846">
        <v>34965</v>
      </c>
      <c r="F100" s="846">
        <f t="shared" si="1"/>
        <v>174825</v>
      </c>
      <c r="G100" s="847">
        <f>F100*12</f>
        <v>2097900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5" customHeight="1">
      <c r="A101" s="843">
        <v>95</v>
      </c>
      <c r="B101" s="844" t="s">
        <v>3412</v>
      </c>
      <c r="C101" s="845">
        <v>8</v>
      </c>
      <c r="D101" s="845">
        <f t="shared" si="0"/>
        <v>96</v>
      </c>
      <c r="E101" s="846">
        <v>23199</v>
      </c>
      <c r="F101" s="846">
        <f t="shared" si="1"/>
        <v>185592</v>
      </c>
      <c r="G101" s="847">
        <f>F101*12</f>
        <v>2227104</v>
      </c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5" customHeight="1">
      <c r="A102" s="843">
        <v>96</v>
      </c>
      <c r="B102" s="844" t="s">
        <v>3413</v>
      </c>
      <c r="C102" s="845">
        <v>100</v>
      </c>
      <c r="D102" s="845">
        <f t="shared" si="0"/>
        <v>1200</v>
      </c>
      <c r="E102" s="846">
        <v>4495.5039999999999</v>
      </c>
      <c r="F102" s="846">
        <f t="shared" si="1"/>
        <v>449550.39999999997</v>
      </c>
      <c r="G102" s="847">
        <f>F102*12</f>
        <v>5394604.7999999998</v>
      </c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5" customHeight="1">
      <c r="A103" s="843">
        <v>97</v>
      </c>
      <c r="B103" s="844" t="s">
        <v>3414</v>
      </c>
      <c r="C103" s="845">
        <v>2500</v>
      </c>
      <c r="D103" s="845">
        <f t="shared" si="0"/>
        <v>30000</v>
      </c>
      <c r="E103" s="846">
        <v>444</v>
      </c>
      <c r="F103" s="846">
        <f t="shared" si="1"/>
        <v>1110000</v>
      </c>
      <c r="G103" s="847">
        <f>F103*12</f>
        <v>13320000</v>
      </c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5" customHeight="1">
      <c r="A104" s="843">
        <v>98</v>
      </c>
      <c r="B104" s="844" t="s">
        <v>3415</v>
      </c>
      <c r="C104" s="845">
        <v>1</v>
      </c>
      <c r="D104" s="845">
        <f t="shared" si="0"/>
        <v>12</v>
      </c>
      <c r="E104" s="846">
        <v>3885</v>
      </c>
      <c r="F104" s="846">
        <f t="shared" si="1"/>
        <v>3885</v>
      </c>
      <c r="G104" s="847">
        <f>F104*12</f>
        <v>46620</v>
      </c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5" customHeight="1">
      <c r="A105" s="843">
        <v>99</v>
      </c>
      <c r="B105" s="844" t="s">
        <v>3416</v>
      </c>
      <c r="C105" s="845">
        <v>20</v>
      </c>
      <c r="D105" s="845">
        <f t="shared" si="0"/>
        <v>240</v>
      </c>
      <c r="E105" s="846">
        <v>15659.328</v>
      </c>
      <c r="F105" s="846">
        <f t="shared" si="1"/>
        <v>313186.56</v>
      </c>
      <c r="G105" s="847">
        <f>F105*12</f>
        <v>3758238.7199999997</v>
      </c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5" customHeight="1">
      <c r="A106" s="843">
        <v>100</v>
      </c>
      <c r="B106" s="844" t="s">
        <v>3417</v>
      </c>
      <c r="C106" s="845">
        <v>15</v>
      </c>
      <c r="D106" s="845">
        <f t="shared" si="0"/>
        <v>180</v>
      </c>
      <c r="E106" s="846">
        <v>18694</v>
      </c>
      <c r="F106" s="846">
        <f t="shared" si="1"/>
        <v>280410</v>
      </c>
      <c r="G106" s="847">
        <f>F106*12</f>
        <v>3364920</v>
      </c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5" customHeight="1">
      <c r="A107" s="843">
        <v>101</v>
      </c>
      <c r="B107" s="844" t="s">
        <v>3418</v>
      </c>
      <c r="C107" s="845">
        <v>40</v>
      </c>
      <c r="D107" s="845">
        <f t="shared" si="0"/>
        <v>480</v>
      </c>
      <c r="E107" s="846">
        <v>97899.784</v>
      </c>
      <c r="F107" s="846">
        <f t="shared" si="1"/>
        <v>3915991.36</v>
      </c>
      <c r="G107" s="847">
        <f>F107*12</f>
        <v>46991896.32</v>
      </c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5" customHeight="1">
      <c r="A108" s="843">
        <v>102</v>
      </c>
      <c r="B108" s="844" t="s">
        <v>3419</v>
      </c>
      <c r="C108" s="845">
        <v>20</v>
      </c>
      <c r="D108" s="845">
        <f t="shared" si="0"/>
        <v>240</v>
      </c>
      <c r="E108" s="846">
        <v>28860</v>
      </c>
      <c r="F108" s="846">
        <f t="shared" si="1"/>
        <v>577200</v>
      </c>
      <c r="G108" s="847">
        <f>F108*12</f>
        <v>6926400</v>
      </c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5" customHeight="1">
      <c r="A109" s="843">
        <v>103</v>
      </c>
      <c r="B109" s="844" t="s">
        <v>3420</v>
      </c>
      <c r="C109" s="845">
        <v>25</v>
      </c>
      <c r="D109" s="845">
        <f t="shared" si="0"/>
        <v>300</v>
      </c>
      <c r="E109" s="846">
        <v>34965</v>
      </c>
      <c r="F109" s="846">
        <f t="shared" si="1"/>
        <v>874125</v>
      </c>
      <c r="G109" s="847">
        <f>F109*12</f>
        <v>10489500</v>
      </c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5" customHeight="1">
      <c r="A110" s="843">
        <v>104</v>
      </c>
      <c r="B110" s="844" t="s">
        <v>3421</v>
      </c>
      <c r="C110" s="845">
        <v>25</v>
      </c>
      <c r="D110" s="845">
        <f t="shared" si="0"/>
        <v>300</v>
      </c>
      <c r="E110" s="846">
        <v>41958</v>
      </c>
      <c r="F110" s="846">
        <f t="shared" si="1"/>
        <v>1048950</v>
      </c>
      <c r="G110" s="847">
        <f>F110*12</f>
        <v>12587400</v>
      </c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5" customHeight="1">
      <c r="A111" s="843">
        <v>105</v>
      </c>
      <c r="B111" s="844" t="s">
        <v>3422</v>
      </c>
      <c r="C111" s="845">
        <v>5</v>
      </c>
      <c r="D111" s="845">
        <f t="shared" si="0"/>
        <v>60</v>
      </c>
      <c r="E111" s="846">
        <v>97125</v>
      </c>
      <c r="F111" s="846">
        <f t="shared" si="1"/>
        <v>485625</v>
      </c>
      <c r="G111" s="847">
        <f>F111*12</f>
        <v>5827500</v>
      </c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5" customHeight="1">
      <c r="A112" s="843">
        <v>106</v>
      </c>
      <c r="B112" s="844" t="s">
        <v>3423</v>
      </c>
      <c r="C112" s="845">
        <v>100</v>
      </c>
      <c r="D112" s="845">
        <f t="shared" si="0"/>
        <v>1200</v>
      </c>
      <c r="E112" s="846">
        <v>339.66399999999999</v>
      </c>
      <c r="F112" s="846">
        <f t="shared" si="1"/>
        <v>33966.400000000001</v>
      </c>
      <c r="G112" s="847">
        <f>F112*12</f>
        <v>407596.80000000005</v>
      </c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5" customHeight="1">
      <c r="A113" s="843">
        <v>107</v>
      </c>
      <c r="B113" s="844" t="s">
        <v>3424</v>
      </c>
      <c r="C113" s="845">
        <v>11000</v>
      </c>
      <c r="D113" s="845">
        <f t="shared" si="0"/>
        <v>132000</v>
      </c>
      <c r="E113" s="846">
        <v>513</v>
      </c>
      <c r="F113" s="846">
        <f t="shared" si="1"/>
        <v>5643000</v>
      </c>
      <c r="G113" s="847">
        <f>F113*12</f>
        <v>67716000</v>
      </c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5" customHeight="1">
      <c r="A114" s="843">
        <v>108</v>
      </c>
      <c r="B114" s="844" t="s">
        <v>3425</v>
      </c>
      <c r="C114" s="845">
        <v>12000</v>
      </c>
      <c r="D114" s="845">
        <f t="shared" si="0"/>
        <v>144000</v>
      </c>
      <c r="E114" s="846">
        <v>313</v>
      </c>
      <c r="F114" s="846">
        <f t="shared" si="1"/>
        <v>3756000</v>
      </c>
      <c r="G114" s="847">
        <f>F114*12</f>
        <v>45072000</v>
      </c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5" customHeight="1">
      <c r="A115" s="843">
        <v>109</v>
      </c>
      <c r="B115" s="844" t="s">
        <v>3426</v>
      </c>
      <c r="C115" s="845">
        <v>10</v>
      </c>
      <c r="D115" s="845">
        <f t="shared" si="0"/>
        <v>120</v>
      </c>
      <c r="E115" s="846">
        <v>71040</v>
      </c>
      <c r="F115" s="846">
        <f t="shared" si="1"/>
        <v>710400</v>
      </c>
      <c r="G115" s="847">
        <f>F115*12</f>
        <v>8524800</v>
      </c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5" customHeight="1">
      <c r="A116" s="843">
        <v>110</v>
      </c>
      <c r="B116" s="844" t="s">
        <v>3427</v>
      </c>
      <c r="C116" s="845">
        <v>60</v>
      </c>
      <c r="D116" s="845">
        <f t="shared" si="0"/>
        <v>720</v>
      </c>
      <c r="E116" s="846">
        <v>44400</v>
      </c>
      <c r="F116" s="846">
        <f t="shared" si="1"/>
        <v>2664000</v>
      </c>
      <c r="G116" s="847">
        <f>F116*12</f>
        <v>31968000</v>
      </c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5" customHeight="1">
      <c r="A117" s="843">
        <v>111</v>
      </c>
      <c r="B117" s="844" t="s">
        <v>3428</v>
      </c>
      <c r="C117" s="845">
        <v>900</v>
      </c>
      <c r="D117" s="845">
        <f t="shared" si="0"/>
        <v>10800</v>
      </c>
      <c r="E117" s="846">
        <v>1387.5040000000001</v>
      </c>
      <c r="F117" s="846">
        <f t="shared" si="1"/>
        <v>1248753.6000000001</v>
      </c>
      <c r="G117" s="847">
        <f>F117*12</f>
        <v>14985043.200000001</v>
      </c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5" customHeight="1">
      <c r="A118" s="843">
        <v>112</v>
      </c>
      <c r="B118" s="844" t="s">
        <v>3429</v>
      </c>
      <c r="C118" s="845">
        <v>200</v>
      </c>
      <c r="D118" s="845">
        <f t="shared" si="0"/>
        <v>2400</v>
      </c>
      <c r="E118" s="846">
        <v>11905</v>
      </c>
      <c r="F118" s="846">
        <f t="shared" si="1"/>
        <v>2381000</v>
      </c>
      <c r="G118" s="847">
        <f>F118*12</f>
        <v>28572000</v>
      </c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5" customHeight="1">
      <c r="A119" s="843">
        <v>113</v>
      </c>
      <c r="B119" s="844" t="s">
        <v>3430</v>
      </c>
      <c r="C119" s="845">
        <v>250</v>
      </c>
      <c r="D119" s="845">
        <f t="shared" si="0"/>
        <v>3000</v>
      </c>
      <c r="E119" s="846">
        <v>15664</v>
      </c>
      <c r="F119" s="846">
        <f t="shared" si="1"/>
        <v>3916000</v>
      </c>
      <c r="G119" s="847">
        <f>F119*12</f>
        <v>46992000</v>
      </c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5" customHeight="1">
      <c r="A120" s="843">
        <v>114</v>
      </c>
      <c r="B120" s="844" t="s">
        <v>3431</v>
      </c>
      <c r="C120" s="845">
        <v>10</v>
      </c>
      <c r="D120" s="845">
        <f t="shared" si="0"/>
        <v>120</v>
      </c>
      <c r="E120" s="846">
        <v>22172.247999999996</v>
      </c>
      <c r="F120" s="846">
        <f t="shared" si="1"/>
        <v>221722.47999999995</v>
      </c>
      <c r="G120" s="847">
        <f>F120*12</f>
        <v>2660669.7599999993</v>
      </c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5" customHeight="1">
      <c r="A121" s="843">
        <v>115</v>
      </c>
      <c r="B121" s="844" t="s">
        <v>3432</v>
      </c>
      <c r="C121" s="845">
        <v>100</v>
      </c>
      <c r="D121" s="845">
        <f t="shared" si="0"/>
        <v>1200</v>
      </c>
      <c r="E121" s="846">
        <v>26085</v>
      </c>
      <c r="F121" s="846">
        <f t="shared" si="1"/>
        <v>2608500</v>
      </c>
      <c r="G121" s="847">
        <f>F121*12</f>
        <v>31302000</v>
      </c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5" customHeight="1">
      <c r="A122" s="843">
        <v>116</v>
      </c>
      <c r="B122" s="844" t="s">
        <v>3433</v>
      </c>
      <c r="C122" s="845">
        <v>30</v>
      </c>
      <c r="D122" s="845">
        <f t="shared" si="0"/>
        <v>360</v>
      </c>
      <c r="E122" s="846">
        <v>5755.3519999999999</v>
      </c>
      <c r="F122" s="846">
        <f t="shared" si="1"/>
        <v>172660.56</v>
      </c>
      <c r="G122" s="847">
        <f>F122*12</f>
        <v>2071926.72</v>
      </c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5" customHeight="1">
      <c r="A123" s="843">
        <v>117</v>
      </c>
      <c r="B123" s="844" t="s">
        <v>3434</v>
      </c>
      <c r="C123" s="845">
        <v>400</v>
      </c>
      <c r="D123" s="845">
        <f t="shared" si="0"/>
        <v>4800</v>
      </c>
      <c r="E123" s="846">
        <v>741.46368831168832</v>
      </c>
      <c r="F123" s="846">
        <f t="shared" si="1"/>
        <v>296585.47532467532</v>
      </c>
      <c r="G123" s="847">
        <f>F123*12</f>
        <v>3559025.7038961039</v>
      </c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5" customHeight="1">
      <c r="A124" s="843">
        <v>118</v>
      </c>
      <c r="B124" s="844" t="s">
        <v>3435</v>
      </c>
      <c r="C124" s="845">
        <v>1</v>
      </c>
      <c r="D124" s="845">
        <f t="shared" si="0"/>
        <v>12</v>
      </c>
      <c r="E124" s="846">
        <v>13053.592000000001</v>
      </c>
      <c r="F124" s="846">
        <f t="shared" si="1"/>
        <v>13053.592000000001</v>
      </c>
      <c r="G124" s="847">
        <f>F124*12</f>
        <v>156643.10399999999</v>
      </c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5" customHeight="1">
      <c r="A125" s="843">
        <v>119</v>
      </c>
      <c r="B125" s="844" t="s">
        <v>3436</v>
      </c>
      <c r="C125" s="845">
        <v>4000</v>
      </c>
      <c r="D125" s="845">
        <f t="shared" si="0"/>
        <v>48000</v>
      </c>
      <c r="E125" s="846">
        <v>550.00800000000004</v>
      </c>
      <c r="F125" s="846">
        <f t="shared" si="1"/>
        <v>2200032</v>
      </c>
      <c r="G125" s="847">
        <f>F125*12</f>
        <v>26400384</v>
      </c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5" customHeight="1">
      <c r="A126" s="843">
        <v>120</v>
      </c>
      <c r="B126" s="844" t="s">
        <v>3437</v>
      </c>
      <c r="C126" s="845">
        <v>10</v>
      </c>
      <c r="D126" s="845">
        <f t="shared" si="0"/>
        <v>120</v>
      </c>
      <c r="E126" s="846">
        <v>38239.504000000001</v>
      </c>
      <c r="F126" s="846">
        <f t="shared" si="1"/>
        <v>382395.04000000004</v>
      </c>
      <c r="G126" s="847">
        <f>F126*12</f>
        <v>4588740.4800000004</v>
      </c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5" customHeight="1">
      <c r="A127" s="843">
        <v>121</v>
      </c>
      <c r="B127" s="844" t="s">
        <v>3438</v>
      </c>
      <c r="C127" s="845">
        <v>16000</v>
      </c>
      <c r="D127" s="845">
        <f t="shared" si="0"/>
        <v>192000</v>
      </c>
      <c r="E127" s="846">
        <v>450.94400000000002</v>
      </c>
      <c r="F127" s="846">
        <f t="shared" si="1"/>
        <v>7215104</v>
      </c>
      <c r="G127" s="847">
        <f>F127*12</f>
        <v>86581248</v>
      </c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5" customHeight="1">
      <c r="A128" s="843">
        <v>122</v>
      </c>
      <c r="B128" s="844" t="s">
        <v>3439</v>
      </c>
      <c r="C128" s="845">
        <v>6000</v>
      </c>
      <c r="D128" s="845">
        <f t="shared" si="0"/>
        <v>72000</v>
      </c>
      <c r="E128" s="846">
        <v>389</v>
      </c>
      <c r="F128" s="846">
        <f t="shared" si="1"/>
        <v>2334000</v>
      </c>
      <c r="G128" s="847">
        <f>F128*12</f>
        <v>28008000</v>
      </c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5" customHeight="1">
      <c r="A129" s="843">
        <v>123</v>
      </c>
      <c r="B129" s="844" t="s">
        <v>3440</v>
      </c>
      <c r="C129" s="845">
        <v>30</v>
      </c>
      <c r="D129" s="845">
        <f t="shared" si="0"/>
        <v>360</v>
      </c>
      <c r="E129" s="846">
        <v>6590.6319999999996</v>
      </c>
      <c r="F129" s="846">
        <f t="shared" si="1"/>
        <v>197718.96</v>
      </c>
      <c r="G129" s="847">
        <f>F129*12</f>
        <v>2372627.52</v>
      </c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5" customHeight="1">
      <c r="A130" s="843">
        <v>124</v>
      </c>
      <c r="B130" s="844" t="s">
        <v>3441</v>
      </c>
      <c r="C130" s="845">
        <v>15</v>
      </c>
      <c r="D130" s="845">
        <f t="shared" si="0"/>
        <v>180</v>
      </c>
      <c r="E130" s="846">
        <v>12487.503999999999</v>
      </c>
      <c r="F130" s="846">
        <f t="shared" si="1"/>
        <v>187312.56</v>
      </c>
      <c r="G130" s="847">
        <f>F130*12</f>
        <v>2247750.7199999997</v>
      </c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5" customHeight="1">
      <c r="A131" s="843">
        <v>125</v>
      </c>
      <c r="B131" s="844" t="s">
        <v>3442</v>
      </c>
      <c r="C131" s="845">
        <v>300</v>
      </c>
      <c r="D131" s="845">
        <f t="shared" si="0"/>
        <v>3600</v>
      </c>
      <c r="E131" s="846">
        <v>6590.6319999999996</v>
      </c>
      <c r="F131" s="846">
        <f t="shared" si="1"/>
        <v>1977189.5999999999</v>
      </c>
      <c r="G131" s="847">
        <f>F131*12</f>
        <v>23726275.199999999</v>
      </c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5" customHeight="1">
      <c r="A132" s="843">
        <v>126</v>
      </c>
      <c r="B132" s="844" t="s">
        <v>3443</v>
      </c>
      <c r="C132" s="845">
        <v>160</v>
      </c>
      <c r="D132" s="845">
        <f t="shared" si="0"/>
        <v>1920</v>
      </c>
      <c r="E132" s="846">
        <v>104.44000000000001</v>
      </c>
      <c r="F132" s="846">
        <f t="shared" si="1"/>
        <v>16710.400000000001</v>
      </c>
      <c r="G132" s="847">
        <f>F132*12</f>
        <v>200524.80000000002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5" customHeight="1">
      <c r="A133" s="843">
        <v>127</v>
      </c>
      <c r="B133" s="844" t="s">
        <v>3444</v>
      </c>
      <c r="C133" s="845">
        <v>584</v>
      </c>
      <c r="D133" s="845">
        <f t="shared" si="0"/>
        <v>7008</v>
      </c>
      <c r="E133" s="846">
        <v>120.00799999999998</v>
      </c>
      <c r="F133" s="846">
        <f t="shared" si="1"/>
        <v>70084.671999999991</v>
      </c>
      <c r="G133" s="847">
        <f>F133*12</f>
        <v>841016.0639999999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5" customHeight="1">
      <c r="A134" s="843">
        <v>128</v>
      </c>
      <c r="B134" s="844" t="s">
        <v>3445</v>
      </c>
      <c r="C134" s="845">
        <v>1500</v>
      </c>
      <c r="D134" s="845">
        <f t="shared" si="0"/>
        <v>18000</v>
      </c>
      <c r="E134" s="846">
        <v>200</v>
      </c>
      <c r="F134" s="846">
        <f t="shared" si="1"/>
        <v>300000</v>
      </c>
      <c r="G134" s="847">
        <f>F134*12</f>
        <v>3600000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5" customHeight="1">
      <c r="A135" s="843">
        <v>129</v>
      </c>
      <c r="B135" s="844" t="s">
        <v>3446</v>
      </c>
      <c r="C135" s="845">
        <v>15</v>
      </c>
      <c r="D135" s="845">
        <f t="shared" si="0"/>
        <v>180</v>
      </c>
      <c r="E135" s="846">
        <v>13231.199999999999</v>
      </c>
      <c r="F135" s="846">
        <f t="shared" si="1"/>
        <v>198467.99999999997</v>
      </c>
      <c r="G135" s="847">
        <f>F135*12</f>
        <v>2381615.9999999995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5" customHeight="1">
      <c r="A136" s="843">
        <v>130</v>
      </c>
      <c r="B136" s="844" t="s">
        <v>3447</v>
      </c>
      <c r="C136" s="845">
        <v>3</v>
      </c>
      <c r="D136" s="845">
        <f t="shared" si="0"/>
        <v>36</v>
      </c>
      <c r="E136" s="846">
        <v>38978.504000000001</v>
      </c>
      <c r="F136" s="846">
        <f t="shared" si="1"/>
        <v>116935.512</v>
      </c>
      <c r="G136" s="847">
        <f>F136*12</f>
        <v>1403226.1440000001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5" customHeight="1">
      <c r="A137" s="843">
        <v>131</v>
      </c>
      <c r="B137" s="844" t="s">
        <v>3448</v>
      </c>
      <c r="C137" s="845">
        <v>2</v>
      </c>
      <c r="D137" s="845">
        <f t="shared" si="0"/>
        <v>24</v>
      </c>
      <c r="E137" s="846">
        <v>47175</v>
      </c>
      <c r="F137" s="846">
        <f t="shared" si="1"/>
        <v>94350</v>
      </c>
      <c r="G137" s="847">
        <f>F137*12</f>
        <v>1132200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5" customHeight="1">
      <c r="A138" s="843">
        <v>132</v>
      </c>
      <c r="B138" s="844" t="s">
        <v>3449</v>
      </c>
      <c r="C138" s="845">
        <v>30</v>
      </c>
      <c r="D138" s="845">
        <f t="shared" si="0"/>
        <v>360</v>
      </c>
      <c r="E138" s="846">
        <v>819.87199999999996</v>
      </c>
      <c r="F138" s="846">
        <f t="shared" si="1"/>
        <v>24596.16</v>
      </c>
      <c r="G138" s="847">
        <f>F138*12</f>
        <v>295153.91999999998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5" customHeight="1">
      <c r="A139" s="843">
        <v>133</v>
      </c>
      <c r="B139" s="844" t="s">
        <v>3450</v>
      </c>
      <c r="C139" s="845">
        <v>10</v>
      </c>
      <c r="D139" s="845">
        <f t="shared" si="0"/>
        <v>120</v>
      </c>
      <c r="E139" s="846">
        <v>18781.2</v>
      </c>
      <c r="F139" s="846">
        <f t="shared" si="1"/>
        <v>187812</v>
      </c>
      <c r="G139" s="847">
        <f>F139*12</f>
        <v>2253744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5" customHeight="1">
      <c r="A140" s="843">
        <v>134</v>
      </c>
      <c r="B140" s="844" t="s">
        <v>3451</v>
      </c>
      <c r="C140" s="845">
        <v>1200</v>
      </c>
      <c r="D140" s="845">
        <f t="shared" si="0"/>
        <v>14400</v>
      </c>
      <c r="E140" s="846">
        <v>982.35199999999998</v>
      </c>
      <c r="F140" s="846">
        <f t="shared" si="1"/>
        <v>1178822.3999999999</v>
      </c>
      <c r="G140" s="847">
        <f>F140*12</f>
        <v>14145868.799999999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5" customHeight="1">
      <c r="A141" s="843">
        <v>135</v>
      </c>
      <c r="B141" s="844" t="s">
        <v>3452</v>
      </c>
      <c r="C141" s="845">
        <v>20</v>
      </c>
      <c r="D141" s="845">
        <f t="shared" si="0"/>
        <v>240</v>
      </c>
      <c r="E141" s="846">
        <v>9157.503999999999</v>
      </c>
      <c r="F141" s="846">
        <f t="shared" si="1"/>
        <v>183150.07999999999</v>
      </c>
      <c r="G141" s="847">
        <f>F141*12</f>
        <v>2197800.96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5" customHeight="1">
      <c r="A142" s="843">
        <v>136</v>
      </c>
      <c r="B142" s="844" t="s">
        <v>3453</v>
      </c>
      <c r="C142" s="845">
        <v>250</v>
      </c>
      <c r="D142" s="845">
        <f t="shared" si="0"/>
        <v>3000</v>
      </c>
      <c r="E142" s="846">
        <v>10549.44</v>
      </c>
      <c r="F142" s="846">
        <f t="shared" si="1"/>
        <v>2637360</v>
      </c>
      <c r="G142" s="847">
        <f>F142*12</f>
        <v>31648320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5" customHeight="1">
      <c r="A143" s="843">
        <v>137</v>
      </c>
      <c r="B143" s="844" t="s">
        <v>3454</v>
      </c>
      <c r="C143" s="845">
        <v>4500</v>
      </c>
      <c r="D143" s="845">
        <f t="shared" si="0"/>
        <v>54000</v>
      </c>
      <c r="E143" s="846">
        <v>748.42400000000009</v>
      </c>
      <c r="F143" s="846">
        <f t="shared" si="1"/>
        <v>3367908.0000000005</v>
      </c>
      <c r="G143" s="847">
        <f>F143*12</f>
        <v>40414896.000000007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5" customHeight="1">
      <c r="A144" s="843">
        <v>138</v>
      </c>
      <c r="B144" s="844" t="s">
        <v>3455</v>
      </c>
      <c r="C144" s="845">
        <v>150</v>
      </c>
      <c r="D144" s="845">
        <f t="shared" si="0"/>
        <v>1800</v>
      </c>
      <c r="E144" s="846">
        <v>22893.752</v>
      </c>
      <c r="F144" s="846">
        <f t="shared" si="1"/>
        <v>3434062.8000000003</v>
      </c>
      <c r="G144" s="847">
        <f>F144*12</f>
        <v>41208753.600000001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5" customHeight="1">
      <c r="A145" s="843">
        <v>139</v>
      </c>
      <c r="B145" s="844" t="s">
        <v>3456</v>
      </c>
      <c r="C145" s="845">
        <v>2100</v>
      </c>
      <c r="D145" s="845">
        <f t="shared" si="0"/>
        <v>25200</v>
      </c>
      <c r="E145" s="846">
        <v>2483.3440000000001</v>
      </c>
      <c r="F145" s="846">
        <f t="shared" si="1"/>
        <v>5215022.4000000004</v>
      </c>
      <c r="G145" s="847">
        <f>F145*12</f>
        <v>62580268.800000004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5" customHeight="1">
      <c r="A146" s="843">
        <v>140</v>
      </c>
      <c r="B146" s="844" t="s">
        <v>3457</v>
      </c>
      <c r="C146" s="845">
        <v>350</v>
      </c>
      <c r="D146" s="845">
        <f t="shared" si="0"/>
        <v>4200</v>
      </c>
      <c r="E146" s="846">
        <v>7215</v>
      </c>
      <c r="F146" s="846">
        <f t="shared" si="1"/>
        <v>2525250</v>
      </c>
      <c r="G146" s="847">
        <f>F146*12</f>
        <v>30303000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5" customHeight="1">
      <c r="A147" s="843">
        <v>141</v>
      </c>
      <c r="B147" s="844" t="s">
        <v>3458</v>
      </c>
      <c r="C147" s="845">
        <v>3</v>
      </c>
      <c r="D147" s="845">
        <f t="shared" si="0"/>
        <v>36</v>
      </c>
      <c r="E147" s="846">
        <v>12751</v>
      </c>
      <c r="F147" s="846">
        <f t="shared" si="1"/>
        <v>38253</v>
      </c>
      <c r="G147" s="847">
        <f>F147*12</f>
        <v>459036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5" customHeight="1">
      <c r="A148" s="843">
        <v>142</v>
      </c>
      <c r="B148" s="844" t="s">
        <v>3459</v>
      </c>
      <c r="C148" s="845">
        <v>1100</v>
      </c>
      <c r="D148" s="845">
        <f t="shared" si="0"/>
        <v>13200</v>
      </c>
      <c r="E148" s="846">
        <v>5881.8880000000008</v>
      </c>
      <c r="F148" s="846">
        <f t="shared" si="1"/>
        <v>6470076.8000000007</v>
      </c>
      <c r="G148" s="847">
        <f>F148*12</f>
        <v>77640921.600000009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5" customHeight="1">
      <c r="A149" s="843">
        <v>143</v>
      </c>
      <c r="B149" s="844" t="s">
        <v>3460</v>
      </c>
      <c r="C149" s="845">
        <v>10</v>
      </c>
      <c r="D149" s="845">
        <f t="shared" si="0"/>
        <v>120</v>
      </c>
      <c r="E149" s="846">
        <v>4004.88</v>
      </c>
      <c r="F149" s="846">
        <f t="shared" si="1"/>
        <v>40048.800000000003</v>
      </c>
      <c r="G149" s="847">
        <f>F149*12</f>
        <v>480585.60000000003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5" customHeight="1">
      <c r="A150" s="843">
        <v>144</v>
      </c>
      <c r="B150" s="844" t="s">
        <v>3461</v>
      </c>
      <c r="C150" s="845">
        <v>1</v>
      </c>
      <c r="D150" s="845">
        <f t="shared" si="0"/>
        <v>12</v>
      </c>
      <c r="E150" s="846">
        <v>18559.2</v>
      </c>
      <c r="F150" s="846">
        <f t="shared" si="1"/>
        <v>18559.2</v>
      </c>
      <c r="G150" s="847">
        <f>F150*12</f>
        <v>222710.40000000002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5" customHeight="1">
      <c r="A151" s="843">
        <v>145</v>
      </c>
      <c r="B151" s="844" t="s">
        <v>3462</v>
      </c>
      <c r="C151" s="845">
        <v>162</v>
      </c>
      <c r="D151" s="845">
        <f t="shared" si="0"/>
        <v>1944</v>
      </c>
      <c r="E151" s="846">
        <v>3907.2000000000003</v>
      </c>
      <c r="F151" s="846">
        <f t="shared" si="1"/>
        <v>632966.40000000002</v>
      </c>
      <c r="G151" s="847">
        <f>F151*12</f>
        <v>7595596.8000000007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5" customHeight="1">
      <c r="A152" s="843">
        <v>146</v>
      </c>
      <c r="B152" s="844" t="s">
        <v>3463</v>
      </c>
      <c r="C152" s="845">
        <v>139</v>
      </c>
      <c r="D152" s="845">
        <f t="shared" si="0"/>
        <v>1668</v>
      </c>
      <c r="E152" s="846">
        <v>4595.3999999999996</v>
      </c>
      <c r="F152" s="846">
        <f t="shared" si="1"/>
        <v>638760.6</v>
      </c>
      <c r="G152" s="847">
        <f>F152*12</f>
        <v>7665127.1999999993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5" customHeight="1">
      <c r="A153" s="843">
        <v>147</v>
      </c>
      <c r="B153" s="844" t="s">
        <v>3464</v>
      </c>
      <c r="C153" s="845">
        <v>2</v>
      </c>
      <c r="D153" s="845">
        <f t="shared" si="0"/>
        <v>24</v>
      </c>
      <c r="E153" s="846">
        <v>12698.4</v>
      </c>
      <c r="F153" s="846">
        <f t="shared" si="1"/>
        <v>25396.799999999999</v>
      </c>
      <c r="G153" s="847">
        <f>F153*12</f>
        <v>304761.59999999998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5" customHeight="1">
      <c r="A154" s="843">
        <v>148</v>
      </c>
      <c r="B154" s="844" t="s">
        <v>3465</v>
      </c>
      <c r="C154" s="845">
        <v>2</v>
      </c>
      <c r="D154" s="845">
        <f t="shared" si="0"/>
        <v>24</v>
      </c>
      <c r="E154" s="846">
        <v>21367.504000000001</v>
      </c>
      <c r="F154" s="846">
        <f t="shared" si="1"/>
        <v>42735.008000000002</v>
      </c>
      <c r="G154" s="847">
        <f>F154*12</f>
        <v>512820.09600000002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5" customHeight="1">
      <c r="A155" s="843">
        <v>149</v>
      </c>
      <c r="B155" s="844" t="s">
        <v>3466</v>
      </c>
      <c r="C155" s="845">
        <v>30</v>
      </c>
      <c r="D155" s="845">
        <f t="shared" si="0"/>
        <v>360</v>
      </c>
      <c r="E155" s="846">
        <v>5225.88</v>
      </c>
      <c r="F155" s="846">
        <f t="shared" si="1"/>
        <v>156776.4</v>
      </c>
      <c r="G155" s="847">
        <f>F155*12</f>
        <v>1881316.7999999998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5" customHeight="1">
      <c r="A156" s="843">
        <v>150</v>
      </c>
      <c r="B156" s="844" t="s">
        <v>3467</v>
      </c>
      <c r="C156" s="845">
        <v>1</v>
      </c>
      <c r="D156" s="845">
        <f t="shared" si="0"/>
        <v>12</v>
      </c>
      <c r="E156" s="846">
        <v>52014.6</v>
      </c>
      <c r="F156" s="846">
        <f t="shared" si="1"/>
        <v>52014.6</v>
      </c>
      <c r="G156" s="847">
        <f>F156*12</f>
        <v>624175.19999999995</v>
      </c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5" customHeight="1">
      <c r="A157" s="843">
        <v>151</v>
      </c>
      <c r="B157" s="844" t="s">
        <v>3468</v>
      </c>
      <c r="C157" s="845">
        <v>75</v>
      </c>
      <c r="D157" s="845">
        <f t="shared" si="0"/>
        <v>900</v>
      </c>
      <c r="E157" s="846">
        <v>13479.839999999998</v>
      </c>
      <c r="F157" s="846">
        <f t="shared" si="1"/>
        <v>1010987.9999999999</v>
      </c>
      <c r="G157" s="847">
        <f>F157*12</f>
        <v>12131855.999999998</v>
      </c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5" customHeight="1">
      <c r="A158" s="843">
        <v>152</v>
      </c>
      <c r="B158" s="844" t="s">
        <v>3469</v>
      </c>
      <c r="C158" s="845">
        <v>160</v>
      </c>
      <c r="D158" s="845">
        <f t="shared" si="0"/>
        <v>1920</v>
      </c>
      <c r="E158" s="846">
        <v>3760.68</v>
      </c>
      <c r="F158" s="846">
        <f t="shared" si="1"/>
        <v>601708.79999999993</v>
      </c>
      <c r="G158" s="847">
        <f>F158*12</f>
        <v>7220505.5999999996</v>
      </c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5" customHeight="1">
      <c r="A159" s="843">
        <v>153</v>
      </c>
      <c r="B159" s="844" t="s">
        <v>3470</v>
      </c>
      <c r="C159" s="845">
        <v>25</v>
      </c>
      <c r="D159" s="845">
        <f t="shared" si="0"/>
        <v>300</v>
      </c>
      <c r="E159" s="846">
        <v>21978</v>
      </c>
      <c r="F159" s="846">
        <f t="shared" si="1"/>
        <v>549450</v>
      </c>
      <c r="G159" s="847">
        <f>F159*12</f>
        <v>6593400</v>
      </c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5" customHeight="1">
      <c r="A160" s="843">
        <v>154</v>
      </c>
      <c r="B160" s="844" t="s">
        <v>3471</v>
      </c>
      <c r="C160" s="845">
        <v>15</v>
      </c>
      <c r="D160" s="845">
        <f t="shared" si="0"/>
        <v>180</v>
      </c>
      <c r="E160" s="846">
        <v>12454.2</v>
      </c>
      <c r="F160" s="846">
        <f t="shared" si="1"/>
        <v>186813</v>
      </c>
      <c r="G160" s="847">
        <f>F160*12</f>
        <v>2241756</v>
      </c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5" customHeight="1">
      <c r="A161" s="843">
        <v>155</v>
      </c>
      <c r="B161" s="844" t="s">
        <v>3472</v>
      </c>
      <c r="C161" s="845">
        <v>25</v>
      </c>
      <c r="D161" s="845">
        <f t="shared" si="0"/>
        <v>300</v>
      </c>
      <c r="E161" s="846">
        <v>25641</v>
      </c>
      <c r="F161" s="846">
        <f t="shared" si="1"/>
        <v>641025</v>
      </c>
      <c r="G161" s="847">
        <f>F161*12</f>
        <v>7692300</v>
      </c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5" customHeight="1">
      <c r="A162" s="843">
        <v>156</v>
      </c>
      <c r="B162" s="844" t="s">
        <v>3473</v>
      </c>
      <c r="C162" s="845">
        <v>5.8</v>
      </c>
      <c r="D162" s="845">
        <f t="shared" si="0"/>
        <v>69.599999999999994</v>
      </c>
      <c r="E162" s="846">
        <v>37362.6</v>
      </c>
      <c r="F162" s="846">
        <f t="shared" si="1"/>
        <v>216703.08</v>
      </c>
      <c r="G162" s="847">
        <f>F162*12</f>
        <v>2600436.96</v>
      </c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5" customHeight="1">
      <c r="A163" s="843">
        <v>157</v>
      </c>
      <c r="B163" s="844" t="s">
        <v>3474</v>
      </c>
      <c r="C163" s="845">
        <v>2</v>
      </c>
      <c r="D163" s="845">
        <f t="shared" si="0"/>
        <v>24</v>
      </c>
      <c r="E163" s="846">
        <v>8131.8639999999996</v>
      </c>
      <c r="F163" s="846">
        <f t="shared" si="1"/>
        <v>16263.727999999999</v>
      </c>
      <c r="G163" s="847">
        <f>F163*12</f>
        <v>195164.73599999998</v>
      </c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5" customHeight="1">
      <c r="A164" s="843">
        <v>158</v>
      </c>
      <c r="B164" s="844" t="s">
        <v>3475</v>
      </c>
      <c r="C164" s="845">
        <v>2</v>
      </c>
      <c r="D164" s="845">
        <f t="shared" si="0"/>
        <v>24</v>
      </c>
      <c r="E164" s="846">
        <v>62393.104000000007</v>
      </c>
      <c r="F164" s="846">
        <f t="shared" si="1"/>
        <v>124786.20800000001</v>
      </c>
      <c r="G164" s="847">
        <f>F164*12</f>
        <v>1497434.4960000003</v>
      </c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5" customHeight="1">
      <c r="A165" s="843">
        <v>159</v>
      </c>
      <c r="B165" s="844" t="s">
        <v>3476</v>
      </c>
      <c r="C165" s="845">
        <v>41</v>
      </c>
      <c r="D165" s="845">
        <f t="shared" si="0"/>
        <v>492</v>
      </c>
      <c r="E165" s="846">
        <v>7472.52</v>
      </c>
      <c r="F165" s="846">
        <f t="shared" si="1"/>
        <v>306373.32</v>
      </c>
      <c r="G165" s="847">
        <f>F165*12</f>
        <v>3676479.84</v>
      </c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5" customHeight="1">
      <c r="A166" s="843">
        <v>160</v>
      </c>
      <c r="B166" s="844" t="s">
        <v>3477</v>
      </c>
      <c r="C166" s="845">
        <v>11.9</v>
      </c>
      <c r="D166" s="845">
        <f t="shared" si="0"/>
        <v>142.80000000000001</v>
      </c>
      <c r="E166" s="846">
        <v>12942.6</v>
      </c>
      <c r="F166" s="846">
        <f t="shared" si="1"/>
        <v>154016.94</v>
      </c>
      <c r="G166" s="847">
        <f>F166*12</f>
        <v>1848203.28</v>
      </c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5" customHeight="1">
      <c r="A167" s="843">
        <v>161</v>
      </c>
      <c r="B167" s="844" t="s">
        <v>3478</v>
      </c>
      <c r="C167" s="845">
        <v>11</v>
      </c>
      <c r="D167" s="845">
        <f t="shared" si="0"/>
        <v>132</v>
      </c>
      <c r="E167" s="846">
        <v>7008.5439999999999</v>
      </c>
      <c r="F167" s="846">
        <f t="shared" si="1"/>
        <v>77093.983999999997</v>
      </c>
      <c r="G167" s="847">
        <f>F167*12</f>
        <v>925127.80799999996</v>
      </c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5" customHeight="1">
      <c r="A168" s="843">
        <v>162</v>
      </c>
      <c r="B168" s="844" t="s">
        <v>3479</v>
      </c>
      <c r="C168" s="845">
        <v>14</v>
      </c>
      <c r="D168" s="845">
        <f t="shared" si="0"/>
        <v>168</v>
      </c>
      <c r="E168" s="846">
        <v>51526.200000000004</v>
      </c>
      <c r="F168" s="846">
        <f t="shared" si="1"/>
        <v>721366.8</v>
      </c>
      <c r="G168" s="847">
        <f>F168*12</f>
        <v>8656401.6000000015</v>
      </c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5" customHeight="1">
      <c r="A169" s="843">
        <v>163</v>
      </c>
      <c r="B169" s="844" t="s">
        <v>3480</v>
      </c>
      <c r="C169" s="845">
        <v>11</v>
      </c>
      <c r="D169" s="845">
        <f t="shared" si="0"/>
        <v>132</v>
      </c>
      <c r="E169" s="846">
        <v>5665.4400000000005</v>
      </c>
      <c r="F169" s="846">
        <f t="shared" si="1"/>
        <v>62319.840000000004</v>
      </c>
      <c r="G169" s="847">
        <f>F169*12</f>
        <v>747838.08000000007</v>
      </c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5" customHeight="1">
      <c r="A170" s="843">
        <v>164</v>
      </c>
      <c r="B170" s="844" t="s">
        <v>3481</v>
      </c>
      <c r="C170" s="845">
        <v>4</v>
      </c>
      <c r="D170" s="845">
        <f t="shared" si="0"/>
        <v>48</v>
      </c>
      <c r="E170" s="846">
        <v>12210</v>
      </c>
      <c r="F170" s="846">
        <f t="shared" si="1"/>
        <v>48840</v>
      </c>
      <c r="G170" s="847">
        <f>F170*12</f>
        <v>586080</v>
      </c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5" customHeight="1">
      <c r="A171" s="843">
        <v>165</v>
      </c>
      <c r="B171" s="844" t="s">
        <v>3482</v>
      </c>
      <c r="C171" s="845">
        <v>3</v>
      </c>
      <c r="D171" s="845">
        <f t="shared" si="0"/>
        <v>36</v>
      </c>
      <c r="E171" s="846">
        <v>31990.2</v>
      </c>
      <c r="F171" s="846">
        <f t="shared" si="1"/>
        <v>95970.6</v>
      </c>
      <c r="G171" s="847">
        <f>F171*12</f>
        <v>1151647.2000000002</v>
      </c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5" customHeight="1">
      <c r="A172" s="843">
        <v>166</v>
      </c>
      <c r="B172" s="844" t="s">
        <v>3483</v>
      </c>
      <c r="C172" s="845">
        <v>10</v>
      </c>
      <c r="D172" s="845">
        <f t="shared" si="0"/>
        <v>120</v>
      </c>
      <c r="E172" s="846">
        <v>26617.8</v>
      </c>
      <c r="F172" s="846">
        <f t="shared" si="1"/>
        <v>266178</v>
      </c>
      <c r="G172" s="847">
        <f>F172*12</f>
        <v>3194136</v>
      </c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5" customHeight="1">
      <c r="A173" s="843">
        <v>168</v>
      </c>
      <c r="B173" s="844" t="s">
        <v>3484</v>
      </c>
      <c r="C173" s="845">
        <v>2</v>
      </c>
      <c r="D173" s="845">
        <f t="shared" si="0"/>
        <v>24</v>
      </c>
      <c r="E173" s="846">
        <v>233100</v>
      </c>
      <c r="F173" s="846">
        <f t="shared" si="1"/>
        <v>466200</v>
      </c>
      <c r="G173" s="847">
        <f>F173*12</f>
        <v>5594400</v>
      </c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5" customHeight="1">
      <c r="A174" s="843">
        <v>169</v>
      </c>
      <c r="B174" s="844" t="s">
        <v>3485</v>
      </c>
      <c r="C174" s="845">
        <v>3</v>
      </c>
      <c r="D174" s="845">
        <f t="shared" si="0"/>
        <v>36</v>
      </c>
      <c r="E174" s="846">
        <v>43512</v>
      </c>
      <c r="F174" s="846">
        <f t="shared" si="1"/>
        <v>130536</v>
      </c>
      <c r="G174" s="847">
        <f>F174*12</f>
        <v>1566432</v>
      </c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5" customHeight="1">
      <c r="A175" s="843">
        <v>170</v>
      </c>
      <c r="B175" s="844" t="s">
        <v>3486</v>
      </c>
      <c r="C175" s="845">
        <v>2100</v>
      </c>
      <c r="D175" s="845">
        <f t="shared" si="0"/>
        <v>25200</v>
      </c>
      <c r="E175" s="846">
        <v>149.84800000000001</v>
      </c>
      <c r="F175" s="846">
        <f t="shared" si="1"/>
        <v>314680.80000000005</v>
      </c>
      <c r="G175" s="847">
        <f>F175*12</f>
        <v>3776169.6000000006</v>
      </c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5" customHeight="1">
      <c r="A176" s="843">
        <v>171</v>
      </c>
      <c r="B176" s="844" t="s">
        <v>3487</v>
      </c>
      <c r="C176" s="845">
        <v>550</v>
      </c>
      <c r="D176" s="845">
        <f t="shared" si="0"/>
        <v>6600</v>
      </c>
      <c r="E176" s="846">
        <v>5372.4000000000005</v>
      </c>
      <c r="F176" s="846">
        <f t="shared" si="1"/>
        <v>2954820.0000000005</v>
      </c>
      <c r="G176" s="847">
        <f>F176*12</f>
        <v>35457840.000000007</v>
      </c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5" customHeight="1">
      <c r="A177" s="843">
        <v>172</v>
      </c>
      <c r="B177" s="844" t="s">
        <v>3488</v>
      </c>
      <c r="C177" s="845">
        <v>1</v>
      </c>
      <c r="D177" s="845">
        <f t="shared" si="0"/>
        <v>12</v>
      </c>
      <c r="E177" s="846">
        <v>77700</v>
      </c>
      <c r="F177" s="846">
        <f t="shared" si="1"/>
        <v>77700</v>
      </c>
      <c r="G177" s="847">
        <f>F177*12</f>
        <v>932400</v>
      </c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5" customHeight="1">
      <c r="A178" s="843">
        <v>173</v>
      </c>
      <c r="B178" s="844" t="s">
        <v>3489</v>
      </c>
      <c r="C178" s="845">
        <v>1000</v>
      </c>
      <c r="D178" s="845">
        <f t="shared" si="0"/>
        <v>12000</v>
      </c>
      <c r="E178" s="846">
        <v>832.50400000000002</v>
      </c>
      <c r="F178" s="846">
        <f t="shared" si="1"/>
        <v>832504</v>
      </c>
      <c r="G178" s="847">
        <f>F178*12</f>
        <v>9990048</v>
      </c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5" customHeight="1">
      <c r="A179" s="843">
        <v>174</v>
      </c>
      <c r="B179" s="844" t="s">
        <v>3490</v>
      </c>
      <c r="C179" s="845">
        <v>300</v>
      </c>
      <c r="D179" s="845">
        <f t="shared" si="0"/>
        <v>3600</v>
      </c>
      <c r="E179" s="846">
        <v>555</v>
      </c>
      <c r="F179" s="846">
        <f t="shared" si="1"/>
        <v>166500</v>
      </c>
      <c r="G179" s="847">
        <f>F179*12</f>
        <v>1998000</v>
      </c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5" customHeight="1">
      <c r="A180" s="843">
        <v>175</v>
      </c>
      <c r="B180" s="844" t="s">
        <v>3491</v>
      </c>
      <c r="C180" s="845">
        <v>700</v>
      </c>
      <c r="D180" s="845">
        <f t="shared" si="0"/>
        <v>8400</v>
      </c>
      <c r="E180" s="846">
        <v>605.64</v>
      </c>
      <c r="F180" s="846">
        <f t="shared" si="1"/>
        <v>423948</v>
      </c>
      <c r="G180" s="847">
        <f>F180*12</f>
        <v>5087376</v>
      </c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5" customHeight="1">
      <c r="A181" s="843">
        <v>176</v>
      </c>
      <c r="B181" s="844" t="s">
        <v>3492</v>
      </c>
      <c r="C181" s="845">
        <v>5</v>
      </c>
      <c r="D181" s="845">
        <f t="shared" si="0"/>
        <v>60</v>
      </c>
      <c r="E181" s="846">
        <v>11111.103999999999</v>
      </c>
      <c r="F181" s="846">
        <f t="shared" si="1"/>
        <v>55555.519999999997</v>
      </c>
      <c r="G181" s="847">
        <f>F181*12</f>
        <v>666666.23999999999</v>
      </c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5" customHeight="1">
      <c r="A182" s="843">
        <v>177</v>
      </c>
      <c r="B182" s="844" t="s">
        <v>3493</v>
      </c>
      <c r="C182" s="845">
        <v>40</v>
      </c>
      <c r="D182" s="845">
        <f t="shared" si="0"/>
        <v>480</v>
      </c>
      <c r="E182" s="846">
        <v>14430</v>
      </c>
      <c r="F182" s="846">
        <f t="shared" si="1"/>
        <v>577200</v>
      </c>
      <c r="G182" s="847">
        <f>F182*12</f>
        <v>6926400</v>
      </c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5" customHeight="1">
      <c r="A183" s="843">
        <v>178</v>
      </c>
      <c r="B183" s="844" t="s">
        <v>3494</v>
      </c>
      <c r="C183" s="845">
        <v>210</v>
      </c>
      <c r="D183" s="845">
        <f t="shared" si="0"/>
        <v>2520</v>
      </c>
      <c r="E183" s="846">
        <v>18870</v>
      </c>
      <c r="F183" s="846">
        <f t="shared" si="1"/>
        <v>3962700</v>
      </c>
      <c r="G183" s="847">
        <f>F183*12</f>
        <v>47552400</v>
      </c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5" customHeight="1">
      <c r="A184" s="843">
        <v>179</v>
      </c>
      <c r="B184" s="844" t="s">
        <v>3495</v>
      </c>
      <c r="C184" s="845">
        <v>900</v>
      </c>
      <c r="D184" s="845">
        <f t="shared" si="0"/>
        <v>10800</v>
      </c>
      <c r="E184" s="846">
        <v>3607.5039999999999</v>
      </c>
      <c r="F184" s="846">
        <f t="shared" si="1"/>
        <v>3246753.6</v>
      </c>
      <c r="G184" s="847">
        <f>F184*12</f>
        <v>38961043.200000003</v>
      </c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5" customHeight="1">
      <c r="A185" s="843">
        <v>181</v>
      </c>
      <c r="B185" s="844" t="s">
        <v>3496</v>
      </c>
      <c r="C185" s="845">
        <v>30</v>
      </c>
      <c r="D185" s="845">
        <f t="shared" si="0"/>
        <v>360</v>
      </c>
      <c r="E185" s="846">
        <v>723.28000000000009</v>
      </c>
      <c r="F185" s="846">
        <f t="shared" si="1"/>
        <v>21698.400000000001</v>
      </c>
      <c r="G185" s="847">
        <f>F185*12</f>
        <v>260380.80000000002</v>
      </c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5" customHeight="1">
      <c r="A186" s="843">
        <v>182</v>
      </c>
      <c r="B186" s="844" t="s">
        <v>3497</v>
      </c>
      <c r="C186" s="845">
        <v>270</v>
      </c>
      <c r="D186" s="845">
        <f t="shared" si="0"/>
        <v>3240</v>
      </c>
      <c r="E186" s="846">
        <v>1249.1519999999998</v>
      </c>
      <c r="F186" s="846">
        <f t="shared" si="1"/>
        <v>337271.03999999998</v>
      </c>
      <c r="G186" s="847">
        <f>F186*12</f>
        <v>4047252.4799999995</v>
      </c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5" customHeight="1">
      <c r="A187" s="843">
        <v>183</v>
      </c>
      <c r="B187" s="844" t="s">
        <v>3498</v>
      </c>
      <c r="C187" s="845">
        <v>780</v>
      </c>
      <c r="D187" s="845">
        <f t="shared" si="0"/>
        <v>9360</v>
      </c>
      <c r="E187" s="846">
        <v>844</v>
      </c>
      <c r="F187" s="846">
        <f t="shared" si="1"/>
        <v>658320</v>
      </c>
      <c r="G187" s="847">
        <f>F187*12</f>
        <v>7899840</v>
      </c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5" customHeight="1">
      <c r="A188" s="843">
        <v>184</v>
      </c>
      <c r="B188" s="844" t="s">
        <v>3499</v>
      </c>
      <c r="C188" s="845">
        <v>35</v>
      </c>
      <c r="D188" s="845">
        <f t="shared" si="0"/>
        <v>420</v>
      </c>
      <c r="E188" s="846">
        <v>12987</v>
      </c>
      <c r="F188" s="846">
        <f t="shared" si="1"/>
        <v>454545</v>
      </c>
      <c r="G188" s="847">
        <f>F188*12</f>
        <v>5454540</v>
      </c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5" customHeight="1">
      <c r="A189" s="843">
        <v>185</v>
      </c>
      <c r="B189" s="844" t="s">
        <v>3500</v>
      </c>
      <c r="C189" s="845">
        <v>290</v>
      </c>
      <c r="D189" s="845">
        <f t="shared" si="0"/>
        <v>3480</v>
      </c>
      <c r="E189" s="846">
        <v>1581.752</v>
      </c>
      <c r="F189" s="846">
        <f t="shared" si="1"/>
        <v>458708.07999999996</v>
      </c>
      <c r="G189" s="847">
        <f>F189*12</f>
        <v>5504496.959999999</v>
      </c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5" customHeight="1">
      <c r="A190" s="843">
        <v>186</v>
      </c>
      <c r="B190" s="844" t="s">
        <v>3501</v>
      </c>
      <c r="C190" s="845">
        <v>1</v>
      </c>
      <c r="D190" s="845">
        <f t="shared" si="0"/>
        <v>12</v>
      </c>
      <c r="E190" s="846">
        <v>55500</v>
      </c>
      <c r="F190" s="846">
        <f t="shared" si="1"/>
        <v>55500</v>
      </c>
      <c r="G190" s="847">
        <f>F190*12</f>
        <v>666000</v>
      </c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5" customHeight="1">
      <c r="A191" s="843">
        <v>187</v>
      </c>
      <c r="B191" s="844" t="s">
        <v>3502</v>
      </c>
      <c r="C191" s="845">
        <v>2900</v>
      </c>
      <c r="D191" s="845">
        <f t="shared" si="0"/>
        <v>34800</v>
      </c>
      <c r="E191" s="846">
        <v>250</v>
      </c>
      <c r="F191" s="846">
        <f t="shared" si="1"/>
        <v>725000</v>
      </c>
      <c r="G191" s="847">
        <f>F191*12</f>
        <v>8700000</v>
      </c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5" customHeight="1">
      <c r="A192" s="843">
        <v>188</v>
      </c>
      <c r="B192" s="844" t="s">
        <v>3503</v>
      </c>
      <c r="C192" s="845">
        <v>4300</v>
      </c>
      <c r="D192" s="845">
        <f t="shared" si="0"/>
        <v>51600</v>
      </c>
      <c r="E192" s="846">
        <v>1194.8319999999999</v>
      </c>
      <c r="F192" s="846">
        <f t="shared" si="1"/>
        <v>5137777.5999999996</v>
      </c>
      <c r="G192" s="847">
        <f>F192*12</f>
        <v>61653331.199999996</v>
      </c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5" customHeight="1">
      <c r="A193" s="843">
        <v>190</v>
      </c>
      <c r="B193" s="844" t="s">
        <v>3504</v>
      </c>
      <c r="C193" s="845">
        <v>600</v>
      </c>
      <c r="D193" s="845">
        <f t="shared" si="0"/>
        <v>7200</v>
      </c>
      <c r="E193" s="846">
        <v>996.99200000000008</v>
      </c>
      <c r="F193" s="846">
        <f t="shared" si="1"/>
        <v>598195.20000000007</v>
      </c>
      <c r="G193" s="847">
        <f>F193*12</f>
        <v>7178342.4000000004</v>
      </c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5" customHeight="1">
      <c r="A194" s="843">
        <v>191</v>
      </c>
      <c r="B194" s="844" t="s">
        <v>3505</v>
      </c>
      <c r="C194" s="845">
        <v>700</v>
      </c>
      <c r="D194" s="845">
        <f t="shared" si="0"/>
        <v>8400</v>
      </c>
      <c r="E194" s="846">
        <v>472.99199999999996</v>
      </c>
      <c r="F194" s="846">
        <f t="shared" si="1"/>
        <v>331094.39999999997</v>
      </c>
      <c r="G194" s="847">
        <f>F194*12</f>
        <v>3973132.8</v>
      </c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5" customHeight="1">
      <c r="A195" s="843">
        <v>192</v>
      </c>
      <c r="B195" s="844" t="s">
        <v>3506</v>
      </c>
      <c r="C195" s="845">
        <v>120</v>
      </c>
      <c r="D195" s="845">
        <f t="shared" si="0"/>
        <v>1440</v>
      </c>
      <c r="E195" s="846">
        <v>3515</v>
      </c>
      <c r="F195" s="846">
        <f t="shared" si="1"/>
        <v>421800</v>
      </c>
      <c r="G195" s="847">
        <f>F195*12</f>
        <v>5061600</v>
      </c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5" customHeight="1">
      <c r="A196" s="843">
        <v>195</v>
      </c>
      <c r="B196" s="844" t="s">
        <v>3507</v>
      </c>
      <c r="C196" s="845">
        <v>400</v>
      </c>
      <c r="D196" s="845">
        <f t="shared" si="0"/>
        <v>4800</v>
      </c>
      <c r="E196" s="846">
        <v>2077.92</v>
      </c>
      <c r="F196" s="846">
        <f t="shared" si="1"/>
        <v>831168</v>
      </c>
      <c r="G196" s="847">
        <f>F196*12</f>
        <v>9974016</v>
      </c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5" customHeight="1">
      <c r="A197" s="843">
        <v>196</v>
      </c>
      <c r="B197" s="844" t="s">
        <v>3508</v>
      </c>
      <c r="C197" s="845">
        <v>3</v>
      </c>
      <c r="D197" s="845">
        <f t="shared" si="0"/>
        <v>36</v>
      </c>
      <c r="E197" s="846">
        <v>173438</v>
      </c>
      <c r="F197" s="846">
        <f t="shared" si="1"/>
        <v>520314</v>
      </c>
      <c r="G197" s="847">
        <f>F197*12</f>
        <v>6243768</v>
      </c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5" customHeight="1">
      <c r="A198" s="843">
        <v>197</v>
      </c>
      <c r="B198" s="844" t="s">
        <v>3509</v>
      </c>
      <c r="C198" s="845">
        <v>30</v>
      </c>
      <c r="D198" s="845">
        <f t="shared" si="0"/>
        <v>360</v>
      </c>
      <c r="E198" s="846">
        <v>2475</v>
      </c>
      <c r="F198" s="846">
        <f t="shared" si="1"/>
        <v>74250</v>
      </c>
      <c r="G198" s="847">
        <f>F198*12</f>
        <v>891000</v>
      </c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5" customHeight="1">
      <c r="A199" s="843">
        <v>198</v>
      </c>
      <c r="B199" s="844" t="s">
        <v>3510</v>
      </c>
      <c r="C199" s="845">
        <v>2</v>
      </c>
      <c r="D199" s="845">
        <f t="shared" si="0"/>
        <v>24</v>
      </c>
      <c r="E199" s="846">
        <v>17871</v>
      </c>
      <c r="F199" s="846">
        <f t="shared" si="1"/>
        <v>35742</v>
      </c>
      <c r="G199" s="847">
        <f>F199*12</f>
        <v>428904</v>
      </c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5" customHeight="1">
      <c r="A200" s="843">
        <v>199</v>
      </c>
      <c r="B200" s="844" t="s">
        <v>3511</v>
      </c>
      <c r="C200" s="845">
        <v>2</v>
      </c>
      <c r="D200" s="845">
        <f t="shared" si="0"/>
        <v>24</v>
      </c>
      <c r="E200" s="846">
        <v>8999.9920000000002</v>
      </c>
      <c r="F200" s="846">
        <f t="shared" si="1"/>
        <v>17999.984</v>
      </c>
      <c r="G200" s="847">
        <f>F200*12</f>
        <v>215999.80800000002</v>
      </c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5" customHeight="1">
      <c r="A201" s="843">
        <v>200</v>
      </c>
      <c r="B201" s="844" t="s">
        <v>3512</v>
      </c>
      <c r="C201" s="845">
        <v>1</v>
      </c>
      <c r="D201" s="845">
        <f t="shared" si="0"/>
        <v>12</v>
      </c>
      <c r="E201" s="846">
        <v>17976.167999999998</v>
      </c>
      <c r="F201" s="846">
        <f t="shared" si="1"/>
        <v>17976.167999999998</v>
      </c>
      <c r="G201" s="847">
        <f>F201*12</f>
        <v>215714.01599999997</v>
      </c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5" customHeight="1">
      <c r="A202" s="843">
        <v>202</v>
      </c>
      <c r="B202" s="844" t="s">
        <v>3513</v>
      </c>
      <c r="C202" s="845">
        <v>446</v>
      </c>
      <c r="D202" s="845">
        <f t="shared" si="0"/>
        <v>5352</v>
      </c>
      <c r="E202" s="846">
        <v>138.75200000000001</v>
      </c>
      <c r="F202" s="846">
        <f t="shared" si="1"/>
        <v>61883.392000000007</v>
      </c>
      <c r="G202" s="847">
        <f>F202*12</f>
        <v>742600.70400000014</v>
      </c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5" customHeight="1">
      <c r="A203" s="843">
        <v>203</v>
      </c>
      <c r="B203" s="844" t="s">
        <v>3514</v>
      </c>
      <c r="C203" s="845">
        <v>55</v>
      </c>
      <c r="D203" s="845">
        <f t="shared" si="0"/>
        <v>660</v>
      </c>
      <c r="E203" s="846">
        <v>23310</v>
      </c>
      <c r="F203" s="846">
        <f t="shared" si="1"/>
        <v>1282050</v>
      </c>
      <c r="G203" s="847">
        <f>F203*12</f>
        <v>15384600</v>
      </c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5" customHeight="1">
      <c r="A204" s="843">
        <v>204</v>
      </c>
      <c r="B204" s="844" t="s">
        <v>3515</v>
      </c>
      <c r="C204" s="845">
        <v>2100</v>
      </c>
      <c r="D204" s="845">
        <f t="shared" si="0"/>
        <v>25200</v>
      </c>
      <c r="E204" s="846">
        <v>885.81788579795023</v>
      </c>
      <c r="F204" s="846">
        <f t="shared" si="1"/>
        <v>1860217.5601756955</v>
      </c>
      <c r="G204" s="847">
        <f>F204*12</f>
        <v>22322610.722108345</v>
      </c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5" customHeight="1">
      <c r="A205" s="843">
        <v>205</v>
      </c>
      <c r="B205" s="844" t="s">
        <v>3516</v>
      </c>
      <c r="C205" s="845">
        <v>100</v>
      </c>
      <c r="D205" s="845">
        <f t="shared" si="0"/>
        <v>1200</v>
      </c>
      <c r="E205" s="846">
        <v>8542</v>
      </c>
      <c r="F205" s="846">
        <f t="shared" si="1"/>
        <v>854200</v>
      </c>
      <c r="G205" s="847">
        <f>F205*12</f>
        <v>10250400</v>
      </c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5" customHeight="1">
      <c r="A206" s="843">
        <v>206</v>
      </c>
      <c r="B206" s="844" t="s">
        <v>3517</v>
      </c>
      <c r="C206" s="845">
        <v>60</v>
      </c>
      <c r="D206" s="845">
        <f t="shared" si="0"/>
        <v>720</v>
      </c>
      <c r="E206" s="846">
        <v>7770</v>
      </c>
      <c r="F206" s="846">
        <f t="shared" si="1"/>
        <v>466200</v>
      </c>
      <c r="G206" s="847">
        <f>F206*12</f>
        <v>5594400</v>
      </c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5" customHeight="1">
      <c r="A207" s="843">
        <v>207</v>
      </c>
      <c r="B207" s="844" t="s">
        <v>3518</v>
      </c>
      <c r="C207" s="845">
        <v>50</v>
      </c>
      <c r="D207" s="845">
        <f t="shared" si="0"/>
        <v>600</v>
      </c>
      <c r="E207" s="846">
        <v>7685.6399999999994</v>
      </c>
      <c r="F207" s="846">
        <f t="shared" si="1"/>
        <v>384282</v>
      </c>
      <c r="G207" s="847">
        <f>F207*12</f>
        <v>4611384</v>
      </c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5" customHeight="1">
      <c r="A208" s="843">
        <v>208</v>
      </c>
      <c r="B208" s="844" t="s">
        <v>3519</v>
      </c>
      <c r="C208" s="845">
        <v>1</v>
      </c>
      <c r="D208" s="845">
        <f t="shared" si="0"/>
        <v>12</v>
      </c>
      <c r="E208" s="846">
        <v>15900</v>
      </c>
      <c r="F208" s="846">
        <f t="shared" si="1"/>
        <v>15900</v>
      </c>
      <c r="G208" s="847">
        <f>F208*12</f>
        <v>190800</v>
      </c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5" customHeight="1">
      <c r="A209" s="843">
        <v>209</v>
      </c>
      <c r="B209" s="844" t="s">
        <v>3520</v>
      </c>
      <c r="C209" s="845">
        <v>20</v>
      </c>
      <c r="D209" s="845">
        <f t="shared" si="0"/>
        <v>240</v>
      </c>
      <c r="E209" s="846">
        <v>8350.5280000000002</v>
      </c>
      <c r="F209" s="846">
        <f t="shared" si="1"/>
        <v>167010.56</v>
      </c>
      <c r="G209" s="847">
        <f>F209*12</f>
        <v>2004126.72</v>
      </c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5" customHeight="1">
      <c r="A210" s="843">
        <v>210</v>
      </c>
      <c r="B210" s="844" t="s">
        <v>3521</v>
      </c>
      <c r="C210" s="845">
        <v>10</v>
      </c>
      <c r="D210" s="845">
        <f t="shared" si="0"/>
        <v>120</v>
      </c>
      <c r="E210" s="846">
        <v>10279.712</v>
      </c>
      <c r="F210" s="846">
        <f t="shared" si="1"/>
        <v>102797.12</v>
      </c>
      <c r="G210" s="847">
        <f>F210*12</f>
        <v>1233565.44</v>
      </c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5" customHeight="1">
      <c r="A211" s="843">
        <v>211</v>
      </c>
      <c r="B211" s="844" t="s">
        <v>3522</v>
      </c>
      <c r="C211" s="845">
        <v>10</v>
      </c>
      <c r="D211" s="845">
        <f t="shared" si="0"/>
        <v>120</v>
      </c>
      <c r="E211" s="846">
        <v>10279.712</v>
      </c>
      <c r="F211" s="846">
        <f t="shared" si="1"/>
        <v>102797.12</v>
      </c>
      <c r="G211" s="847">
        <f>F211*12</f>
        <v>1233565.44</v>
      </c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5" customHeight="1">
      <c r="A212" s="843">
        <v>212</v>
      </c>
      <c r="B212" s="844" t="s">
        <v>3523</v>
      </c>
      <c r="C212" s="845">
        <v>10</v>
      </c>
      <c r="D212" s="845">
        <f t="shared" si="0"/>
        <v>120</v>
      </c>
      <c r="E212" s="846">
        <v>15290</v>
      </c>
      <c r="F212" s="846">
        <f t="shared" si="1"/>
        <v>152900</v>
      </c>
      <c r="G212" s="847">
        <f>F212*12</f>
        <v>1834800</v>
      </c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5" customHeight="1">
      <c r="A213" s="843">
        <v>214</v>
      </c>
      <c r="B213" s="844" t="s">
        <v>3524</v>
      </c>
      <c r="C213" s="845">
        <v>30</v>
      </c>
      <c r="D213" s="845">
        <f t="shared" si="0"/>
        <v>360</v>
      </c>
      <c r="E213" s="846">
        <v>26362.504000000001</v>
      </c>
      <c r="F213" s="846">
        <f t="shared" si="1"/>
        <v>790875.12</v>
      </c>
      <c r="G213" s="847">
        <f>F213*12</f>
        <v>9490501.4399999995</v>
      </c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5" customHeight="1">
      <c r="A214" s="843">
        <v>215</v>
      </c>
      <c r="B214" s="844" t="s">
        <v>3525</v>
      </c>
      <c r="C214" s="845">
        <v>1</v>
      </c>
      <c r="D214" s="845">
        <f t="shared" si="0"/>
        <v>12</v>
      </c>
      <c r="E214" s="846">
        <v>33069.120000000003</v>
      </c>
      <c r="F214" s="846">
        <f t="shared" si="1"/>
        <v>33069.120000000003</v>
      </c>
      <c r="G214" s="847">
        <f>F214*12</f>
        <v>396829.44000000006</v>
      </c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5" customHeight="1">
      <c r="A215" s="843">
        <v>216</v>
      </c>
      <c r="B215" s="844" t="s">
        <v>3526</v>
      </c>
      <c r="C215" s="845">
        <v>35</v>
      </c>
      <c r="D215" s="845">
        <f t="shared" si="0"/>
        <v>420</v>
      </c>
      <c r="E215" s="846">
        <v>19360.184000000001</v>
      </c>
      <c r="F215" s="846">
        <f t="shared" si="1"/>
        <v>677606.44000000006</v>
      </c>
      <c r="G215" s="847">
        <f>F215*12</f>
        <v>8131277.2800000012</v>
      </c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5" customHeight="1">
      <c r="A216" s="843">
        <v>217</v>
      </c>
      <c r="B216" s="844" t="s">
        <v>3527</v>
      </c>
      <c r="C216" s="845">
        <v>1500</v>
      </c>
      <c r="D216" s="845">
        <f t="shared" si="0"/>
        <v>18000</v>
      </c>
      <c r="E216" s="846">
        <v>116.55200000000002</v>
      </c>
      <c r="F216" s="846">
        <f t="shared" si="1"/>
        <v>174828.00000000003</v>
      </c>
      <c r="G216" s="847">
        <f>F216*12</f>
        <v>2097936.0000000005</v>
      </c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5" customHeight="1">
      <c r="A217" s="843">
        <v>218</v>
      </c>
      <c r="B217" s="844" t="s">
        <v>3528</v>
      </c>
      <c r="C217" s="845">
        <v>250</v>
      </c>
      <c r="D217" s="845">
        <f t="shared" si="0"/>
        <v>3000</v>
      </c>
      <c r="E217" s="846">
        <v>1776</v>
      </c>
      <c r="F217" s="846">
        <f t="shared" si="1"/>
        <v>444000</v>
      </c>
      <c r="G217" s="847">
        <f>F217*12</f>
        <v>5328000</v>
      </c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5" customHeight="1">
      <c r="A218" s="843">
        <v>219</v>
      </c>
      <c r="B218" s="844" t="s">
        <v>3529</v>
      </c>
      <c r="C218" s="845">
        <v>30</v>
      </c>
      <c r="D218" s="845">
        <f t="shared" si="0"/>
        <v>360</v>
      </c>
      <c r="E218" s="846">
        <v>238.952</v>
      </c>
      <c r="F218" s="846">
        <f t="shared" si="1"/>
        <v>7168.5599999999995</v>
      </c>
      <c r="G218" s="847">
        <f>F218*12</f>
        <v>86022.720000000001</v>
      </c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5" customHeight="1">
      <c r="A219" s="843">
        <v>220</v>
      </c>
      <c r="B219" s="844" t="s">
        <v>3530</v>
      </c>
      <c r="C219" s="845">
        <v>250</v>
      </c>
      <c r="D219" s="845">
        <f t="shared" si="0"/>
        <v>3000</v>
      </c>
      <c r="E219" s="846">
        <v>2997</v>
      </c>
      <c r="F219" s="846">
        <f t="shared" si="1"/>
        <v>749250</v>
      </c>
      <c r="G219" s="847">
        <f>F219*12</f>
        <v>8991000</v>
      </c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5" customHeight="1">
      <c r="A220" s="843">
        <v>221</v>
      </c>
      <c r="B220" s="844" t="s">
        <v>3531</v>
      </c>
      <c r="C220" s="845">
        <v>150</v>
      </c>
      <c r="D220" s="845">
        <f t="shared" si="0"/>
        <v>1800</v>
      </c>
      <c r="E220" s="846">
        <v>25530</v>
      </c>
      <c r="F220" s="846">
        <f t="shared" si="1"/>
        <v>3829500</v>
      </c>
      <c r="G220" s="847">
        <f>F220*12</f>
        <v>45954000</v>
      </c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5" customHeight="1">
      <c r="A221" s="843">
        <v>223</v>
      </c>
      <c r="B221" s="844" t="s">
        <v>3532</v>
      </c>
      <c r="C221" s="845">
        <v>100</v>
      </c>
      <c r="D221" s="845">
        <f t="shared" si="0"/>
        <v>1200</v>
      </c>
      <c r="E221" s="846">
        <v>5827.5039999999999</v>
      </c>
      <c r="F221" s="846">
        <f t="shared" si="1"/>
        <v>582750.4</v>
      </c>
      <c r="G221" s="847">
        <f>F221*12</f>
        <v>6993004.8000000007</v>
      </c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5" customHeight="1">
      <c r="A222" s="843">
        <v>224</v>
      </c>
      <c r="B222" s="844" t="s">
        <v>3533</v>
      </c>
      <c r="C222" s="845">
        <v>17</v>
      </c>
      <c r="D222" s="845">
        <f t="shared" si="0"/>
        <v>204</v>
      </c>
      <c r="E222" s="846">
        <v>267.59999999999997</v>
      </c>
      <c r="F222" s="846">
        <f t="shared" si="1"/>
        <v>4549.2</v>
      </c>
      <c r="G222" s="847">
        <f>F222*12</f>
        <v>54590.399999999994</v>
      </c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5" customHeight="1">
      <c r="A223" s="843">
        <v>225</v>
      </c>
      <c r="B223" s="844" t="s">
        <v>3534</v>
      </c>
      <c r="C223" s="845">
        <v>145</v>
      </c>
      <c r="D223" s="845">
        <f t="shared" si="0"/>
        <v>1740</v>
      </c>
      <c r="E223" s="846">
        <v>2963.152</v>
      </c>
      <c r="F223" s="846">
        <f t="shared" si="1"/>
        <v>429657.04</v>
      </c>
      <c r="G223" s="847">
        <f>F223*12</f>
        <v>5155884.4799999995</v>
      </c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5" customHeight="1">
      <c r="A224" s="843">
        <v>226</v>
      </c>
      <c r="B224" s="844" t="s">
        <v>3535</v>
      </c>
      <c r="C224" s="845">
        <v>40</v>
      </c>
      <c r="D224" s="845">
        <f t="shared" si="0"/>
        <v>480</v>
      </c>
      <c r="E224" s="846">
        <v>3041.4</v>
      </c>
      <c r="F224" s="846">
        <f t="shared" si="1"/>
        <v>121656</v>
      </c>
      <c r="G224" s="847">
        <f>F224*12</f>
        <v>1459872</v>
      </c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5" customHeight="1">
      <c r="A225" s="843">
        <v>227</v>
      </c>
      <c r="B225" s="844" t="s">
        <v>3536</v>
      </c>
      <c r="C225" s="845">
        <v>246</v>
      </c>
      <c r="D225" s="845">
        <f t="shared" si="0"/>
        <v>2952</v>
      </c>
      <c r="E225" s="846">
        <v>720.03200000000004</v>
      </c>
      <c r="F225" s="846">
        <f t="shared" si="1"/>
        <v>177127.872</v>
      </c>
      <c r="G225" s="847">
        <f>F225*12</f>
        <v>2125534.4640000002</v>
      </c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5" customHeight="1">
      <c r="A226" s="843">
        <v>228</v>
      </c>
      <c r="B226" s="844" t="s">
        <v>3537</v>
      </c>
      <c r="C226" s="845">
        <v>49</v>
      </c>
      <c r="D226" s="845">
        <f t="shared" si="0"/>
        <v>588</v>
      </c>
      <c r="E226" s="846">
        <v>170</v>
      </c>
      <c r="F226" s="846">
        <f t="shared" si="1"/>
        <v>8330</v>
      </c>
      <c r="G226" s="847">
        <f>F226*12</f>
        <v>99960</v>
      </c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5" customHeight="1">
      <c r="A227" s="843">
        <v>229</v>
      </c>
      <c r="B227" s="844" t="s">
        <v>3538</v>
      </c>
      <c r="C227" s="845">
        <v>9</v>
      </c>
      <c r="D227" s="845">
        <f t="shared" si="0"/>
        <v>108</v>
      </c>
      <c r="E227" s="846">
        <v>1545.008</v>
      </c>
      <c r="F227" s="846">
        <f t="shared" si="1"/>
        <v>13905.072</v>
      </c>
      <c r="G227" s="847">
        <f>F227*12</f>
        <v>166860.864</v>
      </c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5" customHeight="1">
      <c r="A228" s="843">
        <v>230</v>
      </c>
      <c r="B228" s="844" t="s">
        <v>3539</v>
      </c>
      <c r="C228" s="845">
        <v>143</v>
      </c>
      <c r="D228" s="845">
        <f t="shared" si="0"/>
        <v>1716</v>
      </c>
      <c r="E228" s="846">
        <v>150.744</v>
      </c>
      <c r="F228" s="846">
        <f t="shared" si="1"/>
        <v>21556.392</v>
      </c>
      <c r="G228" s="847">
        <f>F228*12</f>
        <v>258676.704</v>
      </c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5" customHeight="1">
      <c r="A229" s="843">
        <v>231</v>
      </c>
      <c r="B229" s="844" t="s">
        <v>3540</v>
      </c>
      <c r="C229" s="845">
        <v>6</v>
      </c>
      <c r="D229" s="845">
        <f t="shared" si="0"/>
        <v>72</v>
      </c>
      <c r="E229" s="846">
        <v>38000</v>
      </c>
      <c r="F229" s="846">
        <f t="shared" si="1"/>
        <v>228000</v>
      </c>
      <c r="G229" s="847">
        <f>F229*12</f>
        <v>2736000</v>
      </c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5" customHeight="1">
      <c r="A230" s="843">
        <v>232</v>
      </c>
      <c r="B230" s="844" t="s">
        <v>3541</v>
      </c>
      <c r="C230" s="845">
        <v>1342</v>
      </c>
      <c r="D230" s="845">
        <f t="shared" si="0"/>
        <v>16104</v>
      </c>
      <c r="E230" s="846">
        <v>151.99199999999999</v>
      </c>
      <c r="F230" s="846">
        <f t="shared" si="1"/>
        <v>203973.264</v>
      </c>
      <c r="G230" s="847">
        <f>F230*12</f>
        <v>2447679.1680000001</v>
      </c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5" customHeight="1">
      <c r="A231" s="843">
        <v>233</v>
      </c>
      <c r="B231" s="844" t="s">
        <v>3542</v>
      </c>
      <c r="C231" s="845">
        <v>100</v>
      </c>
      <c r="D231" s="845">
        <f t="shared" si="0"/>
        <v>1200</v>
      </c>
      <c r="E231" s="846">
        <v>151</v>
      </c>
      <c r="F231" s="846">
        <f t="shared" si="1"/>
        <v>15100</v>
      </c>
      <c r="G231" s="847">
        <f>F231*12</f>
        <v>181200</v>
      </c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5" customHeight="1">
      <c r="A232" s="843">
        <v>234</v>
      </c>
      <c r="B232" s="844" t="s">
        <v>3543</v>
      </c>
      <c r="C232" s="845">
        <v>9</v>
      </c>
      <c r="D232" s="845">
        <f t="shared" si="0"/>
        <v>108</v>
      </c>
      <c r="E232" s="846">
        <v>1150.3440000000001</v>
      </c>
      <c r="F232" s="846">
        <f t="shared" si="1"/>
        <v>10353.096000000001</v>
      </c>
      <c r="G232" s="847">
        <f>F232*12</f>
        <v>124237.15200000002</v>
      </c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5" customHeight="1">
      <c r="A233" s="843">
        <v>235</v>
      </c>
      <c r="B233" s="844" t="s">
        <v>3544</v>
      </c>
      <c r="C233" s="845">
        <v>165</v>
      </c>
      <c r="D233" s="845">
        <f t="shared" si="0"/>
        <v>1980</v>
      </c>
      <c r="E233" s="846">
        <v>2331</v>
      </c>
      <c r="F233" s="846">
        <f t="shared" si="1"/>
        <v>384615</v>
      </c>
      <c r="G233" s="847">
        <f>F233*12</f>
        <v>4615380</v>
      </c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5" customHeight="1">
      <c r="A234" s="843">
        <v>237</v>
      </c>
      <c r="B234" s="844" t="s">
        <v>3545</v>
      </c>
      <c r="C234" s="845">
        <v>150</v>
      </c>
      <c r="D234" s="845">
        <f t="shared" si="0"/>
        <v>1800</v>
      </c>
      <c r="E234" s="846">
        <v>4500</v>
      </c>
      <c r="F234" s="846">
        <f t="shared" si="1"/>
        <v>675000</v>
      </c>
      <c r="G234" s="847">
        <f>F234*12</f>
        <v>8100000</v>
      </c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5" customHeight="1">
      <c r="A235" s="843">
        <v>238</v>
      </c>
      <c r="B235" s="844" t="s">
        <v>3546</v>
      </c>
      <c r="C235" s="845">
        <v>2</v>
      </c>
      <c r="D235" s="845">
        <f t="shared" si="0"/>
        <v>24</v>
      </c>
      <c r="E235" s="846">
        <v>139860</v>
      </c>
      <c r="F235" s="846">
        <f t="shared" si="1"/>
        <v>279720</v>
      </c>
      <c r="G235" s="847">
        <f>F235*12</f>
        <v>3356640</v>
      </c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5" customHeight="1">
      <c r="A236" s="843">
        <v>239</v>
      </c>
      <c r="B236" s="844" t="s">
        <v>3547</v>
      </c>
      <c r="C236" s="845">
        <v>1229.67</v>
      </c>
      <c r="D236" s="845">
        <f t="shared" si="0"/>
        <v>14756.04</v>
      </c>
      <c r="E236" s="846">
        <v>366.55200000000002</v>
      </c>
      <c r="F236" s="846">
        <f t="shared" si="1"/>
        <v>450737.99784000003</v>
      </c>
      <c r="G236" s="847">
        <f>F236*12</f>
        <v>5408855.9740800001</v>
      </c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5" customHeight="1">
      <c r="A237" s="843">
        <v>240</v>
      </c>
      <c r="B237" s="844" t="s">
        <v>3548</v>
      </c>
      <c r="C237" s="845">
        <v>1</v>
      </c>
      <c r="D237" s="845">
        <f t="shared" si="0"/>
        <v>12</v>
      </c>
      <c r="E237" s="846">
        <v>7680</v>
      </c>
      <c r="F237" s="846">
        <f t="shared" si="1"/>
        <v>7680</v>
      </c>
      <c r="G237" s="847">
        <f>F237*12</f>
        <v>92160</v>
      </c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5" customHeight="1">
      <c r="A238" s="843">
        <v>241</v>
      </c>
      <c r="B238" s="844" t="s">
        <v>3549</v>
      </c>
      <c r="C238" s="845">
        <v>150</v>
      </c>
      <c r="D238" s="845">
        <f t="shared" si="0"/>
        <v>1800</v>
      </c>
      <c r="E238" s="846">
        <v>1832</v>
      </c>
      <c r="F238" s="846">
        <f t="shared" si="1"/>
        <v>274800</v>
      </c>
      <c r="G238" s="847">
        <f>F238*12</f>
        <v>3297600</v>
      </c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5" customHeight="1">
      <c r="A239" s="843">
        <v>242</v>
      </c>
      <c r="B239" s="844" t="s">
        <v>3550</v>
      </c>
      <c r="C239" s="845">
        <v>50</v>
      </c>
      <c r="D239" s="845">
        <f t="shared" si="0"/>
        <v>600</v>
      </c>
      <c r="E239" s="846">
        <v>434.35199999999998</v>
      </c>
      <c r="F239" s="846">
        <f t="shared" si="1"/>
        <v>21717.599999999999</v>
      </c>
      <c r="G239" s="847">
        <f>F239*12</f>
        <v>260611.19999999998</v>
      </c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5" customHeight="1">
      <c r="A240" s="843">
        <v>245</v>
      </c>
      <c r="B240" s="844" t="s">
        <v>3551</v>
      </c>
      <c r="C240" s="845">
        <v>5</v>
      </c>
      <c r="D240" s="845">
        <f t="shared" si="0"/>
        <v>60</v>
      </c>
      <c r="E240" s="846">
        <v>19432</v>
      </c>
      <c r="F240" s="846">
        <f t="shared" si="1"/>
        <v>97160</v>
      </c>
      <c r="G240" s="847">
        <f>F240*12</f>
        <v>1165920</v>
      </c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5" customHeight="1">
      <c r="A241" s="843">
        <v>246</v>
      </c>
      <c r="B241" s="844" t="s">
        <v>3552</v>
      </c>
      <c r="C241" s="845">
        <v>10</v>
      </c>
      <c r="D241" s="845">
        <f t="shared" si="0"/>
        <v>120</v>
      </c>
      <c r="E241" s="846">
        <v>28058.799999999999</v>
      </c>
      <c r="F241" s="846">
        <f t="shared" si="1"/>
        <v>280588</v>
      </c>
      <c r="G241" s="847">
        <f>F241*12</f>
        <v>3367056</v>
      </c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5" customHeight="1">
      <c r="A242" s="843">
        <v>248</v>
      </c>
      <c r="B242" s="844" t="s">
        <v>3553</v>
      </c>
      <c r="C242" s="845">
        <v>120</v>
      </c>
      <c r="D242" s="845">
        <f t="shared" si="0"/>
        <v>1440</v>
      </c>
      <c r="E242" s="846">
        <v>4995</v>
      </c>
      <c r="F242" s="846">
        <f t="shared" si="1"/>
        <v>599400</v>
      </c>
      <c r="G242" s="847">
        <f>F242*12</f>
        <v>7192800</v>
      </c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5" customHeight="1">
      <c r="A243" s="843">
        <v>249</v>
      </c>
      <c r="B243" s="844" t="s">
        <v>3554</v>
      </c>
      <c r="C243" s="845">
        <v>20</v>
      </c>
      <c r="D243" s="845">
        <f t="shared" si="0"/>
        <v>240</v>
      </c>
      <c r="E243" s="846">
        <v>2497.5040000000004</v>
      </c>
      <c r="F243" s="846">
        <f t="shared" si="1"/>
        <v>49950.080000000009</v>
      </c>
      <c r="G243" s="847">
        <f>F243*12</f>
        <v>599400.96000000008</v>
      </c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5" customHeight="1">
      <c r="A244" s="843">
        <v>250</v>
      </c>
      <c r="B244" s="844" t="s">
        <v>3555</v>
      </c>
      <c r="C244" s="845">
        <v>200</v>
      </c>
      <c r="D244" s="845">
        <f t="shared" si="0"/>
        <v>2400</v>
      </c>
      <c r="E244" s="846">
        <v>1727.3040000000001</v>
      </c>
      <c r="F244" s="846">
        <f t="shared" si="1"/>
        <v>345460.80000000005</v>
      </c>
      <c r="G244" s="847">
        <f>F244*12</f>
        <v>4145529.6000000006</v>
      </c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5" customHeight="1">
      <c r="A245" s="843">
        <v>251</v>
      </c>
      <c r="B245" s="844" t="s">
        <v>3556</v>
      </c>
      <c r="C245" s="845">
        <v>50</v>
      </c>
      <c r="D245" s="845">
        <f t="shared" si="0"/>
        <v>600</v>
      </c>
      <c r="E245" s="846">
        <v>23922.483047619047</v>
      </c>
      <c r="F245" s="846">
        <f t="shared" si="1"/>
        <v>1196124.1523809524</v>
      </c>
      <c r="G245" s="847">
        <f>F245*12</f>
        <v>14353489.828571428</v>
      </c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5" customHeight="1">
      <c r="A246" s="843">
        <v>252</v>
      </c>
      <c r="B246" s="844" t="s">
        <v>3557</v>
      </c>
      <c r="C246" s="845">
        <v>39</v>
      </c>
      <c r="D246" s="845">
        <f t="shared" si="0"/>
        <v>468</v>
      </c>
      <c r="E246" s="846">
        <v>10897.432000000001</v>
      </c>
      <c r="F246" s="846">
        <f t="shared" si="1"/>
        <v>424999.848</v>
      </c>
      <c r="G246" s="847">
        <f>F246*12</f>
        <v>5099998.176</v>
      </c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5" customHeight="1">
      <c r="A247" s="843">
        <v>253</v>
      </c>
      <c r="B247" s="844" t="s">
        <v>3558</v>
      </c>
      <c r="C247" s="845">
        <v>300</v>
      </c>
      <c r="D247" s="845">
        <f t="shared" si="0"/>
        <v>3600</v>
      </c>
      <c r="E247" s="846">
        <v>1082.248</v>
      </c>
      <c r="F247" s="846">
        <f t="shared" si="1"/>
        <v>324674.40000000002</v>
      </c>
      <c r="G247" s="847">
        <f>F247*12</f>
        <v>3896092.8000000003</v>
      </c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5" customHeight="1">
      <c r="A248" s="843">
        <v>254</v>
      </c>
      <c r="B248" s="844" t="s">
        <v>3559</v>
      </c>
      <c r="C248" s="845">
        <v>10</v>
      </c>
      <c r="D248" s="845">
        <f t="shared" si="0"/>
        <v>120</v>
      </c>
      <c r="E248" s="846">
        <v>9990</v>
      </c>
      <c r="F248" s="846">
        <f t="shared" si="1"/>
        <v>99900</v>
      </c>
      <c r="G248" s="847">
        <f>F248*12</f>
        <v>1198800</v>
      </c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5" customHeight="1">
      <c r="A249" s="843">
        <v>255</v>
      </c>
      <c r="B249" s="844" t="s">
        <v>3560</v>
      </c>
      <c r="C249" s="845">
        <v>50</v>
      </c>
      <c r="D249" s="845">
        <f t="shared" si="0"/>
        <v>600</v>
      </c>
      <c r="E249" s="846">
        <v>10500</v>
      </c>
      <c r="F249" s="846">
        <f t="shared" si="1"/>
        <v>525000</v>
      </c>
      <c r="G249" s="847">
        <f>F249*12</f>
        <v>6300000</v>
      </c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5" customHeight="1">
      <c r="A250" s="843">
        <v>256</v>
      </c>
      <c r="B250" s="844" t="s">
        <v>3561</v>
      </c>
      <c r="C250" s="845">
        <v>20</v>
      </c>
      <c r="D250" s="845">
        <f t="shared" si="0"/>
        <v>240</v>
      </c>
      <c r="E250" s="846">
        <v>58441.504000000001</v>
      </c>
      <c r="F250" s="846">
        <f t="shared" si="1"/>
        <v>1168830.08</v>
      </c>
      <c r="G250" s="847">
        <f>F250*12</f>
        <v>14025960.960000001</v>
      </c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5" customHeight="1">
      <c r="A251" s="843">
        <v>257</v>
      </c>
      <c r="B251" s="844" t="s">
        <v>3562</v>
      </c>
      <c r="C251" s="845">
        <v>120</v>
      </c>
      <c r="D251" s="845">
        <f t="shared" si="0"/>
        <v>1440</v>
      </c>
      <c r="E251" s="846">
        <v>2697.3040000000001</v>
      </c>
      <c r="F251" s="846">
        <f t="shared" si="1"/>
        <v>323676.48</v>
      </c>
      <c r="G251" s="847">
        <f>F251*12</f>
        <v>3884117.76</v>
      </c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5" customHeight="1">
      <c r="A252" s="843">
        <v>258</v>
      </c>
      <c r="B252" s="844" t="s">
        <v>3563</v>
      </c>
      <c r="C252" s="845">
        <v>1</v>
      </c>
      <c r="D252" s="845">
        <f t="shared" si="0"/>
        <v>12</v>
      </c>
      <c r="E252" s="846">
        <v>14541</v>
      </c>
      <c r="F252" s="846">
        <f t="shared" si="1"/>
        <v>14541</v>
      </c>
      <c r="G252" s="847">
        <f>F252*12</f>
        <v>174492</v>
      </c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5" customHeight="1">
      <c r="A253" s="843">
        <v>259</v>
      </c>
      <c r="B253" s="844" t="s">
        <v>3564</v>
      </c>
      <c r="C253" s="845">
        <v>1</v>
      </c>
      <c r="D253" s="845">
        <f t="shared" si="0"/>
        <v>12</v>
      </c>
      <c r="E253" s="846">
        <v>12737.248</v>
      </c>
      <c r="F253" s="846">
        <f t="shared" si="1"/>
        <v>12737.248</v>
      </c>
      <c r="G253" s="847">
        <f>F253*12</f>
        <v>152846.976</v>
      </c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5" customHeight="1">
      <c r="A254" s="843">
        <v>260</v>
      </c>
      <c r="B254" s="844" t="s">
        <v>3565</v>
      </c>
      <c r="C254" s="845">
        <v>50</v>
      </c>
      <c r="D254" s="845">
        <f t="shared" si="0"/>
        <v>600</v>
      </c>
      <c r="E254" s="846">
        <v>41070</v>
      </c>
      <c r="F254" s="846">
        <f t="shared" si="1"/>
        <v>2053500</v>
      </c>
      <c r="G254" s="847">
        <f>F254*12</f>
        <v>24642000</v>
      </c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5" customHeight="1">
      <c r="A255" s="843">
        <v>261</v>
      </c>
      <c r="B255" s="844" t="s">
        <v>3566</v>
      </c>
      <c r="C255" s="845">
        <v>200</v>
      </c>
      <c r="D255" s="845">
        <f t="shared" si="0"/>
        <v>2400</v>
      </c>
      <c r="E255" s="846">
        <v>1037.848</v>
      </c>
      <c r="F255" s="846">
        <f t="shared" si="1"/>
        <v>207569.59999999998</v>
      </c>
      <c r="G255" s="847">
        <f>F255*12</f>
        <v>2490835.1999999997</v>
      </c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5" customHeight="1">
      <c r="A256" s="843">
        <v>262</v>
      </c>
      <c r="B256" s="844" t="s">
        <v>3567</v>
      </c>
      <c r="C256" s="845">
        <v>1</v>
      </c>
      <c r="D256" s="845">
        <f t="shared" si="0"/>
        <v>12</v>
      </c>
      <c r="E256" s="846">
        <v>27750</v>
      </c>
      <c r="F256" s="846">
        <f t="shared" si="1"/>
        <v>27750</v>
      </c>
      <c r="G256" s="847">
        <f>F256*12</f>
        <v>333000</v>
      </c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5" customHeight="1">
      <c r="A257" s="843">
        <v>263</v>
      </c>
      <c r="B257" s="844" t="s">
        <v>3568</v>
      </c>
      <c r="C257" s="845">
        <v>1</v>
      </c>
      <c r="D257" s="845">
        <f t="shared" si="0"/>
        <v>12</v>
      </c>
      <c r="E257" s="846">
        <v>69375</v>
      </c>
      <c r="F257" s="846">
        <f t="shared" si="1"/>
        <v>69375</v>
      </c>
      <c r="G257" s="847">
        <f>F257*12</f>
        <v>832500</v>
      </c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5" customHeight="1">
      <c r="A258" s="843">
        <v>264</v>
      </c>
      <c r="B258" s="844" t="s">
        <v>3569</v>
      </c>
      <c r="C258" s="845">
        <v>300</v>
      </c>
      <c r="D258" s="845">
        <f t="shared" si="0"/>
        <v>3600</v>
      </c>
      <c r="E258" s="846">
        <v>801</v>
      </c>
      <c r="F258" s="846">
        <f t="shared" si="1"/>
        <v>240300</v>
      </c>
      <c r="G258" s="847">
        <f>F258*12</f>
        <v>2883600</v>
      </c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5" customHeight="1">
      <c r="A259" s="843">
        <v>265</v>
      </c>
      <c r="B259" s="844" t="s">
        <v>3570</v>
      </c>
      <c r="C259" s="845">
        <v>3</v>
      </c>
      <c r="D259" s="845">
        <f t="shared" si="0"/>
        <v>36</v>
      </c>
      <c r="E259" s="846">
        <v>6338.6640000000007</v>
      </c>
      <c r="F259" s="846">
        <f t="shared" si="1"/>
        <v>19015.992000000002</v>
      </c>
      <c r="G259" s="847">
        <f>F259*12</f>
        <v>228191.90400000004</v>
      </c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5" customHeight="1">
      <c r="A260" s="843">
        <v>266</v>
      </c>
      <c r="B260" s="844" t="s">
        <v>3571</v>
      </c>
      <c r="C260" s="845">
        <v>400</v>
      </c>
      <c r="D260" s="845">
        <f t="shared" si="0"/>
        <v>4800</v>
      </c>
      <c r="E260" s="846">
        <v>224.6</v>
      </c>
      <c r="F260" s="846">
        <f t="shared" si="1"/>
        <v>89840</v>
      </c>
      <c r="G260" s="847">
        <f>F260*12</f>
        <v>1078080</v>
      </c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5" customHeight="1">
      <c r="A261" s="843">
        <v>267</v>
      </c>
      <c r="B261" s="844" t="s">
        <v>3572</v>
      </c>
      <c r="C261" s="845">
        <v>1000</v>
      </c>
      <c r="D261" s="845">
        <f t="shared" si="0"/>
        <v>12000</v>
      </c>
      <c r="E261" s="846">
        <v>392.67200000000003</v>
      </c>
      <c r="F261" s="846">
        <f t="shared" si="1"/>
        <v>392672</v>
      </c>
      <c r="G261" s="847">
        <f>F261*12</f>
        <v>4712064</v>
      </c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5" customHeight="1">
      <c r="A262" s="843">
        <v>268</v>
      </c>
      <c r="B262" s="844" t="s">
        <v>3573</v>
      </c>
      <c r="C262" s="845">
        <v>15</v>
      </c>
      <c r="D262" s="845">
        <f t="shared" si="0"/>
        <v>180</v>
      </c>
      <c r="E262" s="846">
        <v>5556.1120000000001</v>
      </c>
      <c r="F262" s="846">
        <f t="shared" si="1"/>
        <v>83341.680000000008</v>
      </c>
      <c r="G262" s="847">
        <f>F262*12</f>
        <v>1000100.1600000001</v>
      </c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5" customHeight="1">
      <c r="A263" s="843">
        <v>269</v>
      </c>
      <c r="B263" s="844" t="s">
        <v>3574</v>
      </c>
      <c r="C263" s="845">
        <v>1000</v>
      </c>
      <c r="D263" s="845">
        <f t="shared" si="0"/>
        <v>12000</v>
      </c>
      <c r="E263" s="846">
        <v>1</v>
      </c>
      <c r="F263" s="846">
        <f t="shared" si="1"/>
        <v>1000</v>
      </c>
      <c r="G263" s="847">
        <f>F263*12</f>
        <v>12000</v>
      </c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5" customHeight="1">
      <c r="A264" s="843">
        <v>270</v>
      </c>
      <c r="B264" s="844" t="s">
        <v>3575</v>
      </c>
      <c r="C264" s="845">
        <v>3000</v>
      </c>
      <c r="D264" s="845">
        <f t="shared" si="0"/>
        <v>36000</v>
      </c>
      <c r="E264" s="846">
        <v>1</v>
      </c>
      <c r="F264" s="846">
        <f t="shared" si="1"/>
        <v>3000</v>
      </c>
      <c r="G264" s="847">
        <f>F264*12</f>
        <v>36000</v>
      </c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5" customHeight="1">
      <c r="A265" s="843">
        <v>271</v>
      </c>
      <c r="B265" s="844" t="s">
        <v>3576</v>
      </c>
      <c r="C265" s="845">
        <v>20</v>
      </c>
      <c r="D265" s="845">
        <f t="shared" si="0"/>
        <v>240</v>
      </c>
      <c r="E265" s="846">
        <v>6808.192</v>
      </c>
      <c r="F265" s="846">
        <f t="shared" si="1"/>
        <v>136163.84</v>
      </c>
      <c r="G265" s="847">
        <f>F265*12</f>
        <v>1633966.0800000001</v>
      </c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5" customHeight="1">
      <c r="A266" s="843">
        <v>272</v>
      </c>
      <c r="B266" s="844" t="s">
        <v>3577</v>
      </c>
      <c r="C266" s="845">
        <v>600</v>
      </c>
      <c r="D266" s="845">
        <f t="shared" si="0"/>
        <v>7200</v>
      </c>
      <c r="E266" s="846">
        <v>336.904</v>
      </c>
      <c r="F266" s="846">
        <f t="shared" si="1"/>
        <v>202142.4</v>
      </c>
      <c r="G266" s="847">
        <f>F266*12</f>
        <v>2425708.7999999998</v>
      </c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5" customHeight="1">
      <c r="A267" s="843">
        <v>273</v>
      </c>
      <c r="B267" s="844" t="s">
        <v>3578</v>
      </c>
      <c r="C267" s="845">
        <v>9</v>
      </c>
      <c r="D267" s="845">
        <f t="shared" si="0"/>
        <v>108</v>
      </c>
      <c r="E267" s="846">
        <v>5283.6</v>
      </c>
      <c r="F267" s="846">
        <f t="shared" si="1"/>
        <v>47552.4</v>
      </c>
      <c r="G267" s="847">
        <f>F267*12</f>
        <v>570628.80000000005</v>
      </c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5" customHeight="1">
      <c r="A268" s="843">
        <v>274</v>
      </c>
      <c r="B268" s="844" t="s">
        <v>3579</v>
      </c>
      <c r="C268" s="845">
        <v>277</v>
      </c>
      <c r="D268" s="845">
        <f t="shared" si="0"/>
        <v>3324</v>
      </c>
      <c r="E268" s="846">
        <v>1776</v>
      </c>
      <c r="F268" s="846">
        <f t="shared" si="1"/>
        <v>491952</v>
      </c>
      <c r="G268" s="847">
        <f>F268*12</f>
        <v>5903424</v>
      </c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5" customHeight="1">
      <c r="A269" s="843">
        <v>275</v>
      </c>
      <c r="B269" s="844" t="s">
        <v>3580</v>
      </c>
      <c r="C269" s="845">
        <v>194</v>
      </c>
      <c r="D269" s="845">
        <f t="shared" si="0"/>
        <v>2328</v>
      </c>
      <c r="E269" s="846">
        <v>1154.4000000000001</v>
      </c>
      <c r="F269" s="846">
        <f t="shared" si="1"/>
        <v>223953.6</v>
      </c>
      <c r="G269" s="847">
        <f>F269*12</f>
        <v>2687443.2</v>
      </c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5" customHeight="1">
      <c r="A270" s="843">
        <v>276</v>
      </c>
      <c r="B270" s="844" t="s">
        <v>3581</v>
      </c>
      <c r="C270" s="845">
        <v>36</v>
      </c>
      <c r="D270" s="845">
        <f t="shared" si="0"/>
        <v>432</v>
      </c>
      <c r="E270" s="846">
        <v>4727.6640000000007</v>
      </c>
      <c r="F270" s="846">
        <f t="shared" si="1"/>
        <v>170195.90400000004</v>
      </c>
      <c r="G270" s="847">
        <f>F270*12</f>
        <v>2042350.8480000005</v>
      </c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5" customHeight="1">
      <c r="A271" s="843">
        <v>277</v>
      </c>
      <c r="B271" s="844" t="s">
        <v>3582</v>
      </c>
      <c r="C271" s="845">
        <v>47</v>
      </c>
      <c r="D271" s="845">
        <f t="shared" si="0"/>
        <v>564</v>
      </c>
      <c r="E271" s="846">
        <v>48840</v>
      </c>
      <c r="F271" s="846">
        <f t="shared" si="1"/>
        <v>2295480</v>
      </c>
      <c r="G271" s="847">
        <f>F271*12</f>
        <v>27545760</v>
      </c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5" customHeight="1">
      <c r="A272" s="843">
        <v>278</v>
      </c>
      <c r="B272" s="844" t="s">
        <v>3583</v>
      </c>
      <c r="C272" s="845">
        <v>4</v>
      </c>
      <c r="D272" s="845">
        <f t="shared" si="0"/>
        <v>48</v>
      </c>
      <c r="E272" s="846">
        <v>26927.488000000001</v>
      </c>
      <c r="F272" s="846">
        <f t="shared" si="1"/>
        <v>107709.952</v>
      </c>
      <c r="G272" s="847">
        <f>F272*12</f>
        <v>1292519.4240000001</v>
      </c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5" customHeight="1">
      <c r="A273" s="843">
        <v>279</v>
      </c>
      <c r="B273" s="844" t="s">
        <v>3584</v>
      </c>
      <c r="C273" s="845">
        <v>95</v>
      </c>
      <c r="D273" s="845">
        <f t="shared" si="0"/>
        <v>1140</v>
      </c>
      <c r="E273" s="846">
        <v>1493.8</v>
      </c>
      <c r="F273" s="846">
        <f t="shared" si="1"/>
        <v>141911</v>
      </c>
      <c r="G273" s="847">
        <f>F273*12</f>
        <v>1702932</v>
      </c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5" customHeight="1">
      <c r="A274" s="843">
        <v>280</v>
      </c>
      <c r="B274" s="844" t="s">
        <v>3585</v>
      </c>
      <c r="C274" s="845">
        <v>327</v>
      </c>
      <c r="D274" s="845">
        <f t="shared" si="0"/>
        <v>3924</v>
      </c>
      <c r="E274" s="846">
        <v>2165</v>
      </c>
      <c r="F274" s="846">
        <f t="shared" si="1"/>
        <v>707955</v>
      </c>
      <c r="G274" s="847">
        <f>F274*12</f>
        <v>8495460</v>
      </c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5" customHeight="1">
      <c r="A275" s="843">
        <v>281</v>
      </c>
      <c r="B275" s="844" t="s">
        <v>3586</v>
      </c>
      <c r="C275" s="845">
        <v>1</v>
      </c>
      <c r="D275" s="845">
        <f t="shared" si="0"/>
        <v>12</v>
      </c>
      <c r="E275" s="846">
        <v>19592</v>
      </c>
      <c r="F275" s="846">
        <f t="shared" si="1"/>
        <v>19592</v>
      </c>
      <c r="G275" s="847">
        <f>F275*12</f>
        <v>235104</v>
      </c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5" customHeight="1">
      <c r="A276" s="843">
        <v>282</v>
      </c>
      <c r="B276" s="844" t="s">
        <v>3587</v>
      </c>
      <c r="C276" s="845">
        <v>40</v>
      </c>
      <c r="D276" s="845">
        <f t="shared" si="0"/>
        <v>480</v>
      </c>
      <c r="E276" s="846">
        <v>36008.400000000001</v>
      </c>
      <c r="F276" s="846">
        <f t="shared" si="1"/>
        <v>1440336</v>
      </c>
      <c r="G276" s="847">
        <f>F276*12</f>
        <v>17284032</v>
      </c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5" customHeight="1">
      <c r="A277" s="843">
        <v>283</v>
      </c>
      <c r="B277" s="844" t="s">
        <v>3588</v>
      </c>
      <c r="C277" s="845">
        <v>2</v>
      </c>
      <c r="D277" s="845">
        <f t="shared" si="0"/>
        <v>24</v>
      </c>
      <c r="E277" s="846">
        <v>13680.751999999999</v>
      </c>
      <c r="F277" s="846">
        <f t="shared" si="1"/>
        <v>27361.503999999997</v>
      </c>
      <c r="G277" s="847">
        <f>F277*12</f>
        <v>328338.04799999995</v>
      </c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5" customHeight="1">
      <c r="A278" s="843">
        <v>284</v>
      </c>
      <c r="B278" s="844" t="s">
        <v>3589</v>
      </c>
      <c r="C278" s="845">
        <v>4</v>
      </c>
      <c r="D278" s="845">
        <f t="shared" si="0"/>
        <v>48</v>
      </c>
      <c r="E278" s="846">
        <v>18890.2</v>
      </c>
      <c r="F278" s="846">
        <f t="shared" si="1"/>
        <v>75560.800000000003</v>
      </c>
      <c r="G278" s="847">
        <f>F278*12</f>
        <v>906729.60000000009</v>
      </c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5" customHeight="1">
      <c r="A279" s="843">
        <v>285</v>
      </c>
      <c r="B279" s="844" t="s">
        <v>3590</v>
      </c>
      <c r="C279" s="845">
        <v>451</v>
      </c>
      <c r="D279" s="845">
        <f t="shared" si="0"/>
        <v>5412</v>
      </c>
      <c r="E279" s="846">
        <v>1776</v>
      </c>
      <c r="F279" s="846">
        <f t="shared" si="1"/>
        <v>800976</v>
      </c>
      <c r="G279" s="847">
        <f>F279*12</f>
        <v>9611712</v>
      </c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5" customHeight="1">
      <c r="A280" s="843">
        <v>286</v>
      </c>
      <c r="B280" s="844" t="s">
        <v>3591</v>
      </c>
      <c r="C280" s="845">
        <v>718</v>
      </c>
      <c r="D280" s="845">
        <f t="shared" si="0"/>
        <v>8616</v>
      </c>
      <c r="E280" s="846">
        <v>1000</v>
      </c>
      <c r="F280" s="846">
        <f t="shared" si="1"/>
        <v>718000</v>
      </c>
      <c r="G280" s="847">
        <f>F280*12</f>
        <v>8616000</v>
      </c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5" customHeight="1">
      <c r="A281" s="843">
        <v>287</v>
      </c>
      <c r="B281" s="844" t="s">
        <v>3592</v>
      </c>
      <c r="C281" s="845">
        <v>152</v>
      </c>
      <c r="D281" s="845">
        <f t="shared" si="0"/>
        <v>1824</v>
      </c>
      <c r="E281" s="846">
        <v>1332</v>
      </c>
      <c r="F281" s="846">
        <f t="shared" si="1"/>
        <v>202464</v>
      </c>
      <c r="G281" s="847">
        <f>F281*12</f>
        <v>2429568</v>
      </c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5" customHeight="1">
      <c r="A282" s="843">
        <v>288</v>
      </c>
      <c r="B282" s="844" t="s">
        <v>3593</v>
      </c>
      <c r="C282" s="845">
        <v>1</v>
      </c>
      <c r="D282" s="845">
        <f t="shared" si="0"/>
        <v>12</v>
      </c>
      <c r="E282" s="846">
        <v>69375</v>
      </c>
      <c r="F282" s="846">
        <f t="shared" si="1"/>
        <v>69375</v>
      </c>
      <c r="G282" s="847">
        <f>F282*12</f>
        <v>832500</v>
      </c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5" customHeight="1">
      <c r="A283" s="843">
        <v>289</v>
      </c>
      <c r="B283" s="844" t="s">
        <v>3594</v>
      </c>
      <c r="C283" s="845">
        <v>5</v>
      </c>
      <c r="D283" s="845">
        <f t="shared" si="0"/>
        <v>60</v>
      </c>
      <c r="E283" s="846">
        <v>27750</v>
      </c>
      <c r="F283" s="846">
        <f t="shared" si="1"/>
        <v>138750</v>
      </c>
      <c r="G283" s="847">
        <f>F283*12</f>
        <v>1665000</v>
      </c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5" customHeight="1">
      <c r="A284" s="843">
        <v>290</v>
      </c>
      <c r="B284" s="844" t="s">
        <v>3595</v>
      </c>
      <c r="C284" s="845">
        <v>130</v>
      </c>
      <c r="D284" s="845">
        <f t="shared" si="0"/>
        <v>1560</v>
      </c>
      <c r="E284" s="846">
        <v>27750</v>
      </c>
      <c r="F284" s="846">
        <f t="shared" si="1"/>
        <v>3607500</v>
      </c>
      <c r="G284" s="847">
        <f>F284*12</f>
        <v>43290000</v>
      </c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5" customHeight="1">
      <c r="A285" s="843">
        <v>291</v>
      </c>
      <c r="B285" s="844" t="s">
        <v>3596</v>
      </c>
      <c r="C285" s="845">
        <v>2</v>
      </c>
      <c r="D285" s="845">
        <f t="shared" si="0"/>
        <v>24</v>
      </c>
      <c r="E285" s="846">
        <v>27750</v>
      </c>
      <c r="F285" s="846">
        <f t="shared" si="1"/>
        <v>55500</v>
      </c>
      <c r="G285" s="847">
        <f>F285*12</f>
        <v>666000</v>
      </c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5" customHeight="1">
      <c r="A286" s="843">
        <v>292</v>
      </c>
      <c r="B286" s="844" t="s">
        <v>3597</v>
      </c>
      <c r="C286" s="845">
        <v>2</v>
      </c>
      <c r="D286" s="845">
        <f t="shared" si="0"/>
        <v>24</v>
      </c>
      <c r="E286" s="846">
        <v>24420</v>
      </c>
      <c r="F286" s="846">
        <f t="shared" si="1"/>
        <v>48840</v>
      </c>
      <c r="G286" s="847">
        <f>F286*12</f>
        <v>586080</v>
      </c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5" customHeight="1">
      <c r="A287" s="843">
        <v>293</v>
      </c>
      <c r="B287" s="844" t="s">
        <v>3598</v>
      </c>
      <c r="C287" s="845">
        <v>1</v>
      </c>
      <c r="D287" s="845">
        <f t="shared" si="0"/>
        <v>12</v>
      </c>
      <c r="E287" s="846">
        <v>27750</v>
      </c>
      <c r="F287" s="846">
        <f t="shared" si="1"/>
        <v>27750</v>
      </c>
      <c r="G287" s="847">
        <f>F287*12</f>
        <v>333000</v>
      </c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5" customHeight="1">
      <c r="A288" s="843">
        <v>294</v>
      </c>
      <c r="B288" s="844" t="s">
        <v>3599</v>
      </c>
      <c r="C288" s="845">
        <v>5</v>
      </c>
      <c r="D288" s="845">
        <f t="shared" si="0"/>
        <v>60</v>
      </c>
      <c r="E288" s="846">
        <v>75000</v>
      </c>
      <c r="F288" s="846">
        <f t="shared" si="1"/>
        <v>375000</v>
      </c>
      <c r="G288" s="847">
        <f>F288*12</f>
        <v>4500000</v>
      </c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5" customHeight="1">
      <c r="A289" s="843">
        <v>295</v>
      </c>
      <c r="B289" s="844" t="s">
        <v>3600</v>
      </c>
      <c r="C289" s="845">
        <v>10</v>
      </c>
      <c r="D289" s="845">
        <f t="shared" si="0"/>
        <v>120</v>
      </c>
      <c r="E289" s="846">
        <v>91575</v>
      </c>
      <c r="F289" s="846">
        <f t="shared" si="1"/>
        <v>915750</v>
      </c>
      <c r="G289" s="847">
        <f>F289*12</f>
        <v>10989000</v>
      </c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5" customHeight="1">
      <c r="A290" s="843">
        <v>296</v>
      </c>
      <c r="B290" s="844" t="s">
        <v>3601</v>
      </c>
      <c r="C290" s="845">
        <v>30</v>
      </c>
      <c r="D290" s="845">
        <f t="shared" si="0"/>
        <v>360</v>
      </c>
      <c r="E290" s="846">
        <v>3227.328</v>
      </c>
      <c r="F290" s="846">
        <f t="shared" si="1"/>
        <v>96819.839999999997</v>
      </c>
      <c r="G290" s="847">
        <f>F290*12</f>
        <v>1161838.0800000001</v>
      </c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5" customHeight="1">
      <c r="A291" s="843">
        <v>297</v>
      </c>
      <c r="B291" s="844" t="s">
        <v>3602</v>
      </c>
      <c r="C291" s="845">
        <v>1</v>
      </c>
      <c r="D291" s="845">
        <f t="shared" si="0"/>
        <v>12</v>
      </c>
      <c r="E291" s="846">
        <v>37962</v>
      </c>
      <c r="F291" s="846">
        <f t="shared" si="1"/>
        <v>37962</v>
      </c>
      <c r="G291" s="847">
        <f>F291*12</f>
        <v>455544</v>
      </c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5" customHeight="1">
      <c r="A292" s="843">
        <v>298</v>
      </c>
      <c r="B292" s="844" t="s">
        <v>3603</v>
      </c>
      <c r="C292" s="845">
        <v>1</v>
      </c>
      <c r="D292" s="845">
        <f t="shared" si="0"/>
        <v>12</v>
      </c>
      <c r="E292" s="846">
        <v>30525</v>
      </c>
      <c r="F292" s="846">
        <f t="shared" si="1"/>
        <v>30525</v>
      </c>
      <c r="G292" s="847">
        <f>F292*12</f>
        <v>366300</v>
      </c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5" customHeight="1">
      <c r="A293" s="843">
        <v>299</v>
      </c>
      <c r="B293" s="844" t="s">
        <v>3604</v>
      </c>
      <c r="C293" s="845">
        <v>10</v>
      </c>
      <c r="D293" s="845">
        <f t="shared" si="0"/>
        <v>120</v>
      </c>
      <c r="E293" s="846">
        <v>10778.103999999999</v>
      </c>
      <c r="F293" s="846">
        <f t="shared" si="1"/>
        <v>107781.04</v>
      </c>
      <c r="G293" s="847">
        <f>F293*12</f>
        <v>1293372.48</v>
      </c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5" customHeight="1">
      <c r="A294" s="843">
        <v>300</v>
      </c>
      <c r="B294" s="844" t="s">
        <v>3605</v>
      </c>
      <c r="C294" s="845">
        <v>81</v>
      </c>
      <c r="D294" s="845">
        <f t="shared" si="0"/>
        <v>972</v>
      </c>
      <c r="E294" s="846">
        <v>1214.0639999999999</v>
      </c>
      <c r="F294" s="846">
        <f t="shared" si="1"/>
        <v>98339.183999999994</v>
      </c>
      <c r="G294" s="847">
        <f>F294*12</f>
        <v>1180070.2079999999</v>
      </c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5" customHeight="1">
      <c r="A295" s="843">
        <v>301</v>
      </c>
      <c r="B295" s="844" t="s">
        <v>3606</v>
      </c>
      <c r="C295" s="845">
        <v>100</v>
      </c>
      <c r="D295" s="845">
        <f t="shared" si="0"/>
        <v>1200</v>
      </c>
      <c r="E295" s="846">
        <v>13708.503999999999</v>
      </c>
      <c r="F295" s="846">
        <f t="shared" si="1"/>
        <v>1370850.4</v>
      </c>
      <c r="G295" s="847">
        <f>F295*12</f>
        <v>16450204.799999999</v>
      </c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5" customHeight="1">
      <c r="A296" s="843">
        <v>302</v>
      </c>
      <c r="B296" s="844" t="s">
        <v>3607</v>
      </c>
      <c r="C296" s="845">
        <v>450</v>
      </c>
      <c r="D296" s="845">
        <f t="shared" si="0"/>
        <v>5400</v>
      </c>
      <c r="E296" s="846">
        <v>3651</v>
      </c>
      <c r="F296" s="846">
        <f t="shared" si="1"/>
        <v>1642950</v>
      </c>
      <c r="G296" s="847">
        <f>F296*12</f>
        <v>19715400</v>
      </c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5" customHeight="1">
      <c r="A297" s="843">
        <v>303</v>
      </c>
      <c r="B297" s="844" t="s">
        <v>3608</v>
      </c>
      <c r="C297" s="845">
        <v>7500</v>
      </c>
      <c r="D297" s="845">
        <f t="shared" si="0"/>
        <v>90000</v>
      </c>
      <c r="E297" s="846">
        <v>434.88800000000003</v>
      </c>
      <c r="F297" s="846">
        <f t="shared" si="1"/>
        <v>3261660.0000000005</v>
      </c>
      <c r="G297" s="847">
        <f>F297*12</f>
        <v>39139920.000000007</v>
      </c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5" customHeight="1">
      <c r="A298" s="843">
        <v>304</v>
      </c>
      <c r="B298" s="844" t="s">
        <v>3609</v>
      </c>
      <c r="C298" s="845">
        <v>3800</v>
      </c>
      <c r="D298" s="845">
        <f t="shared" si="0"/>
        <v>45600</v>
      </c>
      <c r="E298" s="846">
        <v>786</v>
      </c>
      <c r="F298" s="846">
        <f t="shared" si="1"/>
        <v>2986800</v>
      </c>
      <c r="G298" s="847">
        <f>F298*12</f>
        <v>35841600</v>
      </c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5" customHeight="1">
      <c r="A299" s="843">
        <v>305</v>
      </c>
      <c r="B299" s="844" t="s">
        <v>3610</v>
      </c>
      <c r="C299" s="845">
        <v>1200</v>
      </c>
      <c r="D299" s="845">
        <f t="shared" si="0"/>
        <v>14400</v>
      </c>
      <c r="E299" s="846">
        <v>350</v>
      </c>
      <c r="F299" s="846">
        <f t="shared" si="1"/>
        <v>420000</v>
      </c>
      <c r="G299" s="847">
        <f>F299*12</f>
        <v>5040000</v>
      </c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5" customHeight="1">
      <c r="A300" s="843">
        <v>306</v>
      </c>
      <c r="B300" s="844" t="s">
        <v>3611</v>
      </c>
      <c r="C300" s="845">
        <v>4800</v>
      </c>
      <c r="D300" s="845">
        <f t="shared" si="0"/>
        <v>57600</v>
      </c>
      <c r="E300" s="846">
        <v>649.12800000000004</v>
      </c>
      <c r="F300" s="846">
        <f t="shared" si="1"/>
        <v>3115814.4000000004</v>
      </c>
      <c r="G300" s="847">
        <f>F300*12</f>
        <v>37389772.800000004</v>
      </c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5" customHeight="1">
      <c r="A301" s="843">
        <v>307</v>
      </c>
      <c r="B301" s="844" t="s">
        <v>3612</v>
      </c>
      <c r="C301" s="845">
        <v>1300</v>
      </c>
      <c r="D301" s="845">
        <f t="shared" si="0"/>
        <v>15600</v>
      </c>
      <c r="E301" s="846">
        <v>173</v>
      </c>
      <c r="F301" s="846">
        <f t="shared" si="1"/>
        <v>224900</v>
      </c>
      <c r="G301" s="847">
        <f>F301*12</f>
        <v>2698800</v>
      </c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5" customHeight="1">
      <c r="A302" s="843">
        <v>308</v>
      </c>
      <c r="B302" s="844" t="s">
        <v>3613</v>
      </c>
      <c r="C302" s="845">
        <v>500</v>
      </c>
      <c r="D302" s="845">
        <f t="shared" si="0"/>
        <v>6000</v>
      </c>
      <c r="E302" s="846">
        <v>390</v>
      </c>
      <c r="F302" s="846">
        <f t="shared" si="1"/>
        <v>195000</v>
      </c>
      <c r="G302" s="847">
        <f>F302*12</f>
        <v>2340000</v>
      </c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5" customHeight="1">
      <c r="A303" s="843">
        <v>309</v>
      </c>
      <c r="B303" s="844" t="s">
        <v>3614</v>
      </c>
      <c r="C303" s="845">
        <v>4</v>
      </c>
      <c r="D303" s="845">
        <f t="shared" si="0"/>
        <v>48</v>
      </c>
      <c r="E303" s="846">
        <v>14624.248000000001</v>
      </c>
      <c r="F303" s="846">
        <f t="shared" si="1"/>
        <v>58496.992000000006</v>
      </c>
      <c r="G303" s="847">
        <f>F303*12</f>
        <v>701963.9040000001</v>
      </c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5" customHeight="1">
      <c r="A304" s="843">
        <v>311</v>
      </c>
      <c r="B304" s="844" t="s">
        <v>3615</v>
      </c>
      <c r="C304" s="845">
        <v>70</v>
      </c>
      <c r="D304" s="845">
        <f t="shared" si="0"/>
        <v>840</v>
      </c>
      <c r="E304" s="846">
        <v>3499.8880000000004</v>
      </c>
      <c r="F304" s="846">
        <f t="shared" si="1"/>
        <v>244992.16000000003</v>
      </c>
      <c r="G304" s="847">
        <f>F304*12</f>
        <v>2939905.9200000004</v>
      </c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5" customHeight="1">
      <c r="A305" s="843">
        <v>313</v>
      </c>
      <c r="B305" s="844" t="s">
        <v>3616</v>
      </c>
      <c r="C305" s="845">
        <v>5000</v>
      </c>
      <c r="D305" s="845">
        <f t="shared" si="0"/>
        <v>60000</v>
      </c>
      <c r="E305" s="846">
        <v>78.039999999999992</v>
      </c>
      <c r="F305" s="846">
        <f t="shared" si="1"/>
        <v>390199.99999999994</v>
      </c>
      <c r="G305" s="847">
        <f>F305*12</f>
        <v>4682399.9999999991</v>
      </c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5" customHeight="1">
      <c r="A306" s="843">
        <v>314</v>
      </c>
      <c r="B306" s="844" t="s">
        <v>3617</v>
      </c>
      <c r="C306" s="845">
        <v>160</v>
      </c>
      <c r="D306" s="845">
        <f t="shared" si="0"/>
        <v>1920</v>
      </c>
      <c r="E306" s="846">
        <v>7645.1279999999997</v>
      </c>
      <c r="F306" s="846">
        <f t="shared" si="1"/>
        <v>1223220.48</v>
      </c>
      <c r="G306" s="847">
        <f>F306*12</f>
        <v>14678645.76</v>
      </c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5" customHeight="1">
      <c r="A307" s="843">
        <v>315</v>
      </c>
      <c r="B307" s="844" t="s">
        <v>3618</v>
      </c>
      <c r="C307" s="845">
        <v>80</v>
      </c>
      <c r="D307" s="845">
        <f t="shared" si="0"/>
        <v>960</v>
      </c>
      <c r="E307" s="846">
        <v>4218</v>
      </c>
      <c r="F307" s="846">
        <f t="shared" si="1"/>
        <v>337440</v>
      </c>
      <c r="G307" s="847">
        <f>F307*12</f>
        <v>4049280</v>
      </c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5" customHeight="1">
      <c r="A308" s="843">
        <v>316</v>
      </c>
      <c r="B308" s="844" t="s">
        <v>3619</v>
      </c>
      <c r="C308" s="845">
        <v>5</v>
      </c>
      <c r="D308" s="845">
        <f t="shared" si="0"/>
        <v>60</v>
      </c>
      <c r="E308" s="846">
        <v>154.12</v>
      </c>
      <c r="F308" s="846">
        <f t="shared" si="1"/>
        <v>770.6</v>
      </c>
      <c r="G308" s="847">
        <f>F308*12</f>
        <v>9247.2000000000007</v>
      </c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5" customHeight="1">
      <c r="A309" s="843">
        <v>317</v>
      </c>
      <c r="B309" s="844" t="s">
        <v>3620</v>
      </c>
      <c r="C309" s="845">
        <v>4500</v>
      </c>
      <c r="D309" s="845">
        <f t="shared" si="0"/>
        <v>54000</v>
      </c>
      <c r="E309" s="846">
        <v>213.00800000000001</v>
      </c>
      <c r="F309" s="846">
        <f t="shared" si="1"/>
        <v>958536</v>
      </c>
      <c r="G309" s="847">
        <f>F309*12</f>
        <v>11502432</v>
      </c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5" customHeight="1">
      <c r="A310" s="843">
        <v>318</v>
      </c>
      <c r="B310" s="844" t="s">
        <v>3621</v>
      </c>
      <c r="C310" s="845">
        <v>4000</v>
      </c>
      <c r="D310" s="845">
        <f t="shared" si="0"/>
        <v>48000</v>
      </c>
      <c r="E310" s="846">
        <v>333</v>
      </c>
      <c r="F310" s="846">
        <f t="shared" si="1"/>
        <v>1332000</v>
      </c>
      <c r="G310" s="847">
        <f>F310*12</f>
        <v>15984000</v>
      </c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5" customHeight="1">
      <c r="A311" s="843">
        <v>319</v>
      </c>
      <c r="B311" s="844" t="s">
        <v>3622</v>
      </c>
      <c r="C311" s="845">
        <v>3200</v>
      </c>
      <c r="D311" s="845">
        <f t="shared" si="0"/>
        <v>38400</v>
      </c>
      <c r="E311" s="846">
        <v>466.75199999999995</v>
      </c>
      <c r="F311" s="846">
        <f t="shared" si="1"/>
        <v>1493606.3999999999</v>
      </c>
      <c r="G311" s="847">
        <f>F311*12</f>
        <v>17923276.799999997</v>
      </c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5" customHeight="1">
      <c r="A312" s="843">
        <v>320</v>
      </c>
      <c r="B312" s="844" t="s">
        <v>3623</v>
      </c>
      <c r="C312" s="845">
        <v>1200</v>
      </c>
      <c r="D312" s="845">
        <f t="shared" si="0"/>
        <v>14400</v>
      </c>
      <c r="E312" s="846">
        <v>979.024</v>
      </c>
      <c r="F312" s="846">
        <f t="shared" si="1"/>
        <v>1174828.8</v>
      </c>
      <c r="G312" s="847">
        <f>F312*12</f>
        <v>14097945.600000001</v>
      </c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5" customHeight="1">
      <c r="A313" s="843">
        <v>321</v>
      </c>
      <c r="B313" s="844" t="s">
        <v>3624</v>
      </c>
      <c r="C313" s="845">
        <v>5300</v>
      </c>
      <c r="D313" s="845">
        <f t="shared" si="0"/>
        <v>63600</v>
      </c>
      <c r="E313" s="846">
        <v>1000</v>
      </c>
      <c r="F313" s="846">
        <f t="shared" si="1"/>
        <v>5300000</v>
      </c>
      <c r="G313" s="847">
        <f>F313*12</f>
        <v>63600000</v>
      </c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5" customHeight="1">
      <c r="A314" s="843">
        <v>322</v>
      </c>
      <c r="B314" s="844" t="s">
        <v>3625</v>
      </c>
      <c r="C314" s="845">
        <v>2000</v>
      </c>
      <c r="D314" s="845">
        <f t="shared" si="0"/>
        <v>24000</v>
      </c>
      <c r="E314" s="846">
        <v>1208.5119999999999</v>
      </c>
      <c r="F314" s="846">
        <f t="shared" si="1"/>
        <v>2417024</v>
      </c>
      <c r="G314" s="847">
        <f>F314*12</f>
        <v>29004288</v>
      </c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5" customHeight="1">
      <c r="A315" s="843">
        <v>323</v>
      </c>
      <c r="B315" s="844" t="s">
        <v>3626</v>
      </c>
      <c r="C315" s="845">
        <v>150</v>
      </c>
      <c r="D315" s="845">
        <f t="shared" si="0"/>
        <v>1800</v>
      </c>
      <c r="E315" s="846">
        <v>11100</v>
      </c>
      <c r="F315" s="846">
        <f t="shared" si="1"/>
        <v>1665000</v>
      </c>
      <c r="G315" s="847">
        <f>F315*12</f>
        <v>19980000</v>
      </c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5" customHeight="1">
      <c r="A316" s="843">
        <v>324</v>
      </c>
      <c r="B316" s="844" t="s">
        <v>3627</v>
      </c>
      <c r="C316" s="845">
        <v>133</v>
      </c>
      <c r="D316" s="845">
        <f t="shared" si="0"/>
        <v>1596</v>
      </c>
      <c r="E316" s="846">
        <v>1387.5040000000001</v>
      </c>
      <c r="F316" s="846">
        <f t="shared" si="1"/>
        <v>184538.03200000001</v>
      </c>
      <c r="G316" s="847">
        <f>F316*12</f>
        <v>2214456.3840000001</v>
      </c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5" customHeight="1">
      <c r="A317" s="843">
        <v>325</v>
      </c>
      <c r="B317" s="844" t="s">
        <v>3628</v>
      </c>
      <c r="C317" s="845">
        <v>8</v>
      </c>
      <c r="D317" s="845">
        <f t="shared" si="0"/>
        <v>96</v>
      </c>
      <c r="E317" s="846">
        <v>29970</v>
      </c>
      <c r="F317" s="846">
        <f t="shared" si="1"/>
        <v>239760</v>
      </c>
      <c r="G317" s="847">
        <f>F317*12</f>
        <v>2877120</v>
      </c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5" customHeight="1">
      <c r="A318" s="843">
        <v>326</v>
      </c>
      <c r="B318" s="844" t="s">
        <v>3629</v>
      </c>
      <c r="C318" s="845">
        <v>4</v>
      </c>
      <c r="D318" s="845">
        <f t="shared" si="0"/>
        <v>48</v>
      </c>
      <c r="E318" s="846">
        <v>29970</v>
      </c>
      <c r="F318" s="846">
        <f t="shared" si="1"/>
        <v>119880</v>
      </c>
      <c r="G318" s="847">
        <f>F318*12</f>
        <v>1438560</v>
      </c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5" customHeight="1">
      <c r="A319" s="843">
        <v>327</v>
      </c>
      <c r="B319" s="844" t="s">
        <v>3630</v>
      </c>
      <c r="C319" s="845">
        <v>11</v>
      </c>
      <c r="D319" s="845">
        <f t="shared" si="0"/>
        <v>132</v>
      </c>
      <c r="E319" s="846">
        <v>39124.728000000003</v>
      </c>
      <c r="F319" s="846">
        <f t="shared" si="1"/>
        <v>430372.00800000003</v>
      </c>
      <c r="G319" s="847">
        <f>F319*12</f>
        <v>5164464.0960000008</v>
      </c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5" customHeight="1">
      <c r="A320" s="843">
        <v>328</v>
      </c>
      <c r="B320" s="844" t="s">
        <v>3631</v>
      </c>
      <c r="C320" s="845">
        <v>5</v>
      </c>
      <c r="D320" s="845">
        <f t="shared" si="0"/>
        <v>60</v>
      </c>
      <c r="E320" s="846">
        <v>46935.240000000005</v>
      </c>
      <c r="F320" s="846">
        <f t="shared" si="1"/>
        <v>234676.2</v>
      </c>
      <c r="G320" s="847">
        <f>F320*12</f>
        <v>2816114.4000000004</v>
      </c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5" customHeight="1">
      <c r="A321" s="843">
        <v>329</v>
      </c>
      <c r="B321" s="844" t="s">
        <v>3632</v>
      </c>
      <c r="C321" s="845">
        <v>2</v>
      </c>
      <c r="D321" s="845">
        <f t="shared" si="0"/>
        <v>24</v>
      </c>
      <c r="E321" s="846">
        <v>63036.904000000002</v>
      </c>
      <c r="F321" s="846">
        <f t="shared" si="1"/>
        <v>126073.808</v>
      </c>
      <c r="G321" s="847">
        <f>F321*12</f>
        <v>1512885.696</v>
      </c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5" customHeight="1">
      <c r="A322" s="843">
        <v>330</v>
      </c>
      <c r="B322" s="844" t="s">
        <v>3633</v>
      </c>
      <c r="C322" s="845">
        <v>20</v>
      </c>
      <c r="D322" s="845">
        <f t="shared" si="0"/>
        <v>240</v>
      </c>
      <c r="E322" s="846">
        <v>185.24799999999999</v>
      </c>
      <c r="F322" s="846">
        <f t="shared" si="1"/>
        <v>3704.96</v>
      </c>
      <c r="G322" s="847">
        <f>F322*12</f>
        <v>44459.520000000004</v>
      </c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5" customHeight="1">
      <c r="A323" s="843">
        <v>331</v>
      </c>
      <c r="B323" s="844" t="s">
        <v>3634</v>
      </c>
      <c r="C323" s="845">
        <v>32</v>
      </c>
      <c r="D323" s="845">
        <f t="shared" si="0"/>
        <v>384</v>
      </c>
      <c r="E323" s="846">
        <v>244.15199999999999</v>
      </c>
      <c r="F323" s="846">
        <f t="shared" si="1"/>
        <v>7812.8639999999996</v>
      </c>
      <c r="G323" s="847">
        <f>F323*12</f>
        <v>93754.367999999988</v>
      </c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5" customHeight="1">
      <c r="A324" s="843">
        <v>332</v>
      </c>
      <c r="B324" s="844" t="s">
        <v>3635</v>
      </c>
      <c r="C324" s="845">
        <v>913</v>
      </c>
      <c r="D324" s="845">
        <f t="shared" si="0"/>
        <v>10956</v>
      </c>
      <c r="E324" s="846">
        <v>189.99199999999999</v>
      </c>
      <c r="F324" s="846">
        <f t="shared" si="1"/>
        <v>173462.696</v>
      </c>
      <c r="G324" s="847">
        <f>F324*12</f>
        <v>2081552.352</v>
      </c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5" customHeight="1">
      <c r="A325" s="843">
        <v>333</v>
      </c>
      <c r="B325" s="844" t="s">
        <v>3636</v>
      </c>
      <c r="C325" s="845">
        <v>18</v>
      </c>
      <c r="D325" s="845">
        <f t="shared" si="0"/>
        <v>216</v>
      </c>
      <c r="E325" s="846">
        <v>9923.4000000000015</v>
      </c>
      <c r="F325" s="846">
        <f t="shared" si="1"/>
        <v>178621.2</v>
      </c>
      <c r="G325" s="847">
        <f>F325*12</f>
        <v>2143454.4000000004</v>
      </c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5" customHeight="1">
      <c r="A326" s="843">
        <v>334</v>
      </c>
      <c r="B326" s="844" t="s">
        <v>3637</v>
      </c>
      <c r="C326" s="845">
        <v>540</v>
      </c>
      <c r="D326" s="845">
        <f t="shared" si="0"/>
        <v>6480</v>
      </c>
      <c r="E326" s="846">
        <v>9157.5040000000008</v>
      </c>
      <c r="F326" s="846">
        <f t="shared" si="1"/>
        <v>4945052.16</v>
      </c>
      <c r="G326" s="847">
        <f>F326*12</f>
        <v>59340625.920000002</v>
      </c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5" customHeight="1">
      <c r="A327" s="843">
        <v>335</v>
      </c>
      <c r="B327" s="844" t="s">
        <v>3638</v>
      </c>
      <c r="C327" s="845">
        <v>402</v>
      </c>
      <c r="D327" s="845">
        <f t="shared" si="0"/>
        <v>4824</v>
      </c>
      <c r="E327" s="846">
        <v>9157.5040000000008</v>
      </c>
      <c r="F327" s="846">
        <f t="shared" si="1"/>
        <v>3681316.6080000005</v>
      </c>
      <c r="G327" s="847">
        <f>F327*12</f>
        <v>44175799.296000004</v>
      </c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5" customHeight="1">
      <c r="A328" s="843">
        <v>336</v>
      </c>
      <c r="B328" s="844" t="s">
        <v>3639</v>
      </c>
      <c r="C328" s="845">
        <v>11</v>
      </c>
      <c r="D328" s="845">
        <f t="shared" si="0"/>
        <v>132</v>
      </c>
      <c r="E328" s="846">
        <v>5069.152</v>
      </c>
      <c r="F328" s="846">
        <f t="shared" si="1"/>
        <v>55760.671999999999</v>
      </c>
      <c r="G328" s="847">
        <f>F328*12</f>
        <v>669128.06400000001</v>
      </c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5" customHeight="1">
      <c r="A329" s="843">
        <v>337</v>
      </c>
      <c r="B329" s="844" t="s">
        <v>3640</v>
      </c>
      <c r="C329" s="845">
        <v>40</v>
      </c>
      <c r="D329" s="845">
        <f t="shared" si="0"/>
        <v>480</v>
      </c>
      <c r="E329" s="846">
        <v>485.63199999999995</v>
      </c>
      <c r="F329" s="846">
        <f t="shared" si="1"/>
        <v>19425.28</v>
      </c>
      <c r="G329" s="847">
        <f>F329*12</f>
        <v>233103.35999999999</v>
      </c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5" customHeight="1">
      <c r="A330" s="843">
        <v>338</v>
      </c>
      <c r="B330" s="844" t="s">
        <v>3641</v>
      </c>
      <c r="C330" s="845">
        <v>1100</v>
      </c>
      <c r="D330" s="845">
        <f t="shared" si="0"/>
        <v>13200</v>
      </c>
      <c r="E330" s="846">
        <v>2997</v>
      </c>
      <c r="F330" s="846">
        <f t="shared" si="1"/>
        <v>3296700</v>
      </c>
      <c r="G330" s="847">
        <f>F330*12</f>
        <v>39560400</v>
      </c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5" customHeight="1">
      <c r="A331" s="843">
        <v>339</v>
      </c>
      <c r="B331" s="844" t="s">
        <v>3642</v>
      </c>
      <c r="C331" s="845">
        <v>9600</v>
      </c>
      <c r="D331" s="845">
        <f t="shared" si="0"/>
        <v>115200</v>
      </c>
      <c r="E331" s="846">
        <v>197.44</v>
      </c>
      <c r="F331" s="846">
        <f t="shared" si="1"/>
        <v>1895424</v>
      </c>
      <c r="G331" s="847">
        <f>F331*12</f>
        <v>22745088</v>
      </c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5" customHeight="1">
      <c r="A332" s="843">
        <v>340</v>
      </c>
      <c r="B332" s="844" t="s">
        <v>3643</v>
      </c>
      <c r="C332" s="845">
        <v>70</v>
      </c>
      <c r="D332" s="845">
        <f t="shared" si="0"/>
        <v>840</v>
      </c>
      <c r="E332" s="846">
        <v>444</v>
      </c>
      <c r="F332" s="846">
        <f t="shared" si="1"/>
        <v>31080</v>
      </c>
      <c r="G332" s="847">
        <f>F332*12</f>
        <v>372960</v>
      </c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5" customHeight="1">
      <c r="A333" s="843">
        <v>341</v>
      </c>
      <c r="B333" s="844" t="s">
        <v>3644</v>
      </c>
      <c r="C333" s="845">
        <v>3</v>
      </c>
      <c r="D333" s="845">
        <f t="shared" si="0"/>
        <v>36</v>
      </c>
      <c r="E333" s="846">
        <v>178402.96799999999</v>
      </c>
      <c r="F333" s="846">
        <f t="shared" si="1"/>
        <v>535208.90399999998</v>
      </c>
      <c r="G333" s="847">
        <f>F333*12</f>
        <v>6422506.8479999993</v>
      </c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5" customHeight="1">
      <c r="A334" s="843">
        <v>342</v>
      </c>
      <c r="B334" s="844" t="s">
        <v>3645</v>
      </c>
      <c r="C334" s="845">
        <v>2500</v>
      </c>
      <c r="D334" s="845">
        <f t="shared" si="0"/>
        <v>30000</v>
      </c>
      <c r="E334" s="846">
        <v>5058.9919999999993</v>
      </c>
      <c r="F334" s="846">
        <f t="shared" si="1"/>
        <v>12647479.999999998</v>
      </c>
      <c r="G334" s="847">
        <f>F334*12</f>
        <v>151769759.99999997</v>
      </c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5" customHeight="1">
      <c r="A335" s="843">
        <v>343</v>
      </c>
      <c r="B335" s="844" t="s">
        <v>3646</v>
      </c>
      <c r="C335" s="845">
        <v>1000</v>
      </c>
      <c r="D335" s="845">
        <f t="shared" si="0"/>
        <v>12000</v>
      </c>
      <c r="E335" s="846">
        <v>5485</v>
      </c>
      <c r="F335" s="846">
        <f t="shared" si="1"/>
        <v>5485000</v>
      </c>
      <c r="G335" s="847">
        <f>F335*12</f>
        <v>65820000</v>
      </c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5" customHeight="1">
      <c r="A336" s="843">
        <v>344</v>
      </c>
      <c r="B336" s="844" t="s">
        <v>3647</v>
      </c>
      <c r="C336" s="845">
        <v>10</v>
      </c>
      <c r="D336" s="845">
        <f t="shared" si="0"/>
        <v>120</v>
      </c>
      <c r="E336" s="846">
        <v>175000</v>
      </c>
      <c r="F336" s="846">
        <f t="shared" si="1"/>
        <v>1750000</v>
      </c>
      <c r="G336" s="847">
        <f>F336*12</f>
        <v>21000000</v>
      </c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5" customHeight="1">
      <c r="A337" s="843">
        <v>345</v>
      </c>
      <c r="B337" s="844" t="s">
        <v>3648</v>
      </c>
      <c r="C337" s="845">
        <v>1</v>
      </c>
      <c r="D337" s="845">
        <f t="shared" si="0"/>
        <v>12</v>
      </c>
      <c r="E337" s="846">
        <v>35897.4</v>
      </c>
      <c r="F337" s="846">
        <f t="shared" si="1"/>
        <v>35897.4</v>
      </c>
      <c r="G337" s="847">
        <f>F337*12</f>
        <v>430768.80000000005</v>
      </c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5" customHeight="1">
      <c r="A338" s="843">
        <v>346</v>
      </c>
      <c r="B338" s="844" t="s">
        <v>3649</v>
      </c>
      <c r="C338" s="845">
        <v>200</v>
      </c>
      <c r="D338" s="845">
        <f t="shared" si="0"/>
        <v>2400</v>
      </c>
      <c r="E338" s="846">
        <v>471.75199999999995</v>
      </c>
      <c r="F338" s="846">
        <f t="shared" si="1"/>
        <v>94350.399999999994</v>
      </c>
      <c r="G338" s="847">
        <f>F338*12</f>
        <v>1132204.7999999998</v>
      </c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5" customHeight="1">
      <c r="A339" s="843">
        <v>347</v>
      </c>
      <c r="B339" s="844" t="s">
        <v>3650</v>
      </c>
      <c r="C339" s="845">
        <v>200</v>
      </c>
      <c r="D339" s="845">
        <f t="shared" si="0"/>
        <v>2400</v>
      </c>
      <c r="E339" s="846">
        <v>4884</v>
      </c>
      <c r="F339" s="846">
        <f t="shared" si="1"/>
        <v>976800</v>
      </c>
      <c r="G339" s="847">
        <f>F339*12</f>
        <v>11721600</v>
      </c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5" customHeight="1">
      <c r="A340" s="843">
        <v>348</v>
      </c>
      <c r="B340" s="844" t="s">
        <v>3651</v>
      </c>
      <c r="C340" s="845">
        <v>24</v>
      </c>
      <c r="D340" s="845">
        <f t="shared" si="0"/>
        <v>288</v>
      </c>
      <c r="E340" s="846">
        <v>7492.5040000000008</v>
      </c>
      <c r="F340" s="846">
        <f t="shared" si="1"/>
        <v>179820.09600000002</v>
      </c>
      <c r="G340" s="847">
        <f>F340*12</f>
        <v>2157841.1520000002</v>
      </c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5" customHeight="1">
      <c r="A341" s="843">
        <v>349</v>
      </c>
      <c r="B341" s="844" t="s">
        <v>3652</v>
      </c>
      <c r="C341" s="845">
        <v>68</v>
      </c>
      <c r="D341" s="845">
        <f t="shared" si="0"/>
        <v>816</v>
      </c>
      <c r="E341" s="846">
        <v>53724.671999999999</v>
      </c>
      <c r="F341" s="846">
        <f t="shared" si="1"/>
        <v>3653277.696</v>
      </c>
      <c r="G341" s="847">
        <f>F341*12</f>
        <v>43839332.351999998</v>
      </c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5" customHeight="1">
      <c r="A342" s="843">
        <v>350</v>
      </c>
      <c r="B342" s="844" t="s">
        <v>3653</v>
      </c>
      <c r="C342" s="845">
        <v>1</v>
      </c>
      <c r="D342" s="845">
        <f t="shared" si="0"/>
        <v>12</v>
      </c>
      <c r="E342" s="846">
        <v>4995</v>
      </c>
      <c r="F342" s="846">
        <f t="shared" si="1"/>
        <v>4995</v>
      </c>
      <c r="G342" s="847">
        <f>F342*12</f>
        <v>59940</v>
      </c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5" customHeight="1">
      <c r="A343" s="843">
        <v>351</v>
      </c>
      <c r="B343" s="844" t="s">
        <v>3654</v>
      </c>
      <c r="C343" s="845">
        <v>1</v>
      </c>
      <c r="D343" s="845">
        <f t="shared" si="0"/>
        <v>12</v>
      </c>
      <c r="E343" s="846">
        <v>6054.384</v>
      </c>
      <c r="F343" s="846">
        <f t="shared" si="1"/>
        <v>6054.384</v>
      </c>
      <c r="G343" s="847">
        <f>F343*12</f>
        <v>72652.608000000007</v>
      </c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5" customHeight="1">
      <c r="A344" s="843">
        <v>352</v>
      </c>
      <c r="B344" s="844" t="s">
        <v>3655</v>
      </c>
      <c r="C344" s="845">
        <v>80</v>
      </c>
      <c r="D344" s="845">
        <f t="shared" si="0"/>
        <v>960</v>
      </c>
      <c r="E344" s="846">
        <v>8991</v>
      </c>
      <c r="F344" s="846">
        <f t="shared" si="1"/>
        <v>719280</v>
      </c>
      <c r="G344" s="847">
        <f>F344*12</f>
        <v>8631360</v>
      </c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5" customHeight="1">
      <c r="A345" s="843">
        <v>353</v>
      </c>
      <c r="B345" s="844" t="s">
        <v>3656</v>
      </c>
      <c r="C345" s="845">
        <v>10</v>
      </c>
      <c r="D345" s="845">
        <f t="shared" si="0"/>
        <v>120</v>
      </c>
      <c r="E345" s="846">
        <v>84360</v>
      </c>
      <c r="F345" s="846">
        <f t="shared" si="1"/>
        <v>843600</v>
      </c>
      <c r="G345" s="847">
        <f>F345*12</f>
        <v>10123200</v>
      </c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5" customHeight="1">
      <c r="A346" s="843">
        <v>354</v>
      </c>
      <c r="B346" s="844" t="s">
        <v>3657</v>
      </c>
      <c r="C346" s="845">
        <v>45</v>
      </c>
      <c r="D346" s="845">
        <f t="shared" si="0"/>
        <v>540</v>
      </c>
      <c r="E346" s="846">
        <v>4162.5039999999999</v>
      </c>
      <c r="F346" s="846">
        <f t="shared" si="1"/>
        <v>187312.68</v>
      </c>
      <c r="G346" s="847">
        <f>F346*12</f>
        <v>2247752.16</v>
      </c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5" customHeight="1">
      <c r="A347" s="843">
        <v>355</v>
      </c>
      <c r="B347" s="844" t="s">
        <v>3658</v>
      </c>
      <c r="C347" s="845">
        <v>1</v>
      </c>
      <c r="D347" s="845">
        <f t="shared" si="0"/>
        <v>12</v>
      </c>
      <c r="E347" s="846">
        <v>66330.16</v>
      </c>
      <c r="F347" s="846">
        <f t="shared" si="1"/>
        <v>66330.16</v>
      </c>
      <c r="G347" s="847">
        <f>F347*12</f>
        <v>795961.92</v>
      </c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5" customHeight="1">
      <c r="A348" s="843">
        <v>356</v>
      </c>
      <c r="B348" s="844" t="s">
        <v>3659</v>
      </c>
      <c r="C348" s="845">
        <v>12</v>
      </c>
      <c r="D348" s="845">
        <f t="shared" si="0"/>
        <v>144</v>
      </c>
      <c r="E348" s="846">
        <v>77097.824000000008</v>
      </c>
      <c r="F348" s="846">
        <f t="shared" si="1"/>
        <v>925173.88800000004</v>
      </c>
      <c r="G348" s="847">
        <f>F348*12</f>
        <v>11102086.655999999</v>
      </c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5" customHeight="1">
      <c r="A349" s="843">
        <v>357</v>
      </c>
      <c r="B349" s="844" t="s">
        <v>3660</v>
      </c>
      <c r="C349" s="845">
        <v>70</v>
      </c>
      <c r="D349" s="845">
        <f t="shared" si="0"/>
        <v>840</v>
      </c>
      <c r="E349" s="846">
        <v>9018.7520000000004</v>
      </c>
      <c r="F349" s="846">
        <f t="shared" si="1"/>
        <v>631312.64000000001</v>
      </c>
      <c r="G349" s="847">
        <f>F349*12</f>
        <v>7575751.6799999997</v>
      </c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5" customHeight="1">
      <c r="A350" s="843">
        <v>358</v>
      </c>
      <c r="B350" s="844" t="s">
        <v>3661</v>
      </c>
      <c r="C350" s="845">
        <v>536</v>
      </c>
      <c r="D350" s="845">
        <f t="shared" si="0"/>
        <v>6432</v>
      </c>
      <c r="E350" s="846">
        <v>3268.9519999999998</v>
      </c>
      <c r="F350" s="846">
        <f t="shared" si="1"/>
        <v>1752158.2719999999</v>
      </c>
      <c r="G350" s="847">
        <f>F350*12</f>
        <v>21025899.263999999</v>
      </c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5" customHeight="1">
      <c r="A351" s="843">
        <v>359</v>
      </c>
      <c r="B351" s="844" t="s">
        <v>3662</v>
      </c>
      <c r="C351" s="845">
        <v>450</v>
      </c>
      <c r="D351" s="845">
        <f t="shared" si="0"/>
        <v>5400</v>
      </c>
      <c r="E351" s="846">
        <v>7631.2479999999996</v>
      </c>
      <c r="F351" s="846">
        <f t="shared" si="1"/>
        <v>3434061.5999999996</v>
      </c>
      <c r="G351" s="847">
        <f>F351*12</f>
        <v>41208739.199999996</v>
      </c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5" customHeight="1">
      <c r="A352" s="843">
        <v>360</v>
      </c>
      <c r="B352" s="844" t="s">
        <v>3663</v>
      </c>
      <c r="C352" s="845">
        <v>15</v>
      </c>
      <c r="D352" s="845">
        <f t="shared" si="0"/>
        <v>180</v>
      </c>
      <c r="E352" s="846">
        <v>11911.407999999999</v>
      </c>
      <c r="F352" s="846">
        <f t="shared" si="1"/>
        <v>178671.12</v>
      </c>
      <c r="G352" s="847">
        <f>F352*12</f>
        <v>2144053.44</v>
      </c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5" customHeight="1">
      <c r="A353" s="843">
        <v>361</v>
      </c>
      <c r="B353" s="844" t="s">
        <v>3664</v>
      </c>
      <c r="C353" s="845">
        <v>10</v>
      </c>
      <c r="D353" s="845">
        <f t="shared" si="0"/>
        <v>120</v>
      </c>
      <c r="E353" s="846">
        <v>16899.752</v>
      </c>
      <c r="F353" s="846">
        <f t="shared" si="1"/>
        <v>168997.52000000002</v>
      </c>
      <c r="G353" s="847">
        <f>F353*12</f>
        <v>2027970.2400000002</v>
      </c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5" customHeight="1">
      <c r="A354" s="843">
        <v>362</v>
      </c>
      <c r="B354" s="844" t="s">
        <v>3665</v>
      </c>
      <c r="C354" s="845">
        <v>30</v>
      </c>
      <c r="D354" s="845">
        <f t="shared" si="0"/>
        <v>360</v>
      </c>
      <c r="E354" s="846">
        <v>180.84800000000001</v>
      </c>
      <c r="F354" s="846">
        <f t="shared" si="1"/>
        <v>5425.4400000000005</v>
      </c>
      <c r="G354" s="847">
        <f>F354*12</f>
        <v>65105.280000000006</v>
      </c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5" customHeight="1">
      <c r="A355" s="843">
        <v>363</v>
      </c>
      <c r="B355" s="844" t="s">
        <v>3666</v>
      </c>
      <c r="C355" s="845">
        <v>170</v>
      </c>
      <c r="D355" s="845">
        <f t="shared" si="0"/>
        <v>2040</v>
      </c>
      <c r="E355" s="846">
        <v>433</v>
      </c>
      <c r="F355" s="846">
        <f t="shared" si="1"/>
        <v>73610</v>
      </c>
      <c r="G355" s="847">
        <f>F355*12</f>
        <v>883320</v>
      </c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5" customHeight="1">
      <c r="A356" s="843">
        <v>364</v>
      </c>
      <c r="B356" s="844" t="s">
        <v>3667</v>
      </c>
      <c r="C356" s="845">
        <v>70</v>
      </c>
      <c r="D356" s="845">
        <f t="shared" si="0"/>
        <v>840</v>
      </c>
      <c r="E356" s="846">
        <v>568</v>
      </c>
      <c r="F356" s="846">
        <f t="shared" si="1"/>
        <v>39760</v>
      </c>
      <c r="G356" s="847">
        <f>F356*12</f>
        <v>477120</v>
      </c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5" customHeight="1">
      <c r="A357" s="843">
        <v>365</v>
      </c>
      <c r="B357" s="844" t="s">
        <v>3668</v>
      </c>
      <c r="C357" s="845">
        <v>200</v>
      </c>
      <c r="D357" s="845">
        <f t="shared" si="0"/>
        <v>2400</v>
      </c>
      <c r="E357" s="846">
        <v>1075.5920000000001</v>
      </c>
      <c r="F357" s="846">
        <f t="shared" si="1"/>
        <v>215118.40000000002</v>
      </c>
      <c r="G357" s="847">
        <f>F357*12</f>
        <v>2581420.8000000003</v>
      </c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5" customHeight="1">
      <c r="A358" s="843">
        <v>366</v>
      </c>
      <c r="B358" s="844" t="s">
        <v>3669</v>
      </c>
      <c r="C358" s="845">
        <v>15</v>
      </c>
      <c r="D358" s="845">
        <f t="shared" si="0"/>
        <v>180</v>
      </c>
      <c r="E358" s="846">
        <v>52593.192000000003</v>
      </c>
      <c r="F358" s="846">
        <f t="shared" si="1"/>
        <v>788897.88</v>
      </c>
      <c r="G358" s="847">
        <f>F358*12</f>
        <v>9466774.5600000005</v>
      </c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5" customHeight="1">
      <c r="A359" s="843">
        <v>367</v>
      </c>
      <c r="B359" s="844" t="s">
        <v>3670</v>
      </c>
      <c r="C359" s="845">
        <v>3</v>
      </c>
      <c r="D359" s="845">
        <f t="shared" si="0"/>
        <v>36</v>
      </c>
      <c r="E359" s="846">
        <v>128205</v>
      </c>
      <c r="F359" s="846">
        <f t="shared" si="1"/>
        <v>384615</v>
      </c>
      <c r="G359" s="847">
        <f>F359*12</f>
        <v>4615380</v>
      </c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5" customHeight="1">
      <c r="A360" s="843">
        <v>368</v>
      </c>
      <c r="B360" s="844" t="s">
        <v>3671</v>
      </c>
      <c r="C360" s="845">
        <v>350</v>
      </c>
      <c r="D360" s="845">
        <f t="shared" si="0"/>
        <v>4200</v>
      </c>
      <c r="E360" s="846">
        <v>832.50399999999991</v>
      </c>
      <c r="F360" s="846">
        <f t="shared" si="1"/>
        <v>291376.39999999997</v>
      </c>
      <c r="G360" s="847">
        <f>F360*12</f>
        <v>3496516.8</v>
      </c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5" customHeight="1">
      <c r="A361" s="843">
        <v>369</v>
      </c>
      <c r="B361" s="844" t="s">
        <v>3672</v>
      </c>
      <c r="C361" s="845">
        <v>2</v>
      </c>
      <c r="D361" s="845">
        <f t="shared" si="0"/>
        <v>24</v>
      </c>
      <c r="E361" s="846">
        <v>33000</v>
      </c>
      <c r="F361" s="846">
        <f t="shared" si="1"/>
        <v>66000</v>
      </c>
      <c r="G361" s="847">
        <f>F361*12</f>
        <v>792000</v>
      </c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5" customHeight="1">
      <c r="A362" s="843">
        <v>370</v>
      </c>
      <c r="B362" s="844" t="s">
        <v>3673</v>
      </c>
      <c r="C362" s="845">
        <v>10</v>
      </c>
      <c r="D362" s="845">
        <f t="shared" si="0"/>
        <v>120</v>
      </c>
      <c r="E362" s="846">
        <v>50352.383999999998</v>
      </c>
      <c r="F362" s="846">
        <f t="shared" si="1"/>
        <v>503523.83999999997</v>
      </c>
      <c r="G362" s="847">
        <f>F362*12</f>
        <v>6042286.0800000001</v>
      </c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5" customHeight="1">
      <c r="A363" s="843">
        <v>371</v>
      </c>
      <c r="B363" s="844" t="s">
        <v>3674</v>
      </c>
      <c r="C363" s="845">
        <v>50</v>
      </c>
      <c r="D363" s="845">
        <f t="shared" si="0"/>
        <v>600</v>
      </c>
      <c r="E363" s="846">
        <v>2849</v>
      </c>
      <c r="F363" s="846">
        <f t="shared" si="1"/>
        <v>142450</v>
      </c>
      <c r="G363" s="847">
        <f>F363*12</f>
        <v>1709400</v>
      </c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5" customHeight="1">
      <c r="A364" s="843">
        <v>372</v>
      </c>
      <c r="B364" s="844" t="s">
        <v>3675</v>
      </c>
      <c r="C364" s="845">
        <v>4050</v>
      </c>
      <c r="D364" s="845">
        <f t="shared" si="0"/>
        <v>48600</v>
      </c>
      <c r="E364" s="846">
        <v>158.184</v>
      </c>
      <c r="F364" s="846">
        <f t="shared" si="1"/>
        <v>640645.19999999995</v>
      </c>
      <c r="G364" s="847">
        <f>F364*12</f>
        <v>7687742.3999999994</v>
      </c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5" customHeight="1">
      <c r="A365" s="843">
        <v>373</v>
      </c>
      <c r="B365" s="844" t="s">
        <v>3676</v>
      </c>
      <c r="C365" s="845">
        <v>150</v>
      </c>
      <c r="D365" s="845">
        <f t="shared" si="0"/>
        <v>1800</v>
      </c>
      <c r="E365" s="846">
        <v>3801.7439999999997</v>
      </c>
      <c r="F365" s="846">
        <f t="shared" si="1"/>
        <v>570261.6</v>
      </c>
      <c r="G365" s="847">
        <f>F365*12</f>
        <v>6843139.1999999993</v>
      </c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5" customHeight="1">
      <c r="A366" s="843">
        <v>375</v>
      </c>
      <c r="B366" s="844" t="s">
        <v>3677</v>
      </c>
      <c r="C366" s="845">
        <v>10</v>
      </c>
      <c r="D366" s="845">
        <f t="shared" si="0"/>
        <v>120</v>
      </c>
      <c r="E366" s="846">
        <v>63936</v>
      </c>
      <c r="F366" s="846">
        <f t="shared" si="1"/>
        <v>639360</v>
      </c>
      <c r="G366" s="847">
        <f>F366*12</f>
        <v>7672320</v>
      </c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5" customHeight="1">
      <c r="A367" s="843">
        <v>376</v>
      </c>
      <c r="B367" s="844" t="s">
        <v>3678</v>
      </c>
      <c r="C367" s="845">
        <v>100</v>
      </c>
      <c r="D367" s="845">
        <f t="shared" si="0"/>
        <v>1200</v>
      </c>
      <c r="E367" s="846">
        <v>264.76</v>
      </c>
      <c r="F367" s="846">
        <f t="shared" si="1"/>
        <v>26476</v>
      </c>
      <c r="G367" s="847">
        <f>F367*12</f>
        <v>317712</v>
      </c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5" customHeight="1">
      <c r="A368" s="843">
        <v>377</v>
      </c>
      <c r="B368" s="844" t="s">
        <v>3679</v>
      </c>
      <c r="C368" s="845">
        <v>6</v>
      </c>
      <c r="D368" s="845">
        <f t="shared" si="0"/>
        <v>72</v>
      </c>
      <c r="E368" s="846">
        <v>11990.224</v>
      </c>
      <c r="F368" s="846">
        <f t="shared" si="1"/>
        <v>71941.343999999997</v>
      </c>
      <c r="G368" s="847">
        <f>F368*12</f>
        <v>863296.12800000003</v>
      </c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5" customHeight="1">
      <c r="A369" s="843">
        <v>378</v>
      </c>
      <c r="B369" s="844" t="s">
        <v>3680</v>
      </c>
      <c r="C369" s="845">
        <v>15</v>
      </c>
      <c r="D369" s="845">
        <f t="shared" si="0"/>
        <v>180</v>
      </c>
      <c r="E369" s="846">
        <v>12770.552</v>
      </c>
      <c r="F369" s="846">
        <f t="shared" si="1"/>
        <v>191558.28</v>
      </c>
      <c r="G369" s="847">
        <f>F369*12</f>
        <v>2298699.36</v>
      </c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5" customHeight="1">
      <c r="A370" s="843">
        <v>379</v>
      </c>
      <c r="B370" s="844" t="s">
        <v>3681</v>
      </c>
      <c r="C370" s="845">
        <v>100</v>
      </c>
      <c r="D370" s="845">
        <f t="shared" si="0"/>
        <v>1200</v>
      </c>
      <c r="E370" s="846">
        <v>12770.552</v>
      </c>
      <c r="F370" s="846">
        <f t="shared" si="1"/>
        <v>1277055.2</v>
      </c>
      <c r="G370" s="847">
        <f>F370*12</f>
        <v>15324662.399999999</v>
      </c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5" customHeight="1">
      <c r="A371" s="843">
        <v>380</v>
      </c>
      <c r="B371" s="844" t="s">
        <v>3682</v>
      </c>
      <c r="C371" s="845">
        <v>20</v>
      </c>
      <c r="D371" s="845">
        <f t="shared" si="0"/>
        <v>240</v>
      </c>
      <c r="E371" s="846">
        <v>17482.503999999997</v>
      </c>
      <c r="F371" s="846">
        <f t="shared" si="1"/>
        <v>349650.07999999996</v>
      </c>
      <c r="G371" s="847">
        <f>F371*12</f>
        <v>4195800.959999999</v>
      </c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5" customHeight="1">
      <c r="A372" s="843">
        <v>381</v>
      </c>
      <c r="B372" s="844" t="s">
        <v>3683</v>
      </c>
      <c r="C372" s="845">
        <v>1900</v>
      </c>
      <c r="D372" s="845">
        <f t="shared" si="0"/>
        <v>22800</v>
      </c>
      <c r="E372" s="846">
        <v>160</v>
      </c>
      <c r="F372" s="846">
        <f t="shared" si="1"/>
        <v>304000</v>
      </c>
      <c r="G372" s="847">
        <f>F372*12</f>
        <v>3648000</v>
      </c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5" customHeight="1">
      <c r="A373" s="843">
        <v>382</v>
      </c>
      <c r="B373" s="844" t="s">
        <v>3684</v>
      </c>
      <c r="C373" s="845">
        <v>5</v>
      </c>
      <c r="D373" s="845">
        <f t="shared" si="0"/>
        <v>60</v>
      </c>
      <c r="E373" s="846">
        <v>16095</v>
      </c>
      <c r="F373" s="846">
        <f t="shared" si="1"/>
        <v>80475</v>
      </c>
      <c r="G373" s="847">
        <f>F373*12</f>
        <v>965700</v>
      </c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5" customHeight="1">
      <c r="A374" s="843">
        <v>383</v>
      </c>
      <c r="B374" s="844" t="s">
        <v>3685</v>
      </c>
      <c r="C374" s="845">
        <v>5</v>
      </c>
      <c r="D374" s="845">
        <f t="shared" si="0"/>
        <v>60</v>
      </c>
      <c r="E374" s="846">
        <v>20549.432000000001</v>
      </c>
      <c r="F374" s="846">
        <f t="shared" si="1"/>
        <v>102747.16</v>
      </c>
      <c r="G374" s="847">
        <f>F374*12</f>
        <v>1232965.92</v>
      </c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5" customHeight="1">
      <c r="A375" s="843">
        <v>384</v>
      </c>
      <c r="B375" s="844" t="s">
        <v>3686</v>
      </c>
      <c r="C375" s="845">
        <v>60</v>
      </c>
      <c r="D375" s="845">
        <f t="shared" si="0"/>
        <v>720</v>
      </c>
      <c r="E375" s="846">
        <v>250</v>
      </c>
      <c r="F375" s="846">
        <f t="shared" si="1"/>
        <v>15000</v>
      </c>
      <c r="G375" s="847">
        <f>F375*12</f>
        <v>180000</v>
      </c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5" customHeight="1">
      <c r="A376" s="843">
        <v>385</v>
      </c>
      <c r="B376" s="844" t="s">
        <v>3687</v>
      </c>
      <c r="C376" s="845">
        <v>25000</v>
      </c>
      <c r="D376" s="845">
        <f t="shared" si="0"/>
        <v>300000</v>
      </c>
      <c r="E376" s="846">
        <v>65</v>
      </c>
      <c r="F376" s="846">
        <f t="shared" si="1"/>
        <v>1625000</v>
      </c>
      <c r="G376" s="847">
        <f>F376*12</f>
        <v>19500000</v>
      </c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5" customHeight="1">
      <c r="A377" s="843">
        <v>386</v>
      </c>
      <c r="B377" s="844" t="s">
        <v>3688</v>
      </c>
      <c r="C377" s="845">
        <v>50</v>
      </c>
      <c r="D377" s="845">
        <f t="shared" si="0"/>
        <v>600</v>
      </c>
      <c r="E377" s="846">
        <v>2053.5040000000004</v>
      </c>
      <c r="F377" s="846">
        <f t="shared" si="1"/>
        <v>102675.20000000001</v>
      </c>
      <c r="G377" s="847">
        <f>F377*12</f>
        <v>1232102.4000000001</v>
      </c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5" customHeight="1">
      <c r="A378" s="843">
        <v>387</v>
      </c>
      <c r="B378" s="844" t="s">
        <v>3689</v>
      </c>
      <c r="C378" s="845">
        <v>150</v>
      </c>
      <c r="D378" s="845">
        <f t="shared" si="0"/>
        <v>1800</v>
      </c>
      <c r="E378" s="846">
        <v>1026.752</v>
      </c>
      <c r="F378" s="846">
        <f t="shared" si="1"/>
        <v>154012.79999999999</v>
      </c>
      <c r="G378" s="847">
        <f>F378*12</f>
        <v>1848153.5999999999</v>
      </c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5" customHeight="1">
      <c r="A379" s="843">
        <v>388</v>
      </c>
      <c r="B379" s="844" t="s">
        <v>3690</v>
      </c>
      <c r="C379" s="845">
        <v>80</v>
      </c>
      <c r="D379" s="845">
        <f t="shared" si="0"/>
        <v>960</v>
      </c>
      <c r="E379" s="846">
        <v>555</v>
      </c>
      <c r="F379" s="846">
        <f t="shared" si="1"/>
        <v>44400</v>
      </c>
      <c r="G379" s="847">
        <f>F379*12</f>
        <v>532800</v>
      </c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5" customHeight="1">
      <c r="A380" s="843">
        <v>389</v>
      </c>
      <c r="B380" s="844" t="s">
        <v>3691</v>
      </c>
      <c r="C380" s="845">
        <v>250</v>
      </c>
      <c r="D380" s="845">
        <f t="shared" si="0"/>
        <v>3000</v>
      </c>
      <c r="E380" s="846">
        <v>8214</v>
      </c>
      <c r="F380" s="846">
        <f t="shared" si="1"/>
        <v>2053500</v>
      </c>
      <c r="G380" s="847">
        <f>F380*12</f>
        <v>24642000</v>
      </c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5" customHeight="1">
      <c r="A381" s="843">
        <v>390</v>
      </c>
      <c r="B381" s="844" t="s">
        <v>3692</v>
      </c>
      <c r="C381" s="845">
        <v>130</v>
      </c>
      <c r="D381" s="845">
        <f t="shared" si="0"/>
        <v>1560</v>
      </c>
      <c r="E381" s="846">
        <v>8880</v>
      </c>
      <c r="F381" s="846">
        <f t="shared" si="1"/>
        <v>1154400</v>
      </c>
      <c r="G381" s="847">
        <f>F381*12</f>
        <v>13852800</v>
      </c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5" customHeight="1">
      <c r="A382" s="843">
        <v>391</v>
      </c>
      <c r="B382" s="844" t="s">
        <v>3693</v>
      </c>
      <c r="C382" s="845">
        <v>6500</v>
      </c>
      <c r="D382" s="845">
        <f t="shared" si="0"/>
        <v>78000</v>
      </c>
      <c r="E382" s="846">
        <v>62.904000000000003</v>
      </c>
      <c r="F382" s="846">
        <f t="shared" si="1"/>
        <v>408876</v>
      </c>
      <c r="G382" s="847">
        <f>F382*12</f>
        <v>4906512</v>
      </c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5" customHeight="1">
      <c r="A383" s="843">
        <v>392</v>
      </c>
      <c r="B383" s="844" t="s">
        <v>3694</v>
      </c>
      <c r="C383" s="845">
        <v>950</v>
      </c>
      <c r="D383" s="845">
        <f t="shared" si="0"/>
        <v>11400</v>
      </c>
      <c r="E383" s="846">
        <v>499.50400000000002</v>
      </c>
      <c r="F383" s="846">
        <f t="shared" si="1"/>
        <v>474528.80000000005</v>
      </c>
      <c r="G383" s="847">
        <f>F383*12</f>
        <v>5694345.6000000006</v>
      </c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5" customHeight="1">
      <c r="A384" s="843">
        <v>393</v>
      </c>
      <c r="B384" s="844" t="s">
        <v>3695</v>
      </c>
      <c r="C384" s="845">
        <v>40</v>
      </c>
      <c r="D384" s="845">
        <f t="shared" si="0"/>
        <v>480</v>
      </c>
      <c r="E384" s="846">
        <v>9990</v>
      </c>
      <c r="F384" s="846">
        <f t="shared" si="1"/>
        <v>399600</v>
      </c>
      <c r="G384" s="847">
        <f>F384*12</f>
        <v>4795200</v>
      </c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5" customHeight="1">
      <c r="A385" s="843">
        <v>394</v>
      </c>
      <c r="B385" s="844" t="s">
        <v>3696</v>
      </c>
      <c r="C385" s="845">
        <v>70</v>
      </c>
      <c r="D385" s="845">
        <f t="shared" si="0"/>
        <v>840</v>
      </c>
      <c r="E385" s="846">
        <v>832.50400000000002</v>
      </c>
      <c r="F385" s="846">
        <f t="shared" si="1"/>
        <v>58275.28</v>
      </c>
      <c r="G385" s="847">
        <f>F385*12</f>
        <v>699303.36</v>
      </c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5" customHeight="1">
      <c r="A386" s="843">
        <v>395</v>
      </c>
      <c r="B386" s="844" t="s">
        <v>3697</v>
      </c>
      <c r="C386" s="845">
        <v>550</v>
      </c>
      <c r="D386" s="845">
        <f t="shared" si="0"/>
        <v>6600</v>
      </c>
      <c r="E386" s="846">
        <v>1342.768</v>
      </c>
      <c r="F386" s="846">
        <f t="shared" si="1"/>
        <v>738522.4</v>
      </c>
      <c r="G386" s="847">
        <f>F386*12</f>
        <v>8862268.8000000007</v>
      </c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5" customHeight="1">
      <c r="A387" s="843">
        <v>396</v>
      </c>
      <c r="B387" s="844" t="s">
        <v>3698</v>
      </c>
      <c r="C387" s="845">
        <v>25</v>
      </c>
      <c r="D387" s="845">
        <f t="shared" si="0"/>
        <v>300</v>
      </c>
      <c r="E387" s="846">
        <v>54619.767999999996</v>
      </c>
      <c r="F387" s="846">
        <f t="shared" si="1"/>
        <v>1365494.2</v>
      </c>
      <c r="G387" s="847">
        <f>F387*12</f>
        <v>16385930.399999999</v>
      </c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5" customHeight="1">
      <c r="A388" s="843">
        <v>397</v>
      </c>
      <c r="B388" s="844" t="s">
        <v>3699</v>
      </c>
      <c r="C388" s="845">
        <v>5.25</v>
      </c>
      <c r="D388" s="845">
        <f t="shared" si="0"/>
        <v>63</v>
      </c>
      <c r="E388" s="846">
        <v>34775</v>
      </c>
      <c r="F388" s="846">
        <f t="shared" si="1"/>
        <v>182568.75</v>
      </c>
      <c r="G388" s="847">
        <f>F388*12</f>
        <v>2190825</v>
      </c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5" customHeight="1">
      <c r="A389" s="843">
        <v>398</v>
      </c>
      <c r="B389" s="844" t="s">
        <v>3700</v>
      </c>
      <c r="C389" s="845">
        <v>3</v>
      </c>
      <c r="D389" s="845">
        <f t="shared" si="0"/>
        <v>36</v>
      </c>
      <c r="E389" s="846">
        <v>5499.9920000000011</v>
      </c>
      <c r="F389" s="846">
        <f t="shared" si="1"/>
        <v>16499.976000000002</v>
      </c>
      <c r="G389" s="847">
        <f>F389*12</f>
        <v>197999.71200000003</v>
      </c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5" customHeight="1">
      <c r="A390" s="843">
        <v>399</v>
      </c>
      <c r="B390" s="844" t="s">
        <v>3701</v>
      </c>
      <c r="C390" s="845">
        <v>20</v>
      </c>
      <c r="D390" s="845">
        <f t="shared" si="0"/>
        <v>240</v>
      </c>
      <c r="E390" s="846">
        <v>105000</v>
      </c>
      <c r="F390" s="846">
        <f t="shared" si="1"/>
        <v>2100000</v>
      </c>
      <c r="G390" s="847">
        <f>F390*12</f>
        <v>25200000</v>
      </c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5" customHeight="1">
      <c r="A391" s="843">
        <v>400</v>
      </c>
      <c r="B391" s="844" t="s">
        <v>3702</v>
      </c>
      <c r="C391" s="845">
        <v>1</v>
      </c>
      <c r="D391" s="845">
        <f t="shared" si="0"/>
        <v>12</v>
      </c>
      <c r="E391" s="846">
        <v>105000</v>
      </c>
      <c r="F391" s="846">
        <f t="shared" si="1"/>
        <v>105000</v>
      </c>
      <c r="G391" s="847">
        <f>F391*12</f>
        <v>1260000</v>
      </c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5" customHeight="1">
      <c r="A392" s="843">
        <v>401</v>
      </c>
      <c r="B392" s="844" t="s">
        <v>3703</v>
      </c>
      <c r="C392" s="845">
        <v>1</v>
      </c>
      <c r="D392" s="845">
        <f t="shared" si="0"/>
        <v>12</v>
      </c>
      <c r="E392" s="846">
        <v>125000</v>
      </c>
      <c r="F392" s="846">
        <f t="shared" si="1"/>
        <v>125000</v>
      </c>
      <c r="G392" s="847">
        <f>F392*12</f>
        <v>1500000</v>
      </c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5" customHeight="1">
      <c r="A393" s="843">
        <v>402</v>
      </c>
      <c r="B393" s="844" t="s">
        <v>3704</v>
      </c>
      <c r="C393" s="845">
        <v>1</v>
      </c>
      <c r="D393" s="845">
        <f t="shared" si="0"/>
        <v>12</v>
      </c>
      <c r="E393" s="846">
        <v>125000</v>
      </c>
      <c r="F393" s="846">
        <f t="shared" si="1"/>
        <v>125000</v>
      </c>
      <c r="G393" s="847">
        <f>F393*12</f>
        <v>1500000</v>
      </c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5" customHeight="1">
      <c r="A394" s="843">
        <v>403</v>
      </c>
      <c r="B394" s="844" t="s">
        <v>3705</v>
      </c>
      <c r="C394" s="845">
        <v>1</v>
      </c>
      <c r="D394" s="845">
        <f t="shared" si="0"/>
        <v>12</v>
      </c>
      <c r="E394" s="846">
        <v>110000</v>
      </c>
      <c r="F394" s="846">
        <f t="shared" si="1"/>
        <v>110000</v>
      </c>
      <c r="G394" s="847">
        <f>F394*12</f>
        <v>1320000</v>
      </c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5" customHeight="1">
      <c r="A395" s="843">
        <v>404</v>
      </c>
      <c r="B395" s="844" t="s">
        <v>3706</v>
      </c>
      <c r="C395" s="845">
        <v>324</v>
      </c>
      <c r="D395" s="845">
        <f t="shared" si="0"/>
        <v>3888</v>
      </c>
      <c r="E395" s="846">
        <v>2045</v>
      </c>
      <c r="F395" s="846">
        <f t="shared" si="1"/>
        <v>662580</v>
      </c>
      <c r="G395" s="847">
        <f>F395*12</f>
        <v>7950960</v>
      </c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5" customHeight="1">
      <c r="A396" s="843">
        <v>405</v>
      </c>
      <c r="B396" s="844" t="s">
        <v>3707</v>
      </c>
      <c r="C396" s="845">
        <v>300</v>
      </c>
      <c r="D396" s="845">
        <f t="shared" si="0"/>
        <v>3600</v>
      </c>
      <c r="E396" s="846">
        <v>8491.5040000000008</v>
      </c>
      <c r="F396" s="846">
        <f t="shared" si="1"/>
        <v>2547451.2000000002</v>
      </c>
      <c r="G396" s="847">
        <f>F396*12</f>
        <v>30569414.400000002</v>
      </c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5" customHeight="1">
      <c r="A397" s="843">
        <v>406</v>
      </c>
      <c r="B397" s="844" t="s">
        <v>3708</v>
      </c>
      <c r="C397" s="845">
        <v>600</v>
      </c>
      <c r="D397" s="845">
        <f t="shared" si="0"/>
        <v>7200</v>
      </c>
      <c r="E397" s="846">
        <v>8491.5040000000008</v>
      </c>
      <c r="F397" s="846">
        <f t="shared" si="1"/>
        <v>5094902.4000000004</v>
      </c>
      <c r="G397" s="847">
        <f>F397*12</f>
        <v>61138828.800000004</v>
      </c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5" customHeight="1">
      <c r="A398" s="843">
        <v>408</v>
      </c>
      <c r="B398" s="844" t="s">
        <v>3709</v>
      </c>
      <c r="C398" s="845">
        <v>3</v>
      </c>
      <c r="D398" s="845">
        <f t="shared" si="0"/>
        <v>36</v>
      </c>
      <c r="E398" s="846">
        <v>95571</v>
      </c>
      <c r="F398" s="846">
        <f t="shared" si="1"/>
        <v>286713</v>
      </c>
      <c r="G398" s="847">
        <f>F398*12</f>
        <v>3440556</v>
      </c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5" customHeight="1">
      <c r="A399" s="843">
        <v>409</v>
      </c>
      <c r="B399" s="844" t="s">
        <v>3710</v>
      </c>
      <c r="C399" s="845">
        <v>50</v>
      </c>
      <c r="D399" s="845">
        <f t="shared" si="0"/>
        <v>600</v>
      </c>
      <c r="E399" s="846">
        <v>31524</v>
      </c>
      <c r="F399" s="846">
        <f t="shared" si="1"/>
        <v>1576200</v>
      </c>
      <c r="G399" s="847">
        <f>F399*12</f>
        <v>18914400</v>
      </c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5" customHeight="1">
      <c r="A400" s="843">
        <v>410</v>
      </c>
      <c r="B400" s="844" t="s">
        <v>3711</v>
      </c>
      <c r="C400" s="845">
        <v>2500</v>
      </c>
      <c r="D400" s="845">
        <f t="shared" si="0"/>
        <v>30000</v>
      </c>
      <c r="E400" s="846">
        <v>673.88</v>
      </c>
      <c r="F400" s="846">
        <f t="shared" si="1"/>
        <v>1684700</v>
      </c>
      <c r="G400" s="847">
        <f>F400*12</f>
        <v>20216400</v>
      </c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5" customHeight="1">
      <c r="A401" s="843">
        <v>412</v>
      </c>
      <c r="B401" s="844" t="s">
        <v>3712</v>
      </c>
      <c r="C401" s="845">
        <v>15</v>
      </c>
      <c r="D401" s="845">
        <f t="shared" si="0"/>
        <v>180</v>
      </c>
      <c r="E401" s="846">
        <v>21700.504000000001</v>
      </c>
      <c r="F401" s="846">
        <f t="shared" si="1"/>
        <v>325507.56</v>
      </c>
      <c r="G401" s="847">
        <f>F401*12</f>
        <v>3906090.7199999997</v>
      </c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5" customHeight="1">
      <c r="A402" s="843">
        <v>413</v>
      </c>
      <c r="B402" s="844" t="s">
        <v>3713</v>
      </c>
      <c r="C402" s="845">
        <v>700</v>
      </c>
      <c r="D402" s="845">
        <f t="shared" si="0"/>
        <v>8400</v>
      </c>
      <c r="E402" s="846">
        <v>1698.3040000000001</v>
      </c>
      <c r="F402" s="846">
        <f t="shared" si="1"/>
        <v>1188812.8</v>
      </c>
      <c r="G402" s="847">
        <f>F402*12</f>
        <v>14265753.600000001</v>
      </c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5" customHeight="1">
      <c r="A403" s="843">
        <v>414</v>
      </c>
      <c r="B403" s="844" t="s">
        <v>3714</v>
      </c>
      <c r="C403" s="845">
        <v>10</v>
      </c>
      <c r="D403" s="845">
        <f t="shared" si="0"/>
        <v>120</v>
      </c>
      <c r="E403" s="846">
        <v>9546</v>
      </c>
      <c r="F403" s="846">
        <f t="shared" si="1"/>
        <v>95460</v>
      </c>
      <c r="G403" s="847">
        <f>F403*12</f>
        <v>1145520</v>
      </c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5" customHeight="1">
      <c r="A404" s="843">
        <v>415</v>
      </c>
      <c r="B404" s="844" t="s">
        <v>3715</v>
      </c>
      <c r="C404" s="845">
        <v>300</v>
      </c>
      <c r="D404" s="845">
        <f t="shared" si="0"/>
        <v>3600</v>
      </c>
      <c r="E404" s="846">
        <v>11655</v>
      </c>
      <c r="F404" s="846">
        <f t="shared" si="1"/>
        <v>3496500</v>
      </c>
      <c r="G404" s="847">
        <f>F404*12</f>
        <v>41958000</v>
      </c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5" customHeight="1">
      <c r="A405" s="843">
        <v>416</v>
      </c>
      <c r="B405" s="844" t="s">
        <v>3716</v>
      </c>
      <c r="C405" s="845">
        <v>10</v>
      </c>
      <c r="D405" s="845">
        <f t="shared" si="0"/>
        <v>120</v>
      </c>
      <c r="E405" s="846">
        <v>40098.752</v>
      </c>
      <c r="F405" s="846">
        <f t="shared" si="1"/>
        <v>400987.52</v>
      </c>
      <c r="G405" s="847">
        <f>F405*12</f>
        <v>4811850.24</v>
      </c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5" customHeight="1">
      <c r="A406" s="843">
        <v>417</v>
      </c>
      <c r="B406" s="844" t="s">
        <v>3717</v>
      </c>
      <c r="C406" s="845">
        <v>380</v>
      </c>
      <c r="D406" s="845">
        <f t="shared" si="0"/>
        <v>4560</v>
      </c>
      <c r="E406" s="846">
        <v>10378.504000000001</v>
      </c>
      <c r="F406" s="846">
        <f t="shared" si="1"/>
        <v>3943831.5200000005</v>
      </c>
      <c r="G406" s="847">
        <f>F406*12</f>
        <v>47325978.24000001</v>
      </c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5" customHeight="1">
      <c r="A407" s="843">
        <v>418</v>
      </c>
      <c r="B407" s="844" t="s">
        <v>3718</v>
      </c>
      <c r="C407" s="845">
        <v>3</v>
      </c>
      <c r="D407" s="845">
        <f t="shared" si="0"/>
        <v>36</v>
      </c>
      <c r="E407" s="846">
        <v>30192</v>
      </c>
      <c r="F407" s="846">
        <f t="shared" si="1"/>
        <v>90576</v>
      </c>
      <c r="G407" s="847">
        <f>F407*12</f>
        <v>1086912</v>
      </c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5" customHeight="1">
      <c r="A408" s="843">
        <v>419</v>
      </c>
      <c r="B408" s="844" t="s">
        <v>3719</v>
      </c>
      <c r="C408" s="845">
        <v>15</v>
      </c>
      <c r="D408" s="845">
        <f t="shared" si="0"/>
        <v>180</v>
      </c>
      <c r="E408" s="846">
        <v>64102.503999999994</v>
      </c>
      <c r="F408" s="846">
        <f t="shared" si="1"/>
        <v>961537.55999999994</v>
      </c>
      <c r="G408" s="847">
        <f>F408*12</f>
        <v>11538450.719999999</v>
      </c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5" customHeight="1">
      <c r="A409" s="843">
        <v>420</v>
      </c>
      <c r="B409" s="844" t="s">
        <v>3720</v>
      </c>
      <c r="C409" s="845">
        <v>15</v>
      </c>
      <c r="D409" s="845">
        <f t="shared" si="0"/>
        <v>180</v>
      </c>
      <c r="E409" s="846">
        <v>28363.608</v>
      </c>
      <c r="F409" s="846">
        <f t="shared" si="1"/>
        <v>425454.12</v>
      </c>
      <c r="G409" s="847">
        <f>F409*12</f>
        <v>5105449.4399999995</v>
      </c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5" customHeight="1">
      <c r="A410" s="843">
        <v>421</v>
      </c>
      <c r="B410" s="844" t="s">
        <v>3721</v>
      </c>
      <c r="C410" s="845">
        <v>10</v>
      </c>
      <c r="D410" s="845">
        <f t="shared" si="0"/>
        <v>120</v>
      </c>
      <c r="E410" s="846">
        <v>11581.744000000001</v>
      </c>
      <c r="F410" s="846">
        <f t="shared" si="1"/>
        <v>115817.44</v>
      </c>
      <c r="G410" s="847">
        <f>F410*12</f>
        <v>1389809.28</v>
      </c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5" customHeight="1">
      <c r="A411" s="843">
        <v>422</v>
      </c>
      <c r="B411" s="844" t="s">
        <v>3722</v>
      </c>
      <c r="C411" s="845">
        <v>70</v>
      </c>
      <c r="D411" s="845">
        <f t="shared" si="0"/>
        <v>840</v>
      </c>
      <c r="E411" s="846">
        <v>5712.6240000000007</v>
      </c>
      <c r="F411" s="846">
        <f t="shared" si="1"/>
        <v>399883.68000000005</v>
      </c>
      <c r="G411" s="847">
        <f>F411*12</f>
        <v>4798604.16</v>
      </c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5" customHeight="1">
      <c r="A412" s="843">
        <v>424</v>
      </c>
      <c r="B412" s="844" t="s">
        <v>3723</v>
      </c>
      <c r="C412" s="845">
        <v>30</v>
      </c>
      <c r="D412" s="845">
        <f t="shared" si="0"/>
        <v>360</v>
      </c>
      <c r="E412" s="846">
        <v>18870</v>
      </c>
      <c r="F412" s="846">
        <f t="shared" si="1"/>
        <v>566100</v>
      </c>
      <c r="G412" s="847">
        <f>F412*12</f>
        <v>6793200</v>
      </c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5" customHeight="1">
      <c r="A413" s="843">
        <v>425</v>
      </c>
      <c r="B413" s="844" t="s">
        <v>3724</v>
      </c>
      <c r="C413" s="845">
        <v>30</v>
      </c>
      <c r="D413" s="845">
        <f t="shared" si="0"/>
        <v>360</v>
      </c>
      <c r="E413" s="846">
        <v>111000</v>
      </c>
      <c r="F413" s="846">
        <f t="shared" si="1"/>
        <v>3330000</v>
      </c>
      <c r="G413" s="847">
        <f>F413*12</f>
        <v>39960000</v>
      </c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5" customHeight="1">
      <c r="A414" s="843">
        <v>426</v>
      </c>
      <c r="B414" s="844" t="s">
        <v>3725</v>
      </c>
      <c r="C414" s="845">
        <v>3</v>
      </c>
      <c r="D414" s="845">
        <f t="shared" si="0"/>
        <v>36</v>
      </c>
      <c r="E414" s="846">
        <v>88800</v>
      </c>
      <c r="F414" s="846">
        <f t="shared" si="1"/>
        <v>266400</v>
      </c>
      <c r="G414" s="847">
        <f>F414*12</f>
        <v>3196800</v>
      </c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5" customHeight="1">
      <c r="A415" s="843">
        <v>427</v>
      </c>
      <c r="B415" s="844" t="s">
        <v>3726</v>
      </c>
      <c r="C415" s="845">
        <v>150</v>
      </c>
      <c r="D415" s="845">
        <f t="shared" si="0"/>
        <v>1800</v>
      </c>
      <c r="E415" s="846">
        <v>1618.7520000000002</v>
      </c>
      <c r="F415" s="846">
        <f t="shared" si="1"/>
        <v>242812.80000000002</v>
      </c>
      <c r="G415" s="847">
        <f>F415*12</f>
        <v>2913753.6</v>
      </c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5" customHeight="1">
      <c r="A416" s="843">
        <v>428</v>
      </c>
      <c r="B416" s="844" t="s">
        <v>3727</v>
      </c>
      <c r="C416" s="845">
        <v>1400</v>
      </c>
      <c r="D416" s="845">
        <f t="shared" si="0"/>
        <v>16800</v>
      </c>
      <c r="E416" s="846">
        <v>1279.340909090909</v>
      </c>
      <c r="F416" s="846">
        <f t="shared" si="1"/>
        <v>1791077.2727272727</v>
      </c>
      <c r="G416" s="847">
        <f>F416*12</f>
        <v>21492927.272727273</v>
      </c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5" customHeight="1">
      <c r="A417" s="843">
        <v>429</v>
      </c>
      <c r="B417" s="844" t="s">
        <v>3728</v>
      </c>
      <c r="C417" s="845">
        <v>120</v>
      </c>
      <c r="D417" s="845">
        <f t="shared" si="0"/>
        <v>1440</v>
      </c>
      <c r="E417" s="846">
        <v>1209.96</v>
      </c>
      <c r="F417" s="846">
        <f t="shared" si="1"/>
        <v>145195.20000000001</v>
      </c>
      <c r="G417" s="847">
        <f>F417*12</f>
        <v>1742342.4000000001</v>
      </c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5" customHeight="1">
      <c r="A418" s="843">
        <v>430</v>
      </c>
      <c r="B418" s="844" t="s">
        <v>3729</v>
      </c>
      <c r="C418" s="845">
        <v>50</v>
      </c>
      <c r="D418" s="845">
        <f t="shared" si="0"/>
        <v>600</v>
      </c>
      <c r="E418" s="846">
        <v>68542.504000000001</v>
      </c>
      <c r="F418" s="846">
        <f t="shared" si="1"/>
        <v>3427125.2</v>
      </c>
      <c r="G418" s="847">
        <f>F418*12</f>
        <v>41125502.400000006</v>
      </c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5" customHeight="1">
      <c r="A419" s="843">
        <v>431</v>
      </c>
      <c r="B419" s="844" t="s">
        <v>3730</v>
      </c>
      <c r="C419" s="845">
        <v>2100</v>
      </c>
      <c r="D419" s="845">
        <f t="shared" si="0"/>
        <v>25200</v>
      </c>
      <c r="E419" s="846">
        <v>270</v>
      </c>
      <c r="F419" s="846">
        <f t="shared" si="1"/>
        <v>567000</v>
      </c>
      <c r="G419" s="847">
        <f>F419*12</f>
        <v>6804000</v>
      </c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5" customHeight="1">
      <c r="A420" s="843">
        <v>432</v>
      </c>
      <c r="B420" s="844" t="s">
        <v>3731</v>
      </c>
      <c r="C420" s="845">
        <v>1500</v>
      </c>
      <c r="D420" s="845">
        <f t="shared" si="0"/>
        <v>18000</v>
      </c>
      <c r="E420" s="846">
        <v>200</v>
      </c>
      <c r="F420" s="846">
        <f t="shared" si="1"/>
        <v>300000</v>
      </c>
      <c r="G420" s="847">
        <f>F420*12</f>
        <v>3600000</v>
      </c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5" customHeight="1">
      <c r="A421" s="843">
        <v>433</v>
      </c>
      <c r="B421" s="844" t="s">
        <v>3732</v>
      </c>
      <c r="C421" s="845">
        <v>20</v>
      </c>
      <c r="D421" s="845">
        <f t="shared" si="0"/>
        <v>240</v>
      </c>
      <c r="E421" s="846">
        <v>5205.9040000000005</v>
      </c>
      <c r="F421" s="846">
        <f t="shared" si="1"/>
        <v>104118.08000000002</v>
      </c>
      <c r="G421" s="847">
        <f>F421*12</f>
        <v>1249416.9600000002</v>
      </c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5" customHeight="1">
      <c r="A422" s="843">
        <v>434</v>
      </c>
      <c r="B422" s="844" t="s">
        <v>3733</v>
      </c>
      <c r="C422" s="845">
        <v>4</v>
      </c>
      <c r="D422" s="845">
        <f t="shared" si="0"/>
        <v>48</v>
      </c>
      <c r="E422" s="846">
        <v>40293</v>
      </c>
      <c r="F422" s="846">
        <f t="shared" si="1"/>
        <v>161172</v>
      </c>
      <c r="G422" s="847">
        <f>F422*12</f>
        <v>1934064</v>
      </c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5" customHeight="1">
      <c r="A423" s="843">
        <v>435</v>
      </c>
      <c r="B423" s="844" t="s">
        <v>3734</v>
      </c>
      <c r="C423" s="845">
        <v>230</v>
      </c>
      <c r="D423" s="845">
        <f t="shared" si="0"/>
        <v>2760</v>
      </c>
      <c r="E423" s="846">
        <v>233.10399999999998</v>
      </c>
      <c r="F423" s="846">
        <f t="shared" si="1"/>
        <v>53613.919999999998</v>
      </c>
      <c r="G423" s="847">
        <f>F423*12</f>
        <v>643367.04</v>
      </c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5" customHeight="1">
      <c r="A424" s="843">
        <v>436</v>
      </c>
      <c r="B424" s="844" t="s">
        <v>3735</v>
      </c>
      <c r="C424" s="845">
        <v>850</v>
      </c>
      <c r="D424" s="845">
        <f t="shared" si="0"/>
        <v>10200</v>
      </c>
      <c r="E424" s="846">
        <v>302.50399999999996</v>
      </c>
      <c r="F424" s="846">
        <f t="shared" si="1"/>
        <v>257128.39999999997</v>
      </c>
      <c r="G424" s="847">
        <f>F424*12</f>
        <v>3085540.8</v>
      </c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5" customHeight="1">
      <c r="A425" s="843">
        <v>437</v>
      </c>
      <c r="B425" s="844" t="s">
        <v>3736</v>
      </c>
      <c r="C425" s="845">
        <v>4</v>
      </c>
      <c r="D425" s="845">
        <f t="shared" si="0"/>
        <v>48</v>
      </c>
      <c r="E425" s="846">
        <v>3886.6639999999998</v>
      </c>
      <c r="F425" s="846">
        <f t="shared" si="1"/>
        <v>15546.655999999999</v>
      </c>
      <c r="G425" s="847">
        <f>F425*12</f>
        <v>186559.87199999997</v>
      </c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5" customHeight="1">
      <c r="A426" s="843">
        <v>438</v>
      </c>
      <c r="B426" s="844" t="s">
        <v>3737</v>
      </c>
      <c r="C426" s="845">
        <v>25</v>
      </c>
      <c r="D426" s="845">
        <f t="shared" si="0"/>
        <v>300</v>
      </c>
      <c r="E426" s="846">
        <v>40100</v>
      </c>
      <c r="F426" s="846">
        <f t="shared" si="1"/>
        <v>1002500</v>
      </c>
      <c r="G426" s="847">
        <f>F426*12</f>
        <v>12030000</v>
      </c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5" customHeight="1">
      <c r="A427" s="843">
        <v>439</v>
      </c>
      <c r="B427" s="844" t="s">
        <v>3738</v>
      </c>
      <c r="C427" s="845">
        <v>1</v>
      </c>
      <c r="D427" s="845">
        <f t="shared" si="0"/>
        <v>12</v>
      </c>
      <c r="E427" s="846">
        <v>39650.311999999998</v>
      </c>
      <c r="F427" s="846">
        <f t="shared" si="1"/>
        <v>39650.311999999998</v>
      </c>
      <c r="G427" s="847">
        <f>F427*12</f>
        <v>475803.74399999995</v>
      </c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5" customHeight="1">
      <c r="A428" s="843">
        <v>440</v>
      </c>
      <c r="B428" s="844" t="s">
        <v>3739</v>
      </c>
      <c r="C428" s="845">
        <v>15</v>
      </c>
      <c r="D428" s="845">
        <f t="shared" si="0"/>
        <v>180</v>
      </c>
      <c r="E428" s="846">
        <v>34449.96</v>
      </c>
      <c r="F428" s="846">
        <f t="shared" si="1"/>
        <v>516749.39999999997</v>
      </c>
      <c r="G428" s="847">
        <f>F428*12</f>
        <v>6200992.7999999998</v>
      </c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5" customHeight="1">
      <c r="A429" s="843">
        <v>442</v>
      </c>
      <c r="B429" s="844" t="s">
        <v>3740</v>
      </c>
      <c r="C429" s="845">
        <v>1</v>
      </c>
      <c r="D429" s="845">
        <f t="shared" si="0"/>
        <v>12</v>
      </c>
      <c r="E429" s="846">
        <v>23000</v>
      </c>
      <c r="F429" s="846">
        <f t="shared" si="1"/>
        <v>23000</v>
      </c>
      <c r="G429" s="847">
        <f>F429*12</f>
        <v>276000</v>
      </c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5" customHeight="1">
      <c r="A430" s="843">
        <v>443</v>
      </c>
      <c r="B430" s="844" t="s">
        <v>3741</v>
      </c>
      <c r="C430" s="845">
        <v>15</v>
      </c>
      <c r="D430" s="845">
        <f t="shared" si="0"/>
        <v>180</v>
      </c>
      <c r="E430" s="846">
        <v>18750</v>
      </c>
      <c r="F430" s="846">
        <f t="shared" si="1"/>
        <v>281250</v>
      </c>
      <c r="G430" s="847">
        <f>F430*12</f>
        <v>3375000</v>
      </c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5" customHeight="1">
      <c r="A431" s="843">
        <v>444</v>
      </c>
      <c r="B431" s="844" t="s">
        <v>3742</v>
      </c>
      <c r="C431" s="845">
        <v>70</v>
      </c>
      <c r="D431" s="845">
        <f t="shared" si="0"/>
        <v>840</v>
      </c>
      <c r="E431" s="846">
        <v>17982</v>
      </c>
      <c r="F431" s="846">
        <f t="shared" si="1"/>
        <v>1258740</v>
      </c>
      <c r="G431" s="847">
        <f>F431*12</f>
        <v>15104880</v>
      </c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5" customHeight="1">
      <c r="A432" s="843">
        <v>445</v>
      </c>
      <c r="B432" s="844" t="s">
        <v>3743</v>
      </c>
      <c r="C432" s="845">
        <v>60</v>
      </c>
      <c r="D432" s="845">
        <f t="shared" si="0"/>
        <v>720</v>
      </c>
      <c r="E432" s="846">
        <v>17982</v>
      </c>
      <c r="F432" s="846">
        <f t="shared" si="1"/>
        <v>1078920</v>
      </c>
      <c r="G432" s="847">
        <f>F432*12</f>
        <v>12947040</v>
      </c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5" customHeight="1">
      <c r="A433" s="843">
        <v>446</v>
      </c>
      <c r="B433" s="844" t="s">
        <v>3744</v>
      </c>
      <c r="C433" s="845">
        <v>450</v>
      </c>
      <c r="D433" s="845">
        <f t="shared" si="0"/>
        <v>5400</v>
      </c>
      <c r="E433" s="846">
        <v>353</v>
      </c>
      <c r="F433" s="846">
        <f t="shared" si="1"/>
        <v>158850</v>
      </c>
      <c r="G433" s="847">
        <f>F433*12</f>
        <v>1906200</v>
      </c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5" customHeight="1">
      <c r="A434" s="843">
        <v>447</v>
      </c>
      <c r="B434" s="844" t="s">
        <v>3745</v>
      </c>
      <c r="C434" s="845">
        <v>2000</v>
      </c>
      <c r="D434" s="845">
        <f t="shared" si="0"/>
        <v>24000</v>
      </c>
      <c r="E434" s="846">
        <v>666</v>
      </c>
      <c r="F434" s="846">
        <f t="shared" si="1"/>
        <v>1332000</v>
      </c>
      <c r="G434" s="847">
        <f>F434*12</f>
        <v>15984000</v>
      </c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5" customHeight="1">
      <c r="A435" s="843">
        <v>448</v>
      </c>
      <c r="B435" s="844" t="s">
        <v>3746</v>
      </c>
      <c r="C435" s="845">
        <v>300</v>
      </c>
      <c r="D435" s="845">
        <f t="shared" si="0"/>
        <v>3600</v>
      </c>
      <c r="E435" s="846">
        <v>8880</v>
      </c>
      <c r="F435" s="846">
        <f t="shared" si="1"/>
        <v>2664000</v>
      </c>
      <c r="G435" s="847">
        <f>F435*12</f>
        <v>31968000</v>
      </c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5" customHeight="1">
      <c r="A436" s="843">
        <v>449</v>
      </c>
      <c r="B436" s="844" t="s">
        <v>3747</v>
      </c>
      <c r="C436" s="845">
        <v>3</v>
      </c>
      <c r="D436" s="845">
        <f t="shared" si="0"/>
        <v>36</v>
      </c>
      <c r="E436" s="846">
        <v>1000</v>
      </c>
      <c r="F436" s="846">
        <f t="shared" si="1"/>
        <v>3000</v>
      </c>
      <c r="G436" s="847">
        <f>F436*12</f>
        <v>36000</v>
      </c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5" customHeight="1">
      <c r="A437" s="843">
        <v>450</v>
      </c>
      <c r="B437" s="844" t="s">
        <v>3748</v>
      </c>
      <c r="C437" s="845">
        <v>150</v>
      </c>
      <c r="D437" s="845">
        <f t="shared" si="0"/>
        <v>1800</v>
      </c>
      <c r="E437" s="846">
        <v>1609.5039999999997</v>
      </c>
      <c r="F437" s="846">
        <f t="shared" si="1"/>
        <v>241425.59999999995</v>
      </c>
      <c r="G437" s="847">
        <f>F437*12</f>
        <v>2897107.1999999993</v>
      </c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5" customHeight="1">
      <c r="A438" s="843">
        <v>451</v>
      </c>
      <c r="B438" s="844" t="s">
        <v>3749</v>
      </c>
      <c r="C438" s="845">
        <v>80</v>
      </c>
      <c r="D438" s="845">
        <f t="shared" si="0"/>
        <v>960</v>
      </c>
      <c r="E438" s="846">
        <v>11322</v>
      </c>
      <c r="F438" s="846">
        <f t="shared" si="1"/>
        <v>905760</v>
      </c>
      <c r="G438" s="847">
        <f>F438*12</f>
        <v>10869120</v>
      </c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5" customHeight="1">
      <c r="A439" s="843">
        <v>452</v>
      </c>
      <c r="B439" s="844" t="s">
        <v>3750</v>
      </c>
      <c r="C439" s="845">
        <v>1200</v>
      </c>
      <c r="D439" s="845">
        <f t="shared" si="0"/>
        <v>14400</v>
      </c>
      <c r="E439" s="846">
        <v>444</v>
      </c>
      <c r="F439" s="846">
        <f t="shared" si="1"/>
        <v>532800</v>
      </c>
      <c r="G439" s="847">
        <f>F439*12</f>
        <v>6393600</v>
      </c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5" customHeight="1">
      <c r="A440" s="843">
        <v>453</v>
      </c>
      <c r="B440" s="844" t="s">
        <v>3751</v>
      </c>
      <c r="C440" s="845">
        <v>1800</v>
      </c>
      <c r="D440" s="845">
        <f t="shared" si="0"/>
        <v>21600</v>
      </c>
      <c r="E440" s="846">
        <v>249.75200000000001</v>
      </c>
      <c r="F440" s="846">
        <f t="shared" si="1"/>
        <v>449553.60000000003</v>
      </c>
      <c r="G440" s="847">
        <f>F440*12</f>
        <v>5394643.2000000002</v>
      </c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5" customHeight="1">
      <c r="A441" s="843">
        <v>454</v>
      </c>
      <c r="B441" s="844" t="s">
        <v>3752</v>
      </c>
      <c r="C441" s="845">
        <v>40</v>
      </c>
      <c r="D441" s="845">
        <f t="shared" si="0"/>
        <v>480</v>
      </c>
      <c r="E441" s="846">
        <v>7699.9839999999995</v>
      </c>
      <c r="F441" s="846">
        <f t="shared" si="1"/>
        <v>307999.35999999999</v>
      </c>
      <c r="G441" s="847">
        <f>F441*12</f>
        <v>3695992.32</v>
      </c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5" customHeight="1">
      <c r="A442" s="843">
        <v>455</v>
      </c>
      <c r="B442" s="844" t="s">
        <v>3753</v>
      </c>
      <c r="C442" s="845">
        <v>370</v>
      </c>
      <c r="D442" s="845">
        <f t="shared" si="0"/>
        <v>4440</v>
      </c>
      <c r="E442" s="846">
        <v>4866.16</v>
      </c>
      <c r="F442" s="846">
        <f t="shared" si="1"/>
        <v>1800479.2</v>
      </c>
      <c r="G442" s="847">
        <f>F442*12</f>
        <v>21605750.399999999</v>
      </c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5" customHeight="1">
      <c r="A443" s="843">
        <v>456</v>
      </c>
      <c r="B443" s="844" t="s">
        <v>3754</v>
      </c>
      <c r="C443" s="845">
        <v>30</v>
      </c>
      <c r="D443" s="845">
        <f t="shared" si="0"/>
        <v>360</v>
      </c>
      <c r="E443" s="846">
        <v>4707.6880000000001</v>
      </c>
      <c r="F443" s="846">
        <f t="shared" si="1"/>
        <v>141230.64000000001</v>
      </c>
      <c r="G443" s="847">
        <f>F443*12</f>
        <v>1694767.6800000002</v>
      </c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5" customHeight="1">
      <c r="A444" s="843">
        <v>457</v>
      </c>
      <c r="B444" s="844" t="s">
        <v>3755</v>
      </c>
      <c r="C444" s="845">
        <v>160</v>
      </c>
      <c r="D444" s="845">
        <f t="shared" si="0"/>
        <v>1920</v>
      </c>
      <c r="E444" s="846">
        <v>4218</v>
      </c>
      <c r="F444" s="846">
        <f t="shared" si="1"/>
        <v>674880</v>
      </c>
      <c r="G444" s="847">
        <f>F444*12</f>
        <v>8098560</v>
      </c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5" customHeight="1">
      <c r="A445" s="843">
        <v>458</v>
      </c>
      <c r="B445" s="844" t="s">
        <v>3756</v>
      </c>
      <c r="C445" s="845">
        <v>30</v>
      </c>
      <c r="D445" s="845">
        <f t="shared" si="0"/>
        <v>360</v>
      </c>
      <c r="E445" s="846">
        <v>44955</v>
      </c>
      <c r="F445" s="846">
        <f t="shared" si="1"/>
        <v>1348650</v>
      </c>
      <c r="G445" s="847">
        <f>F445*12</f>
        <v>16183800</v>
      </c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5" customHeight="1">
      <c r="A446" s="843">
        <v>459</v>
      </c>
      <c r="B446" s="844" t="s">
        <v>3757</v>
      </c>
      <c r="C446" s="845">
        <v>100</v>
      </c>
      <c r="D446" s="845">
        <f t="shared" si="0"/>
        <v>1200</v>
      </c>
      <c r="E446" s="846">
        <v>4995</v>
      </c>
      <c r="F446" s="846">
        <f t="shared" si="1"/>
        <v>499500</v>
      </c>
      <c r="G446" s="847">
        <f>F446*12</f>
        <v>5994000</v>
      </c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5" customHeight="1">
      <c r="A447" s="843">
        <v>460</v>
      </c>
      <c r="B447" s="844" t="s">
        <v>3758</v>
      </c>
      <c r="C447" s="845">
        <v>15</v>
      </c>
      <c r="D447" s="845">
        <f t="shared" si="0"/>
        <v>180</v>
      </c>
      <c r="E447" s="846">
        <v>4995</v>
      </c>
      <c r="F447" s="846">
        <f t="shared" si="1"/>
        <v>74925</v>
      </c>
      <c r="G447" s="847">
        <f>F447*12</f>
        <v>899100</v>
      </c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5" customHeight="1">
      <c r="A448" s="843">
        <v>461</v>
      </c>
      <c r="B448" s="844" t="s">
        <v>3759</v>
      </c>
      <c r="C448" s="845">
        <v>50</v>
      </c>
      <c r="D448" s="845">
        <f t="shared" si="0"/>
        <v>600</v>
      </c>
      <c r="E448" s="846">
        <v>4995</v>
      </c>
      <c r="F448" s="846">
        <f t="shared" si="1"/>
        <v>249750</v>
      </c>
      <c r="G448" s="847">
        <f>F448*12</f>
        <v>2997000</v>
      </c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5" customHeight="1">
      <c r="A449" s="843">
        <v>462</v>
      </c>
      <c r="B449" s="844" t="s">
        <v>3760</v>
      </c>
      <c r="C449" s="845">
        <v>39500</v>
      </c>
      <c r="D449" s="845">
        <f t="shared" si="0"/>
        <v>474000</v>
      </c>
      <c r="E449" s="846">
        <v>213.68</v>
      </c>
      <c r="F449" s="846">
        <f t="shared" si="1"/>
        <v>8440360</v>
      </c>
      <c r="G449" s="847">
        <f>F449*12</f>
        <v>101284320</v>
      </c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5" customHeight="1">
      <c r="A450" s="843">
        <v>463</v>
      </c>
      <c r="B450" s="844" t="s">
        <v>3761</v>
      </c>
      <c r="C450" s="845">
        <v>250</v>
      </c>
      <c r="D450" s="845">
        <f t="shared" si="0"/>
        <v>3000</v>
      </c>
      <c r="E450" s="846">
        <v>349.54399999999998</v>
      </c>
      <c r="F450" s="846">
        <f t="shared" si="1"/>
        <v>87386</v>
      </c>
      <c r="G450" s="847">
        <f>F450*12</f>
        <v>1048632</v>
      </c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5" customHeight="1">
      <c r="A451" s="843">
        <v>464</v>
      </c>
      <c r="B451" s="844" t="s">
        <v>3762</v>
      </c>
      <c r="C451" s="845">
        <v>30</v>
      </c>
      <c r="D451" s="845">
        <f t="shared" si="0"/>
        <v>360</v>
      </c>
      <c r="E451" s="846">
        <v>2997</v>
      </c>
      <c r="F451" s="846">
        <f t="shared" si="1"/>
        <v>89910</v>
      </c>
      <c r="G451" s="847">
        <f>F451*12</f>
        <v>1078920</v>
      </c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5" customHeight="1">
      <c r="A452" s="843">
        <v>465</v>
      </c>
      <c r="B452" s="844" t="s">
        <v>3763</v>
      </c>
      <c r="C452" s="845">
        <v>3</v>
      </c>
      <c r="D452" s="845">
        <f t="shared" si="0"/>
        <v>36</v>
      </c>
      <c r="E452" s="846">
        <v>55500</v>
      </c>
      <c r="F452" s="846">
        <f t="shared" si="1"/>
        <v>166500</v>
      </c>
      <c r="G452" s="847">
        <f>F452*12</f>
        <v>1998000</v>
      </c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5" customHeight="1">
      <c r="A453" s="843">
        <v>466</v>
      </c>
      <c r="B453" s="844" t="s">
        <v>3764</v>
      </c>
      <c r="C453" s="845">
        <v>90</v>
      </c>
      <c r="D453" s="845">
        <f t="shared" si="0"/>
        <v>1080</v>
      </c>
      <c r="E453" s="846">
        <v>3885</v>
      </c>
      <c r="F453" s="846">
        <f t="shared" si="1"/>
        <v>349650</v>
      </c>
      <c r="G453" s="847">
        <f>F453*12</f>
        <v>4195800</v>
      </c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5" customHeight="1">
      <c r="A454" s="843">
        <v>467</v>
      </c>
      <c r="B454" s="844" t="s">
        <v>3765</v>
      </c>
      <c r="C454" s="845">
        <v>400</v>
      </c>
      <c r="D454" s="845">
        <f t="shared" si="0"/>
        <v>4800</v>
      </c>
      <c r="E454" s="846">
        <v>865.80000000000007</v>
      </c>
      <c r="F454" s="846">
        <f t="shared" si="1"/>
        <v>346320</v>
      </c>
      <c r="G454" s="847">
        <f>F454*12</f>
        <v>4155840</v>
      </c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5" customHeight="1">
      <c r="A455" s="843">
        <v>468</v>
      </c>
      <c r="B455" s="844" t="s">
        <v>3766</v>
      </c>
      <c r="C455" s="845">
        <v>2200</v>
      </c>
      <c r="D455" s="845">
        <f t="shared" si="0"/>
        <v>26400</v>
      </c>
      <c r="E455" s="846">
        <v>199.79999999999998</v>
      </c>
      <c r="F455" s="846">
        <f t="shared" si="1"/>
        <v>439559.99999999994</v>
      </c>
      <c r="G455" s="847">
        <f>F455*12</f>
        <v>5274719.9999999991</v>
      </c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5" customHeight="1">
      <c r="A456" s="843">
        <v>469</v>
      </c>
      <c r="B456" s="844" t="s">
        <v>3767</v>
      </c>
      <c r="C456" s="845">
        <v>230</v>
      </c>
      <c r="D456" s="845">
        <f t="shared" si="0"/>
        <v>2760</v>
      </c>
      <c r="E456" s="846">
        <v>39643.743593220337</v>
      </c>
      <c r="F456" s="846">
        <f t="shared" si="1"/>
        <v>9118061.0264406782</v>
      </c>
      <c r="G456" s="847">
        <f>F456*12</f>
        <v>109416732.31728813</v>
      </c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5" customHeight="1">
      <c r="A457" s="843">
        <v>470</v>
      </c>
      <c r="B457" s="844" t="s">
        <v>3768</v>
      </c>
      <c r="C457" s="845">
        <v>180</v>
      </c>
      <c r="D457" s="845">
        <f t="shared" si="0"/>
        <v>2160</v>
      </c>
      <c r="E457" s="846">
        <v>999</v>
      </c>
      <c r="F457" s="846">
        <f t="shared" si="1"/>
        <v>179820</v>
      </c>
      <c r="G457" s="847">
        <f>F457*12</f>
        <v>2157840</v>
      </c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5" customHeight="1">
      <c r="A458" s="843">
        <v>471</v>
      </c>
      <c r="B458" s="844" t="s">
        <v>3769</v>
      </c>
      <c r="C458" s="845">
        <v>450</v>
      </c>
      <c r="D458" s="845">
        <f t="shared" si="0"/>
        <v>5400</v>
      </c>
      <c r="E458" s="846">
        <v>4659.6720000000005</v>
      </c>
      <c r="F458" s="846">
        <f t="shared" si="1"/>
        <v>2096852.4000000001</v>
      </c>
      <c r="G458" s="847">
        <f>F458*12</f>
        <v>25162228.800000001</v>
      </c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5" customHeight="1">
      <c r="A459" s="843">
        <v>472</v>
      </c>
      <c r="B459" s="844" t="s">
        <v>3770</v>
      </c>
      <c r="C459" s="845">
        <v>10</v>
      </c>
      <c r="D459" s="845">
        <f t="shared" si="0"/>
        <v>120</v>
      </c>
      <c r="E459" s="846">
        <v>195.464</v>
      </c>
      <c r="F459" s="846">
        <f t="shared" si="1"/>
        <v>1954.6399999999999</v>
      </c>
      <c r="G459" s="847">
        <f>F459*12</f>
        <v>23455.68</v>
      </c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5" customHeight="1">
      <c r="A460" s="843">
        <v>473</v>
      </c>
      <c r="B460" s="844" t="s">
        <v>3771</v>
      </c>
      <c r="C460" s="845">
        <v>800</v>
      </c>
      <c r="D460" s="845">
        <f t="shared" si="0"/>
        <v>9600</v>
      </c>
      <c r="E460" s="846">
        <v>308.64</v>
      </c>
      <c r="F460" s="846">
        <f t="shared" si="1"/>
        <v>246912</v>
      </c>
      <c r="G460" s="847">
        <f>F460*12</f>
        <v>2962944</v>
      </c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5" customHeight="1">
      <c r="A461" s="843">
        <v>474</v>
      </c>
      <c r="B461" s="844" t="s">
        <v>3772</v>
      </c>
      <c r="C461" s="845">
        <v>40</v>
      </c>
      <c r="D461" s="845">
        <f t="shared" si="0"/>
        <v>480</v>
      </c>
      <c r="E461" s="846">
        <v>40182</v>
      </c>
      <c r="F461" s="846">
        <f t="shared" si="1"/>
        <v>1607280</v>
      </c>
      <c r="G461" s="847">
        <f>F461*12</f>
        <v>19287360</v>
      </c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5" customHeight="1">
      <c r="A462" s="843">
        <v>475</v>
      </c>
      <c r="B462" s="844" t="s">
        <v>3773</v>
      </c>
      <c r="C462" s="845">
        <v>4</v>
      </c>
      <c r="D462" s="845">
        <f t="shared" si="0"/>
        <v>48</v>
      </c>
      <c r="E462" s="846">
        <v>2641.8</v>
      </c>
      <c r="F462" s="846">
        <f t="shared" si="1"/>
        <v>10567.2</v>
      </c>
      <c r="G462" s="847">
        <f>F462*12</f>
        <v>126806.40000000001</v>
      </c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5" customHeight="1">
      <c r="A463" s="843">
        <v>476</v>
      </c>
      <c r="B463" s="844" t="s">
        <v>3774</v>
      </c>
      <c r="C463" s="845">
        <v>2</v>
      </c>
      <c r="D463" s="845">
        <f t="shared" si="0"/>
        <v>24</v>
      </c>
      <c r="E463" s="846">
        <v>7550.2240000000002</v>
      </c>
      <c r="F463" s="846">
        <f t="shared" si="1"/>
        <v>15100.448</v>
      </c>
      <c r="G463" s="847">
        <f>F463*12</f>
        <v>181205.37599999999</v>
      </c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5" customHeight="1">
      <c r="A464" s="843">
        <v>477</v>
      </c>
      <c r="B464" s="844" t="s">
        <v>3775</v>
      </c>
      <c r="C464" s="845">
        <v>3</v>
      </c>
      <c r="D464" s="845">
        <f t="shared" si="0"/>
        <v>36</v>
      </c>
      <c r="E464" s="846">
        <v>5661</v>
      </c>
      <c r="F464" s="846">
        <f t="shared" si="1"/>
        <v>16983</v>
      </c>
      <c r="G464" s="847">
        <f>F464*12</f>
        <v>203796</v>
      </c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5" customHeight="1">
      <c r="A465" s="843">
        <v>478</v>
      </c>
      <c r="B465" s="844" t="s">
        <v>3776</v>
      </c>
      <c r="C465" s="845">
        <v>15</v>
      </c>
      <c r="D465" s="845">
        <f t="shared" si="0"/>
        <v>180</v>
      </c>
      <c r="E465" s="846">
        <v>5550</v>
      </c>
      <c r="F465" s="846">
        <f t="shared" si="1"/>
        <v>83250</v>
      </c>
      <c r="G465" s="847">
        <f>F465*12</f>
        <v>999000</v>
      </c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5" customHeight="1">
      <c r="A466" s="843">
        <v>479</v>
      </c>
      <c r="B466" s="844" t="s">
        <v>3777</v>
      </c>
      <c r="C466" s="845">
        <v>25</v>
      </c>
      <c r="D466" s="845">
        <f t="shared" si="0"/>
        <v>300</v>
      </c>
      <c r="E466" s="846">
        <v>11322</v>
      </c>
      <c r="F466" s="846">
        <f t="shared" si="1"/>
        <v>283050</v>
      </c>
      <c r="G466" s="847">
        <f>F466*12</f>
        <v>3396600</v>
      </c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5" customHeight="1">
      <c r="A467" s="843">
        <v>480</v>
      </c>
      <c r="B467" s="844" t="s">
        <v>3778</v>
      </c>
      <c r="C467" s="845">
        <v>15</v>
      </c>
      <c r="D467" s="845">
        <f t="shared" si="0"/>
        <v>180</v>
      </c>
      <c r="E467" s="846">
        <v>18102.239999999998</v>
      </c>
      <c r="F467" s="846">
        <f t="shared" si="1"/>
        <v>271533.59999999998</v>
      </c>
      <c r="G467" s="847">
        <f>F467*12</f>
        <v>3258403.1999999997</v>
      </c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5" customHeight="1">
      <c r="A468" s="843">
        <v>481</v>
      </c>
      <c r="B468" s="844" t="s">
        <v>3779</v>
      </c>
      <c r="C468" s="845">
        <v>20</v>
      </c>
      <c r="D468" s="845">
        <f t="shared" si="0"/>
        <v>240</v>
      </c>
      <c r="E468" s="846">
        <v>22200</v>
      </c>
      <c r="F468" s="846">
        <f t="shared" si="1"/>
        <v>444000</v>
      </c>
      <c r="G468" s="847">
        <f>F468*12</f>
        <v>5328000</v>
      </c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5" customHeight="1">
      <c r="A469" s="843">
        <v>482</v>
      </c>
      <c r="B469" s="844" t="s">
        <v>3780</v>
      </c>
      <c r="C469" s="845">
        <v>40</v>
      </c>
      <c r="D469" s="845">
        <f t="shared" si="0"/>
        <v>480</v>
      </c>
      <c r="E469" s="846">
        <v>4440</v>
      </c>
      <c r="F469" s="846">
        <f t="shared" si="1"/>
        <v>177600</v>
      </c>
      <c r="G469" s="847">
        <f>F469*12</f>
        <v>2131200</v>
      </c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5" customHeight="1">
      <c r="A470" s="843">
        <v>483</v>
      </c>
      <c r="B470" s="844" t="s">
        <v>3781</v>
      </c>
      <c r="C470" s="845">
        <v>5.5</v>
      </c>
      <c r="D470" s="845">
        <f t="shared" si="0"/>
        <v>66</v>
      </c>
      <c r="E470" s="846">
        <v>19980</v>
      </c>
      <c r="F470" s="846">
        <f t="shared" si="1"/>
        <v>109890</v>
      </c>
      <c r="G470" s="847">
        <f>F470*12</f>
        <v>1318680</v>
      </c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5" customHeight="1">
      <c r="A471" s="843">
        <v>484</v>
      </c>
      <c r="B471" s="844" t="s">
        <v>3782</v>
      </c>
      <c r="C471" s="845">
        <v>9.85</v>
      </c>
      <c r="D471" s="845">
        <f t="shared" si="0"/>
        <v>118.19999999999999</v>
      </c>
      <c r="E471" s="846">
        <v>29899.960000000003</v>
      </c>
      <c r="F471" s="846">
        <f t="shared" si="1"/>
        <v>294514.60600000003</v>
      </c>
      <c r="G471" s="847">
        <f>F471*12</f>
        <v>3534175.2720000003</v>
      </c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5" customHeight="1">
      <c r="A472" s="843">
        <v>485</v>
      </c>
      <c r="B472" s="844" t="s">
        <v>3783</v>
      </c>
      <c r="C472" s="845">
        <v>2</v>
      </c>
      <c r="D472" s="845">
        <f t="shared" si="0"/>
        <v>24</v>
      </c>
      <c r="E472" s="846">
        <v>45506</v>
      </c>
      <c r="F472" s="846">
        <f t="shared" si="1"/>
        <v>91012</v>
      </c>
      <c r="G472" s="847">
        <f>F472*12</f>
        <v>1092144</v>
      </c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5" customHeight="1">
      <c r="A473" s="843">
        <v>486</v>
      </c>
      <c r="B473" s="844" t="s">
        <v>3784</v>
      </c>
      <c r="C473" s="845">
        <v>25</v>
      </c>
      <c r="D473" s="845">
        <f t="shared" si="0"/>
        <v>300</v>
      </c>
      <c r="E473" s="846">
        <v>29969.999999999996</v>
      </c>
      <c r="F473" s="846">
        <f t="shared" si="1"/>
        <v>749249.99999999988</v>
      </c>
      <c r="G473" s="847">
        <f>F473*12</f>
        <v>8990999.9999999981</v>
      </c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5" customHeight="1">
      <c r="A474" s="843">
        <v>487</v>
      </c>
      <c r="B474" s="844" t="s">
        <v>3785</v>
      </c>
      <c r="C474" s="845">
        <v>200</v>
      </c>
      <c r="D474" s="845">
        <f t="shared" si="0"/>
        <v>2400</v>
      </c>
      <c r="E474" s="846">
        <v>14949.48</v>
      </c>
      <c r="F474" s="846">
        <f t="shared" si="1"/>
        <v>2989896</v>
      </c>
      <c r="G474" s="847">
        <f>F474*12</f>
        <v>35878752</v>
      </c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5" customHeight="1">
      <c r="A475" s="843">
        <v>490</v>
      </c>
      <c r="B475" s="844" t="s">
        <v>3786</v>
      </c>
      <c r="C475" s="845">
        <v>1000</v>
      </c>
      <c r="D475" s="845">
        <f t="shared" si="0"/>
        <v>12000</v>
      </c>
      <c r="E475" s="846">
        <v>5612</v>
      </c>
      <c r="F475" s="846">
        <f t="shared" si="1"/>
        <v>5612000</v>
      </c>
      <c r="G475" s="847">
        <f>F475*12</f>
        <v>67344000</v>
      </c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5" customHeight="1">
      <c r="A476" s="843">
        <v>491</v>
      </c>
      <c r="B476" s="844" t="s">
        <v>3787</v>
      </c>
      <c r="C476" s="845">
        <v>10</v>
      </c>
      <c r="D476" s="845">
        <f t="shared" si="0"/>
        <v>120</v>
      </c>
      <c r="E476" s="846">
        <v>24200</v>
      </c>
      <c r="F476" s="846">
        <f t="shared" si="1"/>
        <v>242000</v>
      </c>
      <c r="G476" s="847">
        <f>F476*12</f>
        <v>2904000</v>
      </c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5" customHeight="1">
      <c r="A477" s="843">
        <v>492</v>
      </c>
      <c r="B477" s="844" t="s">
        <v>3788</v>
      </c>
      <c r="C477" s="845">
        <v>40</v>
      </c>
      <c r="D477" s="845">
        <f t="shared" si="0"/>
        <v>480</v>
      </c>
      <c r="E477" s="846">
        <v>24737.142857142859</v>
      </c>
      <c r="F477" s="846">
        <f t="shared" si="1"/>
        <v>989485.71428571432</v>
      </c>
      <c r="G477" s="847">
        <f>F477*12</f>
        <v>11873828.571428571</v>
      </c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5" customHeight="1">
      <c r="A478" s="843">
        <v>493</v>
      </c>
      <c r="B478" s="844" t="s">
        <v>3789</v>
      </c>
      <c r="C478" s="845">
        <v>100</v>
      </c>
      <c r="D478" s="845">
        <f t="shared" si="0"/>
        <v>1200</v>
      </c>
      <c r="E478" s="846">
        <v>1443</v>
      </c>
      <c r="F478" s="846">
        <f t="shared" si="1"/>
        <v>144300</v>
      </c>
      <c r="G478" s="847">
        <f>F478*12</f>
        <v>1731600</v>
      </c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5" customHeight="1">
      <c r="A479" s="843">
        <v>494</v>
      </c>
      <c r="B479" s="844" t="s">
        <v>3790</v>
      </c>
      <c r="C479" s="845">
        <v>6500</v>
      </c>
      <c r="D479" s="845">
        <f t="shared" si="0"/>
        <v>78000</v>
      </c>
      <c r="E479" s="846">
        <v>166.01222135619639</v>
      </c>
      <c r="F479" s="846">
        <f t="shared" si="1"/>
        <v>1079079.4388152766</v>
      </c>
      <c r="G479" s="847">
        <f>F479*12</f>
        <v>12948953.265783319</v>
      </c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5" customHeight="1">
      <c r="A480" s="843">
        <v>495</v>
      </c>
      <c r="B480" s="844" t="s">
        <v>3791</v>
      </c>
      <c r="C480" s="845">
        <v>30</v>
      </c>
      <c r="D480" s="845">
        <f t="shared" si="0"/>
        <v>360</v>
      </c>
      <c r="E480" s="846">
        <v>24253.504000000001</v>
      </c>
      <c r="F480" s="846">
        <f t="shared" si="1"/>
        <v>727605.12</v>
      </c>
      <c r="G480" s="847">
        <f>F480*12</f>
        <v>8731261.4399999995</v>
      </c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5" customHeight="1">
      <c r="A481" s="843">
        <v>496</v>
      </c>
      <c r="B481" s="844" t="s">
        <v>3792</v>
      </c>
      <c r="C481" s="845">
        <v>4</v>
      </c>
      <c r="D481" s="845">
        <f t="shared" si="0"/>
        <v>48</v>
      </c>
      <c r="E481" s="846">
        <v>790</v>
      </c>
      <c r="F481" s="846">
        <f t="shared" si="1"/>
        <v>3160</v>
      </c>
      <c r="G481" s="847">
        <f>F481*12</f>
        <v>37920</v>
      </c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5" customHeight="1">
      <c r="A482" s="843">
        <v>497</v>
      </c>
      <c r="B482" s="844" t="s">
        <v>3793</v>
      </c>
      <c r="C482" s="845">
        <v>7</v>
      </c>
      <c r="D482" s="845">
        <f t="shared" si="0"/>
        <v>84</v>
      </c>
      <c r="E482" s="846">
        <v>825</v>
      </c>
      <c r="F482" s="846">
        <f t="shared" si="1"/>
        <v>5775</v>
      </c>
      <c r="G482" s="847">
        <f>F482*12</f>
        <v>69300</v>
      </c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5" customHeight="1">
      <c r="A483" s="843">
        <v>498</v>
      </c>
      <c r="B483" s="844" t="s">
        <v>3794</v>
      </c>
      <c r="C483" s="845">
        <v>8</v>
      </c>
      <c r="D483" s="845">
        <f t="shared" si="0"/>
        <v>96</v>
      </c>
      <c r="E483" s="846">
        <v>650.46400000000006</v>
      </c>
      <c r="F483" s="846">
        <f t="shared" si="1"/>
        <v>5203.7120000000004</v>
      </c>
      <c r="G483" s="847">
        <f>F483*12</f>
        <v>62444.544000000009</v>
      </c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5" customHeight="1">
      <c r="A484" s="843">
        <v>499</v>
      </c>
      <c r="B484" s="844" t="s">
        <v>3795</v>
      </c>
      <c r="C484" s="845">
        <v>3</v>
      </c>
      <c r="D484" s="845">
        <f t="shared" si="0"/>
        <v>36</v>
      </c>
      <c r="E484" s="846">
        <v>549.44799999999998</v>
      </c>
      <c r="F484" s="846">
        <f t="shared" si="1"/>
        <v>1648.3440000000001</v>
      </c>
      <c r="G484" s="847">
        <f>F484*12</f>
        <v>19780.128000000001</v>
      </c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5" customHeight="1">
      <c r="A485" s="843">
        <v>500</v>
      </c>
      <c r="B485" s="844" t="s">
        <v>3796</v>
      </c>
      <c r="C485" s="845">
        <v>10</v>
      </c>
      <c r="D485" s="845">
        <f t="shared" si="0"/>
        <v>120</v>
      </c>
      <c r="E485" s="846">
        <v>888</v>
      </c>
      <c r="F485" s="846">
        <f t="shared" si="1"/>
        <v>8880</v>
      </c>
      <c r="G485" s="847">
        <f>F485*12</f>
        <v>106560</v>
      </c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5" customHeight="1">
      <c r="A486" s="843">
        <v>501</v>
      </c>
      <c r="B486" s="844" t="s">
        <v>3797</v>
      </c>
      <c r="C486" s="845">
        <v>500</v>
      </c>
      <c r="D486" s="845">
        <f t="shared" si="0"/>
        <v>6000</v>
      </c>
      <c r="E486" s="846">
        <v>4440</v>
      </c>
      <c r="F486" s="846">
        <f t="shared" si="1"/>
        <v>2220000</v>
      </c>
      <c r="G486" s="847">
        <f>F486*12</f>
        <v>26640000</v>
      </c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5" customHeight="1">
      <c r="A487" s="843">
        <v>502</v>
      </c>
      <c r="B487" s="844" t="s">
        <v>3798</v>
      </c>
      <c r="C487" s="845">
        <v>5</v>
      </c>
      <c r="D487" s="845">
        <f t="shared" si="0"/>
        <v>60</v>
      </c>
      <c r="E487" s="846">
        <v>15207</v>
      </c>
      <c r="F487" s="846">
        <f t="shared" si="1"/>
        <v>76035</v>
      </c>
      <c r="G487" s="847">
        <f>F487*12</f>
        <v>912420</v>
      </c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5" customHeight="1">
      <c r="A488" s="843">
        <v>503</v>
      </c>
      <c r="B488" s="844" t="s">
        <v>3799</v>
      </c>
      <c r="C488" s="845">
        <v>1</v>
      </c>
      <c r="D488" s="845">
        <f t="shared" si="0"/>
        <v>12</v>
      </c>
      <c r="E488" s="846">
        <v>11100</v>
      </c>
      <c r="F488" s="846">
        <f t="shared" si="1"/>
        <v>11100</v>
      </c>
      <c r="G488" s="847">
        <f>F488*12</f>
        <v>133200</v>
      </c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5" customHeight="1">
      <c r="A489" s="843">
        <v>504</v>
      </c>
      <c r="B489" s="844" t="s">
        <v>3800</v>
      </c>
      <c r="C489" s="845">
        <v>70</v>
      </c>
      <c r="D489" s="845">
        <f t="shared" si="0"/>
        <v>840</v>
      </c>
      <c r="E489" s="846">
        <v>499.50400000000002</v>
      </c>
      <c r="F489" s="846">
        <f t="shared" si="1"/>
        <v>34965.279999999999</v>
      </c>
      <c r="G489" s="847">
        <f>F489*12</f>
        <v>419583.36</v>
      </c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5" customHeight="1">
      <c r="A490" s="843">
        <v>505</v>
      </c>
      <c r="B490" s="844" t="s">
        <v>3801</v>
      </c>
      <c r="C490" s="845">
        <v>50</v>
      </c>
      <c r="D490" s="845">
        <f t="shared" si="0"/>
        <v>600</v>
      </c>
      <c r="E490" s="846">
        <v>1110</v>
      </c>
      <c r="F490" s="846">
        <f t="shared" si="1"/>
        <v>55500</v>
      </c>
      <c r="G490" s="847">
        <f>F490*12</f>
        <v>666000</v>
      </c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5" customHeight="1">
      <c r="A491" s="843">
        <v>506</v>
      </c>
      <c r="B491" s="844" t="s">
        <v>3802</v>
      </c>
      <c r="C491" s="845">
        <v>250</v>
      </c>
      <c r="D491" s="845">
        <f t="shared" si="0"/>
        <v>3000</v>
      </c>
      <c r="E491" s="846">
        <v>1609.5040000000004</v>
      </c>
      <c r="F491" s="846">
        <f t="shared" si="1"/>
        <v>402376.00000000012</v>
      </c>
      <c r="G491" s="847">
        <f>F491*12</f>
        <v>4828512.0000000019</v>
      </c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5" customHeight="1">
      <c r="A492" s="843">
        <v>507</v>
      </c>
      <c r="B492" s="844" t="s">
        <v>3803</v>
      </c>
      <c r="C492" s="845">
        <v>5</v>
      </c>
      <c r="D492" s="845">
        <f t="shared" si="0"/>
        <v>60</v>
      </c>
      <c r="E492" s="846">
        <v>2886</v>
      </c>
      <c r="F492" s="846">
        <f t="shared" si="1"/>
        <v>14430</v>
      </c>
      <c r="G492" s="847">
        <f>F492*12</f>
        <v>173160</v>
      </c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5" customHeight="1">
      <c r="A493" s="843">
        <v>508</v>
      </c>
      <c r="B493" s="844" t="s">
        <v>3804</v>
      </c>
      <c r="C493" s="845">
        <v>3</v>
      </c>
      <c r="D493" s="845">
        <f t="shared" si="0"/>
        <v>36</v>
      </c>
      <c r="E493" s="846">
        <v>12500</v>
      </c>
      <c r="F493" s="846">
        <f t="shared" si="1"/>
        <v>37500</v>
      </c>
      <c r="G493" s="847">
        <f>F493*12</f>
        <v>450000</v>
      </c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5" customHeight="1">
      <c r="A494" s="843">
        <v>509</v>
      </c>
      <c r="B494" s="844" t="s">
        <v>3805</v>
      </c>
      <c r="C494" s="845">
        <v>1</v>
      </c>
      <c r="D494" s="845">
        <f t="shared" si="0"/>
        <v>12</v>
      </c>
      <c r="E494" s="846">
        <v>32634</v>
      </c>
      <c r="F494" s="846">
        <f t="shared" si="1"/>
        <v>32634</v>
      </c>
      <c r="G494" s="847">
        <f>F494*12</f>
        <v>391608</v>
      </c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5" customHeight="1">
      <c r="A495" s="843">
        <v>510</v>
      </c>
      <c r="B495" s="844" t="s">
        <v>3806</v>
      </c>
      <c r="C495" s="845">
        <v>5</v>
      </c>
      <c r="D495" s="845">
        <f t="shared" si="0"/>
        <v>60</v>
      </c>
      <c r="E495" s="846">
        <v>34965</v>
      </c>
      <c r="F495" s="846">
        <f t="shared" si="1"/>
        <v>174825</v>
      </c>
      <c r="G495" s="847">
        <f>F495*12</f>
        <v>2097900</v>
      </c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5" customHeight="1">
      <c r="A496" s="843">
        <v>511</v>
      </c>
      <c r="B496" s="844" t="s">
        <v>3807</v>
      </c>
      <c r="C496" s="845">
        <v>35</v>
      </c>
      <c r="D496" s="845">
        <f t="shared" si="0"/>
        <v>420</v>
      </c>
      <c r="E496" s="846">
        <v>34965</v>
      </c>
      <c r="F496" s="846">
        <f t="shared" si="1"/>
        <v>1223775</v>
      </c>
      <c r="G496" s="847">
        <f>F496*12</f>
        <v>14685300</v>
      </c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5" customHeight="1">
      <c r="A497" s="843">
        <v>512</v>
      </c>
      <c r="B497" s="844" t="s">
        <v>3808</v>
      </c>
      <c r="C497" s="845">
        <v>15</v>
      </c>
      <c r="D497" s="845">
        <f t="shared" si="0"/>
        <v>180</v>
      </c>
      <c r="E497" s="846">
        <v>40065.447999999997</v>
      </c>
      <c r="F497" s="846">
        <f t="shared" si="1"/>
        <v>600981.72</v>
      </c>
      <c r="G497" s="847">
        <f>F497*12</f>
        <v>7211780.6399999997</v>
      </c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5" customHeight="1">
      <c r="A498" s="843">
        <v>513</v>
      </c>
      <c r="B498" s="844" t="s">
        <v>3809</v>
      </c>
      <c r="C498" s="845">
        <v>3</v>
      </c>
      <c r="D498" s="845">
        <f t="shared" si="0"/>
        <v>36</v>
      </c>
      <c r="E498" s="846">
        <v>40064.063999999998</v>
      </c>
      <c r="F498" s="846">
        <f t="shared" si="1"/>
        <v>120192.192</v>
      </c>
      <c r="G498" s="847">
        <f>F498*12</f>
        <v>1442306.304</v>
      </c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5" customHeight="1">
      <c r="A499" s="843">
        <v>514</v>
      </c>
      <c r="B499" s="844" t="s">
        <v>3810</v>
      </c>
      <c r="C499" s="845">
        <v>4</v>
      </c>
      <c r="D499" s="845">
        <f t="shared" si="0"/>
        <v>48</v>
      </c>
      <c r="E499" s="846">
        <v>88800</v>
      </c>
      <c r="F499" s="846">
        <f t="shared" si="1"/>
        <v>355200</v>
      </c>
      <c r="G499" s="847">
        <f>F499*12</f>
        <v>4262400</v>
      </c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5" customHeight="1">
      <c r="A500" s="843">
        <v>515</v>
      </c>
      <c r="B500" s="844" t="s">
        <v>3811</v>
      </c>
      <c r="C500" s="845">
        <v>100</v>
      </c>
      <c r="D500" s="845">
        <f t="shared" si="0"/>
        <v>1200</v>
      </c>
      <c r="E500" s="846">
        <v>187.91200000000001</v>
      </c>
      <c r="F500" s="846">
        <f t="shared" si="1"/>
        <v>18791.2</v>
      </c>
      <c r="G500" s="847">
        <f>F500*12</f>
        <v>225494.40000000002</v>
      </c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5" customHeight="1">
      <c r="A501" s="843">
        <v>516</v>
      </c>
      <c r="B501" s="844" t="s">
        <v>3812</v>
      </c>
      <c r="C501" s="845">
        <v>80000</v>
      </c>
      <c r="D501" s="845">
        <f t="shared" si="0"/>
        <v>960000</v>
      </c>
      <c r="E501" s="846">
        <v>1655</v>
      </c>
      <c r="F501" s="846">
        <f t="shared" si="1"/>
        <v>132400000</v>
      </c>
      <c r="G501" s="847">
        <f>F501*12</f>
        <v>1588800000</v>
      </c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5" customHeight="1">
      <c r="A502" s="843">
        <v>517</v>
      </c>
      <c r="B502" s="844" t="s">
        <v>3813</v>
      </c>
      <c r="C502" s="845">
        <v>25</v>
      </c>
      <c r="D502" s="845">
        <f t="shared" si="0"/>
        <v>300</v>
      </c>
      <c r="E502" s="846">
        <v>4218</v>
      </c>
      <c r="F502" s="846">
        <f t="shared" si="1"/>
        <v>105450</v>
      </c>
      <c r="G502" s="847">
        <f>F502*12</f>
        <v>1265400</v>
      </c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5" customHeight="1">
      <c r="A503" s="843">
        <v>518</v>
      </c>
      <c r="B503" s="844" t="s">
        <v>3814</v>
      </c>
      <c r="C503" s="845">
        <v>1000</v>
      </c>
      <c r="D503" s="845">
        <f t="shared" si="0"/>
        <v>12000</v>
      </c>
      <c r="E503" s="846">
        <v>3663</v>
      </c>
      <c r="F503" s="846">
        <f t="shared" si="1"/>
        <v>3663000</v>
      </c>
      <c r="G503" s="847">
        <f>F503*12</f>
        <v>43956000</v>
      </c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5" customHeight="1">
      <c r="A504" s="843">
        <v>519</v>
      </c>
      <c r="B504" s="844" t="s">
        <v>3815</v>
      </c>
      <c r="C504" s="845">
        <v>3</v>
      </c>
      <c r="D504" s="845">
        <f t="shared" si="0"/>
        <v>36</v>
      </c>
      <c r="E504" s="846">
        <v>110722.504</v>
      </c>
      <c r="F504" s="846">
        <f t="shared" si="1"/>
        <v>332167.51199999999</v>
      </c>
      <c r="G504" s="847">
        <f>F504*12</f>
        <v>3986010.1439999999</v>
      </c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5" customHeight="1">
      <c r="A505" s="843">
        <v>520</v>
      </c>
      <c r="B505" s="844" t="s">
        <v>3816</v>
      </c>
      <c r="C505" s="845">
        <v>5</v>
      </c>
      <c r="D505" s="845">
        <f t="shared" si="0"/>
        <v>60</v>
      </c>
      <c r="E505" s="846">
        <v>8253.9599999999991</v>
      </c>
      <c r="F505" s="846">
        <f t="shared" si="1"/>
        <v>41269.799999999996</v>
      </c>
      <c r="G505" s="847">
        <f>F505*12</f>
        <v>495237.6</v>
      </c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5" customHeight="1">
      <c r="A506" s="843">
        <v>521</v>
      </c>
      <c r="B506" s="844" t="s">
        <v>3817</v>
      </c>
      <c r="C506" s="845">
        <v>70</v>
      </c>
      <c r="D506" s="845">
        <f t="shared" si="0"/>
        <v>840</v>
      </c>
      <c r="E506" s="846">
        <v>14398.92</v>
      </c>
      <c r="F506" s="846">
        <f t="shared" si="1"/>
        <v>1007924.4</v>
      </c>
      <c r="G506" s="847">
        <f>F506*12</f>
        <v>12095092.800000001</v>
      </c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5" customHeight="1">
      <c r="A507" s="843">
        <v>522</v>
      </c>
      <c r="B507" s="844" t="s">
        <v>3818</v>
      </c>
      <c r="C507" s="845">
        <v>50</v>
      </c>
      <c r="D507" s="845">
        <f t="shared" si="0"/>
        <v>600</v>
      </c>
      <c r="E507" s="846">
        <v>4440</v>
      </c>
      <c r="F507" s="846">
        <f t="shared" si="1"/>
        <v>222000</v>
      </c>
      <c r="G507" s="847">
        <f>F507*12</f>
        <v>2664000</v>
      </c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5" customHeight="1">
      <c r="A508" s="843">
        <v>523</v>
      </c>
      <c r="B508" s="844" t="s">
        <v>3819</v>
      </c>
      <c r="C508" s="845">
        <v>20</v>
      </c>
      <c r="D508" s="845">
        <f t="shared" si="0"/>
        <v>240</v>
      </c>
      <c r="E508" s="846">
        <v>787.55199999999991</v>
      </c>
      <c r="F508" s="846">
        <f t="shared" si="1"/>
        <v>15751.039999999997</v>
      </c>
      <c r="G508" s="847">
        <f>F508*12</f>
        <v>189012.47999999998</v>
      </c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5" customHeight="1">
      <c r="A509" s="843">
        <v>524</v>
      </c>
      <c r="B509" s="844" t="s">
        <v>3820</v>
      </c>
      <c r="C509" s="845">
        <v>400</v>
      </c>
      <c r="D509" s="845">
        <f t="shared" si="0"/>
        <v>4800</v>
      </c>
      <c r="E509" s="846">
        <v>788.71486651053874</v>
      </c>
      <c r="F509" s="846">
        <f t="shared" si="1"/>
        <v>315485.94660421548</v>
      </c>
      <c r="G509" s="847">
        <f>F509*12</f>
        <v>3785831.3592505855</v>
      </c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5" customHeight="1">
      <c r="A510" s="843">
        <v>525</v>
      </c>
      <c r="B510" s="844" t="s">
        <v>3821</v>
      </c>
      <c r="C510" s="845">
        <v>5</v>
      </c>
      <c r="D510" s="845">
        <f t="shared" si="0"/>
        <v>60</v>
      </c>
      <c r="E510" s="846">
        <v>113017.984</v>
      </c>
      <c r="F510" s="846">
        <f t="shared" si="1"/>
        <v>565089.91999999993</v>
      </c>
      <c r="G510" s="847">
        <f>F510*12</f>
        <v>6781079.0399999991</v>
      </c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5" customHeight="1">
      <c r="A511" s="843">
        <v>526</v>
      </c>
      <c r="B511" s="844" t="s">
        <v>3822</v>
      </c>
      <c r="C511" s="845">
        <v>30</v>
      </c>
      <c r="D511" s="845">
        <f t="shared" si="0"/>
        <v>360</v>
      </c>
      <c r="E511" s="846">
        <v>95325.911999999997</v>
      </c>
      <c r="F511" s="846">
        <f t="shared" si="1"/>
        <v>2859777.36</v>
      </c>
      <c r="G511" s="847">
        <f>F511*12</f>
        <v>34317328.32</v>
      </c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5" customHeight="1">
      <c r="A512" s="843">
        <v>528</v>
      </c>
      <c r="B512" s="844" t="s">
        <v>3823</v>
      </c>
      <c r="C512" s="845">
        <v>30</v>
      </c>
      <c r="D512" s="845">
        <f t="shared" si="0"/>
        <v>360</v>
      </c>
      <c r="E512" s="846">
        <v>5827.5039999999999</v>
      </c>
      <c r="F512" s="846">
        <f t="shared" si="1"/>
        <v>174825.12</v>
      </c>
      <c r="G512" s="847">
        <f>F512*12</f>
        <v>2097901.44</v>
      </c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5" customHeight="1">
      <c r="A513" s="843">
        <v>529</v>
      </c>
      <c r="B513" s="844" t="s">
        <v>3824</v>
      </c>
      <c r="C513" s="845">
        <v>20</v>
      </c>
      <c r="D513" s="845">
        <f t="shared" si="0"/>
        <v>240</v>
      </c>
      <c r="E513" s="846">
        <v>9324</v>
      </c>
      <c r="F513" s="846">
        <f t="shared" si="1"/>
        <v>186480</v>
      </c>
      <c r="G513" s="847">
        <f>F513*12</f>
        <v>2237760</v>
      </c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5" customHeight="1">
      <c r="A514" s="843">
        <v>530</v>
      </c>
      <c r="B514" s="844" t="s">
        <v>3825</v>
      </c>
      <c r="C514" s="845">
        <v>10</v>
      </c>
      <c r="D514" s="845">
        <f t="shared" si="0"/>
        <v>120</v>
      </c>
      <c r="E514" s="846">
        <v>94350</v>
      </c>
      <c r="F514" s="846">
        <f t="shared" si="1"/>
        <v>943500</v>
      </c>
      <c r="G514" s="847">
        <f>F514*12</f>
        <v>11322000</v>
      </c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5" customHeight="1">
      <c r="A515" s="843">
        <v>531</v>
      </c>
      <c r="B515" s="844" t="s">
        <v>3826</v>
      </c>
      <c r="C515" s="845">
        <v>20</v>
      </c>
      <c r="D515" s="845">
        <f t="shared" si="0"/>
        <v>240</v>
      </c>
      <c r="E515" s="846">
        <v>59440.503999999994</v>
      </c>
      <c r="F515" s="846">
        <f t="shared" si="1"/>
        <v>1188810.0799999998</v>
      </c>
      <c r="G515" s="847">
        <f>F515*12</f>
        <v>14265720.959999997</v>
      </c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5" customHeight="1">
      <c r="A516" s="843">
        <v>533</v>
      </c>
      <c r="B516" s="844" t="s">
        <v>3827</v>
      </c>
      <c r="C516" s="845">
        <v>100</v>
      </c>
      <c r="D516" s="845">
        <f t="shared" si="0"/>
        <v>1200</v>
      </c>
      <c r="E516" s="846">
        <v>5883</v>
      </c>
      <c r="F516" s="846">
        <f t="shared" si="1"/>
        <v>588300</v>
      </c>
      <c r="G516" s="847">
        <f>F516*12</f>
        <v>7059600</v>
      </c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5" customHeight="1">
      <c r="A517" s="843">
        <v>535</v>
      </c>
      <c r="B517" s="844" t="s">
        <v>3828</v>
      </c>
      <c r="C517" s="845">
        <v>40</v>
      </c>
      <c r="D517" s="845">
        <f t="shared" si="0"/>
        <v>480</v>
      </c>
      <c r="E517" s="846">
        <v>5883</v>
      </c>
      <c r="F517" s="846">
        <f t="shared" si="1"/>
        <v>235320</v>
      </c>
      <c r="G517" s="847">
        <f>F517*12</f>
        <v>2823840</v>
      </c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5" customHeight="1">
      <c r="A518" s="843">
        <v>536</v>
      </c>
      <c r="B518" s="844" t="s">
        <v>3829</v>
      </c>
      <c r="C518" s="845">
        <v>10</v>
      </c>
      <c r="D518" s="845">
        <f t="shared" si="0"/>
        <v>120</v>
      </c>
      <c r="E518" s="846">
        <v>62393.103999999999</v>
      </c>
      <c r="F518" s="846">
        <f t="shared" si="1"/>
        <v>623931.04</v>
      </c>
      <c r="G518" s="847">
        <f>F518*12</f>
        <v>7487172.4800000004</v>
      </c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5" customHeight="1">
      <c r="A519" s="843">
        <v>537</v>
      </c>
      <c r="B519" s="844" t="s">
        <v>3830</v>
      </c>
      <c r="C519" s="845">
        <v>30</v>
      </c>
      <c r="D519" s="845">
        <f t="shared" si="0"/>
        <v>360</v>
      </c>
      <c r="E519" s="846">
        <v>1500</v>
      </c>
      <c r="F519" s="846">
        <f t="shared" si="1"/>
        <v>45000</v>
      </c>
      <c r="G519" s="847">
        <f>F519*12</f>
        <v>540000</v>
      </c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5" customHeight="1">
      <c r="A520" s="843">
        <v>538</v>
      </c>
      <c r="B520" s="844" t="s">
        <v>3831</v>
      </c>
      <c r="C520" s="845">
        <v>5500</v>
      </c>
      <c r="D520" s="845">
        <f t="shared" si="0"/>
        <v>66000</v>
      </c>
      <c r="E520" s="846">
        <v>395.44</v>
      </c>
      <c r="F520" s="846">
        <f t="shared" si="1"/>
        <v>2174920</v>
      </c>
      <c r="G520" s="847">
        <f>F520*12</f>
        <v>26099040</v>
      </c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5" customHeight="1">
      <c r="A521" s="843">
        <v>539</v>
      </c>
      <c r="B521" s="844" t="s">
        <v>3832</v>
      </c>
      <c r="C521" s="845">
        <v>1400</v>
      </c>
      <c r="D521" s="845">
        <f t="shared" si="0"/>
        <v>16800</v>
      </c>
      <c r="E521" s="846">
        <v>10094.904</v>
      </c>
      <c r="F521" s="846">
        <f t="shared" si="1"/>
        <v>14132865.600000001</v>
      </c>
      <c r="G521" s="847">
        <f>F521*12</f>
        <v>169594387.20000002</v>
      </c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5" customHeight="1">
      <c r="A522" s="843">
        <v>540</v>
      </c>
      <c r="B522" s="844" t="s">
        <v>3833</v>
      </c>
      <c r="C522" s="845">
        <v>1600</v>
      </c>
      <c r="D522" s="845">
        <f t="shared" si="0"/>
        <v>19200</v>
      </c>
      <c r="E522" s="846">
        <v>4995</v>
      </c>
      <c r="F522" s="846">
        <f t="shared" si="1"/>
        <v>7992000</v>
      </c>
      <c r="G522" s="847">
        <f>F522*12</f>
        <v>95904000</v>
      </c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5" customHeight="1">
      <c r="A523" s="843">
        <v>541</v>
      </c>
      <c r="B523" s="844" t="s">
        <v>3834</v>
      </c>
      <c r="C523" s="845">
        <v>600</v>
      </c>
      <c r="D523" s="845">
        <f t="shared" si="0"/>
        <v>7200</v>
      </c>
      <c r="E523" s="846">
        <v>908.31200000000001</v>
      </c>
      <c r="F523" s="846">
        <f t="shared" si="1"/>
        <v>544987.19999999995</v>
      </c>
      <c r="G523" s="847">
        <f>F523*12</f>
        <v>6539846.3999999994</v>
      </c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5" customHeight="1">
      <c r="A524" s="843">
        <v>542</v>
      </c>
      <c r="B524" s="844" t="s">
        <v>3835</v>
      </c>
      <c r="C524" s="845">
        <v>200</v>
      </c>
      <c r="D524" s="845">
        <f t="shared" si="0"/>
        <v>2400</v>
      </c>
      <c r="E524" s="846">
        <v>6105</v>
      </c>
      <c r="F524" s="846">
        <f t="shared" si="1"/>
        <v>1221000</v>
      </c>
      <c r="G524" s="847">
        <f>F524*12</f>
        <v>14652000</v>
      </c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5" customHeight="1">
      <c r="A525" s="843">
        <v>543</v>
      </c>
      <c r="B525" s="844" t="s">
        <v>3836</v>
      </c>
      <c r="C525" s="845">
        <v>10</v>
      </c>
      <c r="D525" s="845">
        <f t="shared" si="0"/>
        <v>120</v>
      </c>
      <c r="E525" s="846">
        <v>380.048</v>
      </c>
      <c r="F525" s="846">
        <f t="shared" si="1"/>
        <v>3800.48</v>
      </c>
      <c r="G525" s="847">
        <f>F525*12</f>
        <v>45605.760000000002</v>
      </c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5" customHeight="1">
      <c r="A526" s="843">
        <v>544</v>
      </c>
      <c r="B526" s="844" t="s">
        <v>3837</v>
      </c>
      <c r="C526" s="845">
        <v>800</v>
      </c>
      <c r="D526" s="845">
        <f t="shared" si="0"/>
        <v>9600</v>
      </c>
      <c r="E526" s="846">
        <v>500.048</v>
      </c>
      <c r="F526" s="846">
        <f t="shared" si="1"/>
        <v>400038.40000000002</v>
      </c>
      <c r="G526" s="847">
        <f>F526*12</f>
        <v>4800460.8000000007</v>
      </c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5" customHeight="1">
      <c r="A527" s="843">
        <v>545</v>
      </c>
      <c r="B527" s="844" t="s">
        <v>3838</v>
      </c>
      <c r="C527" s="845">
        <v>30</v>
      </c>
      <c r="D527" s="845">
        <f t="shared" si="0"/>
        <v>360</v>
      </c>
      <c r="E527" s="846">
        <v>860.24800000000005</v>
      </c>
      <c r="F527" s="846">
        <f t="shared" si="1"/>
        <v>25807.440000000002</v>
      </c>
      <c r="G527" s="847">
        <f>F527*12</f>
        <v>309689.28000000003</v>
      </c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5" customHeight="1">
      <c r="A528" s="843">
        <v>546</v>
      </c>
      <c r="B528" s="844" t="s">
        <v>3839</v>
      </c>
      <c r="C528" s="845">
        <v>10</v>
      </c>
      <c r="D528" s="845">
        <f t="shared" si="0"/>
        <v>120</v>
      </c>
      <c r="E528" s="846">
        <v>3789.5440000000003</v>
      </c>
      <c r="F528" s="846">
        <f t="shared" si="1"/>
        <v>37895.440000000002</v>
      </c>
      <c r="G528" s="847">
        <f>F528*12</f>
        <v>454745.28</v>
      </c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5" customHeight="1">
      <c r="A529" s="843">
        <v>547</v>
      </c>
      <c r="B529" s="844" t="s">
        <v>3840</v>
      </c>
      <c r="C529" s="845">
        <v>380</v>
      </c>
      <c r="D529" s="845">
        <f t="shared" si="0"/>
        <v>4560</v>
      </c>
      <c r="E529" s="846">
        <v>7125.0879999999997</v>
      </c>
      <c r="F529" s="846">
        <f t="shared" si="1"/>
        <v>2707533.44</v>
      </c>
      <c r="G529" s="847">
        <f>F529*12</f>
        <v>32490401.280000001</v>
      </c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5" customHeight="1">
      <c r="A530" s="843">
        <v>548</v>
      </c>
      <c r="B530" s="844" t="s">
        <v>3841</v>
      </c>
      <c r="C530" s="845">
        <v>3</v>
      </c>
      <c r="D530" s="845">
        <f t="shared" si="0"/>
        <v>36</v>
      </c>
      <c r="E530" s="846">
        <v>33058.911999999997</v>
      </c>
      <c r="F530" s="846">
        <f t="shared" si="1"/>
        <v>99176.73599999999</v>
      </c>
      <c r="G530" s="847">
        <f>F530*12</f>
        <v>1190120.8319999999</v>
      </c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5" customHeight="1">
      <c r="A531" s="843">
        <v>549</v>
      </c>
      <c r="B531" s="844" t="s">
        <v>3842</v>
      </c>
      <c r="C531" s="845">
        <v>15</v>
      </c>
      <c r="D531" s="845">
        <f t="shared" si="0"/>
        <v>180</v>
      </c>
      <c r="E531" s="846">
        <v>58000</v>
      </c>
      <c r="F531" s="846">
        <f t="shared" si="1"/>
        <v>870000</v>
      </c>
      <c r="G531" s="847">
        <f>F531*12</f>
        <v>10440000</v>
      </c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5" customHeight="1">
      <c r="A532" s="843">
        <v>550</v>
      </c>
      <c r="B532" s="844" t="s">
        <v>3843</v>
      </c>
      <c r="C532" s="845">
        <v>100</v>
      </c>
      <c r="D532" s="845">
        <f t="shared" si="0"/>
        <v>1200</v>
      </c>
      <c r="E532" s="846">
        <v>2775</v>
      </c>
      <c r="F532" s="846">
        <f t="shared" si="1"/>
        <v>277500</v>
      </c>
      <c r="G532" s="847">
        <f>F532*12</f>
        <v>3330000</v>
      </c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5" customHeight="1">
      <c r="A533" s="843">
        <v>551</v>
      </c>
      <c r="B533" s="844" t="s">
        <v>3844</v>
      </c>
      <c r="C533" s="845">
        <v>1200</v>
      </c>
      <c r="D533" s="845">
        <f t="shared" si="0"/>
        <v>14400</v>
      </c>
      <c r="E533" s="846">
        <v>949.048</v>
      </c>
      <c r="F533" s="846">
        <f t="shared" si="1"/>
        <v>1138857.6000000001</v>
      </c>
      <c r="G533" s="847">
        <f>F533*12</f>
        <v>13666291.200000001</v>
      </c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5" customHeight="1">
      <c r="A534" s="843">
        <v>552</v>
      </c>
      <c r="B534" s="844" t="s">
        <v>3845</v>
      </c>
      <c r="C534" s="845">
        <v>4600</v>
      </c>
      <c r="D534" s="845">
        <f t="shared" si="0"/>
        <v>55200</v>
      </c>
      <c r="E534" s="846">
        <v>168.50399999999999</v>
      </c>
      <c r="F534" s="846">
        <f t="shared" si="1"/>
        <v>775118.39999999991</v>
      </c>
      <c r="G534" s="847">
        <f>F534*12</f>
        <v>9301420.7999999989</v>
      </c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5" customHeight="1">
      <c r="A535" s="843">
        <v>553</v>
      </c>
      <c r="B535" s="844" t="s">
        <v>3846</v>
      </c>
      <c r="C535" s="845">
        <v>1000</v>
      </c>
      <c r="D535" s="845">
        <f t="shared" si="0"/>
        <v>12000</v>
      </c>
      <c r="E535" s="846">
        <v>25047.633366633367</v>
      </c>
      <c r="F535" s="846">
        <f t="shared" si="1"/>
        <v>25047633.366633367</v>
      </c>
      <c r="G535" s="847">
        <f>F535*12</f>
        <v>300571600.39960039</v>
      </c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5" customHeight="1">
      <c r="A536" s="843">
        <v>554</v>
      </c>
      <c r="B536" s="844" t="s">
        <v>3847</v>
      </c>
      <c r="C536" s="845">
        <v>100</v>
      </c>
      <c r="D536" s="845">
        <f t="shared" si="0"/>
        <v>1200</v>
      </c>
      <c r="E536" s="846">
        <v>4238.5439999999999</v>
      </c>
      <c r="F536" s="846">
        <f t="shared" si="1"/>
        <v>423854.39999999997</v>
      </c>
      <c r="G536" s="847">
        <f>F536*12</f>
        <v>5086252.8</v>
      </c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5" customHeight="1">
      <c r="A537" s="843">
        <v>555</v>
      </c>
      <c r="B537" s="844" t="s">
        <v>3848</v>
      </c>
      <c r="C537" s="845">
        <v>20</v>
      </c>
      <c r="D537" s="845">
        <f t="shared" si="0"/>
        <v>240</v>
      </c>
      <c r="E537" s="846">
        <v>3521.5600000000004</v>
      </c>
      <c r="F537" s="846">
        <f t="shared" si="1"/>
        <v>70431.200000000012</v>
      </c>
      <c r="G537" s="847">
        <f>F537*12</f>
        <v>845174.40000000014</v>
      </c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5" customHeight="1">
      <c r="A538" s="843">
        <v>556</v>
      </c>
      <c r="B538" s="844" t="s">
        <v>3849</v>
      </c>
      <c r="C538" s="845">
        <v>40</v>
      </c>
      <c r="D538" s="845">
        <f t="shared" si="0"/>
        <v>480</v>
      </c>
      <c r="E538" s="846">
        <v>52448</v>
      </c>
      <c r="F538" s="846">
        <f t="shared" si="1"/>
        <v>2097920</v>
      </c>
      <c r="G538" s="847">
        <f>F538*12</f>
        <v>25175040</v>
      </c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5" customHeight="1">
      <c r="A539" s="843">
        <v>557</v>
      </c>
      <c r="B539" s="844" t="s">
        <v>3850</v>
      </c>
      <c r="C539" s="845">
        <v>10</v>
      </c>
      <c r="D539" s="845">
        <f t="shared" si="0"/>
        <v>120</v>
      </c>
      <c r="E539" s="846">
        <v>39960</v>
      </c>
      <c r="F539" s="846">
        <f t="shared" si="1"/>
        <v>399600</v>
      </c>
      <c r="G539" s="847">
        <f>F539*12</f>
        <v>4795200</v>
      </c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5" customHeight="1">
      <c r="A540" s="843">
        <v>558</v>
      </c>
      <c r="B540" s="844" t="s">
        <v>3851</v>
      </c>
      <c r="C540" s="845">
        <v>2</v>
      </c>
      <c r="D540" s="845">
        <f t="shared" si="0"/>
        <v>24</v>
      </c>
      <c r="E540" s="846">
        <v>138750</v>
      </c>
      <c r="F540" s="846">
        <f t="shared" si="1"/>
        <v>277500</v>
      </c>
      <c r="G540" s="847">
        <f>F540*12</f>
        <v>3330000</v>
      </c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5" customHeight="1">
      <c r="A541" s="843">
        <v>559</v>
      </c>
      <c r="B541" s="844" t="s">
        <v>3852</v>
      </c>
      <c r="C541" s="845">
        <v>15</v>
      </c>
      <c r="D541" s="845">
        <f t="shared" si="0"/>
        <v>180</v>
      </c>
      <c r="E541" s="846">
        <v>13300.024000000001</v>
      </c>
      <c r="F541" s="846">
        <f t="shared" si="1"/>
        <v>199500.36000000002</v>
      </c>
      <c r="G541" s="847">
        <f>F541*12</f>
        <v>2394004.3200000003</v>
      </c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5" customHeight="1">
      <c r="A542" s="843">
        <v>560</v>
      </c>
      <c r="B542" s="844" t="s">
        <v>3853</v>
      </c>
      <c r="C542" s="845">
        <v>6</v>
      </c>
      <c r="D542" s="845">
        <f t="shared" si="0"/>
        <v>72</v>
      </c>
      <c r="E542" s="846">
        <v>1420.8</v>
      </c>
      <c r="F542" s="846">
        <f t="shared" si="1"/>
        <v>8524.7999999999993</v>
      </c>
      <c r="G542" s="847">
        <f>F542*12</f>
        <v>102297.59999999999</v>
      </c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5" customHeight="1">
      <c r="A543" s="843">
        <v>561</v>
      </c>
      <c r="B543" s="844" t="s">
        <v>3854</v>
      </c>
      <c r="C543" s="845">
        <v>600</v>
      </c>
      <c r="D543" s="845">
        <f t="shared" si="0"/>
        <v>7200</v>
      </c>
      <c r="E543" s="846">
        <v>182</v>
      </c>
      <c r="F543" s="846">
        <f t="shared" si="1"/>
        <v>109200</v>
      </c>
      <c r="G543" s="847">
        <f>F543*12</f>
        <v>1310400</v>
      </c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5" customHeight="1">
      <c r="A544" s="843">
        <v>562</v>
      </c>
      <c r="B544" s="844" t="s">
        <v>3855</v>
      </c>
      <c r="C544" s="845">
        <v>10</v>
      </c>
      <c r="D544" s="845">
        <f t="shared" si="0"/>
        <v>120</v>
      </c>
      <c r="E544" s="846">
        <v>3596.4</v>
      </c>
      <c r="F544" s="846">
        <f t="shared" si="1"/>
        <v>35964</v>
      </c>
      <c r="G544" s="847">
        <f>F544*12</f>
        <v>431568</v>
      </c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5" customHeight="1">
      <c r="A545" s="843">
        <v>563</v>
      </c>
      <c r="B545" s="844" t="s">
        <v>3856</v>
      </c>
      <c r="C545" s="845">
        <v>2500</v>
      </c>
      <c r="D545" s="845">
        <f t="shared" si="0"/>
        <v>30000</v>
      </c>
      <c r="E545" s="846">
        <v>720</v>
      </c>
      <c r="F545" s="846">
        <f t="shared" si="1"/>
        <v>1800000</v>
      </c>
      <c r="G545" s="847">
        <f>F545*12</f>
        <v>21600000</v>
      </c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5" customHeight="1">
      <c r="A546" s="843">
        <v>564</v>
      </c>
      <c r="B546" s="844" t="s">
        <v>3857</v>
      </c>
      <c r="C546" s="845">
        <v>10</v>
      </c>
      <c r="D546" s="845">
        <f t="shared" si="0"/>
        <v>120</v>
      </c>
      <c r="E546" s="846">
        <v>36075</v>
      </c>
      <c r="F546" s="846">
        <f t="shared" si="1"/>
        <v>360750</v>
      </c>
      <c r="G546" s="847">
        <f>F546*12</f>
        <v>4329000</v>
      </c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5" customHeight="1">
      <c r="A547" s="843">
        <v>565</v>
      </c>
      <c r="B547" s="844" t="s">
        <v>3858</v>
      </c>
      <c r="C547" s="845">
        <v>30</v>
      </c>
      <c r="D547" s="845">
        <f t="shared" si="0"/>
        <v>360</v>
      </c>
      <c r="E547" s="846">
        <v>1054.5039999999999</v>
      </c>
      <c r="F547" s="846">
        <f t="shared" si="1"/>
        <v>31635.119999999995</v>
      </c>
      <c r="G547" s="847">
        <f>F547*12</f>
        <v>379621.43999999994</v>
      </c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5" customHeight="1">
      <c r="A548" s="843">
        <v>566</v>
      </c>
      <c r="B548" s="844" t="s">
        <v>3859</v>
      </c>
      <c r="C548" s="845">
        <v>80</v>
      </c>
      <c r="D548" s="845">
        <f t="shared" si="0"/>
        <v>960</v>
      </c>
      <c r="E548" s="846">
        <v>10389.6</v>
      </c>
      <c r="F548" s="846">
        <f t="shared" si="1"/>
        <v>831168</v>
      </c>
      <c r="G548" s="847">
        <f>F548*12</f>
        <v>9974016</v>
      </c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5" customHeight="1">
      <c r="A549" s="843">
        <v>567</v>
      </c>
      <c r="B549" s="844" t="s">
        <v>3860</v>
      </c>
      <c r="C549" s="845">
        <v>50</v>
      </c>
      <c r="D549" s="845">
        <f t="shared" si="0"/>
        <v>600</v>
      </c>
      <c r="E549" s="846">
        <v>3472.0800000000004</v>
      </c>
      <c r="F549" s="846">
        <f t="shared" si="1"/>
        <v>173604.00000000003</v>
      </c>
      <c r="G549" s="847">
        <f>F549*12</f>
        <v>2083248.0000000005</v>
      </c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5" customHeight="1">
      <c r="A550" s="843">
        <v>568</v>
      </c>
      <c r="B550" s="844" t="s">
        <v>3861</v>
      </c>
      <c r="C550" s="845">
        <v>3</v>
      </c>
      <c r="D550" s="845">
        <f t="shared" si="0"/>
        <v>36</v>
      </c>
      <c r="E550" s="846">
        <v>30</v>
      </c>
      <c r="F550" s="846">
        <f t="shared" si="1"/>
        <v>90</v>
      </c>
      <c r="G550" s="847">
        <f>F550*12</f>
        <v>1080</v>
      </c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5" customHeight="1">
      <c r="A551" s="843">
        <v>569</v>
      </c>
      <c r="B551" s="844" t="s">
        <v>3862</v>
      </c>
      <c r="C551" s="845">
        <v>250</v>
      </c>
      <c r="D551" s="845">
        <f t="shared" si="0"/>
        <v>3000</v>
      </c>
      <c r="E551" s="846">
        <v>422.98399999999998</v>
      </c>
      <c r="F551" s="846">
        <f t="shared" si="1"/>
        <v>105746</v>
      </c>
      <c r="G551" s="847">
        <f>F551*12</f>
        <v>1268952</v>
      </c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5" customHeight="1">
      <c r="A552" s="843">
        <v>570</v>
      </c>
      <c r="B552" s="844" t="s">
        <v>3863</v>
      </c>
      <c r="C552" s="845">
        <v>40</v>
      </c>
      <c r="D552" s="845">
        <f t="shared" si="0"/>
        <v>480</v>
      </c>
      <c r="E552" s="846">
        <v>6660</v>
      </c>
      <c r="F552" s="846">
        <f t="shared" si="1"/>
        <v>266400</v>
      </c>
      <c r="G552" s="847">
        <f>F552*12</f>
        <v>3196800</v>
      </c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5" customHeight="1">
      <c r="A553" s="843">
        <v>571</v>
      </c>
      <c r="B553" s="844" t="s">
        <v>3864</v>
      </c>
      <c r="C553" s="845">
        <v>330</v>
      </c>
      <c r="D553" s="845">
        <f t="shared" si="0"/>
        <v>3960</v>
      </c>
      <c r="E553" s="846">
        <v>1037.848</v>
      </c>
      <c r="F553" s="846">
        <f t="shared" si="1"/>
        <v>342489.83999999997</v>
      </c>
      <c r="G553" s="847">
        <f>F553*12</f>
        <v>4109878.0799999996</v>
      </c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5" customHeight="1">
      <c r="A554" s="843">
        <v>572</v>
      </c>
      <c r="B554" s="844" t="s">
        <v>3865</v>
      </c>
      <c r="C554" s="845">
        <v>90</v>
      </c>
      <c r="D554" s="845">
        <f t="shared" si="0"/>
        <v>1080</v>
      </c>
      <c r="E554" s="846">
        <v>20812.504000000001</v>
      </c>
      <c r="F554" s="846">
        <f t="shared" si="1"/>
        <v>1873125.36</v>
      </c>
      <c r="G554" s="847">
        <f>F554*12</f>
        <v>22477504.32</v>
      </c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5" customHeight="1">
      <c r="A555" s="843">
        <v>573</v>
      </c>
      <c r="B555" s="844" t="s">
        <v>3866</v>
      </c>
      <c r="C555" s="845">
        <v>40</v>
      </c>
      <c r="D555" s="845">
        <f t="shared" si="0"/>
        <v>480</v>
      </c>
      <c r="E555" s="846">
        <v>674.6</v>
      </c>
      <c r="F555" s="846">
        <f t="shared" si="1"/>
        <v>26984</v>
      </c>
      <c r="G555" s="847">
        <f>F555*12</f>
        <v>323808</v>
      </c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5" customHeight="1">
      <c r="A556" s="843">
        <v>574</v>
      </c>
      <c r="B556" s="844" t="s">
        <v>3867</v>
      </c>
      <c r="C556" s="845">
        <v>400</v>
      </c>
      <c r="D556" s="845">
        <f t="shared" si="0"/>
        <v>4800</v>
      </c>
      <c r="E556" s="846">
        <v>379.62399999999997</v>
      </c>
      <c r="F556" s="846">
        <f t="shared" si="1"/>
        <v>151849.59999999998</v>
      </c>
      <c r="G556" s="847">
        <f>F556*12</f>
        <v>1822195.1999999997</v>
      </c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5" customHeight="1">
      <c r="A557" s="843">
        <v>575</v>
      </c>
      <c r="B557" s="844" t="s">
        <v>3868</v>
      </c>
      <c r="C557" s="845">
        <v>2</v>
      </c>
      <c r="D557" s="845">
        <f t="shared" si="0"/>
        <v>24</v>
      </c>
      <c r="E557" s="846">
        <v>69175.199999999997</v>
      </c>
      <c r="F557" s="846">
        <f t="shared" si="1"/>
        <v>138350.39999999999</v>
      </c>
      <c r="G557" s="847">
        <f>F557*12</f>
        <v>1660204.7999999998</v>
      </c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5" customHeight="1">
      <c r="A558" s="843">
        <v>576</v>
      </c>
      <c r="B558" s="844" t="s">
        <v>3869</v>
      </c>
      <c r="C558" s="845">
        <v>100</v>
      </c>
      <c r="D558" s="845">
        <f t="shared" si="0"/>
        <v>1200</v>
      </c>
      <c r="E558" s="846">
        <v>3274.5039999999999</v>
      </c>
      <c r="F558" s="846">
        <f t="shared" si="1"/>
        <v>327450.39999999997</v>
      </c>
      <c r="G558" s="847">
        <f>F558*12</f>
        <v>3929404.8</v>
      </c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5" customHeight="1">
      <c r="A559" s="843">
        <v>577</v>
      </c>
      <c r="B559" s="844" t="s">
        <v>3870</v>
      </c>
      <c r="C559" s="845">
        <v>250</v>
      </c>
      <c r="D559" s="845">
        <f t="shared" si="0"/>
        <v>3000</v>
      </c>
      <c r="E559" s="846">
        <v>849.98400000000004</v>
      </c>
      <c r="F559" s="846">
        <f t="shared" si="1"/>
        <v>212496</v>
      </c>
      <c r="G559" s="847">
        <f>F559*12</f>
        <v>2549952</v>
      </c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5" customHeight="1">
      <c r="A560" s="843">
        <v>578</v>
      </c>
      <c r="B560" s="844" t="s">
        <v>3871</v>
      </c>
      <c r="C560" s="845">
        <v>2</v>
      </c>
      <c r="D560" s="845">
        <f t="shared" si="0"/>
        <v>24</v>
      </c>
      <c r="E560" s="846">
        <v>7492.503999999999</v>
      </c>
      <c r="F560" s="846">
        <f t="shared" si="1"/>
        <v>14985.007999999998</v>
      </c>
      <c r="G560" s="847">
        <f>F560*12</f>
        <v>179820.09599999996</v>
      </c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5" customHeight="1">
      <c r="A561" s="843">
        <v>579</v>
      </c>
      <c r="B561" s="844" t="s">
        <v>3872</v>
      </c>
      <c r="C561" s="845">
        <v>95</v>
      </c>
      <c r="D561" s="845">
        <f t="shared" si="0"/>
        <v>1140</v>
      </c>
      <c r="E561" s="846">
        <v>113.6</v>
      </c>
      <c r="F561" s="846">
        <f t="shared" si="1"/>
        <v>10792</v>
      </c>
      <c r="G561" s="847">
        <f>F561*12</f>
        <v>129504</v>
      </c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5" customHeight="1">
      <c r="A562" s="843">
        <v>580</v>
      </c>
      <c r="B562" s="844" t="s">
        <v>3873</v>
      </c>
      <c r="C562" s="845">
        <v>20</v>
      </c>
      <c r="D562" s="845">
        <f t="shared" si="0"/>
        <v>240</v>
      </c>
      <c r="E562" s="846">
        <v>4395.5999999999995</v>
      </c>
      <c r="F562" s="846">
        <f t="shared" si="1"/>
        <v>87911.999999999985</v>
      </c>
      <c r="G562" s="847">
        <f>F562*12</f>
        <v>1054943.9999999998</v>
      </c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5" customHeight="1">
      <c r="A563" s="843">
        <v>581</v>
      </c>
      <c r="B563" s="844" t="s">
        <v>3874</v>
      </c>
      <c r="C563" s="845">
        <v>5</v>
      </c>
      <c r="D563" s="845">
        <f t="shared" si="0"/>
        <v>60</v>
      </c>
      <c r="E563" s="846">
        <v>1465.2</v>
      </c>
      <c r="F563" s="846">
        <f t="shared" si="1"/>
        <v>7326</v>
      </c>
      <c r="G563" s="847">
        <f>F563*12</f>
        <v>87912</v>
      </c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5" customHeight="1">
      <c r="A564" s="843">
        <v>582</v>
      </c>
      <c r="B564" s="844" t="s">
        <v>3875</v>
      </c>
      <c r="C564" s="845">
        <v>5</v>
      </c>
      <c r="D564" s="845">
        <f t="shared" si="0"/>
        <v>60</v>
      </c>
      <c r="E564" s="846">
        <v>16372.504000000001</v>
      </c>
      <c r="F564" s="846">
        <f t="shared" si="1"/>
        <v>81862.52</v>
      </c>
      <c r="G564" s="847">
        <f>F564*12</f>
        <v>982350.24</v>
      </c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5" customHeight="1">
      <c r="A565" s="843">
        <v>583</v>
      </c>
      <c r="B565" s="844" t="s">
        <v>3876</v>
      </c>
      <c r="C565" s="845">
        <v>10</v>
      </c>
      <c r="D565" s="845">
        <f t="shared" si="0"/>
        <v>120</v>
      </c>
      <c r="E565" s="846">
        <v>10175</v>
      </c>
      <c r="F565" s="846">
        <f t="shared" si="1"/>
        <v>101750</v>
      </c>
      <c r="G565" s="847">
        <f>F565*12</f>
        <v>1221000</v>
      </c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5" customHeight="1">
      <c r="A566" s="843">
        <v>584</v>
      </c>
      <c r="B566" s="844" t="s">
        <v>3877</v>
      </c>
      <c r="C566" s="845">
        <v>250</v>
      </c>
      <c r="D566" s="845">
        <f t="shared" si="0"/>
        <v>3000</v>
      </c>
      <c r="E566" s="846">
        <v>3774</v>
      </c>
      <c r="F566" s="846">
        <f t="shared" si="1"/>
        <v>943500</v>
      </c>
      <c r="G566" s="847">
        <f>F566*12</f>
        <v>11322000</v>
      </c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5" customHeight="1">
      <c r="A567" s="843">
        <v>585</v>
      </c>
      <c r="B567" s="844" t="s">
        <v>3878</v>
      </c>
      <c r="C567" s="845">
        <v>3200</v>
      </c>
      <c r="D567" s="845">
        <f t="shared" si="0"/>
        <v>38400</v>
      </c>
      <c r="E567" s="846">
        <v>70.007999999999996</v>
      </c>
      <c r="F567" s="846">
        <f t="shared" si="1"/>
        <v>224025.59999999998</v>
      </c>
      <c r="G567" s="847">
        <f>F567*12</f>
        <v>2688307.1999999997</v>
      </c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5" customHeight="1">
      <c r="A568" s="843">
        <v>586</v>
      </c>
      <c r="B568" s="844" t="s">
        <v>3879</v>
      </c>
      <c r="C568" s="845">
        <v>250</v>
      </c>
      <c r="D568" s="845">
        <f t="shared" si="0"/>
        <v>3000</v>
      </c>
      <c r="E568" s="846">
        <v>123</v>
      </c>
      <c r="F568" s="846">
        <f t="shared" si="1"/>
        <v>30750</v>
      </c>
      <c r="G568" s="847">
        <f>F568*12</f>
        <v>369000</v>
      </c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5" customHeight="1">
      <c r="A569" s="843">
        <v>587</v>
      </c>
      <c r="B569" s="844" t="s">
        <v>3880</v>
      </c>
      <c r="C569" s="845">
        <v>70</v>
      </c>
      <c r="D569" s="845">
        <f t="shared" si="0"/>
        <v>840</v>
      </c>
      <c r="E569" s="846">
        <v>16650</v>
      </c>
      <c r="F569" s="846">
        <f t="shared" si="1"/>
        <v>1165500</v>
      </c>
      <c r="G569" s="847">
        <f>F569*12</f>
        <v>13986000</v>
      </c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5" customHeight="1">
      <c r="A570" s="843">
        <v>588</v>
      </c>
      <c r="B570" s="844" t="s">
        <v>3881</v>
      </c>
      <c r="C570" s="845">
        <v>10</v>
      </c>
      <c r="D570" s="845">
        <f t="shared" si="0"/>
        <v>120</v>
      </c>
      <c r="E570" s="846">
        <v>5957.9280000000008</v>
      </c>
      <c r="F570" s="846">
        <f t="shared" si="1"/>
        <v>59579.280000000006</v>
      </c>
      <c r="G570" s="847">
        <f>F570*12</f>
        <v>714951.3600000001</v>
      </c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5" customHeight="1">
      <c r="A571" s="843">
        <v>589</v>
      </c>
      <c r="B571" s="844" t="s">
        <v>3882</v>
      </c>
      <c r="C571" s="845">
        <v>22</v>
      </c>
      <c r="D571" s="845">
        <f t="shared" si="0"/>
        <v>264</v>
      </c>
      <c r="E571" s="846">
        <v>2830.5040000000004</v>
      </c>
      <c r="F571" s="846">
        <f t="shared" si="1"/>
        <v>62271.088000000011</v>
      </c>
      <c r="G571" s="847">
        <f>F571*12</f>
        <v>747253.0560000001</v>
      </c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5" customHeight="1">
      <c r="A572" s="843">
        <v>590</v>
      </c>
      <c r="B572" s="844" t="s">
        <v>3883</v>
      </c>
      <c r="C572" s="845">
        <v>139</v>
      </c>
      <c r="D572" s="845">
        <f t="shared" si="0"/>
        <v>1668</v>
      </c>
      <c r="E572" s="846">
        <v>5694</v>
      </c>
      <c r="F572" s="846">
        <f t="shared" si="1"/>
        <v>791466</v>
      </c>
      <c r="G572" s="847">
        <f>F572*12</f>
        <v>9497592</v>
      </c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5" customHeight="1">
      <c r="A573" s="843">
        <v>591</v>
      </c>
      <c r="B573" s="844" t="s">
        <v>3884</v>
      </c>
      <c r="C573" s="845">
        <v>3218</v>
      </c>
      <c r="D573" s="845">
        <f t="shared" si="0"/>
        <v>38616</v>
      </c>
      <c r="E573" s="846">
        <v>450.00799999999998</v>
      </c>
      <c r="F573" s="846">
        <f t="shared" si="1"/>
        <v>1448125.7439999999</v>
      </c>
      <c r="G573" s="847">
        <f>F573*12</f>
        <v>17377508.927999999</v>
      </c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5" customHeight="1">
      <c r="A574" s="843">
        <v>592</v>
      </c>
      <c r="B574" s="844" t="s">
        <v>3885</v>
      </c>
      <c r="C574" s="845">
        <v>29</v>
      </c>
      <c r="D574" s="845">
        <f t="shared" si="0"/>
        <v>348</v>
      </c>
      <c r="E574" s="846">
        <v>10479</v>
      </c>
      <c r="F574" s="846">
        <f t="shared" si="1"/>
        <v>303891</v>
      </c>
      <c r="G574" s="847">
        <f>F574*12</f>
        <v>3646692</v>
      </c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5" customHeight="1">
      <c r="A575" s="843">
        <v>593</v>
      </c>
      <c r="B575" s="844" t="s">
        <v>3886</v>
      </c>
      <c r="C575" s="845">
        <v>102</v>
      </c>
      <c r="D575" s="845">
        <f t="shared" si="0"/>
        <v>1224</v>
      </c>
      <c r="E575" s="846">
        <v>15795.312</v>
      </c>
      <c r="F575" s="846">
        <f t="shared" si="1"/>
        <v>1611121.824</v>
      </c>
      <c r="G575" s="847">
        <f>F575*12</f>
        <v>19333461.888</v>
      </c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5" customHeight="1">
      <c r="A576" s="843">
        <v>594</v>
      </c>
      <c r="B576" s="844" t="s">
        <v>3887</v>
      </c>
      <c r="C576" s="845">
        <v>12</v>
      </c>
      <c r="D576" s="845">
        <f t="shared" si="0"/>
        <v>144</v>
      </c>
      <c r="E576" s="846">
        <v>86000</v>
      </c>
      <c r="F576" s="846">
        <f t="shared" si="1"/>
        <v>1032000</v>
      </c>
      <c r="G576" s="847">
        <f>F576*12</f>
        <v>12384000</v>
      </c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5" customHeight="1">
      <c r="A577" s="843">
        <v>595</v>
      </c>
      <c r="B577" s="844" t="s">
        <v>3888</v>
      </c>
      <c r="C577" s="845">
        <v>2</v>
      </c>
      <c r="D577" s="845">
        <f t="shared" si="0"/>
        <v>24</v>
      </c>
      <c r="E577" s="846">
        <v>11599.503999999999</v>
      </c>
      <c r="F577" s="846">
        <f t="shared" si="1"/>
        <v>23199.007999999998</v>
      </c>
      <c r="G577" s="847">
        <f>F577*12</f>
        <v>278388.09599999996</v>
      </c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5" customHeight="1">
      <c r="A578" s="843">
        <v>596</v>
      </c>
      <c r="B578" s="844" t="s">
        <v>3889</v>
      </c>
      <c r="C578" s="845">
        <v>9</v>
      </c>
      <c r="D578" s="845">
        <f t="shared" si="0"/>
        <v>108</v>
      </c>
      <c r="E578" s="846">
        <v>8436</v>
      </c>
      <c r="F578" s="846">
        <f t="shared" si="1"/>
        <v>75924</v>
      </c>
      <c r="G578" s="847">
        <f>F578*12</f>
        <v>911088</v>
      </c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5" customHeight="1">
      <c r="A579" s="843">
        <v>597</v>
      </c>
      <c r="B579" s="844" t="s">
        <v>3890</v>
      </c>
      <c r="C579" s="845">
        <v>87</v>
      </c>
      <c r="D579" s="845">
        <f t="shared" si="0"/>
        <v>1044</v>
      </c>
      <c r="E579" s="846">
        <v>11434</v>
      </c>
      <c r="F579" s="846">
        <f t="shared" si="1"/>
        <v>994758</v>
      </c>
      <c r="G579" s="847">
        <f>F579*12</f>
        <v>11937096</v>
      </c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5" customHeight="1">
      <c r="A580" s="843">
        <v>598</v>
      </c>
      <c r="B580" s="844" t="s">
        <v>3891</v>
      </c>
      <c r="C580" s="845">
        <v>8068</v>
      </c>
      <c r="D580" s="845">
        <f t="shared" si="0"/>
        <v>96816</v>
      </c>
      <c r="E580" s="846">
        <v>716.83199999999988</v>
      </c>
      <c r="F580" s="846">
        <f t="shared" si="1"/>
        <v>5783400.5759999994</v>
      </c>
      <c r="G580" s="847">
        <f>F580*12</f>
        <v>69400806.912</v>
      </c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5" customHeight="1">
      <c r="A581" s="843">
        <v>599</v>
      </c>
      <c r="B581" s="844" t="s">
        <v>3892</v>
      </c>
      <c r="C581" s="845">
        <v>4200</v>
      </c>
      <c r="D581" s="845">
        <f t="shared" si="0"/>
        <v>50400</v>
      </c>
      <c r="E581" s="846">
        <v>160</v>
      </c>
      <c r="F581" s="846">
        <f t="shared" si="1"/>
        <v>672000</v>
      </c>
      <c r="G581" s="847">
        <f>F581*12</f>
        <v>8064000</v>
      </c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5" customHeight="1">
      <c r="A582" s="843">
        <v>600</v>
      </c>
      <c r="B582" s="844" t="s">
        <v>3893</v>
      </c>
      <c r="C582" s="845">
        <v>2200</v>
      </c>
      <c r="D582" s="845">
        <f t="shared" si="0"/>
        <v>26400</v>
      </c>
      <c r="E582" s="846">
        <v>183.82400000000001</v>
      </c>
      <c r="F582" s="846">
        <f t="shared" si="1"/>
        <v>404412.80000000005</v>
      </c>
      <c r="G582" s="847">
        <f>F582*12</f>
        <v>4852953.6000000006</v>
      </c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5" customHeight="1">
      <c r="A583" s="843">
        <v>601</v>
      </c>
      <c r="B583" s="844" t="s">
        <v>3894</v>
      </c>
      <c r="C583" s="845">
        <v>800</v>
      </c>
      <c r="D583" s="845">
        <f t="shared" si="0"/>
        <v>9600</v>
      </c>
      <c r="E583" s="846">
        <v>3496.5039999999999</v>
      </c>
      <c r="F583" s="846">
        <f t="shared" si="1"/>
        <v>2797203.1999999997</v>
      </c>
      <c r="G583" s="847">
        <f>F583*12</f>
        <v>33566438.399999999</v>
      </c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5" customHeight="1">
      <c r="A584" s="843">
        <v>602</v>
      </c>
      <c r="B584" s="844" t="s">
        <v>3895</v>
      </c>
      <c r="C584" s="845">
        <v>900</v>
      </c>
      <c r="D584" s="845">
        <f t="shared" si="0"/>
        <v>10800</v>
      </c>
      <c r="E584" s="846">
        <v>2996.328</v>
      </c>
      <c r="F584" s="846">
        <f t="shared" si="1"/>
        <v>2696695.2</v>
      </c>
      <c r="G584" s="847">
        <f>F584*12</f>
        <v>32360342.400000002</v>
      </c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5" customHeight="1">
      <c r="A585" s="843">
        <v>603</v>
      </c>
      <c r="B585" s="844" t="s">
        <v>3896</v>
      </c>
      <c r="C585" s="845">
        <v>100</v>
      </c>
      <c r="D585" s="845">
        <f t="shared" si="0"/>
        <v>1200</v>
      </c>
      <c r="E585" s="846">
        <v>7964.2479999999996</v>
      </c>
      <c r="F585" s="846">
        <f t="shared" si="1"/>
        <v>796424.79999999993</v>
      </c>
      <c r="G585" s="847">
        <f>F585*12</f>
        <v>9557097.5999999996</v>
      </c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5" customHeight="1">
      <c r="A586" s="843">
        <v>604</v>
      </c>
      <c r="B586" s="844" t="s">
        <v>3897</v>
      </c>
      <c r="C586" s="845">
        <v>50</v>
      </c>
      <c r="D586" s="845">
        <f t="shared" si="0"/>
        <v>600</v>
      </c>
      <c r="E586" s="846">
        <v>55000</v>
      </c>
      <c r="F586" s="846">
        <f t="shared" si="1"/>
        <v>2750000</v>
      </c>
      <c r="G586" s="847">
        <f>F586*12</f>
        <v>33000000</v>
      </c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5" customHeight="1">
      <c r="A587" s="843">
        <v>605</v>
      </c>
      <c r="B587" s="844" t="s">
        <v>3898</v>
      </c>
      <c r="C587" s="845">
        <v>850</v>
      </c>
      <c r="D587" s="845">
        <f t="shared" si="0"/>
        <v>10200</v>
      </c>
      <c r="E587" s="846">
        <v>1554</v>
      </c>
      <c r="F587" s="846">
        <f t="shared" si="1"/>
        <v>1320900</v>
      </c>
      <c r="G587" s="847">
        <f>F587*12</f>
        <v>15850800</v>
      </c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5" customHeight="1">
      <c r="A588" s="843">
        <v>606</v>
      </c>
      <c r="B588" s="844" t="s">
        <v>3899</v>
      </c>
      <c r="C588" s="845">
        <v>45</v>
      </c>
      <c r="D588" s="845">
        <f t="shared" si="0"/>
        <v>540</v>
      </c>
      <c r="E588" s="846">
        <v>3108</v>
      </c>
      <c r="F588" s="846">
        <f t="shared" si="1"/>
        <v>139860</v>
      </c>
      <c r="G588" s="847">
        <f>F588*12</f>
        <v>1678320</v>
      </c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5" customHeight="1">
      <c r="A589" s="843">
        <v>607</v>
      </c>
      <c r="B589" s="844" t="s">
        <v>3900</v>
      </c>
      <c r="C589" s="845">
        <v>60</v>
      </c>
      <c r="D589" s="845">
        <f t="shared" si="0"/>
        <v>720</v>
      </c>
      <c r="E589" s="846">
        <v>5494.5040000000008</v>
      </c>
      <c r="F589" s="846">
        <f t="shared" si="1"/>
        <v>329670.24000000005</v>
      </c>
      <c r="G589" s="847">
        <f>F589*12</f>
        <v>3956042.8800000008</v>
      </c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5" customHeight="1">
      <c r="A590" s="843">
        <v>608</v>
      </c>
      <c r="B590" s="844" t="s">
        <v>3901</v>
      </c>
      <c r="C590" s="845">
        <v>350</v>
      </c>
      <c r="D590" s="845">
        <f t="shared" si="0"/>
        <v>4200</v>
      </c>
      <c r="E590" s="846">
        <v>5034.8728571428574</v>
      </c>
      <c r="F590" s="846">
        <f t="shared" si="1"/>
        <v>1762205.5</v>
      </c>
      <c r="G590" s="847">
        <f>F590*12</f>
        <v>21146466</v>
      </c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5" customHeight="1">
      <c r="A591" s="843">
        <v>609</v>
      </c>
      <c r="B591" s="844" t="s">
        <v>3902</v>
      </c>
      <c r="C591" s="845">
        <v>70</v>
      </c>
      <c r="D591" s="845">
        <f t="shared" si="0"/>
        <v>840</v>
      </c>
      <c r="E591" s="846">
        <v>5161.5040000000008</v>
      </c>
      <c r="F591" s="846">
        <f t="shared" si="1"/>
        <v>361305.28</v>
      </c>
      <c r="G591" s="847">
        <f>F591*12</f>
        <v>4335663.3600000003</v>
      </c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5" customHeight="1">
      <c r="A592" s="843">
        <v>610</v>
      </c>
      <c r="B592" s="844" t="s">
        <v>3903</v>
      </c>
      <c r="C592" s="845">
        <v>60</v>
      </c>
      <c r="D592" s="845">
        <f t="shared" si="0"/>
        <v>720</v>
      </c>
      <c r="E592" s="846">
        <v>10725.263999999999</v>
      </c>
      <c r="F592" s="846">
        <f t="shared" si="1"/>
        <v>643515.84</v>
      </c>
      <c r="G592" s="847">
        <f>F592*12</f>
        <v>7722190.0800000001</v>
      </c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5" customHeight="1">
      <c r="A593" s="843">
        <v>611</v>
      </c>
      <c r="B593" s="844" t="s">
        <v>3904</v>
      </c>
      <c r="C593" s="845">
        <v>5500</v>
      </c>
      <c r="D593" s="845">
        <f t="shared" si="0"/>
        <v>66000</v>
      </c>
      <c r="E593" s="846">
        <v>275.27199999999999</v>
      </c>
      <c r="F593" s="846">
        <f t="shared" si="1"/>
        <v>1513996</v>
      </c>
      <c r="G593" s="847">
        <f>F593*12</f>
        <v>18167952</v>
      </c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5" customHeight="1">
      <c r="A594" s="843">
        <v>612</v>
      </c>
      <c r="B594" s="844" t="s">
        <v>3905</v>
      </c>
      <c r="C594" s="845">
        <v>2500</v>
      </c>
      <c r="D594" s="845">
        <f t="shared" si="0"/>
        <v>30000</v>
      </c>
      <c r="E594" s="846">
        <v>6212</v>
      </c>
      <c r="F594" s="846">
        <f t="shared" si="1"/>
        <v>15530000</v>
      </c>
      <c r="G594" s="847">
        <f>F594*12</f>
        <v>186360000</v>
      </c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5" customHeight="1">
      <c r="A595" s="843">
        <v>613</v>
      </c>
      <c r="B595" s="844" t="s">
        <v>3906</v>
      </c>
      <c r="C595" s="845">
        <v>95</v>
      </c>
      <c r="D595" s="845">
        <f t="shared" si="0"/>
        <v>1140</v>
      </c>
      <c r="E595" s="846">
        <v>721</v>
      </c>
      <c r="F595" s="846">
        <f t="shared" si="1"/>
        <v>68495</v>
      </c>
      <c r="G595" s="847">
        <f>F595*12</f>
        <v>821940</v>
      </c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5" customHeight="1">
      <c r="A596" s="843">
        <v>614</v>
      </c>
      <c r="B596" s="844" t="s">
        <v>3907</v>
      </c>
      <c r="C596" s="845">
        <v>20</v>
      </c>
      <c r="D596" s="845">
        <f t="shared" si="0"/>
        <v>240</v>
      </c>
      <c r="E596" s="846">
        <v>4884</v>
      </c>
      <c r="F596" s="846">
        <f t="shared" si="1"/>
        <v>97680</v>
      </c>
      <c r="G596" s="847">
        <f>F596*12</f>
        <v>1172160</v>
      </c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5" customHeight="1">
      <c r="A597" s="843">
        <v>615</v>
      </c>
      <c r="B597" s="844" t="s">
        <v>3908</v>
      </c>
      <c r="C597" s="845">
        <v>500</v>
      </c>
      <c r="D597" s="845">
        <f t="shared" si="0"/>
        <v>6000</v>
      </c>
      <c r="E597" s="846">
        <v>113017.984</v>
      </c>
      <c r="F597" s="846">
        <f t="shared" si="1"/>
        <v>56508992</v>
      </c>
      <c r="G597" s="847">
        <f>F597*12</f>
        <v>678107904</v>
      </c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5" customHeight="1">
      <c r="A598" s="843">
        <v>616</v>
      </c>
      <c r="B598" s="844" t="s">
        <v>3909</v>
      </c>
      <c r="C598" s="845">
        <v>80</v>
      </c>
      <c r="D598" s="845">
        <f t="shared" si="0"/>
        <v>960</v>
      </c>
      <c r="E598" s="846">
        <v>11655</v>
      </c>
      <c r="F598" s="846">
        <f t="shared" si="1"/>
        <v>932400</v>
      </c>
      <c r="G598" s="847">
        <f>F598*12</f>
        <v>11188800</v>
      </c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5" customHeight="1">
      <c r="A599" s="843">
        <v>617</v>
      </c>
      <c r="B599" s="844" t="s">
        <v>3910</v>
      </c>
      <c r="C599" s="845">
        <v>6</v>
      </c>
      <c r="D599" s="845">
        <f t="shared" si="0"/>
        <v>72</v>
      </c>
      <c r="E599" s="846">
        <v>43623</v>
      </c>
      <c r="F599" s="846">
        <f t="shared" si="1"/>
        <v>261738</v>
      </c>
      <c r="G599" s="847">
        <f>F599*12</f>
        <v>3140856</v>
      </c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5" customHeight="1">
      <c r="A600" s="843">
        <v>618</v>
      </c>
      <c r="B600" s="844" t="s">
        <v>3911</v>
      </c>
      <c r="C600" s="845">
        <v>2</v>
      </c>
      <c r="D600" s="845">
        <f t="shared" si="0"/>
        <v>24</v>
      </c>
      <c r="E600" s="846">
        <v>32745</v>
      </c>
      <c r="F600" s="846">
        <f t="shared" si="1"/>
        <v>65490</v>
      </c>
      <c r="G600" s="847">
        <f>F600*12</f>
        <v>785880</v>
      </c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5" customHeight="1">
      <c r="A601" s="843">
        <v>619</v>
      </c>
      <c r="B601" s="844" t="s">
        <v>3912</v>
      </c>
      <c r="C601" s="845">
        <v>6</v>
      </c>
      <c r="D601" s="845">
        <f t="shared" si="0"/>
        <v>72</v>
      </c>
      <c r="E601" s="846">
        <v>14319</v>
      </c>
      <c r="F601" s="846">
        <f t="shared" si="1"/>
        <v>85914</v>
      </c>
      <c r="G601" s="847">
        <f>F601*12</f>
        <v>1030968</v>
      </c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5" customHeight="1">
      <c r="A602" s="843">
        <v>620</v>
      </c>
      <c r="B602" s="844" t="s">
        <v>3913</v>
      </c>
      <c r="C602" s="845">
        <v>100</v>
      </c>
      <c r="D602" s="845">
        <f t="shared" si="0"/>
        <v>1200</v>
      </c>
      <c r="E602" s="846">
        <v>29399</v>
      </c>
      <c r="F602" s="846">
        <f t="shared" si="1"/>
        <v>2939900</v>
      </c>
      <c r="G602" s="847">
        <f>F602*12</f>
        <v>35278800</v>
      </c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5" customHeight="1">
      <c r="A603" s="843">
        <v>621</v>
      </c>
      <c r="B603" s="844" t="s">
        <v>3914</v>
      </c>
      <c r="C603" s="845">
        <v>1700</v>
      </c>
      <c r="D603" s="845">
        <f t="shared" si="0"/>
        <v>20400</v>
      </c>
      <c r="E603" s="846">
        <v>117.968</v>
      </c>
      <c r="F603" s="846">
        <f t="shared" si="1"/>
        <v>200545.6</v>
      </c>
      <c r="G603" s="847">
        <f>F603*12</f>
        <v>2406547.2000000002</v>
      </c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5" customHeight="1">
      <c r="A604" s="843">
        <v>622</v>
      </c>
      <c r="B604" s="844" t="s">
        <v>3915</v>
      </c>
      <c r="C604" s="845">
        <v>2200</v>
      </c>
      <c r="D604" s="845">
        <f t="shared" si="0"/>
        <v>26400</v>
      </c>
      <c r="E604" s="846">
        <v>158.184</v>
      </c>
      <c r="F604" s="846">
        <f t="shared" si="1"/>
        <v>348004.8</v>
      </c>
      <c r="G604" s="847">
        <f>F604*12</f>
        <v>4176057.5999999996</v>
      </c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5" customHeight="1">
      <c r="A605" s="843">
        <v>623</v>
      </c>
      <c r="B605" s="844" t="s">
        <v>3916</v>
      </c>
      <c r="C605" s="845">
        <v>1</v>
      </c>
      <c r="D605" s="845">
        <f t="shared" si="0"/>
        <v>12</v>
      </c>
      <c r="E605" s="846">
        <v>16317</v>
      </c>
      <c r="F605" s="846">
        <f t="shared" si="1"/>
        <v>16317</v>
      </c>
      <c r="G605" s="847">
        <f>F605*12</f>
        <v>195804</v>
      </c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5" customHeight="1">
      <c r="A606" s="843">
        <v>624</v>
      </c>
      <c r="B606" s="844" t="s">
        <v>3917</v>
      </c>
      <c r="C606" s="845">
        <v>30</v>
      </c>
      <c r="D606" s="845">
        <f t="shared" si="0"/>
        <v>360</v>
      </c>
      <c r="E606" s="846">
        <v>22311</v>
      </c>
      <c r="F606" s="846">
        <f t="shared" si="1"/>
        <v>669330</v>
      </c>
      <c r="G606" s="847">
        <f>F606*12</f>
        <v>8031960</v>
      </c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5" customHeight="1">
      <c r="A607" s="843">
        <v>625</v>
      </c>
      <c r="B607" s="844" t="s">
        <v>3918</v>
      </c>
      <c r="C607" s="845">
        <v>10</v>
      </c>
      <c r="D607" s="845">
        <f t="shared" si="0"/>
        <v>120</v>
      </c>
      <c r="E607" s="846">
        <v>18981</v>
      </c>
      <c r="F607" s="846">
        <f t="shared" si="1"/>
        <v>189810</v>
      </c>
      <c r="G607" s="847">
        <f>F607*12</f>
        <v>2277720</v>
      </c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5" customHeight="1">
      <c r="A608" s="843">
        <v>626</v>
      </c>
      <c r="B608" s="844" t="s">
        <v>3919</v>
      </c>
      <c r="C608" s="845">
        <v>250</v>
      </c>
      <c r="D608" s="845">
        <f t="shared" si="0"/>
        <v>3000</v>
      </c>
      <c r="E608" s="846">
        <v>8436</v>
      </c>
      <c r="F608" s="846">
        <f t="shared" si="1"/>
        <v>2109000</v>
      </c>
      <c r="G608" s="847">
        <f>F608*12</f>
        <v>25308000</v>
      </c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5" customHeight="1">
      <c r="A609" s="843">
        <v>627</v>
      </c>
      <c r="B609" s="844" t="s">
        <v>3920</v>
      </c>
      <c r="C609" s="845">
        <v>20</v>
      </c>
      <c r="D609" s="845">
        <f t="shared" si="0"/>
        <v>240</v>
      </c>
      <c r="E609" s="846">
        <v>19369.504000000001</v>
      </c>
      <c r="F609" s="846">
        <f t="shared" si="1"/>
        <v>387390.08</v>
      </c>
      <c r="G609" s="847">
        <f>F609*12</f>
        <v>4648680.96</v>
      </c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5" customHeight="1">
      <c r="A610" s="843">
        <v>628</v>
      </c>
      <c r="B610" s="844" t="s">
        <v>3921</v>
      </c>
      <c r="C610" s="845">
        <v>20</v>
      </c>
      <c r="D610" s="845">
        <f t="shared" si="0"/>
        <v>240</v>
      </c>
      <c r="E610" s="846">
        <v>31635</v>
      </c>
      <c r="F610" s="846">
        <f t="shared" si="1"/>
        <v>632700</v>
      </c>
      <c r="G610" s="847">
        <f>F610*12</f>
        <v>7592400</v>
      </c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5" customHeight="1">
      <c r="A611" s="843">
        <v>629</v>
      </c>
      <c r="B611" s="844" t="s">
        <v>3922</v>
      </c>
      <c r="C611" s="845">
        <v>5</v>
      </c>
      <c r="D611" s="845">
        <f t="shared" si="0"/>
        <v>60</v>
      </c>
      <c r="E611" s="846">
        <v>72982.504000000001</v>
      </c>
      <c r="F611" s="846">
        <f t="shared" si="1"/>
        <v>364912.52</v>
      </c>
      <c r="G611" s="847">
        <f>F611*12</f>
        <v>4378950.24</v>
      </c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5" customHeight="1">
      <c r="A612" s="843">
        <v>630</v>
      </c>
      <c r="B612" s="844" t="s">
        <v>3923</v>
      </c>
      <c r="C612" s="845">
        <v>1</v>
      </c>
      <c r="D612" s="845">
        <f t="shared" si="0"/>
        <v>12</v>
      </c>
      <c r="E612" s="846">
        <v>280830</v>
      </c>
      <c r="F612" s="846">
        <f t="shared" si="1"/>
        <v>280830</v>
      </c>
      <c r="G612" s="847">
        <f>F612*12</f>
        <v>3369960</v>
      </c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5" customHeight="1">
      <c r="A613" s="843">
        <v>631</v>
      </c>
      <c r="B613" s="844" t="s">
        <v>3924</v>
      </c>
      <c r="C613" s="845">
        <v>150</v>
      </c>
      <c r="D613" s="845">
        <f t="shared" si="0"/>
        <v>1800</v>
      </c>
      <c r="E613" s="846">
        <v>2386.5039999999999</v>
      </c>
      <c r="F613" s="846">
        <f t="shared" si="1"/>
        <v>357975.6</v>
      </c>
      <c r="G613" s="847">
        <f>F613*12</f>
        <v>4295707.1999999993</v>
      </c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5" customHeight="1">
      <c r="A614" s="843">
        <v>632</v>
      </c>
      <c r="B614" s="844" t="s">
        <v>3925</v>
      </c>
      <c r="C614" s="845">
        <v>10</v>
      </c>
      <c r="D614" s="845">
        <f t="shared" si="0"/>
        <v>120</v>
      </c>
      <c r="E614" s="846">
        <v>6660</v>
      </c>
      <c r="F614" s="846">
        <f t="shared" si="1"/>
        <v>66600</v>
      </c>
      <c r="G614" s="847">
        <f>F614*12</f>
        <v>799200</v>
      </c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5" customHeight="1">
      <c r="A615" s="843">
        <v>633</v>
      </c>
      <c r="B615" s="844" t="s">
        <v>3926</v>
      </c>
      <c r="C615" s="845">
        <v>35</v>
      </c>
      <c r="D615" s="845">
        <f t="shared" si="0"/>
        <v>420</v>
      </c>
      <c r="E615" s="846">
        <v>1165.5039999999999</v>
      </c>
      <c r="F615" s="846">
        <f t="shared" si="1"/>
        <v>40792.639999999999</v>
      </c>
      <c r="G615" s="847">
        <f>F615*12</f>
        <v>489511.67999999999</v>
      </c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5" customHeight="1">
      <c r="A616" s="843">
        <v>634</v>
      </c>
      <c r="B616" s="844" t="s">
        <v>3927</v>
      </c>
      <c r="C616" s="845">
        <v>100</v>
      </c>
      <c r="D616" s="845">
        <f t="shared" si="0"/>
        <v>1200</v>
      </c>
      <c r="E616" s="846">
        <v>89802.607999999993</v>
      </c>
      <c r="F616" s="846">
        <f t="shared" si="1"/>
        <v>8980260.7999999989</v>
      </c>
      <c r="G616" s="847">
        <f>F616*12</f>
        <v>107763129.59999999</v>
      </c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5" customHeight="1">
      <c r="A617" s="843">
        <v>635</v>
      </c>
      <c r="B617" s="844" t="s">
        <v>3928</v>
      </c>
      <c r="C617" s="845">
        <v>100</v>
      </c>
      <c r="D617" s="845">
        <f t="shared" si="0"/>
        <v>1200</v>
      </c>
      <c r="E617" s="846">
        <v>94750</v>
      </c>
      <c r="F617" s="846">
        <f t="shared" si="1"/>
        <v>9475000</v>
      </c>
      <c r="G617" s="847">
        <f>F617*12</f>
        <v>113700000</v>
      </c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5" customHeight="1">
      <c r="A618" s="843">
        <v>636</v>
      </c>
      <c r="B618" s="844" t="s">
        <v>3929</v>
      </c>
      <c r="C618" s="845">
        <v>600</v>
      </c>
      <c r="D618" s="845">
        <f t="shared" si="0"/>
        <v>7200</v>
      </c>
      <c r="E618" s="846">
        <v>4072.8719999999998</v>
      </c>
      <c r="F618" s="846">
        <f t="shared" si="1"/>
        <v>2443723.1999999997</v>
      </c>
      <c r="G618" s="847">
        <f>F618*12</f>
        <v>29324678.399999999</v>
      </c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5" customHeight="1">
      <c r="A619" s="843">
        <v>637</v>
      </c>
      <c r="B619" s="844" t="s">
        <v>3930</v>
      </c>
      <c r="C619" s="845">
        <v>700</v>
      </c>
      <c r="D619" s="845">
        <f t="shared" si="0"/>
        <v>8400</v>
      </c>
      <c r="E619" s="846">
        <v>991.35199999999998</v>
      </c>
      <c r="F619" s="846">
        <f t="shared" si="1"/>
        <v>693946.4</v>
      </c>
      <c r="G619" s="847">
        <f>F619*12</f>
        <v>8327356.8000000007</v>
      </c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5" customHeight="1">
      <c r="A620" s="843">
        <v>638</v>
      </c>
      <c r="B620" s="844" t="s">
        <v>3931</v>
      </c>
      <c r="C620" s="845">
        <v>150</v>
      </c>
      <c r="D620" s="845">
        <f t="shared" si="0"/>
        <v>1800</v>
      </c>
      <c r="E620" s="846">
        <v>888.72</v>
      </c>
      <c r="F620" s="846">
        <f t="shared" si="1"/>
        <v>133308</v>
      </c>
      <c r="G620" s="847">
        <f>F620*12</f>
        <v>1599696</v>
      </c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5" customHeight="1">
      <c r="A621" s="843">
        <v>639</v>
      </c>
      <c r="B621" s="844" t="s">
        <v>3932</v>
      </c>
      <c r="C621" s="845">
        <v>100</v>
      </c>
      <c r="D621" s="845">
        <f t="shared" si="0"/>
        <v>1200</v>
      </c>
      <c r="E621" s="846">
        <v>132692.728</v>
      </c>
      <c r="F621" s="846">
        <f t="shared" si="1"/>
        <v>13269272.800000001</v>
      </c>
      <c r="G621" s="847">
        <f>F621*12</f>
        <v>159231273.60000002</v>
      </c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5" customHeight="1">
      <c r="A622" s="843">
        <v>640</v>
      </c>
      <c r="B622" s="844" t="s">
        <v>3933</v>
      </c>
      <c r="C622" s="845">
        <v>600</v>
      </c>
      <c r="D622" s="845">
        <f t="shared" si="0"/>
        <v>7200</v>
      </c>
      <c r="E622" s="846">
        <v>4689.7519999999995</v>
      </c>
      <c r="F622" s="846">
        <f t="shared" si="1"/>
        <v>2813851.1999999997</v>
      </c>
      <c r="G622" s="847">
        <f>F622*12</f>
        <v>33766214.399999999</v>
      </c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5" customHeight="1">
      <c r="A623" s="843">
        <v>641</v>
      </c>
      <c r="B623" s="844" t="s">
        <v>3934</v>
      </c>
      <c r="C623" s="845">
        <v>1100</v>
      </c>
      <c r="D623" s="845">
        <f t="shared" si="0"/>
        <v>13200</v>
      </c>
      <c r="E623" s="846">
        <v>6926.4</v>
      </c>
      <c r="F623" s="846">
        <f t="shared" si="1"/>
        <v>7619040</v>
      </c>
      <c r="G623" s="847">
        <f>F623*12</f>
        <v>91428480</v>
      </c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5" customHeight="1">
      <c r="A624" s="843">
        <v>642</v>
      </c>
      <c r="B624" s="844" t="s">
        <v>3935</v>
      </c>
      <c r="C624" s="845">
        <v>400</v>
      </c>
      <c r="D624" s="845">
        <f t="shared" si="0"/>
        <v>4800</v>
      </c>
      <c r="E624" s="846">
        <v>2303.0319999999997</v>
      </c>
      <c r="F624" s="846">
        <f t="shared" si="1"/>
        <v>921212.79999999993</v>
      </c>
      <c r="G624" s="847">
        <f>F624*12</f>
        <v>11054553.6</v>
      </c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5" customHeight="1">
      <c r="A625" s="843">
        <v>643</v>
      </c>
      <c r="B625" s="844" t="s">
        <v>3936</v>
      </c>
      <c r="C625" s="845">
        <v>480</v>
      </c>
      <c r="D625" s="845">
        <f t="shared" si="0"/>
        <v>5760</v>
      </c>
      <c r="E625" s="846">
        <v>8375.0240000000013</v>
      </c>
      <c r="F625" s="846">
        <f t="shared" si="1"/>
        <v>4020011.5200000005</v>
      </c>
      <c r="G625" s="847">
        <f>F625*12</f>
        <v>48240138.24000001</v>
      </c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5" customHeight="1">
      <c r="A626" s="843">
        <v>644</v>
      </c>
      <c r="B626" s="844" t="s">
        <v>3937</v>
      </c>
      <c r="C626" s="845">
        <v>540</v>
      </c>
      <c r="D626" s="845">
        <f t="shared" si="0"/>
        <v>6480</v>
      </c>
      <c r="E626" s="846">
        <v>204.00800000000001</v>
      </c>
      <c r="F626" s="846">
        <f t="shared" si="1"/>
        <v>110164.32</v>
      </c>
      <c r="G626" s="847">
        <f>F626*12</f>
        <v>1321971.8400000001</v>
      </c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5" customHeight="1">
      <c r="A627" s="843">
        <v>645</v>
      </c>
      <c r="B627" s="844" t="s">
        <v>3938</v>
      </c>
      <c r="C627" s="845">
        <v>700</v>
      </c>
      <c r="D627" s="845">
        <f t="shared" si="0"/>
        <v>8400</v>
      </c>
      <c r="E627" s="846">
        <v>272.584</v>
      </c>
      <c r="F627" s="846">
        <f t="shared" si="1"/>
        <v>190808.8</v>
      </c>
      <c r="G627" s="847">
        <f>F627*12</f>
        <v>2289705.5999999996</v>
      </c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5" customHeight="1">
      <c r="A628" s="843">
        <v>646</v>
      </c>
      <c r="B628" s="844" t="s">
        <v>3939</v>
      </c>
      <c r="C628" s="845">
        <v>2</v>
      </c>
      <c r="D628" s="845">
        <f t="shared" si="0"/>
        <v>24</v>
      </c>
      <c r="E628" s="846">
        <v>14763</v>
      </c>
      <c r="F628" s="846">
        <f t="shared" si="1"/>
        <v>29526</v>
      </c>
      <c r="G628" s="847">
        <f>F628*12</f>
        <v>354312</v>
      </c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5" customHeight="1">
      <c r="A629" s="843">
        <v>647</v>
      </c>
      <c r="B629" s="844" t="s">
        <v>3940</v>
      </c>
      <c r="C629" s="845">
        <v>4</v>
      </c>
      <c r="D629" s="845">
        <f t="shared" si="0"/>
        <v>48</v>
      </c>
      <c r="E629" s="846">
        <v>442.88800000000003</v>
      </c>
      <c r="F629" s="846">
        <f t="shared" si="1"/>
        <v>1771.5520000000001</v>
      </c>
      <c r="G629" s="847">
        <f>F629*12</f>
        <v>21258.624000000003</v>
      </c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5" customHeight="1">
      <c r="A630" s="843">
        <v>648</v>
      </c>
      <c r="B630" s="844" t="s">
        <v>3941</v>
      </c>
      <c r="C630" s="845">
        <v>20</v>
      </c>
      <c r="D630" s="845">
        <f t="shared" si="0"/>
        <v>240</v>
      </c>
      <c r="E630" s="846">
        <v>2497.5039999999999</v>
      </c>
      <c r="F630" s="846">
        <f t="shared" si="1"/>
        <v>49950.080000000002</v>
      </c>
      <c r="G630" s="847">
        <f>F630*12</f>
        <v>599400.95999999996</v>
      </c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5" customHeight="1">
      <c r="A631" s="843">
        <v>649</v>
      </c>
      <c r="B631" s="844" t="s">
        <v>3942</v>
      </c>
      <c r="C631" s="845">
        <v>420</v>
      </c>
      <c r="D631" s="845">
        <f t="shared" si="0"/>
        <v>5040</v>
      </c>
      <c r="E631" s="846">
        <v>3400</v>
      </c>
      <c r="F631" s="846">
        <f t="shared" si="1"/>
        <v>1428000</v>
      </c>
      <c r="G631" s="847">
        <f>F631*12</f>
        <v>17136000</v>
      </c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5" customHeight="1">
      <c r="A632" s="843">
        <v>650</v>
      </c>
      <c r="B632" s="844" t="s">
        <v>3943</v>
      </c>
      <c r="C632" s="845">
        <v>5</v>
      </c>
      <c r="D632" s="845">
        <f t="shared" si="0"/>
        <v>60</v>
      </c>
      <c r="E632" s="846">
        <v>104895</v>
      </c>
      <c r="F632" s="846">
        <f t="shared" si="1"/>
        <v>524475</v>
      </c>
      <c r="G632" s="847">
        <f>F632*12</f>
        <v>6293700</v>
      </c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5" customHeight="1">
      <c r="A633" s="843">
        <v>651</v>
      </c>
      <c r="B633" s="844" t="s">
        <v>3944</v>
      </c>
      <c r="C633" s="845">
        <v>6</v>
      </c>
      <c r="D633" s="845">
        <f t="shared" si="0"/>
        <v>72</v>
      </c>
      <c r="E633" s="846">
        <v>33577.504000000001</v>
      </c>
      <c r="F633" s="846">
        <f t="shared" si="1"/>
        <v>201465.024</v>
      </c>
      <c r="G633" s="847">
        <f>F633*12</f>
        <v>2417580.2880000002</v>
      </c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5" customHeight="1">
      <c r="A634" s="843">
        <v>652</v>
      </c>
      <c r="B634" s="844" t="s">
        <v>3945</v>
      </c>
      <c r="C634" s="845">
        <v>3</v>
      </c>
      <c r="D634" s="845">
        <f t="shared" si="0"/>
        <v>36</v>
      </c>
      <c r="E634" s="846">
        <v>34676.400000000001</v>
      </c>
      <c r="F634" s="846">
        <f t="shared" si="1"/>
        <v>104029.20000000001</v>
      </c>
      <c r="G634" s="847">
        <f>F634*12</f>
        <v>1248350.4000000001</v>
      </c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5" customHeight="1">
      <c r="A635" s="843">
        <v>653</v>
      </c>
      <c r="B635" s="844" t="s">
        <v>3946</v>
      </c>
      <c r="C635" s="845">
        <v>1</v>
      </c>
      <c r="D635" s="845">
        <f t="shared" si="0"/>
        <v>12</v>
      </c>
      <c r="E635" s="846">
        <v>52898.159999999996</v>
      </c>
      <c r="F635" s="846">
        <f t="shared" si="1"/>
        <v>52898.159999999996</v>
      </c>
      <c r="G635" s="847">
        <f>F635*12</f>
        <v>634777.91999999993</v>
      </c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5" customHeight="1">
      <c r="A636" s="843">
        <v>654</v>
      </c>
      <c r="B636" s="844" t="s">
        <v>3947</v>
      </c>
      <c r="C636" s="845">
        <v>2</v>
      </c>
      <c r="D636" s="845">
        <f t="shared" si="0"/>
        <v>24</v>
      </c>
      <c r="E636" s="846">
        <v>32999.991999999998</v>
      </c>
      <c r="F636" s="846">
        <f t="shared" si="1"/>
        <v>65999.983999999997</v>
      </c>
      <c r="G636" s="847">
        <f>F636*12</f>
        <v>791999.80799999996</v>
      </c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5" customHeight="1">
      <c r="A637" s="843">
        <v>655</v>
      </c>
      <c r="B637" s="844" t="s">
        <v>3948</v>
      </c>
      <c r="C637" s="845">
        <v>1</v>
      </c>
      <c r="D637" s="845">
        <f t="shared" si="0"/>
        <v>12</v>
      </c>
      <c r="E637" s="846">
        <v>37500</v>
      </c>
      <c r="F637" s="846">
        <f t="shared" si="1"/>
        <v>37500</v>
      </c>
      <c r="G637" s="847">
        <f>F637*12</f>
        <v>450000</v>
      </c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5" customHeight="1">
      <c r="A638" s="843">
        <v>656</v>
      </c>
      <c r="B638" s="844" t="s">
        <v>3949</v>
      </c>
      <c r="C638" s="845">
        <v>6</v>
      </c>
      <c r="D638" s="845">
        <f t="shared" si="0"/>
        <v>72</v>
      </c>
      <c r="E638" s="846">
        <v>34000</v>
      </c>
      <c r="F638" s="846">
        <f t="shared" si="1"/>
        <v>204000</v>
      </c>
      <c r="G638" s="847">
        <f>F638*12</f>
        <v>2448000</v>
      </c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5" customHeight="1">
      <c r="A639" s="843">
        <v>657</v>
      </c>
      <c r="B639" s="844" t="s">
        <v>3950</v>
      </c>
      <c r="C639" s="845">
        <v>17</v>
      </c>
      <c r="D639" s="845">
        <f t="shared" si="0"/>
        <v>204</v>
      </c>
      <c r="E639" s="846">
        <v>11000</v>
      </c>
      <c r="F639" s="846">
        <f t="shared" si="1"/>
        <v>187000</v>
      </c>
      <c r="G639" s="847">
        <f>F639*12</f>
        <v>2244000</v>
      </c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5" customHeight="1">
      <c r="A640" s="843">
        <v>658</v>
      </c>
      <c r="B640" s="844" t="s">
        <v>3951</v>
      </c>
      <c r="C640" s="845">
        <v>2</v>
      </c>
      <c r="D640" s="845">
        <f t="shared" si="0"/>
        <v>24</v>
      </c>
      <c r="E640" s="846">
        <v>12000.008</v>
      </c>
      <c r="F640" s="846">
        <f t="shared" si="1"/>
        <v>24000.016</v>
      </c>
      <c r="G640" s="847">
        <f>F640*12</f>
        <v>288000.19199999998</v>
      </c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5" customHeight="1">
      <c r="A641" s="843">
        <v>659</v>
      </c>
      <c r="B641" s="844" t="s">
        <v>3952</v>
      </c>
      <c r="C641" s="845">
        <v>1</v>
      </c>
      <c r="D641" s="845">
        <f t="shared" si="0"/>
        <v>12</v>
      </c>
      <c r="E641" s="846">
        <v>11501.6</v>
      </c>
      <c r="F641" s="846">
        <f t="shared" si="1"/>
        <v>11501.6</v>
      </c>
      <c r="G641" s="847">
        <f>F641*12</f>
        <v>138019.20000000001</v>
      </c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5" customHeight="1">
      <c r="A642" s="843">
        <v>660</v>
      </c>
      <c r="B642" s="844" t="s">
        <v>3953</v>
      </c>
      <c r="C642" s="845">
        <v>1</v>
      </c>
      <c r="D642" s="845">
        <f t="shared" si="0"/>
        <v>12</v>
      </c>
      <c r="E642" s="846">
        <v>15000</v>
      </c>
      <c r="F642" s="846">
        <f t="shared" si="1"/>
        <v>15000</v>
      </c>
      <c r="G642" s="847">
        <f>F642*12</f>
        <v>180000</v>
      </c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5" customHeight="1">
      <c r="A643" s="843">
        <v>661</v>
      </c>
      <c r="B643" s="844" t="s">
        <v>3954</v>
      </c>
      <c r="C643" s="845">
        <v>2</v>
      </c>
      <c r="D643" s="845">
        <f t="shared" si="0"/>
        <v>24</v>
      </c>
      <c r="E643" s="846">
        <v>11999.103999999999</v>
      </c>
      <c r="F643" s="846">
        <f t="shared" si="1"/>
        <v>23998.207999999999</v>
      </c>
      <c r="G643" s="847">
        <f>F643*12</f>
        <v>287978.49599999998</v>
      </c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5" customHeight="1">
      <c r="A644" s="843">
        <v>662</v>
      </c>
      <c r="B644" s="844" t="s">
        <v>3955</v>
      </c>
      <c r="C644" s="845">
        <v>2</v>
      </c>
      <c r="D644" s="845">
        <f t="shared" si="0"/>
        <v>24</v>
      </c>
      <c r="E644" s="846">
        <v>13500.023999999999</v>
      </c>
      <c r="F644" s="846">
        <f t="shared" si="1"/>
        <v>27000.047999999999</v>
      </c>
      <c r="G644" s="847">
        <f>F644*12</f>
        <v>324000.576</v>
      </c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5" customHeight="1">
      <c r="A645" s="843">
        <v>663</v>
      </c>
      <c r="B645" s="844" t="s">
        <v>3956</v>
      </c>
      <c r="C645" s="845">
        <v>2</v>
      </c>
      <c r="D645" s="845">
        <f t="shared" si="0"/>
        <v>24</v>
      </c>
      <c r="E645" s="846">
        <v>16000</v>
      </c>
      <c r="F645" s="846">
        <f t="shared" si="1"/>
        <v>32000</v>
      </c>
      <c r="G645" s="847">
        <f>F645*12</f>
        <v>384000</v>
      </c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5" customHeight="1">
      <c r="A646" s="843">
        <v>664</v>
      </c>
      <c r="B646" s="844" t="s">
        <v>3957</v>
      </c>
      <c r="C646" s="845">
        <v>1</v>
      </c>
      <c r="D646" s="845">
        <f t="shared" si="0"/>
        <v>12</v>
      </c>
      <c r="E646" s="846">
        <v>20499.992000000002</v>
      </c>
      <c r="F646" s="846">
        <f t="shared" si="1"/>
        <v>20499.992000000002</v>
      </c>
      <c r="G646" s="847">
        <f>F646*12</f>
        <v>245999.90400000004</v>
      </c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5" customHeight="1">
      <c r="A647" s="843">
        <v>665</v>
      </c>
      <c r="B647" s="844" t="s">
        <v>3958</v>
      </c>
      <c r="C647" s="845">
        <v>4</v>
      </c>
      <c r="D647" s="845">
        <f t="shared" si="0"/>
        <v>48</v>
      </c>
      <c r="E647" s="846">
        <v>32500.008000000002</v>
      </c>
      <c r="F647" s="846">
        <f t="shared" si="1"/>
        <v>130000.03200000001</v>
      </c>
      <c r="G647" s="847">
        <f>F647*12</f>
        <v>1560000.3840000001</v>
      </c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5" customHeight="1">
      <c r="A648" s="843">
        <v>666</v>
      </c>
      <c r="B648" s="844" t="s">
        <v>3959</v>
      </c>
      <c r="C648" s="845">
        <v>16</v>
      </c>
      <c r="D648" s="845">
        <f t="shared" si="0"/>
        <v>192</v>
      </c>
      <c r="E648" s="846">
        <v>8999.9920000000002</v>
      </c>
      <c r="F648" s="846">
        <f t="shared" si="1"/>
        <v>143999.872</v>
      </c>
      <c r="G648" s="847">
        <f>F648*12</f>
        <v>1727998.4640000002</v>
      </c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5" customHeight="1">
      <c r="A649" s="843">
        <v>667</v>
      </c>
      <c r="B649" s="844" t="s">
        <v>3960</v>
      </c>
      <c r="C649" s="845">
        <v>83</v>
      </c>
      <c r="D649" s="845">
        <f t="shared" si="0"/>
        <v>996</v>
      </c>
      <c r="E649" s="846">
        <v>9500</v>
      </c>
      <c r="F649" s="846">
        <f t="shared" si="1"/>
        <v>788500</v>
      </c>
      <c r="G649" s="847">
        <f>F649*12</f>
        <v>9462000</v>
      </c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5" customHeight="1">
      <c r="A650" s="843">
        <v>668</v>
      </c>
      <c r="B650" s="844" t="s">
        <v>3961</v>
      </c>
      <c r="C650" s="845">
        <v>10</v>
      </c>
      <c r="D650" s="845">
        <f t="shared" si="0"/>
        <v>120</v>
      </c>
      <c r="E650" s="846">
        <v>8500</v>
      </c>
      <c r="F650" s="846">
        <f t="shared" si="1"/>
        <v>85000</v>
      </c>
      <c r="G650" s="847">
        <f>F650*12</f>
        <v>1020000</v>
      </c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5" customHeight="1">
      <c r="A651" s="843">
        <v>669</v>
      </c>
      <c r="B651" s="844" t="s">
        <v>3962</v>
      </c>
      <c r="C651" s="845">
        <v>2</v>
      </c>
      <c r="D651" s="845">
        <f t="shared" si="0"/>
        <v>24</v>
      </c>
      <c r="E651" s="846">
        <v>5000</v>
      </c>
      <c r="F651" s="846">
        <f t="shared" si="1"/>
        <v>10000</v>
      </c>
      <c r="G651" s="847">
        <f>F651*12</f>
        <v>120000</v>
      </c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5" customHeight="1">
      <c r="A652" s="843">
        <v>670</v>
      </c>
      <c r="B652" s="844" t="s">
        <v>3963</v>
      </c>
      <c r="C652" s="845">
        <v>50</v>
      </c>
      <c r="D652" s="845">
        <f t="shared" si="0"/>
        <v>600</v>
      </c>
      <c r="E652" s="846">
        <v>34608</v>
      </c>
      <c r="F652" s="846">
        <f t="shared" si="1"/>
        <v>1730400</v>
      </c>
      <c r="G652" s="847">
        <f>F652*12</f>
        <v>20764800</v>
      </c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5" customHeight="1">
      <c r="A653" s="843">
        <v>671</v>
      </c>
      <c r="B653" s="844" t="s">
        <v>3964</v>
      </c>
      <c r="C653" s="845">
        <v>80</v>
      </c>
      <c r="D653" s="845">
        <f t="shared" si="0"/>
        <v>960</v>
      </c>
      <c r="E653" s="846">
        <v>34248</v>
      </c>
      <c r="F653" s="846">
        <f t="shared" si="1"/>
        <v>2739840</v>
      </c>
      <c r="G653" s="847">
        <f>F653*12</f>
        <v>32878080</v>
      </c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5" customHeight="1">
      <c r="A654" s="843">
        <v>672</v>
      </c>
      <c r="B654" s="844" t="s">
        <v>3965</v>
      </c>
      <c r="C654" s="845">
        <v>1</v>
      </c>
      <c r="D654" s="845">
        <f t="shared" si="0"/>
        <v>12</v>
      </c>
      <c r="E654" s="846">
        <v>34247.879999999997</v>
      </c>
      <c r="F654" s="846">
        <f t="shared" si="1"/>
        <v>34247.879999999997</v>
      </c>
      <c r="G654" s="847">
        <f>F654*12</f>
        <v>410974.55999999994</v>
      </c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5" customHeight="1">
      <c r="A655" s="843">
        <v>673</v>
      </c>
      <c r="B655" s="844" t="s">
        <v>3966</v>
      </c>
      <c r="C655" s="845">
        <v>2</v>
      </c>
      <c r="D655" s="845">
        <f t="shared" si="0"/>
        <v>24</v>
      </c>
      <c r="E655" s="846">
        <v>471922.04800000007</v>
      </c>
      <c r="F655" s="846">
        <f t="shared" si="1"/>
        <v>943844.09600000014</v>
      </c>
      <c r="G655" s="847">
        <f>F655*12</f>
        <v>11326129.152000003</v>
      </c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5" customHeight="1">
      <c r="A656" s="843">
        <v>674</v>
      </c>
      <c r="B656" s="844" t="s">
        <v>3967</v>
      </c>
      <c r="C656" s="845">
        <v>5</v>
      </c>
      <c r="D656" s="845">
        <f t="shared" si="0"/>
        <v>60</v>
      </c>
      <c r="E656" s="846">
        <v>424725.95999999996</v>
      </c>
      <c r="F656" s="846">
        <f t="shared" si="1"/>
        <v>2123629.7999999998</v>
      </c>
      <c r="G656" s="847">
        <f>F656*12</f>
        <v>25483557.599999998</v>
      </c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5" customHeight="1">
      <c r="A657" s="843">
        <v>675</v>
      </c>
      <c r="B657" s="844" t="s">
        <v>3968</v>
      </c>
      <c r="C657" s="845">
        <v>1126</v>
      </c>
      <c r="D657" s="845">
        <f t="shared" si="0"/>
        <v>13512</v>
      </c>
      <c r="E657" s="846">
        <v>1666.6719999999998</v>
      </c>
      <c r="F657" s="846">
        <f t="shared" si="1"/>
        <v>1876672.6719999998</v>
      </c>
      <c r="G657" s="847">
        <f>F657*12</f>
        <v>22520072.063999996</v>
      </c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5" customHeight="1">
      <c r="A658" s="843">
        <v>676</v>
      </c>
      <c r="B658" s="844" t="s">
        <v>3969</v>
      </c>
      <c r="C658" s="845">
        <v>4375</v>
      </c>
      <c r="D658" s="845">
        <f t="shared" si="0"/>
        <v>52500</v>
      </c>
      <c r="E658" s="846">
        <v>476.19200000000001</v>
      </c>
      <c r="F658" s="846">
        <f t="shared" si="1"/>
        <v>2083340</v>
      </c>
      <c r="G658" s="847">
        <f>F658*12</f>
        <v>25000080</v>
      </c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5" customHeight="1">
      <c r="A659" s="843">
        <v>677</v>
      </c>
      <c r="B659" s="844" t="s">
        <v>3970</v>
      </c>
      <c r="C659" s="845">
        <v>10</v>
      </c>
      <c r="D659" s="845">
        <f t="shared" si="0"/>
        <v>120</v>
      </c>
      <c r="E659" s="846">
        <v>23032.503999999997</v>
      </c>
      <c r="F659" s="846">
        <f t="shared" si="1"/>
        <v>230325.03999999998</v>
      </c>
      <c r="G659" s="847">
        <f>F659*12</f>
        <v>2763900.4799999995</v>
      </c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5" customHeight="1">
      <c r="A660" s="843">
        <v>678</v>
      </c>
      <c r="B660" s="844" t="s">
        <v>3971</v>
      </c>
      <c r="C660" s="845">
        <v>30</v>
      </c>
      <c r="D660" s="845">
        <f t="shared" si="0"/>
        <v>360</v>
      </c>
      <c r="E660" s="846">
        <v>33300</v>
      </c>
      <c r="F660" s="846">
        <f t="shared" si="1"/>
        <v>999000</v>
      </c>
      <c r="G660" s="847">
        <f>F660*12</f>
        <v>11988000</v>
      </c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5" customHeight="1">
      <c r="A661" s="843">
        <v>679</v>
      </c>
      <c r="B661" s="844" t="s">
        <v>3972</v>
      </c>
      <c r="C661" s="845">
        <v>10</v>
      </c>
      <c r="D661" s="845">
        <f t="shared" si="0"/>
        <v>120</v>
      </c>
      <c r="E661" s="846">
        <v>99733.504000000001</v>
      </c>
      <c r="F661" s="846">
        <f t="shared" si="1"/>
        <v>997335.04000000004</v>
      </c>
      <c r="G661" s="847">
        <f>F661*12</f>
        <v>11968020.48</v>
      </c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5" customHeight="1">
      <c r="A662" s="843">
        <v>680</v>
      </c>
      <c r="B662" s="844" t="s">
        <v>3973</v>
      </c>
      <c r="C662" s="845">
        <v>4000</v>
      </c>
      <c r="D662" s="845">
        <f t="shared" si="0"/>
        <v>48000</v>
      </c>
      <c r="E662" s="846">
        <v>1300</v>
      </c>
      <c r="F662" s="846">
        <f t="shared" si="1"/>
        <v>5200000</v>
      </c>
      <c r="G662" s="847">
        <f>F662*12</f>
        <v>62400000</v>
      </c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5" customHeight="1">
      <c r="A663" s="843">
        <v>682</v>
      </c>
      <c r="B663" s="844" t="s">
        <v>3974</v>
      </c>
      <c r="C663" s="845">
        <v>350</v>
      </c>
      <c r="D663" s="845">
        <f t="shared" si="0"/>
        <v>4200</v>
      </c>
      <c r="E663" s="846">
        <v>577.20000000000005</v>
      </c>
      <c r="F663" s="846">
        <f t="shared" si="1"/>
        <v>202020.00000000003</v>
      </c>
      <c r="G663" s="847">
        <f>F663*12</f>
        <v>2424240.0000000005</v>
      </c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5" customHeight="1">
      <c r="A664" s="843">
        <v>683</v>
      </c>
      <c r="B664" s="844" t="s">
        <v>3975</v>
      </c>
      <c r="C664" s="845">
        <v>2</v>
      </c>
      <c r="D664" s="845">
        <f t="shared" si="0"/>
        <v>24</v>
      </c>
      <c r="E664" s="846">
        <v>10572.752</v>
      </c>
      <c r="F664" s="846">
        <f t="shared" si="1"/>
        <v>21145.504000000001</v>
      </c>
      <c r="G664" s="847">
        <f>F664*12</f>
        <v>253746.04800000001</v>
      </c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5" customHeight="1">
      <c r="A665" s="843">
        <v>684</v>
      </c>
      <c r="B665" s="844" t="s">
        <v>3976</v>
      </c>
      <c r="C665" s="845">
        <v>6600</v>
      </c>
      <c r="D665" s="845">
        <f t="shared" si="0"/>
        <v>79200</v>
      </c>
      <c r="E665" s="846">
        <v>750</v>
      </c>
      <c r="F665" s="846">
        <f t="shared" si="1"/>
        <v>4950000</v>
      </c>
      <c r="G665" s="847">
        <f>F665*12</f>
        <v>59400000</v>
      </c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5" customHeight="1">
      <c r="A666" s="843">
        <v>686</v>
      </c>
      <c r="B666" s="844" t="s">
        <v>3977</v>
      </c>
      <c r="C666" s="845">
        <v>60</v>
      </c>
      <c r="D666" s="845">
        <f t="shared" si="0"/>
        <v>720</v>
      </c>
      <c r="E666" s="846">
        <v>25002.752</v>
      </c>
      <c r="F666" s="846">
        <f t="shared" si="1"/>
        <v>1500165.1200000001</v>
      </c>
      <c r="G666" s="847">
        <f>F666*12</f>
        <v>18001981.440000001</v>
      </c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5" customHeight="1">
      <c r="A667" s="843">
        <v>687</v>
      </c>
      <c r="B667" s="844" t="s">
        <v>3978</v>
      </c>
      <c r="C667" s="845">
        <v>50</v>
      </c>
      <c r="D667" s="845">
        <f t="shared" si="0"/>
        <v>600</v>
      </c>
      <c r="E667" s="846">
        <v>27750</v>
      </c>
      <c r="F667" s="846">
        <f t="shared" si="1"/>
        <v>1387500</v>
      </c>
      <c r="G667" s="847">
        <f>F667*12</f>
        <v>16650000</v>
      </c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5" customHeight="1">
      <c r="A668" s="843">
        <v>688</v>
      </c>
      <c r="B668" s="844" t="s">
        <v>3979</v>
      </c>
      <c r="C668" s="845">
        <v>5000</v>
      </c>
      <c r="D668" s="845">
        <f t="shared" si="0"/>
        <v>60000</v>
      </c>
      <c r="E668" s="846">
        <v>850</v>
      </c>
      <c r="F668" s="846">
        <f t="shared" si="1"/>
        <v>4250000</v>
      </c>
      <c r="G668" s="847">
        <f>F668*12</f>
        <v>51000000</v>
      </c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5" customHeight="1">
      <c r="A669" s="843">
        <v>689</v>
      </c>
      <c r="B669" s="844" t="s">
        <v>3980</v>
      </c>
      <c r="C669" s="845">
        <v>30</v>
      </c>
      <c r="D669" s="845">
        <f t="shared" si="0"/>
        <v>360</v>
      </c>
      <c r="E669" s="846">
        <v>3393.5279999999998</v>
      </c>
      <c r="F669" s="846">
        <f t="shared" si="1"/>
        <v>101805.84</v>
      </c>
      <c r="G669" s="847">
        <f>F669*12</f>
        <v>1221670.08</v>
      </c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5" customHeight="1">
      <c r="A670" s="843">
        <v>690</v>
      </c>
      <c r="B670" s="844" t="s">
        <v>3981</v>
      </c>
      <c r="C670" s="845">
        <v>2000</v>
      </c>
      <c r="D670" s="845">
        <f t="shared" si="0"/>
        <v>24000</v>
      </c>
      <c r="E670" s="846">
        <v>641.024</v>
      </c>
      <c r="F670" s="846">
        <f t="shared" si="1"/>
        <v>1282048</v>
      </c>
      <c r="G670" s="847">
        <f>F670*12</f>
        <v>15384576</v>
      </c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5" customHeight="1">
      <c r="A671" s="843">
        <v>691</v>
      </c>
      <c r="B671" s="844" t="s">
        <v>3982</v>
      </c>
      <c r="C671" s="845">
        <v>1</v>
      </c>
      <c r="D671" s="845">
        <f t="shared" si="0"/>
        <v>12</v>
      </c>
      <c r="E671" s="846">
        <v>50394</v>
      </c>
      <c r="F671" s="846">
        <f t="shared" si="1"/>
        <v>50394</v>
      </c>
      <c r="G671" s="847">
        <f>F671*12</f>
        <v>604728</v>
      </c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5" customHeight="1">
      <c r="A672" s="843">
        <v>692</v>
      </c>
      <c r="B672" s="844" t="s">
        <v>3983</v>
      </c>
      <c r="C672" s="845">
        <v>6</v>
      </c>
      <c r="D672" s="845">
        <f t="shared" si="0"/>
        <v>72</v>
      </c>
      <c r="E672" s="846">
        <v>33744</v>
      </c>
      <c r="F672" s="846">
        <f t="shared" si="1"/>
        <v>202464</v>
      </c>
      <c r="G672" s="847">
        <f>F672*12</f>
        <v>2429568</v>
      </c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5" customHeight="1">
      <c r="A673" s="843">
        <v>693</v>
      </c>
      <c r="B673" s="844" t="s">
        <v>3984</v>
      </c>
      <c r="C673" s="845">
        <v>40</v>
      </c>
      <c r="D673" s="845">
        <f t="shared" si="0"/>
        <v>480</v>
      </c>
      <c r="E673" s="846">
        <v>7825.5040000000008</v>
      </c>
      <c r="F673" s="846">
        <f t="shared" si="1"/>
        <v>313020.16000000003</v>
      </c>
      <c r="G673" s="847">
        <f>F673*12</f>
        <v>3756241.9200000004</v>
      </c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5" customHeight="1">
      <c r="A674" s="843">
        <v>694</v>
      </c>
      <c r="B674" s="844" t="s">
        <v>3985</v>
      </c>
      <c r="C674" s="845">
        <v>2000</v>
      </c>
      <c r="D674" s="845">
        <f t="shared" si="0"/>
        <v>24000</v>
      </c>
      <c r="E674" s="846">
        <v>100</v>
      </c>
      <c r="F674" s="846">
        <f t="shared" si="1"/>
        <v>200000</v>
      </c>
      <c r="G674" s="847">
        <f>F674*12</f>
        <v>2400000</v>
      </c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5" customHeight="1">
      <c r="A675" s="843">
        <v>695</v>
      </c>
      <c r="B675" s="844" t="s">
        <v>3986</v>
      </c>
      <c r="C675" s="845">
        <v>200</v>
      </c>
      <c r="D675" s="845">
        <f t="shared" si="0"/>
        <v>2400</v>
      </c>
      <c r="E675" s="846">
        <v>1</v>
      </c>
      <c r="F675" s="846">
        <f t="shared" si="1"/>
        <v>200</v>
      </c>
      <c r="G675" s="847">
        <f>F675*12</f>
        <v>2400</v>
      </c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5" customHeight="1">
      <c r="A676" s="843">
        <v>696</v>
      </c>
      <c r="B676" s="844" t="s">
        <v>3987</v>
      </c>
      <c r="C676" s="845">
        <v>700</v>
      </c>
      <c r="D676" s="845">
        <f t="shared" si="0"/>
        <v>8400</v>
      </c>
      <c r="E676" s="846">
        <v>7150</v>
      </c>
      <c r="F676" s="846">
        <f t="shared" si="1"/>
        <v>5005000</v>
      </c>
      <c r="G676" s="847">
        <f>F676*12</f>
        <v>60060000</v>
      </c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5" customHeight="1">
      <c r="A677" s="843">
        <v>697</v>
      </c>
      <c r="B677" s="844" t="s">
        <v>3988</v>
      </c>
      <c r="C677" s="845">
        <v>60</v>
      </c>
      <c r="D677" s="845">
        <f t="shared" si="0"/>
        <v>720</v>
      </c>
      <c r="E677" s="846">
        <v>300</v>
      </c>
      <c r="F677" s="846">
        <f t="shared" si="1"/>
        <v>18000</v>
      </c>
      <c r="G677" s="847">
        <f>F677*12</f>
        <v>216000</v>
      </c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5" customHeight="1">
      <c r="A678" s="843">
        <v>698</v>
      </c>
      <c r="B678" s="844" t="s">
        <v>3989</v>
      </c>
      <c r="C678" s="845">
        <v>2</v>
      </c>
      <c r="D678" s="845">
        <f t="shared" si="0"/>
        <v>24</v>
      </c>
      <c r="E678" s="846">
        <v>9712.503999999999</v>
      </c>
      <c r="F678" s="846">
        <f t="shared" si="1"/>
        <v>19425.007999999998</v>
      </c>
      <c r="G678" s="847">
        <f>F678*12</f>
        <v>233100.09599999996</v>
      </c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5" customHeight="1">
      <c r="A679" s="843">
        <v>699</v>
      </c>
      <c r="B679" s="844" t="s">
        <v>3990</v>
      </c>
      <c r="C679" s="845">
        <v>12</v>
      </c>
      <c r="D679" s="845">
        <f t="shared" si="0"/>
        <v>144</v>
      </c>
      <c r="E679" s="846">
        <v>9018.7520000000004</v>
      </c>
      <c r="F679" s="846">
        <f t="shared" si="1"/>
        <v>108225.024</v>
      </c>
      <c r="G679" s="847">
        <f>F679*12</f>
        <v>1298700.2880000002</v>
      </c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5" customHeight="1">
      <c r="A680" s="843">
        <v>700</v>
      </c>
      <c r="B680" s="844" t="s">
        <v>3991</v>
      </c>
      <c r="C680" s="845">
        <v>50</v>
      </c>
      <c r="D680" s="845">
        <f t="shared" si="0"/>
        <v>600</v>
      </c>
      <c r="E680" s="846">
        <v>9018.7520000000004</v>
      </c>
      <c r="F680" s="846">
        <f t="shared" si="1"/>
        <v>450937.60000000003</v>
      </c>
      <c r="G680" s="847">
        <f>F680*12</f>
        <v>5411251.2000000002</v>
      </c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5" customHeight="1">
      <c r="A681" s="843">
        <v>701</v>
      </c>
      <c r="B681" s="844" t="s">
        <v>3992</v>
      </c>
      <c r="C681" s="845">
        <v>10</v>
      </c>
      <c r="D681" s="845">
        <f t="shared" si="0"/>
        <v>120</v>
      </c>
      <c r="E681" s="846">
        <v>7770</v>
      </c>
      <c r="F681" s="846">
        <f t="shared" si="1"/>
        <v>77700</v>
      </c>
      <c r="G681" s="847">
        <f>F681*12</f>
        <v>932400</v>
      </c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5" customHeight="1">
      <c r="A682" s="843">
        <v>702</v>
      </c>
      <c r="B682" s="844" t="s">
        <v>3993</v>
      </c>
      <c r="C682" s="845">
        <v>3</v>
      </c>
      <c r="D682" s="845">
        <f t="shared" si="0"/>
        <v>36</v>
      </c>
      <c r="E682" s="846">
        <v>21933.600000000002</v>
      </c>
      <c r="F682" s="846">
        <f t="shared" si="1"/>
        <v>65800.800000000003</v>
      </c>
      <c r="G682" s="847">
        <f>F682*12</f>
        <v>789609.60000000009</v>
      </c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5" customHeight="1">
      <c r="A683" s="843">
        <v>703</v>
      </c>
      <c r="B683" s="844" t="s">
        <v>3994</v>
      </c>
      <c r="C683" s="845">
        <v>120</v>
      </c>
      <c r="D683" s="845">
        <f t="shared" si="0"/>
        <v>1440</v>
      </c>
      <c r="E683" s="846">
        <v>166293.60800000001</v>
      </c>
      <c r="F683" s="846">
        <f t="shared" si="1"/>
        <v>19955232.960000001</v>
      </c>
      <c r="G683" s="847">
        <f>F683*12</f>
        <v>239462795.52000001</v>
      </c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5" customHeight="1">
      <c r="A684" s="843">
        <v>704</v>
      </c>
      <c r="B684" s="844" t="s">
        <v>3995</v>
      </c>
      <c r="C684" s="845">
        <v>5</v>
      </c>
      <c r="D684" s="845">
        <f t="shared" si="0"/>
        <v>60</v>
      </c>
      <c r="E684" s="846">
        <v>149878.56</v>
      </c>
      <c r="F684" s="846">
        <f t="shared" si="1"/>
        <v>749392.8</v>
      </c>
      <c r="G684" s="847">
        <f>F684*12</f>
        <v>8992713.6000000015</v>
      </c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5" customHeight="1">
      <c r="A685" s="843">
        <v>705</v>
      </c>
      <c r="B685" s="844" t="s">
        <v>3996</v>
      </c>
      <c r="C685" s="845">
        <v>60</v>
      </c>
      <c r="D685" s="845">
        <f t="shared" si="0"/>
        <v>720</v>
      </c>
      <c r="E685" s="846">
        <v>263800</v>
      </c>
      <c r="F685" s="846">
        <f t="shared" si="1"/>
        <v>15828000</v>
      </c>
      <c r="G685" s="847">
        <f>F685*12</f>
        <v>189936000</v>
      </c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5" customHeight="1">
      <c r="A686" s="843">
        <v>706</v>
      </c>
      <c r="B686" s="844" t="s">
        <v>3997</v>
      </c>
      <c r="C686" s="845">
        <v>200</v>
      </c>
      <c r="D686" s="845">
        <f t="shared" si="0"/>
        <v>2400</v>
      </c>
      <c r="E686" s="846">
        <v>228.00800000000001</v>
      </c>
      <c r="F686" s="846">
        <f t="shared" si="1"/>
        <v>45601.599999999999</v>
      </c>
      <c r="G686" s="847">
        <f>F686*12</f>
        <v>547219.19999999995</v>
      </c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5" customHeight="1">
      <c r="A687" s="843">
        <v>707</v>
      </c>
      <c r="B687" s="844" t="s">
        <v>3998</v>
      </c>
      <c r="C687" s="845">
        <v>550</v>
      </c>
      <c r="D687" s="845">
        <f t="shared" si="0"/>
        <v>6600</v>
      </c>
      <c r="E687" s="846">
        <v>3885</v>
      </c>
      <c r="F687" s="846">
        <f t="shared" si="1"/>
        <v>2136750</v>
      </c>
      <c r="G687" s="847">
        <f>F687*12</f>
        <v>25641000</v>
      </c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5" customHeight="1">
      <c r="A688" s="843">
        <v>708</v>
      </c>
      <c r="B688" s="844" t="s">
        <v>3999</v>
      </c>
      <c r="C688" s="845">
        <v>250</v>
      </c>
      <c r="D688" s="845">
        <f t="shared" si="0"/>
        <v>3000</v>
      </c>
      <c r="E688" s="846">
        <v>790.88</v>
      </c>
      <c r="F688" s="846">
        <f t="shared" si="1"/>
        <v>197720</v>
      </c>
      <c r="G688" s="847">
        <f>F688*12</f>
        <v>2372640</v>
      </c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5" customHeight="1">
      <c r="A689" s="843">
        <v>709</v>
      </c>
      <c r="B689" s="844" t="s">
        <v>4000</v>
      </c>
      <c r="C689" s="845">
        <v>4</v>
      </c>
      <c r="D689" s="845">
        <f t="shared" si="0"/>
        <v>48</v>
      </c>
      <c r="E689" s="846">
        <v>12412.583999999999</v>
      </c>
      <c r="F689" s="846">
        <f t="shared" si="1"/>
        <v>49650.335999999996</v>
      </c>
      <c r="G689" s="847">
        <f>F689*12</f>
        <v>595804.03199999989</v>
      </c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5" customHeight="1">
      <c r="A690" s="843">
        <v>710</v>
      </c>
      <c r="B690" s="844" t="s">
        <v>4001</v>
      </c>
      <c r="C690" s="845">
        <v>9</v>
      </c>
      <c r="D690" s="845">
        <f t="shared" si="0"/>
        <v>108</v>
      </c>
      <c r="E690" s="846">
        <v>81440.703999999998</v>
      </c>
      <c r="F690" s="846">
        <f t="shared" si="1"/>
        <v>732966.33600000001</v>
      </c>
      <c r="G690" s="847">
        <f>F690*12</f>
        <v>8795596.0319999997</v>
      </c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5" customHeight="1">
      <c r="A691" s="843">
        <v>711</v>
      </c>
      <c r="B691" s="844" t="s">
        <v>4002</v>
      </c>
      <c r="C691" s="845">
        <v>8</v>
      </c>
      <c r="D691" s="845">
        <f t="shared" si="0"/>
        <v>96</v>
      </c>
      <c r="E691" s="846">
        <v>102758.24799999999</v>
      </c>
      <c r="F691" s="846">
        <f t="shared" si="1"/>
        <v>822065.98399999994</v>
      </c>
      <c r="G691" s="847">
        <f>F691*12</f>
        <v>9864791.8079999983</v>
      </c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5" customHeight="1">
      <c r="A692" s="843">
        <v>712</v>
      </c>
      <c r="B692" s="844" t="s">
        <v>4003</v>
      </c>
      <c r="C692" s="845">
        <v>5</v>
      </c>
      <c r="D692" s="845">
        <f t="shared" si="0"/>
        <v>60</v>
      </c>
      <c r="E692" s="846">
        <v>133711.992</v>
      </c>
      <c r="F692" s="846">
        <f t="shared" si="1"/>
        <v>668559.96</v>
      </c>
      <c r="G692" s="847">
        <f>F692*12</f>
        <v>8022719.5199999996</v>
      </c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5" customHeight="1">
      <c r="A693" s="843">
        <v>713</v>
      </c>
      <c r="B693" s="844" t="s">
        <v>4004</v>
      </c>
      <c r="C693" s="845">
        <v>10</v>
      </c>
      <c r="D693" s="845">
        <f t="shared" si="0"/>
        <v>120</v>
      </c>
      <c r="E693" s="846">
        <v>300</v>
      </c>
      <c r="F693" s="846">
        <f t="shared" si="1"/>
        <v>3000</v>
      </c>
      <c r="G693" s="847">
        <f>F693*12</f>
        <v>36000</v>
      </c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5" customHeight="1">
      <c r="A694" s="843">
        <v>714</v>
      </c>
      <c r="B694" s="844" t="s">
        <v>4005</v>
      </c>
      <c r="C694" s="845">
        <v>4</v>
      </c>
      <c r="D694" s="845">
        <f t="shared" si="0"/>
        <v>48</v>
      </c>
      <c r="E694" s="846">
        <v>41625</v>
      </c>
      <c r="F694" s="846">
        <f t="shared" si="1"/>
        <v>166500</v>
      </c>
      <c r="G694" s="847">
        <f>F694*12</f>
        <v>1998000</v>
      </c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5" customHeight="1">
      <c r="A695" s="843">
        <v>715</v>
      </c>
      <c r="B695" s="844" t="s">
        <v>4006</v>
      </c>
      <c r="C695" s="845">
        <v>6</v>
      </c>
      <c r="D695" s="845">
        <f t="shared" si="0"/>
        <v>72</v>
      </c>
      <c r="E695" s="846">
        <v>128500</v>
      </c>
      <c r="F695" s="846">
        <f t="shared" si="1"/>
        <v>771000</v>
      </c>
      <c r="G695" s="847">
        <f>F695*12</f>
        <v>9252000</v>
      </c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5" customHeight="1">
      <c r="A696" s="843">
        <v>716</v>
      </c>
      <c r="B696" s="844" t="s">
        <v>4007</v>
      </c>
      <c r="C696" s="845">
        <v>60</v>
      </c>
      <c r="D696" s="845">
        <f t="shared" si="0"/>
        <v>720</v>
      </c>
      <c r="E696" s="846">
        <v>522.52800000000002</v>
      </c>
      <c r="F696" s="846">
        <f t="shared" si="1"/>
        <v>31351.68</v>
      </c>
      <c r="G696" s="847">
        <f>F696*12</f>
        <v>376220.16000000003</v>
      </c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5" customHeight="1">
      <c r="A697" s="843">
        <v>717</v>
      </c>
      <c r="B697" s="844" t="s">
        <v>4008</v>
      </c>
      <c r="C697" s="845">
        <v>75</v>
      </c>
      <c r="D697" s="845">
        <f t="shared" si="0"/>
        <v>900</v>
      </c>
      <c r="E697" s="846">
        <v>882.88</v>
      </c>
      <c r="F697" s="846">
        <f t="shared" si="1"/>
        <v>66216</v>
      </c>
      <c r="G697" s="847">
        <f>F697*12</f>
        <v>794592</v>
      </c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5" customHeight="1">
      <c r="A698" s="843">
        <v>718</v>
      </c>
      <c r="B698" s="844" t="s">
        <v>4009</v>
      </c>
      <c r="C698" s="845">
        <v>10</v>
      </c>
      <c r="D698" s="845">
        <f t="shared" si="0"/>
        <v>120</v>
      </c>
      <c r="E698" s="846">
        <v>198135</v>
      </c>
      <c r="F698" s="846">
        <f t="shared" si="1"/>
        <v>1981350</v>
      </c>
      <c r="G698" s="847">
        <f>F698*12</f>
        <v>23776200</v>
      </c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5" customHeight="1">
      <c r="A699" s="843">
        <v>719</v>
      </c>
      <c r="B699" s="844" t="s">
        <v>4010</v>
      </c>
      <c r="C699" s="845">
        <v>270</v>
      </c>
      <c r="D699" s="845">
        <f t="shared" si="0"/>
        <v>3240</v>
      </c>
      <c r="E699" s="846">
        <v>650.072</v>
      </c>
      <c r="F699" s="846">
        <f t="shared" si="1"/>
        <v>175519.44</v>
      </c>
      <c r="G699" s="847">
        <f>F699*12</f>
        <v>2106233.2800000003</v>
      </c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5" customHeight="1">
      <c r="A700" s="843">
        <v>720</v>
      </c>
      <c r="B700" s="844" t="s">
        <v>4011</v>
      </c>
      <c r="C700" s="845">
        <v>45</v>
      </c>
      <c r="D700" s="845">
        <f t="shared" si="0"/>
        <v>540</v>
      </c>
      <c r="E700" s="846">
        <v>990.11199999999997</v>
      </c>
      <c r="F700" s="846">
        <f t="shared" si="1"/>
        <v>44555.040000000001</v>
      </c>
      <c r="G700" s="847">
        <f>F700*12</f>
        <v>534660.48</v>
      </c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5" customHeight="1">
      <c r="A701" s="843">
        <v>721</v>
      </c>
      <c r="B701" s="844" t="s">
        <v>4012</v>
      </c>
      <c r="C701" s="845">
        <v>73</v>
      </c>
      <c r="D701" s="845">
        <f t="shared" si="0"/>
        <v>876</v>
      </c>
      <c r="E701" s="846">
        <v>1036.1279999999999</v>
      </c>
      <c r="F701" s="846">
        <f t="shared" si="1"/>
        <v>75637.343999999997</v>
      </c>
      <c r="G701" s="847">
        <f>F701*12</f>
        <v>907648.12800000003</v>
      </c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5" customHeight="1">
      <c r="A702" s="843">
        <v>722</v>
      </c>
      <c r="B702" s="844" t="s">
        <v>4013</v>
      </c>
      <c r="C702" s="845">
        <v>70</v>
      </c>
      <c r="D702" s="845">
        <f t="shared" si="0"/>
        <v>840</v>
      </c>
      <c r="E702" s="846">
        <v>432.90400000000005</v>
      </c>
      <c r="F702" s="846">
        <f t="shared" si="1"/>
        <v>30303.280000000002</v>
      </c>
      <c r="G702" s="847">
        <f>F702*12</f>
        <v>363639.36000000004</v>
      </c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5" customHeight="1">
      <c r="A703" s="843">
        <v>723</v>
      </c>
      <c r="B703" s="844" t="s">
        <v>4014</v>
      </c>
      <c r="C703" s="845">
        <v>600</v>
      </c>
      <c r="D703" s="845">
        <f t="shared" si="0"/>
        <v>7200</v>
      </c>
      <c r="E703" s="846">
        <v>13419.904</v>
      </c>
      <c r="F703" s="846">
        <f t="shared" si="1"/>
        <v>8051942.4000000004</v>
      </c>
      <c r="G703" s="847">
        <f>F703*12</f>
        <v>96623308.800000012</v>
      </c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5" customHeight="1">
      <c r="A704" s="843">
        <v>724</v>
      </c>
      <c r="B704" s="844" t="s">
        <v>4015</v>
      </c>
      <c r="C704" s="845">
        <v>2</v>
      </c>
      <c r="D704" s="845">
        <f t="shared" si="0"/>
        <v>24</v>
      </c>
      <c r="E704" s="846">
        <v>44400</v>
      </c>
      <c r="F704" s="846">
        <f t="shared" si="1"/>
        <v>88800</v>
      </c>
      <c r="G704" s="847">
        <f>F704*12</f>
        <v>1065600</v>
      </c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5" customHeight="1">
      <c r="A705" s="843">
        <v>725</v>
      </c>
      <c r="B705" s="844" t="s">
        <v>4016</v>
      </c>
      <c r="C705" s="845">
        <v>47</v>
      </c>
      <c r="D705" s="845">
        <f t="shared" si="0"/>
        <v>564</v>
      </c>
      <c r="E705" s="846">
        <v>12099</v>
      </c>
      <c r="F705" s="846">
        <f t="shared" si="1"/>
        <v>568653</v>
      </c>
      <c r="G705" s="847">
        <f>F705*12</f>
        <v>6823836</v>
      </c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5" customHeight="1">
      <c r="A706" s="843">
        <v>726</v>
      </c>
      <c r="B706" s="844" t="s">
        <v>4017</v>
      </c>
      <c r="C706" s="845">
        <v>100</v>
      </c>
      <c r="D706" s="845">
        <f t="shared" si="0"/>
        <v>1200</v>
      </c>
      <c r="E706" s="846">
        <v>1</v>
      </c>
      <c r="F706" s="846">
        <f t="shared" si="1"/>
        <v>100</v>
      </c>
      <c r="G706" s="847">
        <f>F706*12</f>
        <v>1200</v>
      </c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5" customHeight="1">
      <c r="A707" s="843">
        <v>727</v>
      </c>
      <c r="B707" s="844" t="s">
        <v>4018</v>
      </c>
      <c r="C707" s="845">
        <v>200</v>
      </c>
      <c r="D707" s="845">
        <f t="shared" si="0"/>
        <v>2400</v>
      </c>
      <c r="E707" s="846">
        <v>624.38400000000001</v>
      </c>
      <c r="F707" s="846">
        <f t="shared" si="1"/>
        <v>124876.8</v>
      </c>
      <c r="G707" s="847">
        <f>F707*12</f>
        <v>1498521.6000000001</v>
      </c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5" customHeight="1">
      <c r="A708" s="843">
        <v>729</v>
      </c>
      <c r="B708" s="844" t="s">
        <v>4019</v>
      </c>
      <c r="C708" s="845">
        <v>57</v>
      </c>
      <c r="D708" s="845">
        <f t="shared" si="0"/>
        <v>684</v>
      </c>
      <c r="E708" s="846">
        <v>383.75200000000001</v>
      </c>
      <c r="F708" s="846">
        <f t="shared" si="1"/>
        <v>21873.864000000001</v>
      </c>
      <c r="G708" s="847">
        <f>F708*12</f>
        <v>262486.36800000002</v>
      </c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5" customHeight="1">
      <c r="A709" s="843">
        <v>730</v>
      </c>
      <c r="B709" s="844" t="s">
        <v>4020</v>
      </c>
      <c r="C709" s="845">
        <v>5</v>
      </c>
      <c r="D709" s="845">
        <f t="shared" si="0"/>
        <v>60</v>
      </c>
      <c r="E709" s="846">
        <v>7170.5999999999995</v>
      </c>
      <c r="F709" s="846">
        <f t="shared" si="1"/>
        <v>35853</v>
      </c>
      <c r="G709" s="847">
        <f>F709*12</f>
        <v>430236</v>
      </c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5" customHeight="1">
      <c r="A710" s="843">
        <v>731</v>
      </c>
      <c r="B710" s="844" t="s">
        <v>4021</v>
      </c>
      <c r="C710" s="845">
        <v>20</v>
      </c>
      <c r="D710" s="845">
        <f t="shared" si="0"/>
        <v>240</v>
      </c>
      <c r="E710" s="846">
        <v>558</v>
      </c>
      <c r="F710" s="846">
        <f t="shared" si="1"/>
        <v>11160</v>
      </c>
      <c r="G710" s="847">
        <f>F710*12</f>
        <v>133920</v>
      </c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5" customHeight="1">
      <c r="A711" s="843">
        <v>732</v>
      </c>
      <c r="B711" s="844" t="s">
        <v>4022</v>
      </c>
      <c r="C711" s="845">
        <v>68</v>
      </c>
      <c r="D711" s="845">
        <f t="shared" si="0"/>
        <v>816</v>
      </c>
      <c r="E711" s="846">
        <v>28305</v>
      </c>
      <c r="F711" s="846">
        <f t="shared" si="1"/>
        <v>1924740</v>
      </c>
      <c r="G711" s="847">
        <f>F711*12</f>
        <v>23096880</v>
      </c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5" customHeight="1">
      <c r="A712" s="843">
        <v>733</v>
      </c>
      <c r="B712" s="844" t="s">
        <v>4023</v>
      </c>
      <c r="C712" s="845">
        <v>191</v>
      </c>
      <c r="D712" s="845">
        <f t="shared" si="0"/>
        <v>2292</v>
      </c>
      <c r="E712" s="846">
        <v>10256.4</v>
      </c>
      <c r="F712" s="846">
        <f t="shared" si="1"/>
        <v>1958972.4</v>
      </c>
      <c r="G712" s="847">
        <f>F712*12</f>
        <v>23507668.799999997</v>
      </c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5" customHeight="1">
      <c r="A713" s="843">
        <v>734</v>
      </c>
      <c r="B713" s="844" t="s">
        <v>4024</v>
      </c>
      <c r="C713" s="845">
        <v>3</v>
      </c>
      <c r="D713" s="845">
        <f t="shared" si="0"/>
        <v>36</v>
      </c>
      <c r="E713" s="846">
        <v>24531</v>
      </c>
      <c r="F713" s="846">
        <f t="shared" si="1"/>
        <v>73593</v>
      </c>
      <c r="G713" s="847">
        <f>F713*12</f>
        <v>883116</v>
      </c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5" customHeight="1">
      <c r="A714" s="843">
        <v>735</v>
      </c>
      <c r="B714" s="844" t="s">
        <v>4025</v>
      </c>
      <c r="C714" s="845">
        <v>1500</v>
      </c>
      <c r="D714" s="845">
        <f t="shared" si="0"/>
        <v>18000</v>
      </c>
      <c r="E714" s="846">
        <v>1776</v>
      </c>
      <c r="F714" s="846">
        <f t="shared" si="1"/>
        <v>2664000</v>
      </c>
      <c r="G714" s="847">
        <f>F714*12</f>
        <v>31968000</v>
      </c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5" customHeight="1">
      <c r="A715" s="843">
        <v>736</v>
      </c>
      <c r="B715" s="844" t="s">
        <v>4026</v>
      </c>
      <c r="C715" s="845">
        <v>700</v>
      </c>
      <c r="D715" s="845">
        <f t="shared" si="0"/>
        <v>8400</v>
      </c>
      <c r="E715" s="846">
        <v>603.22400000000005</v>
      </c>
      <c r="F715" s="846">
        <f t="shared" si="1"/>
        <v>422256.80000000005</v>
      </c>
      <c r="G715" s="847">
        <f>F715*12</f>
        <v>5067081.6000000006</v>
      </c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5" customHeight="1">
      <c r="A716" s="843">
        <v>737</v>
      </c>
      <c r="B716" s="844" t="s">
        <v>4027</v>
      </c>
      <c r="C716" s="845">
        <v>2</v>
      </c>
      <c r="D716" s="845">
        <f t="shared" si="0"/>
        <v>24</v>
      </c>
      <c r="E716" s="846">
        <v>49950</v>
      </c>
      <c r="F716" s="846">
        <f t="shared" si="1"/>
        <v>99900</v>
      </c>
      <c r="G716" s="847">
        <f>F716*12</f>
        <v>1198800</v>
      </c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5" customHeight="1">
      <c r="A717" s="843">
        <v>738</v>
      </c>
      <c r="B717" s="844" t="s">
        <v>4028</v>
      </c>
      <c r="C717" s="845">
        <v>5</v>
      </c>
      <c r="D717" s="845">
        <f t="shared" si="0"/>
        <v>60</v>
      </c>
      <c r="E717" s="846">
        <v>5790.8719999999994</v>
      </c>
      <c r="F717" s="846">
        <f t="shared" si="1"/>
        <v>28954.359999999997</v>
      </c>
      <c r="G717" s="847">
        <f>F717*12</f>
        <v>347452.31999999995</v>
      </c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5" customHeight="1">
      <c r="A718" s="843">
        <v>739</v>
      </c>
      <c r="B718" s="844" t="s">
        <v>4029</v>
      </c>
      <c r="C718" s="845">
        <v>5</v>
      </c>
      <c r="D718" s="845">
        <f t="shared" si="0"/>
        <v>60</v>
      </c>
      <c r="E718" s="846">
        <v>40425</v>
      </c>
      <c r="F718" s="846">
        <f t="shared" si="1"/>
        <v>202125</v>
      </c>
      <c r="G718" s="847">
        <f>F718*12</f>
        <v>2425500</v>
      </c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5" customHeight="1">
      <c r="A719" s="843">
        <v>740</v>
      </c>
      <c r="B719" s="844" t="s">
        <v>4030</v>
      </c>
      <c r="C719" s="845">
        <v>10</v>
      </c>
      <c r="D719" s="845">
        <f t="shared" si="0"/>
        <v>120</v>
      </c>
      <c r="E719" s="846">
        <v>40500</v>
      </c>
      <c r="F719" s="846">
        <f t="shared" si="1"/>
        <v>405000</v>
      </c>
      <c r="G719" s="847">
        <f>F719*12</f>
        <v>4860000</v>
      </c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5" customHeight="1">
      <c r="A720" s="843">
        <v>741</v>
      </c>
      <c r="B720" s="844" t="s">
        <v>4031</v>
      </c>
      <c r="C720" s="845">
        <v>3</v>
      </c>
      <c r="D720" s="845">
        <f t="shared" si="0"/>
        <v>36</v>
      </c>
      <c r="E720" s="846">
        <v>433589.31199999998</v>
      </c>
      <c r="F720" s="846">
        <f t="shared" si="1"/>
        <v>1300767.936</v>
      </c>
      <c r="G720" s="847">
        <f>F720*12</f>
        <v>15609215.232000001</v>
      </c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5" customHeight="1">
      <c r="A721" s="843">
        <v>742</v>
      </c>
      <c r="B721" s="844" t="s">
        <v>4032</v>
      </c>
      <c r="C721" s="845">
        <v>15</v>
      </c>
      <c r="D721" s="845">
        <f t="shared" si="0"/>
        <v>180</v>
      </c>
      <c r="E721" s="846">
        <v>176723.10399999999</v>
      </c>
      <c r="F721" s="846">
        <f t="shared" si="1"/>
        <v>2650846.56</v>
      </c>
      <c r="G721" s="847">
        <f>F721*12</f>
        <v>31810158.719999999</v>
      </c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5" customHeight="1">
      <c r="A722" s="843">
        <v>743</v>
      </c>
      <c r="B722" s="844" t="s">
        <v>4033</v>
      </c>
      <c r="C722" s="845">
        <v>2</v>
      </c>
      <c r="D722" s="845">
        <f t="shared" si="0"/>
        <v>24</v>
      </c>
      <c r="E722" s="846">
        <v>93000.047999999995</v>
      </c>
      <c r="F722" s="846">
        <f t="shared" si="1"/>
        <v>186000.09599999999</v>
      </c>
      <c r="G722" s="847">
        <f>F722*12</f>
        <v>2232001.1519999998</v>
      </c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5" customHeight="1">
      <c r="A723" s="843">
        <v>744</v>
      </c>
      <c r="B723" s="844" t="s">
        <v>4034</v>
      </c>
      <c r="C723" s="845">
        <v>40</v>
      </c>
      <c r="D723" s="845">
        <f t="shared" si="0"/>
        <v>480</v>
      </c>
      <c r="E723" s="846">
        <v>3496.5040000000004</v>
      </c>
      <c r="F723" s="846">
        <f t="shared" si="1"/>
        <v>139860.16</v>
      </c>
      <c r="G723" s="847">
        <f>F723*12</f>
        <v>1678321.92</v>
      </c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5" customHeight="1">
      <c r="A724" s="843">
        <v>745</v>
      </c>
      <c r="B724" s="844" t="s">
        <v>4035</v>
      </c>
      <c r="C724" s="845">
        <v>250</v>
      </c>
      <c r="D724" s="845">
        <f t="shared" si="0"/>
        <v>3000</v>
      </c>
      <c r="E724" s="846">
        <v>3316.4</v>
      </c>
      <c r="F724" s="846">
        <f t="shared" si="1"/>
        <v>829100</v>
      </c>
      <c r="G724" s="847">
        <f>F724*12</f>
        <v>9949200</v>
      </c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5" customHeight="1">
      <c r="A725" s="843">
        <v>746</v>
      </c>
      <c r="B725" s="844" t="s">
        <v>4036</v>
      </c>
      <c r="C725" s="845">
        <v>400</v>
      </c>
      <c r="D725" s="845">
        <f t="shared" si="0"/>
        <v>4800</v>
      </c>
      <c r="E725" s="846">
        <v>8538</v>
      </c>
      <c r="F725" s="846">
        <f t="shared" si="1"/>
        <v>3415200</v>
      </c>
      <c r="G725" s="847">
        <f>F725*12</f>
        <v>40982400</v>
      </c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5" customHeight="1">
      <c r="A726" s="843">
        <v>747</v>
      </c>
      <c r="B726" s="844" t="s">
        <v>4037</v>
      </c>
      <c r="C726" s="845">
        <v>160</v>
      </c>
      <c r="D726" s="845">
        <f t="shared" si="0"/>
        <v>1920</v>
      </c>
      <c r="E726" s="846">
        <v>5550</v>
      </c>
      <c r="F726" s="846">
        <f t="shared" si="1"/>
        <v>888000</v>
      </c>
      <c r="G726" s="847">
        <f>F726*12</f>
        <v>10656000</v>
      </c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5" customHeight="1">
      <c r="A727" s="843">
        <v>748</v>
      </c>
      <c r="B727" s="844" t="s">
        <v>4038</v>
      </c>
      <c r="C727" s="845">
        <v>20</v>
      </c>
      <c r="D727" s="845">
        <f t="shared" si="0"/>
        <v>240</v>
      </c>
      <c r="E727" s="846">
        <v>6653.3440000000001</v>
      </c>
      <c r="F727" s="846">
        <f t="shared" si="1"/>
        <v>133066.88</v>
      </c>
      <c r="G727" s="847">
        <f>F727*12</f>
        <v>1596802.56</v>
      </c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5" customHeight="1">
      <c r="A728" s="843">
        <v>749</v>
      </c>
      <c r="B728" s="844" t="s">
        <v>4039</v>
      </c>
      <c r="C728" s="845">
        <v>700</v>
      </c>
      <c r="D728" s="845">
        <f t="shared" si="0"/>
        <v>8400</v>
      </c>
      <c r="E728" s="846">
        <v>1828.7920000000001</v>
      </c>
      <c r="F728" s="846">
        <f t="shared" si="1"/>
        <v>1280154.4000000001</v>
      </c>
      <c r="G728" s="847">
        <f>F728*12</f>
        <v>15361852.800000001</v>
      </c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5" customHeight="1">
      <c r="A729" s="843">
        <v>750</v>
      </c>
      <c r="B729" s="844" t="s">
        <v>4040</v>
      </c>
      <c r="C729" s="845">
        <v>350</v>
      </c>
      <c r="D729" s="845">
        <f t="shared" si="0"/>
        <v>4200</v>
      </c>
      <c r="E729" s="846">
        <v>3922</v>
      </c>
      <c r="F729" s="846">
        <f t="shared" si="1"/>
        <v>1372700</v>
      </c>
      <c r="G729" s="847">
        <f>F729*12</f>
        <v>16472400</v>
      </c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5" customHeight="1">
      <c r="A730" s="843">
        <v>751</v>
      </c>
      <c r="B730" s="844" t="s">
        <v>4041</v>
      </c>
      <c r="C730" s="845">
        <v>30</v>
      </c>
      <c r="D730" s="845">
        <f t="shared" si="0"/>
        <v>360</v>
      </c>
      <c r="E730" s="846">
        <v>26073.903999999999</v>
      </c>
      <c r="F730" s="846">
        <f t="shared" si="1"/>
        <v>782217.12</v>
      </c>
      <c r="G730" s="847">
        <f>F730*12</f>
        <v>9386605.4399999995</v>
      </c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5" customHeight="1">
      <c r="A731" s="843">
        <v>752</v>
      </c>
      <c r="B731" s="844" t="s">
        <v>4042</v>
      </c>
      <c r="C731" s="845">
        <v>300</v>
      </c>
      <c r="D731" s="845">
        <f t="shared" si="0"/>
        <v>3600</v>
      </c>
      <c r="E731" s="846">
        <v>284.44000000000005</v>
      </c>
      <c r="F731" s="846">
        <f t="shared" si="1"/>
        <v>85332.000000000015</v>
      </c>
      <c r="G731" s="847">
        <f>F731*12</f>
        <v>1023984.0000000002</v>
      </c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5" customHeight="1">
      <c r="A732" s="843">
        <v>753</v>
      </c>
      <c r="B732" s="844" t="s">
        <v>4043</v>
      </c>
      <c r="C732" s="845">
        <v>450</v>
      </c>
      <c r="D732" s="845">
        <f t="shared" si="0"/>
        <v>5400</v>
      </c>
      <c r="E732" s="846">
        <v>471.75200000000007</v>
      </c>
      <c r="F732" s="846">
        <f t="shared" si="1"/>
        <v>212288.40000000002</v>
      </c>
      <c r="G732" s="847">
        <f>F732*12</f>
        <v>2547460.8000000003</v>
      </c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5" customHeight="1">
      <c r="A733" s="843">
        <v>754</v>
      </c>
      <c r="B733" s="844" t="s">
        <v>4044</v>
      </c>
      <c r="C733" s="845">
        <v>30</v>
      </c>
      <c r="D733" s="845">
        <f t="shared" si="0"/>
        <v>360</v>
      </c>
      <c r="E733" s="846">
        <v>825</v>
      </c>
      <c r="F733" s="846">
        <f t="shared" si="1"/>
        <v>24750</v>
      </c>
      <c r="G733" s="847">
        <f>F733*12</f>
        <v>297000</v>
      </c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5" customHeight="1">
      <c r="A734" s="843">
        <v>755</v>
      </c>
      <c r="B734" s="844" t="s">
        <v>4045</v>
      </c>
      <c r="C734" s="845">
        <v>650</v>
      </c>
      <c r="D734" s="845">
        <f t="shared" si="0"/>
        <v>7800</v>
      </c>
      <c r="E734" s="846">
        <v>108.032</v>
      </c>
      <c r="F734" s="846">
        <f t="shared" si="1"/>
        <v>70220.800000000003</v>
      </c>
      <c r="G734" s="847">
        <f>F734*12</f>
        <v>842649.60000000009</v>
      </c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5" customHeight="1">
      <c r="A735" s="843">
        <v>756</v>
      </c>
      <c r="B735" s="844" t="s">
        <v>4046</v>
      </c>
      <c r="C735" s="845">
        <v>400</v>
      </c>
      <c r="D735" s="845">
        <f t="shared" si="0"/>
        <v>4800</v>
      </c>
      <c r="E735" s="846">
        <v>4402.9920000000002</v>
      </c>
      <c r="F735" s="846">
        <f t="shared" si="1"/>
        <v>1761196.8</v>
      </c>
      <c r="G735" s="847">
        <f>F735*12</f>
        <v>21134361.600000001</v>
      </c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5" customHeight="1">
      <c r="A736" s="843">
        <v>757</v>
      </c>
      <c r="B736" s="844" t="s">
        <v>4047</v>
      </c>
      <c r="C736" s="845">
        <v>100</v>
      </c>
      <c r="D736" s="845">
        <f t="shared" si="0"/>
        <v>1200</v>
      </c>
      <c r="E736" s="846">
        <v>3479</v>
      </c>
      <c r="F736" s="846">
        <f t="shared" si="1"/>
        <v>347900</v>
      </c>
      <c r="G736" s="847">
        <f>F736*12</f>
        <v>4174800</v>
      </c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5" customHeight="1">
      <c r="A737" s="843">
        <v>758</v>
      </c>
      <c r="B737" s="844" t="s">
        <v>4048</v>
      </c>
      <c r="C737" s="845">
        <v>20</v>
      </c>
      <c r="D737" s="845">
        <f t="shared" si="0"/>
        <v>240</v>
      </c>
      <c r="E737" s="846">
        <v>208125</v>
      </c>
      <c r="F737" s="846">
        <f t="shared" si="1"/>
        <v>4162500</v>
      </c>
      <c r="G737" s="847">
        <f>F737*12</f>
        <v>49950000</v>
      </c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5" customHeight="1">
      <c r="A738" s="843">
        <v>759</v>
      </c>
      <c r="B738" s="844" t="s">
        <v>4049</v>
      </c>
      <c r="C738" s="845">
        <v>20</v>
      </c>
      <c r="D738" s="845">
        <f t="shared" si="0"/>
        <v>240</v>
      </c>
      <c r="E738" s="846">
        <v>12087.903999999999</v>
      </c>
      <c r="F738" s="846">
        <f t="shared" si="1"/>
        <v>241758.07999999996</v>
      </c>
      <c r="G738" s="847">
        <f>F738*12</f>
        <v>2901096.9599999995</v>
      </c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5" customHeight="1">
      <c r="A739" s="843">
        <v>762</v>
      </c>
      <c r="B739" s="844" t="s">
        <v>4050</v>
      </c>
      <c r="C739" s="845">
        <v>5</v>
      </c>
      <c r="D739" s="845">
        <f t="shared" si="0"/>
        <v>60</v>
      </c>
      <c r="E739" s="846">
        <v>9656.4480000000003</v>
      </c>
      <c r="F739" s="846">
        <f t="shared" si="1"/>
        <v>48282.240000000005</v>
      </c>
      <c r="G739" s="847">
        <f>F739*12</f>
        <v>579386.88000000012</v>
      </c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5" customHeight="1">
      <c r="A740" s="843">
        <v>763</v>
      </c>
      <c r="B740" s="844" t="s">
        <v>4051</v>
      </c>
      <c r="C740" s="845">
        <v>30</v>
      </c>
      <c r="D740" s="845">
        <f t="shared" si="0"/>
        <v>360</v>
      </c>
      <c r="E740" s="846">
        <v>5321.3440000000001</v>
      </c>
      <c r="F740" s="846">
        <f t="shared" si="1"/>
        <v>159640.32000000001</v>
      </c>
      <c r="G740" s="847">
        <f>F740*12</f>
        <v>1915683.8400000001</v>
      </c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5" customHeight="1">
      <c r="A741" s="843">
        <v>765</v>
      </c>
      <c r="B741" s="844" t="s">
        <v>4052</v>
      </c>
      <c r="C741" s="845">
        <v>2</v>
      </c>
      <c r="D741" s="845">
        <f t="shared" si="0"/>
        <v>24</v>
      </c>
      <c r="E741" s="846">
        <v>276</v>
      </c>
      <c r="F741" s="846">
        <f t="shared" si="1"/>
        <v>552</v>
      </c>
      <c r="G741" s="847">
        <f>F741*12</f>
        <v>6624</v>
      </c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5" customHeight="1">
      <c r="A742" s="843">
        <v>766</v>
      </c>
      <c r="B742" s="844" t="s">
        <v>4053</v>
      </c>
      <c r="C742" s="845">
        <v>10000</v>
      </c>
      <c r="D742" s="845">
        <f t="shared" si="0"/>
        <v>120000</v>
      </c>
      <c r="E742" s="846">
        <v>92.127999999999986</v>
      </c>
      <c r="F742" s="846">
        <f t="shared" si="1"/>
        <v>921279.99999999988</v>
      </c>
      <c r="G742" s="847">
        <f>F742*12</f>
        <v>11055359.999999998</v>
      </c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5" customHeight="1">
      <c r="A743" s="843">
        <v>767</v>
      </c>
      <c r="B743" s="844" t="s">
        <v>4054</v>
      </c>
      <c r="C743" s="845">
        <v>500</v>
      </c>
      <c r="D743" s="845">
        <f t="shared" si="0"/>
        <v>6000</v>
      </c>
      <c r="E743" s="846">
        <v>312.904</v>
      </c>
      <c r="F743" s="846">
        <f t="shared" si="1"/>
        <v>156452</v>
      </c>
      <c r="G743" s="847">
        <f>F743*12</f>
        <v>1877424</v>
      </c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5" customHeight="1">
      <c r="A744" s="843">
        <v>768</v>
      </c>
      <c r="B744" s="844" t="s">
        <v>4055</v>
      </c>
      <c r="C744" s="845">
        <v>5000</v>
      </c>
      <c r="D744" s="845">
        <f t="shared" si="0"/>
        <v>60000</v>
      </c>
      <c r="E744" s="846">
        <v>174.27199999999999</v>
      </c>
      <c r="F744" s="846">
        <f t="shared" si="1"/>
        <v>871360</v>
      </c>
      <c r="G744" s="847">
        <f>F744*12</f>
        <v>10456320</v>
      </c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5" customHeight="1">
      <c r="A745" s="843">
        <v>769</v>
      </c>
      <c r="B745" s="844" t="s">
        <v>4056</v>
      </c>
      <c r="C745" s="845">
        <v>5000</v>
      </c>
      <c r="D745" s="845">
        <f t="shared" si="0"/>
        <v>60000</v>
      </c>
      <c r="E745" s="846">
        <v>136.79999999999998</v>
      </c>
      <c r="F745" s="846">
        <f t="shared" si="1"/>
        <v>683999.99999999988</v>
      </c>
      <c r="G745" s="847">
        <f>F745*12</f>
        <v>8207999.9999999981</v>
      </c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5" customHeight="1">
      <c r="A746" s="843">
        <v>770</v>
      </c>
      <c r="B746" s="844" t="s">
        <v>4057</v>
      </c>
      <c r="C746" s="845">
        <v>2500</v>
      </c>
      <c r="D746" s="845">
        <f t="shared" si="0"/>
        <v>30000</v>
      </c>
      <c r="E746" s="846">
        <v>89.912000000000006</v>
      </c>
      <c r="F746" s="846">
        <f t="shared" si="1"/>
        <v>224780.00000000003</v>
      </c>
      <c r="G746" s="847">
        <f>F746*12</f>
        <v>2697360.0000000005</v>
      </c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5" customHeight="1">
      <c r="A747" s="843">
        <v>771</v>
      </c>
      <c r="B747" s="844" t="s">
        <v>4058</v>
      </c>
      <c r="C747" s="845">
        <v>70</v>
      </c>
      <c r="D747" s="845">
        <f t="shared" si="0"/>
        <v>840</v>
      </c>
      <c r="E747" s="846">
        <v>150.96</v>
      </c>
      <c r="F747" s="846">
        <f t="shared" si="1"/>
        <v>10567.2</v>
      </c>
      <c r="G747" s="847">
        <f>F747*12</f>
        <v>126806.40000000001</v>
      </c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5" customHeight="1">
      <c r="A748" s="843">
        <v>772</v>
      </c>
      <c r="B748" s="844" t="s">
        <v>4059</v>
      </c>
      <c r="C748" s="845">
        <v>1000</v>
      </c>
      <c r="D748" s="845">
        <f t="shared" si="0"/>
        <v>12000</v>
      </c>
      <c r="E748" s="846">
        <v>67</v>
      </c>
      <c r="F748" s="846">
        <f t="shared" si="1"/>
        <v>67000</v>
      </c>
      <c r="G748" s="847">
        <f>F748*12</f>
        <v>804000</v>
      </c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5" customHeight="1">
      <c r="A749" s="843">
        <v>773</v>
      </c>
      <c r="B749" s="844" t="s">
        <v>4060</v>
      </c>
      <c r="C749" s="845">
        <v>30</v>
      </c>
      <c r="D749" s="845">
        <f t="shared" si="0"/>
        <v>360</v>
      </c>
      <c r="E749" s="846">
        <v>405</v>
      </c>
      <c r="F749" s="846">
        <f t="shared" si="1"/>
        <v>12150</v>
      </c>
      <c r="G749" s="847">
        <f>F749*12</f>
        <v>145800</v>
      </c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5" customHeight="1">
      <c r="A750" s="843">
        <v>774</v>
      </c>
      <c r="B750" s="844" t="s">
        <v>4061</v>
      </c>
      <c r="C750" s="845">
        <v>2</v>
      </c>
      <c r="D750" s="845">
        <f t="shared" si="0"/>
        <v>24</v>
      </c>
      <c r="E750" s="846">
        <v>52947</v>
      </c>
      <c r="F750" s="846">
        <f t="shared" si="1"/>
        <v>105894</v>
      </c>
      <c r="G750" s="847">
        <f>F750*12</f>
        <v>1270728</v>
      </c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5" customHeight="1">
      <c r="A751" s="843">
        <v>775</v>
      </c>
      <c r="B751" s="844" t="s">
        <v>4062</v>
      </c>
      <c r="C751" s="845">
        <v>5</v>
      </c>
      <c r="D751" s="845">
        <f t="shared" si="0"/>
        <v>60</v>
      </c>
      <c r="E751" s="846">
        <v>52947</v>
      </c>
      <c r="F751" s="846">
        <f t="shared" si="1"/>
        <v>264735</v>
      </c>
      <c r="G751" s="847">
        <f>F751*12</f>
        <v>3176820</v>
      </c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5" customHeight="1">
      <c r="A752" s="843">
        <v>776</v>
      </c>
      <c r="B752" s="844" t="s">
        <v>4063</v>
      </c>
      <c r="C752" s="845">
        <v>400</v>
      </c>
      <c r="D752" s="845">
        <f t="shared" si="0"/>
        <v>4800</v>
      </c>
      <c r="E752" s="846">
        <v>663.95999999999992</v>
      </c>
      <c r="F752" s="846">
        <f t="shared" si="1"/>
        <v>265583.99999999994</v>
      </c>
      <c r="G752" s="847">
        <f>F752*12</f>
        <v>3187007.9999999991</v>
      </c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5" customHeight="1">
      <c r="A753" s="843">
        <v>777</v>
      </c>
      <c r="B753" s="844" t="s">
        <v>4064</v>
      </c>
      <c r="C753" s="845">
        <v>20</v>
      </c>
      <c r="D753" s="845">
        <f t="shared" si="0"/>
        <v>240</v>
      </c>
      <c r="E753" s="846">
        <v>16527.903999999999</v>
      </c>
      <c r="F753" s="846">
        <f t="shared" si="1"/>
        <v>330558.07999999996</v>
      </c>
      <c r="G753" s="847">
        <f>F753*12</f>
        <v>3966696.9599999995</v>
      </c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5" customHeight="1">
      <c r="A754" s="843">
        <v>778</v>
      </c>
      <c r="B754" s="844" t="s">
        <v>4065</v>
      </c>
      <c r="C754" s="845">
        <v>1600</v>
      </c>
      <c r="D754" s="845">
        <f t="shared" si="0"/>
        <v>19200</v>
      </c>
      <c r="E754" s="846">
        <v>2954.8240000000001</v>
      </c>
      <c r="F754" s="846">
        <f t="shared" si="1"/>
        <v>4727718.4000000004</v>
      </c>
      <c r="G754" s="847">
        <f>F754*12</f>
        <v>56732620.800000004</v>
      </c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5" customHeight="1">
      <c r="A755" s="843">
        <v>779</v>
      </c>
      <c r="B755" s="844" t="s">
        <v>4066</v>
      </c>
      <c r="C755" s="845">
        <v>2</v>
      </c>
      <c r="D755" s="845">
        <f t="shared" si="0"/>
        <v>24</v>
      </c>
      <c r="E755" s="846">
        <v>11088</v>
      </c>
      <c r="F755" s="846">
        <f t="shared" si="1"/>
        <v>22176</v>
      </c>
      <c r="G755" s="847">
        <f>F755*12</f>
        <v>266112</v>
      </c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5" customHeight="1">
      <c r="A756" s="843">
        <v>780</v>
      </c>
      <c r="B756" s="844" t="s">
        <v>4067</v>
      </c>
      <c r="C756" s="845">
        <v>200</v>
      </c>
      <c r="D756" s="845">
        <f t="shared" si="0"/>
        <v>2400</v>
      </c>
      <c r="E756" s="846">
        <v>14652</v>
      </c>
      <c r="F756" s="846">
        <f t="shared" si="1"/>
        <v>2930400</v>
      </c>
      <c r="G756" s="847">
        <f>F756*12</f>
        <v>35164800</v>
      </c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5" customHeight="1">
      <c r="A757" s="843">
        <v>781</v>
      </c>
      <c r="B757" s="844" t="s">
        <v>4068</v>
      </c>
      <c r="C757" s="845">
        <v>15</v>
      </c>
      <c r="D757" s="845">
        <f t="shared" si="0"/>
        <v>180</v>
      </c>
      <c r="E757" s="846">
        <v>14652</v>
      </c>
      <c r="F757" s="846">
        <f t="shared" si="1"/>
        <v>219780</v>
      </c>
      <c r="G757" s="847">
        <f>F757*12</f>
        <v>2637360</v>
      </c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5" customHeight="1">
      <c r="A758" s="843">
        <v>782</v>
      </c>
      <c r="B758" s="844" t="s">
        <v>4069</v>
      </c>
      <c r="C758" s="845">
        <v>70</v>
      </c>
      <c r="D758" s="845">
        <f t="shared" si="0"/>
        <v>840</v>
      </c>
      <c r="E758" s="846">
        <v>3246.752</v>
      </c>
      <c r="F758" s="846">
        <f t="shared" si="1"/>
        <v>227272.63999999998</v>
      </c>
      <c r="G758" s="847">
        <f>F758*12</f>
        <v>2727271.6799999997</v>
      </c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5" customHeight="1">
      <c r="A759" s="843">
        <v>783</v>
      </c>
      <c r="B759" s="844" t="s">
        <v>4070</v>
      </c>
      <c r="C759" s="845">
        <v>2</v>
      </c>
      <c r="D759" s="845">
        <f t="shared" si="0"/>
        <v>24</v>
      </c>
      <c r="E759" s="846">
        <v>5272.5039999999999</v>
      </c>
      <c r="F759" s="846">
        <f t="shared" si="1"/>
        <v>10545.008</v>
      </c>
      <c r="G759" s="847">
        <f>F759*12</f>
        <v>126540.09599999999</v>
      </c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5" customHeight="1">
      <c r="A760" s="843">
        <v>784</v>
      </c>
      <c r="B760" s="844" t="s">
        <v>4071</v>
      </c>
      <c r="C760" s="845">
        <v>15</v>
      </c>
      <c r="D760" s="845">
        <f t="shared" si="0"/>
        <v>180</v>
      </c>
      <c r="E760" s="846">
        <v>5086.5839999999998</v>
      </c>
      <c r="F760" s="846">
        <f t="shared" si="1"/>
        <v>76298.759999999995</v>
      </c>
      <c r="G760" s="847">
        <f>F760*12</f>
        <v>915585.11999999988</v>
      </c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5" customHeight="1">
      <c r="A761" s="843">
        <v>785</v>
      </c>
      <c r="B761" s="844" t="s">
        <v>4072</v>
      </c>
      <c r="C761" s="845">
        <v>3</v>
      </c>
      <c r="D761" s="845">
        <f t="shared" si="0"/>
        <v>36</v>
      </c>
      <c r="E761" s="846">
        <v>1768</v>
      </c>
      <c r="F761" s="846">
        <f t="shared" si="1"/>
        <v>5304</v>
      </c>
      <c r="G761" s="847">
        <f>F761*12</f>
        <v>63648</v>
      </c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5" customHeight="1">
      <c r="A762" s="843">
        <v>786</v>
      </c>
      <c r="B762" s="844" t="s">
        <v>4073</v>
      </c>
      <c r="C762" s="845">
        <v>300</v>
      </c>
      <c r="D762" s="845">
        <f t="shared" si="0"/>
        <v>3600</v>
      </c>
      <c r="E762" s="846">
        <v>610.50400000000002</v>
      </c>
      <c r="F762" s="846">
        <f t="shared" si="1"/>
        <v>183151.2</v>
      </c>
      <c r="G762" s="847">
        <f>F762*12</f>
        <v>2197814.4000000004</v>
      </c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5" customHeight="1">
      <c r="A763" s="843">
        <v>787</v>
      </c>
      <c r="B763" s="844" t="s">
        <v>4074</v>
      </c>
      <c r="C763" s="845">
        <v>50</v>
      </c>
      <c r="D763" s="845">
        <f t="shared" si="0"/>
        <v>600</v>
      </c>
      <c r="E763" s="846">
        <v>9435</v>
      </c>
      <c r="F763" s="846">
        <f t="shared" si="1"/>
        <v>471750</v>
      </c>
      <c r="G763" s="847">
        <f>F763*12</f>
        <v>5661000</v>
      </c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5" customHeight="1">
      <c r="A764" s="843">
        <v>788</v>
      </c>
      <c r="B764" s="844" t="s">
        <v>4075</v>
      </c>
      <c r="C764" s="845">
        <v>60</v>
      </c>
      <c r="D764" s="845">
        <f t="shared" si="0"/>
        <v>720</v>
      </c>
      <c r="E764" s="846">
        <v>6382.5039999999999</v>
      </c>
      <c r="F764" s="846">
        <f t="shared" si="1"/>
        <v>382950.24</v>
      </c>
      <c r="G764" s="847">
        <f>F764*12</f>
        <v>4595402.88</v>
      </c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5" customHeight="1">
      <c r="A765" s="983" t="s">
        <v>4076</v>
      </c>
      <c r="B765" s="888"/>
      <c r="C765" s="888"/>
      <c r="D765" s="888"/>
      <c r="E765" s="889"/>
      <c r="F765" s="848">
        <f t="shared" ref="F765:G765" si="2">SUM(F12:F764)</f>
        <v>981600501.6352272</v>
      </c>
      <c r="G765" s="848">
        <f t="shared" si="2"/>
        <v>11779206019.62273</v>
      </c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5.75" customHeight="1">
      <c r="A766" s="3"/>
      <c r="B766" s="3"/>
      <c r="C766" s="3"/>
      <c r="D766" s="3"/>
      <c r="E766" s="6"/>
      <c r="F766" s="6"/>
      <c r="G766" s="849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5.75" customHeight="1">
      <c r="A767" s="3"/>
      <c r="B767" s="3"/>
      <c r="C767" s="3"/>
      <c r="D767" s="3"/>
      <c r="E767" s="6"/>
      <c r="F767" s="6"/>
      <c r="G767" s="849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5" customHeight="1">
      <c r="A768" s="3"/>
      <c r="B768" s="850" t="s">
        <v>4077</v>
      </c>
      <c r="C768" s="851"/>
      <c r="D768" s="851"/>
      <c r="E768" s="851"/>
      <c r="F768" s="851"/>
      <c r="G768" s="849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5" customHeight="1">
      <c r="A769" s="841" t="s">
        <v>657</v>
      </c>
      <c r="B769" s="841" t="s">
        <v>4078</v>
      </c>
      <c r="C769" s="841" t="s">
        <v>3318</v>
      </c>
      <c r="D769" s="841" t="s">
        <v>3319</v>
      </c>
      <c r="E769" s="852" t="s">
        <v>3320</v>
      </c>
      <c r="F769" s="852" t="s">
        <v>3322</v>
      </c>
      <c r="G769" s="849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5" customHeight="1">
      <c r="A770" s="614">
        <v>1</v>
      </c>
      <c r="B770" s="844" t="s">
        <v>4079</v>
      </c>
      <c r="C770" s="853">
        <v>2</v>
      </c>
      <c r="D770" s="853">
        <f t="shared" ref="D770:D809" si="3">C770*12</f>
        <v>24</v>
      </c>
      <c r="E770" s="853">
        <v>675000</v>
      </c>
      <c r="F770" s="854">
        <f t="shared" ref="F770:F809" si="4">E770*D770</f>
        <v>16200000</v>
      </c>
      <c r="G770" s="849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5" customHeight="1">
      <c r="A771" s="614">
        <v>2</v>
      </c>
      <c r="B771" s="844" t="s">
        <v>4080</v>
      </c>
      <c r="C771" s="853">
        <v>2700</v>
      </c>
      <c r="D771" s="853">
        <f t="shared" si="3"/>
        <v>32400</v>
      </c>
      <c r="E771" s="853">
        <v>80</v>
      </c>
      <c r="F771" s="854">
        <f t="shared" si="4"/>
        <v>2592000</v>
      </c>
      <c r="G771" s="849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5" customHeight="1">
      <c r="A772" s="614">
        <v>3</v>
      </c>
      <c r="B772" s="844" t="s">
        <v>4081</v>
      </c>
      <c r="C772" s="853">
        <v>35</v>
      </c>
      <c r="D772" s="853">
        <f t="shared" si="3"/>
        <v>420</v>
      </c>
      <c r="E772" s="853">
        <v>72150</v>
      </c>
      <c r="F772" s="854">
        <f t="shared" si="4"/>
        <v>30303000</v>
      </c>
      <c r="G772" s="849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5" customHeight="1">
      <c r="A773" s="614">
        <v>4</v>
      </c>
      <c r="B773" s="844" t="s">
        <v>4082</v>
      </c>
      <c r="C773" s="853">
        <v>22</v>
      </c>
      <c r="D773" s="853">
        <f t="shared" si="3"/>
        <v>264</v>
      </c>
      <c r="E773" s="853">
        <v>16000</v>
      </c>
      <c r="F773" s="854">
        <f t="shared" si="4"/>
        <v>4224000</v>
      </c>
      <c r="G773" s="849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5" customHeight="1">
      <c r="A774" s="614">
        <v>5</v>
      </c>
      <c r="B774" s="844" t="s">
        <v>4083</v>
      </c>
      <c r="C774" s="853">
        <v>3</v>
      </c>
      <c r="D774" s="853">
        <f t="shared" si="3"/>
        <v>36</v>
      </c>
      <c r="E774" s="853">
        <v>80000</v>
      </c>
      <c r="F774" s="854">
        <f t="shared" si="4"/>
        <v>2880000</v>
      </c>
      <c r="G774" s="849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5" customHeight="1">
      <c r="A775" s="614">
        <v>6</v>
      </c>
      <c r="B775" s="844" t="s">
        <v>4084</v>
      </c>
      <c r="C775" s="853">
        <v>2</v>
      </c>
      <c r="D775" s="853">
        <f t="shared" si="3"/>
        <v>24</v>
      </c>
      <c r="E775" s="853">
        <v>720000</v>
      </c>
      <c r="F775" s="854">
        <f t="shared" si="4"/>
        <v>17280000</v>
      </c>
      <c r="G775" s="849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5" customHeight="1">
      <c r="A776" s="614">
        <v>7</v>
      </c>
      <c r="B776" s="844" t="s">
        <v>4085</v>
      </c>
      <c r="C776" s="853">
        <v>2</v>
      </c>
      <c r="D776" s="853">
        <f t="shared" si="3"/>
        <v>24</v>
      </c>
      <c r="E776" s="853">
        <v>2850000</v>
      </c>
      <c r="F776" s="854">
        <f t="shared" si="4"/>
        <v>68400000</v>
      </c>
      <c r="G776" s="849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5" customHeight="1">
      <c r="A777" s="614">
        <v>8</v>
      </c>
      <c r="B777" s="844" t="s">
        <v>4086</v>
      </c>
      <c r="C777" s="853">
        <v>2</v>
      </c>
      <c r="D777" s="853">
        <f t="shared" si="3"/>
        <v>24</v>
      </c>
      <c r="E777" s="853">
        <v>500000</v>
      </c>
      <c r="F777" s="854">
        <f t="shared" si="4"/>
        <v>12000000</v>
      </c>
      <c r="G777" s="849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5" customHeight="1">
      <c r="A778" s="614">
        <v>9</v>
      </c>
      <c r="B778" s="844" t="s">
        <v>4087</v>
      </c>
      <c r="C778" s="853">
        <v>1</v>
      </c>
      <c r="D778" s="853">
        <f t="shared" si="3"/>
        <v>12</v>
      </c>
      <c r="E778" s="853">
        <v>55000</v>
      </c>
      <c r="F778" s="854">
        <f t="shared" si="4"/>
        <v>660000</v>
      </c>
      <c r="G778" s="849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5" customHeight="1">
      <c r="A779" s="614">
        <v>10</v>
      </c>
      <c r="B779" s="844" t="s">
        <v>4088</v>
      </c>
      <c r="C779" s="853">
        <v>7</v>
      </c>
      <c r="D779" s="853">
        <f t="shared" si="3"/>
        <v>84</v>
      </c>
      <c r="E779" s="853">
        <v>45000</v>
      </c>
      <c r="F779" s="854">
        <f t="shared" si="4"/>
        <v>3780000</v>
      </c>
      <c r="G779" s="849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5" customHeight="1">
      <c r="A780" s="614">
        <v>11</v>
      </c>
      <c r="B780" s="844" t="s">
        <v>4089</v>
      </c>
      <c r="C780" s="853">
        <v>1</v>
      </c>
      <c r="D780" s="853">
        <f t="shared" si="3"/>
        <v>12</v>
      </c>
      <c r="E780" s="853">
        <v>5000000</v>
      </c>
      <c r="F780" s="854">
        <f t="shared" si="4"/>
        <v>60000000</v>
      </c>
      <c r="G780" s="849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5" customHeight="1">
      <c r="A781" s="614">
        <v>12</v>
      </c>
      <c r="B781" s="844" t="s">
        <v>4090</v>
      </c>
      <c r="C781" s="853">
        <v>50</v>
      </c>
      <c r="D781" s="853">
        <f t="shared" si="3"/>
        <v>600</v>
      </c>
      <c r="E781" s="853">
        <v>250000</v>
      </c>
      <c r="F781" s="854">
        <f t="shared" si="4"/>
        <v>150000000</v>
      </c>
      <c r="G781" s="849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5" customHeight="1">
      <c r="A782" s="614">
        <v>13</v>
      </c>
      <c r="B782" s="844" t="s">
        <v>4091</v>
      </c>
      <c r="C782" s="853">
        <v>1</v>
      </c>
      <c r="D782" s="853">
        <f t="shared" si="3"/>
        <v>12</v>
      </c>
      <c r="E782" s="853">
        <v>780000</v>
      </c>
      <c r="F782" s="854">
        <f t="shared" si="4"/>
        <v>9360000</v>
      </c>
      <c r="G782" s="849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5" customHeight="1">
      <c r="A783" s="614">
        <v>14</v>
      </c>
      <c r="B783" s="844" t="s">
        <v>4092</v>
      </c>
      <c r="C783" s="853">
        <v>40</v>
      </c>
      <c r="D783" s="853">
        <f t="shared" si="3"/>
        <v>480</v>
      </c>
      <c r="E783" s="853">
        <v>72072.070000000007</v>
      </c>
      <c r="F783" s="854">
        <f t="shared" si="4"/>
        <v>34594593.600000001</v>
      </c>
      <c r="G783" s="849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5" customHeight="1">
      <c r="A784" s="614">
        <v>15</v>
      </c>
      <c r="B784" s="844" t="s">
        <v>4093</v>
      </c>
      <c r="C784" s="853">
        <v>6</v>
      </c>
      <c r="D784" s="853">
        <f t="shared" si="3"/>
        <v>72</v>
      </c>
      <c r="E784" s="853">
        <v>600000</v>
      </c>
      <c r="F784" s="854">
        <f t="shared" si="4"/>
        <v>43200000</v>
      </c>
      <c r="G784" s="849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5" customHeight="1">
      <c r="A785" s="614">
        <v>16</v>
      </c>
      <c r="B785" s="844" t="s">
        <v>4094</v>
      </c>
      <c r="C785" s="853">
        <v>4</v>
      </c>
      <c r="D785" s="853">
        <f t="shared" si="3"/>
        <v>48</v>
      </c>
      <c r="E785" s="853">
        <v>1100000</v>
      </c>
      <c r="F785" s="854">
        <f t="shared" si="4"/>
        <v>52800000</v>
      </c>
      <c r="G785" s="849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5" customHeight="1">
      <c r="A786" s="614">
        <v>17</v>
      </c>
      <c r="B786" s="844" t="s">
        <v>4095</v>
      </c>
      <c r="C786" s="853">
        <v>3</v>
      </c>
      <c r="D786" s="853">
        <f t="shared" si="3"/>
        <v>36</v>
      </c>
      <c r="E786" s="853">
        <v>2850000</v>
      </c>
      <c r="F786" s="854">
        <f t="shared" si="4"/>
        <v>102600000</v>
      </c>
      <c r="G786" s="849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5" customHeight="1">
      <c r="A787" s="614">
        <v>18</v>
      </c>
      <c r="B787" s="844" t="s">
        <v>4096</v>
      </c>
      <c r="C787" s="853">
        <v>3</v>
      </c>
      <c r="D787" s="853">
        <f t="shared" si="3"/>
        <v>36</v>
      </c>
      <c r="E787" s="853">
        <v>3300000</v>
      </c>
      <c r="F787" s="854">
        <f t="shared" si="4"/>
        <v>118800000</v>
      </c>
      <c r="G787" s="849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5" customHeight="1">
      <c r="A788" s="614">
        <v>19</v>
      </c>
      <c r="B788" s="844" t="s">
        <v>4097</v>
      </c>
      <c r="C788" s="853">
        <v>3</v>
      </c>
      <c r="D788" s="853">
        <f t="shared" si="3"/>
        <v>36</v>
      </c>
      <c r="E788" s="853">
        <v>2400000</v>
      </c>
      <c r="F788" s="854">
        <f t="shared" si="4"/>
        <v>86400000</v>
      </c>
      <c r="G788" s="849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5" customHeight="1">
      <c r="A789" s="614">
        <v>20</v>
      </c>
      <c r="B789" s="844" t="s">
        <v>4098</v>
      </c>
      <c r="C789" s="853">
        <v>7</v>
      </c>
      <c r="D789" s="853">
        <f t="shared" si="3"/>
        <v>84</v>
      </c>
      <c r="E789" s="853">
        <v>12000</v>
      </c>
      <c r="F789" s="854">
        <f t="shared" si="4"/>
        <v>1008000</v>
      </c>
      <c r="G789" s="849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5" customHeight="1">
      <c r="A790" s="614">
        <v>21</v>
      </c>
      <c r="B790" s="844" t="s">
        <v>3796</v>
      </c>
      <c r="C790" s="853">
        <v>200</v>
      </c>
      <c r="D790" s="853">
        <f t="shared" si="3"/>
        <v>2400</v>
      </c>
      <c r="E790" s="853">
        <v>640</v>
      </c>
      <c r="F790" s="854">
        <f t="shared" si="4"/>
        <v>1536000</v>
      </c>
      <c r="G790" s="849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5" customHeight="1">
      <c r="A791" s="614">
        <v>22</v>
      </c>
      <c r="B791" s="844" t="s">
        <v>4099</v>
      </c>
      <c r="C791" s="853">
        <v>5</v>
      </c>
      <c r="D791" s="853">
        <f t="shared" si="3"/>
        <v>60</v>
      </c>
      <c r="E791" s="853">
        <v>302500</v>
      </c>
      <c r="F791" s="854">
        <f t="shared" si="4"/>
        <v>18150000</v>
      </c>
      <c r="G791" s="849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5" customHeight="1">
      <c r="A792" s="614">
        <v>23</v>
      </c>
      <c r="B792" s="844" t="s">
        <v>4100</v>
      </c>
      <c r="C792" s="853">
        <v>5</v>
      </c>
      <c r="D792" s="853">
        <f t="shared" si="3"/>
        <v>60</v>
      </c>
      <c r="E792" s="853">
        <v>30000</v>
      </c>
      <c r="F792" s="854">
        <f t="shared" si="4"/>
        <v>1800000</v>
      </c>
      <c r="G792" s="849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5" customHeight="1">
      <c r="A793" s="614">
        <v>24</v>
      </c>
      <c r="B793" s="844" t="s">
        <v>4101</v>
      </c>
      <c r="C793" s="853">
        <v>10</v>
      </c>
      <c r="D793" s="853">
        <f t="shared" si="3"/>
        <v>120</v>
      </c>
      <c r="E793" s="853">
        <v>40000</v>
      </c>
      <c r="F793" s="854">
        <f t="shared" si="4"/>
        <v>4800000</v>
      </c>
      <c r="G793" s="849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5" customHeight="1">
      <c r="A794" s="614">
        <v>25</v>
      </c>
      <c r="B794" s="844" t="s">
        <v>4102</v>
      </c>
      <c r="C794" s="853">
        <v>400</v>
      </c>
      <c r="D794" s="853">
        <f t="shared" si="3"/>
        <v>4800</v>
      </c>
      <c r="E794" s="853">
        <v>3850</v>
      </c>
      <c r="F794" s="854">
        <f t="shared" si="4"/>
        <v>18480000</v>
      </c>
      <c r="G794" s="849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5" customHeight="1">
      <c r="A795" s="614">
        <v>26</v>
      </c>
      <c r="B795" s="844" t="s">
        <v>4103</v>
      </c>
      <c r="C795" s="853">
        <v>2</v>
      </c>
      <c r="D795" s="853">
        <f t="shared" si="3"/>
        <v>24</v>
      </c>
      <c r="E795" s="853">
        <v>850000</v>
      </c>
      <c r="F795" s="854">
        <f t="shared" si="4"/>
        <v>20400000</v>
      </c>
      <c r="G795" s="849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5" customHeight="1">
      <c r="A796" s="614">
        <v>27</v>
      </c>
      <c r="B796" s="844" t="s">
        <v>4104</v>
      </c>
      <c r="C796" s="853">
        <v>35</v>
      </c>
      <c r="D796" s="853">
        <f t="shared" si="3"/>
        <v>420</v>
      </c>
      <c r="E796" s="853">
        <v>36630</v>
      </c>
      <c r="F796" s="854">
        <f t="shared" si="4"/>
        <v>15384600</v>
      </c>
      <c r="G796" s="849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5" customHeight="1">
      <c r="A797" s="614">
        <v>28</v>
      </c>
      <c r="B797" s="844" t="s">
        <v>4105</v>
      </c>
      <c r="C797" s="853">
        <v>1000</v>
      </c>
      <c r="D797" s="853">
        <f t="shared" si="3"/>
        <v>12000</v>
      </c>
      <c r="E797" s="853">
        <v>1350</v>
      </c>
      <c r="F797" s="854">
        <f t="shared" si="4"/>
        <v>16200000</v>
      </c>
      <c r="G797" s="849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5" customHeight="1">
      <c r="A798" s="614">
        <v>29</v>
      </c>
      <c r="B798" s="844" t="s">
        <v>4106</v>
      </c>
      <c r="C798" s="853">
        <v>5</v>
      </c>
      <c r="D798" s="853">
        <f t="shared" si="3"/>
        <v>60</v>
      </c>
      <c r="E798" s="853">
        <v>90000</v>
      </c>
      <c r="F798" s="854">
        <f t="shared" si="4"/>
        <v>5400000</v>
      </c>
      <c r="G798" s="849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5" customHeight="1">
      <c r="A799" s="614">
        <v>30</v>
      </c>
      <c r="B799" s="844" t="s">
        <v>4107</v>
      </c>
      <c r="C799" s="853">
        <v>3</v>
      </c>
      <c r="D799" s="853">
        <f t="shared" si="3"/>
        <v>36</v>
      </c>
      <c r="E799" s="853">
        <v>155000</v>
      </c>
      <c r="F799" s="854">
        <f t="shared" si="4"/>
        <v>5580000</v>
      </c>
      <c r="G799" s="849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5" customHeight="1">
      <c r="A800" s="614">
        <v>31</v>
      </c>
      <c r="B800" s="844" t="s">
        <v>4108</v>
      </c>
      <c r="C800" s="853">
        <v>5</v>
      </c>
      <c r="D800" s="853">
        <f t="shared" si="3"/>
        <v>60</v>
      </c>
      <c r="E800" s="853">
        <v>88000</v>
      </c>
      <c r="F800" s="854">
        <f t="shared" si="4"/>
        <v>5280000</v>
      </c>
      <c r="G800" s="849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5" customHeight="1">
      <c r="A801" s="614">
        <v>32</v>
      </c>
      <c r="B801" s="844" t="s">
        <v>4109</v>
      </c>
      <c r="C801" s="853">
        <v>2</v>
      </c>
      <c r="D801" s="853">
        <f t="shared" si="3"/>
        <v>24</v>
      </c>
      <c r="E801" s="853">
        <v>550000</v>
      </c>
      <c r="F801" s="854">
        <f t="shared" si="4"/>
        <v>13200000</v>
      </c>
      <c r="G801" s="849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5" customHeight="1">
      <c r="A802" s="614">
        <v>33</v>
      </c>
      <c r="B802" s="844" t="s">
        <v>4110</v>
      </c>
      <c r="C802" s="853">
        <v>15</v>
      </c>
      <c r="D802" s="853">
        <f t="shared" si="3"/>
        <v>180</v>
      </c>
      <c r="E802" s="853">
        <v>405405.41</v>
      </c>
      <c r="F802" s="854">
        <f t="shared" si="4"/>
        <v>72972973.799999997</v>
      </c>
      <c r="G802" s="849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5" customHeight="1">
      <c r="A803" s="614">
        <v>34</v>
      </c>
      <c r="B803" s="844" t="s">
        <v>4111</v>
      </c>
      <c r="C803" s="853">
        <v>15</v>
      </c>
      <c r="D803" s="853">
        <f t="shared" si="3"/>
        <v>180</v>
      </c>
      <c r="E803" s="853">
        <v>180180.18</v>
      </c>
      <c r="F803" s="854">
        <f t="shared" si="4"/>
        <v>32432432.399999999</v>
      </c>
      <c r="G803" s="849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5" customHeight="1">
      <c r="A804" s="614">
        <v>35</v>
      </c>
      <c r="B804" s="844" t="s">
        <v>4112</v>
      </c>
      <c r="C804" s="853">
        <v>300</v>
      </c>
      <c r="D804" s="853">
        <f t="shared" si="3"/>
        <v>3600</v>
      </c>
      <c r="E804" s="853">
        <v>2252.3000000000002</v>
      </c>
      <c r="F804" s="854">
        <f t="shared" si="4"/>
        <v>8108280.0000000009</v>
      </c>
      <c r="G804" s="849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5" customHeight="1">
      <c r="A805" s="614">
        <v>36</v>
      </c>
      <c r="B805" s="844" t="s">
        <v>4113</v>
      </c>
      <c r="C805" s="853">
        <v>30</v>
      </c>
      <c r="D805" s="853">
        <f t="shared" si="3"/>
        <v>360</v>
      </c>
      <c r="E805" s="853">
        <v>180180.18</v>
      </c>
      <c r="F805" s="854">
        <f t="shared" si="4"/>
        <v>64864864.799999997</v>
      </c>
      <c r="G805" s="849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5" customHeight="1">
      <c r="A806" s="614">
        <v>37</v>
      </c>
      <c r="B806" s="844" t="s">
        <v>4114</v>
      </c>
      <c r="C806" s="853">
        <v>2</v>
      </c>
      <c r="D806" s="853">
        <f t="shared" si="3"/>
        <v>24</v>
      </c>
      <c r="E806" s="853">
        <v>2600000</v>
      </c>
      <c r="F806" s="854">
        <f t="shared" si="4"/>
        <v>62400000</v>
      </c>
      <c r="G806" s="849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5" customHeight="1">
      <c r="A807" s="614">
        <v>38</v>
      </c>
      <c r="B807" s="844" t="s">
        <v>4115</v>
      </c>
      <c r="C807" s="853">
        <v>3</v>
      </c>
      <c r="D807" s="853">
        <f t="shared" si="3"/>
        <v>36</v>
      </c>
      <c r="E807" s="853">
        <v>400000</v>
      </c>
      <c r="F807" s="854">
        <f t="shared" si="4"/>
        <v>14400000</v>
      </c>
      <c r="G807" s="849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5" customHeight="1">
      <c r="A808" s="614">
        <v>39</v>
      </c>
      <c r="B808" s="844" t="s">
        <v>4064</v>
      </c>
      <c r="C808" s="853">
        <v>15</v>
      </c>
      <c r="D808" s="853">
        <f t="shared" si="3"/>
        <v>180</v>
      </c>
      <c r="E808" s="853">
        <v>14324</v>
      </c>
      <c r="F808" s="854">
        <f t="shared" si="4"/>
        <v>2578320</v>
      </c>
      <c r="G808" s="849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5" customHeight="1">
      <c r="A809" s="614">
        <v>40</v>
      </c>
      <c r="B809" s="844" t="s">
        <v>4116</v>
      </c>
      <c r="C809" s="853">
        <v>3</v>
      </c>
      <c r="D809" s="853">
        <f t="shared" si="3"/>
        <v>36</v>
      </c>
      <c r="E809" s="853">
        <v>80000</v>
      </c>
      <c r="F809" s="854">
        <f t="shared" si="4"/>
        <v>2880000</v>
      </c>
      <c r="G809" s="849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5" customHeight="1">
      <c r="A810" s="984" t="s">
        <v>4117</v>
      </c>
      <c r="B810" s="888"/>
      <c r="C810" s="888"/>
      <c r="D810" s="888"/>
      <c r="E810" s="889"/>
      <c r="F810" s="855">
        <f>SUM(F770:F809)</f>
        <v>1203929064.5999999</v>
      </c>
      <c r="G810" s="849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5" customHeight="1">
      <c r="A811" s="3"/>
      <c r="B811" s="856"/>
      <c r="C811" s="851"/>
      <c r="D811" s="851"/>
      <c r="E811" s="851"/>
      <c r="F811" s="851"/>
      <c r="G811" s="849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5" customHeight="1">
      <c r="A812" s="857" t="s">
        <v>856</v>
      </c>
      <c r="B812" s="856"/>
      <c r="C812" s="851"/>
      <c r="D812" s="851"/>
      <c r="E812" s="851"/>
      <c r="F812" s="851"/>
      <c r="G812" s="849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5" customHeight="1">
      <c r="A813" s="841" t="s">
        <v>657</v>
      </c>
      <c r="B813" s="841" t="s">
        <v>4078</v>
      </c>
      <c r="C813" s="841" t="s">
        <v>3318</v>
      </c>
      <c r="D813" s="841" t="s">
        <v>3319</v>
      </c>
      <c r="E813" s="852" t="s">
        <v>3320</v>
      </c>
      <c r="F813" s="852" t="s">
        <v>3322</v>
      </c>
      <c r="G813" s="849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5" customHeight="1">
      <c r="A814" s="858">
        <v>1</v>
      </c>
      <c r="B814" s="859" t="s">
        <v>4118</v>
      </c>
      <c r="C814" s="854">
        <v>10</v>
      </c>
      <c r="D814" s="860">
        <f t="shared" ref="D814:D815" si="5">C814*12</f>
        <v>120</v>
      </c>
      <c r="E814" s="861">
        <v>150000</v>
      </c>
      <c r="F814" s="861">
        <f t="shared" ref="F814:F821" si="6">E814*D814</f>
        <v>18000000</v>
      </c>
      <c r="G814" s="849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5" customHeight="1">
      <c r="A815" s="862">
        <v>2</v>
      </c>
      <c r="B815" s="863" t="s">
        <v>4119</v>
      </c>
      <c r="C815" s="854">
        <v>2</v>
      </c>
      <c r="D815" s="860">
        <f t="shared" si="5"/>
        <v>24</v>
      </c>
      <c r="E815" s="864">
        <v>576006.75</v>
      </c>
      <c r="F815" s="861">
        <f t="shared" si="6"/>
        <v>13824162</v>
      </c>
      <c r="G815" s="849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5" customHeight="1">
      <c r="A816" s="858">
        <v>3</v>
      </c>
      <c r="B816" s="863" t="s">
        <v>4120</v>
      </c>
      <c r="C816" s="854">
        <v>1</v>
      </c>
      <c r="D816" s="860">
        <v>10</v>
      </c>
      <c r="E816" s="864">
        <v>784271</v>
      </c>
      <c r="F816" s="861">
        <f t="shared" si="6"/>
        <v>7842710</v>
      </c>
      <c r="G816" s="849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5" customHeight="1">
      <c r="A817" s="862">
        <v>4</v>
      </c>
      <c r="B817" s="859" t="s">
        <v>4121</v>
      </c>
      <c r="C817" s="854">
        <v>1</v>
      </c>
      <c r="D817" s="860">
        <v>8</v>
      </c>
      <c r="E817" s="861">
        <v>1587300</v>
      </c>
      <c r="F817" s="861">
        <f t="shared" si="6"/>
        <v>12698400</v>
      </c>
      <c r="G817" s="849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5" customHeight="1">
      <c r="A818" s="858">
        <v>5</v>
      </c>
      <c r="B818" s="863" t="s">
        <v>4122</v>
      </c>
      <c r="C818" s="854">
        <v>1</v>
      </c>
      <c r="D818" s="860">
        <f t="shared" ref="D818:D821" si="7">C818*12</f>
        <v>12</v>
      </c>
      <c r="E818" s="864">
        <v>951659</v>
      </c>
      <c r="F818" s="861">
        <f t="shared" si="6"/>
        <v>11419908</v>
      </c>
      <c r="G818" s="849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5" customHeight="1">
      <c r="A819" s="862">
        <v>6</v>
      </c>
      <c r="B819" s="863" t="s">
        <v>3690</v>
      </c>
      <c r="C819" s="865">
        <v>2500</v>
      </c>
      <c r="D819" s="860">
        <f t="shared" si="7"/>
        <v>30000</v>
      </c>
      <c r="E819" s="864">
        <v>486</v>
      </c>
      <c r="F819" s="861">
        <f t="shared" si="6"/>
        <v>14580000</v>
      </c>
      <c r="G819" s="849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5" customHeight="1">
      <c r="A820" s="858">
        <v>7</v>
      </c>
      <c r="B820" s="863" t="s">
        <v>4123</v>
      </c>
      <c r="C820" s="865">
        <v>5</v>
      </c>
      <c r="D820" s="860">
        <f t="shared" si="7"/>
        <v>60</v>
      </c>
      <c r="E820" s="864">
        <v>104400</v>
      </c>
      <c r="F820" s="861">
        <f t="shared" si="6"/>
        <v>6264000</v>
      </c>
      <c r="G820" s="849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5" customHeight="1">
      <c r="A821" s="862">
        <v>8</v>
      </c>
      <c r="B821" s="863" t="s">
        <v>4124</v>
      </c>
      <c r="C821" s="865">
        <v>2</v>
      </c>
      <c r="D821" s="860">
        <f t="shared" si="7"/>
        <v>24</v>
      </c>
      <c r="E821" s="864">
        <v>149184</v>
      </c>
      <c r="F821" s="861">
        <f t="shared" si="6"/>
        <v>3580416</v>
      </c>
      <c r="G821" s="849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5" customHeight="1">
      <c r="A822" s="984" t="s">
        <v>4125</v>
      </c>
      <c r="B822" s="888"/>
      <c r="C822" s="888"/>
      <c r="D822" s="888"/>
      <c r="E822" s="889"/>
      <c r="F822" s="866">
        <f>SUM(F814:F821)</f>
        <v>88209596</v>
      </c>
      <c r="G822" s="849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5" customHeight="1">
      <c r="A823" s="3"/>
      <c r="B823" s="856"/>
      <c r="C823" s="851"/>
      <c r="D823" s="851"/>
      <c r="E823" s="851"/>
      <c r="F823" s="851"/>
      <c r="G823" s="849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5" customHeight="1">
      <c r="A824" s="857" t="s">
        <v>4126</v>
      </c>
      <c r="B824" s="856"/>
      <c r="C824" s="851"/>
      <c r="D824" s="851"/>
      <c r="E824" s="851"/>
      <c r="F824" s="851"/>
      <c r="G824" s="849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5" customHeight="1">
      <c r="A825" s="867" t="s">
        <v>657</v>
      </c>
      <c r="B825" s="841" t="s">
        <v>4127</v>
      </c>
      <c r="C825" s="841" t="s">
        <v>3318</v>
      </c>
      <c r="D825" s="841" t="s">
        <v>3319</v>
      </c>
      <c r="E825" s="852" t="s">
        <v>3320</v>
      </c>
      <c r="F825" s="852" t="s">
        <v>3322</v>
      </c>
      <c r="G825" s="849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5" customHeight="1">
      <c r="A826" s="862">
        <v>1</v>
      </c>
      <c r="B826" s="863" t="s">
        <v>4128</v>
      </c>
      <c r="C826" s="854">
        <v>2</v>
      </c>
      <c r="D826" s="868">
        <f t="shared" ref="D826:D830" si="8">C826*12</f>
        <v>24</v>
      </c>
      <c r="E826" s="864">
        <v>505050</v>
      </c>
      <c r="F826" s="864">
        <f t="shared" ref="F826:F831" si="9">D826*E826</f>
        <v>12121200</v>
      </c>
      <c r="G826" s="849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5" customHeight="1">
      <c r="A827" s="858">
        <v>2</v>
      </c>
      <c r="B827" s="859" t="s">
        <v>4129</v>
      </c>
      <c r="C827" s="854">
        <v>6</v>
      </c>
      <c r="D827" s="868">
        <f t="shared" si="8"/>
        <v>72</v>
      </c>
      <c r="E827" s="861">
        <v>85000.003800000006</v>
      </c>
      <c r="F827" s="864">
        <f t="shared" si="9"/>
        <v>6120000.2736000009</v>
      </c>
      <c r="G827" s="849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5" customHeight="1">
      <c r="A828" s="862">
        <v>3</v>
      </c>
      <c r="B828" s="859" t="s">
        <v>4130</v>
      </c>
      <c r="C828" s="854">
        <v>1</v>
      </c>
      <c r="D828" s="868">
        <f t="shared" si="8"/>
        <v>12</v>
      </c>
      <c r="E828" s="861">
        <v>2311575</v>
      </c>
      <c r="F828" s="864">
        <f t="shared" si="9"/>
        <v>27738900</v>
      </c>
      <c r="G828" s="849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5" customHeight="1">
      <c r="A829" s="858">
        <v>4</v>
      </c>
      <c r="B829" s="863" t="s">
        <v>4131</v>
      </c>
      <c r="C829" s="854">
        <v>20</v>
      </c>
      <c r="D829" s="868">
        <f t="shared" si="8"/>
        <v>240</v>
      </c>
      <c r="E829" s="864">
        <v>18000</v>
      </c>
      <c r="F829" s="864">
        <f t="shared" si="9"/>
        <v>4320000</v>
      </c>
      <c r="G829" s="849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5" customHeight="1">
      <c r="A830" s="862">
        <v>5</v>
      </c>
      <c r="B830" s="859" t="s">
        <v>4132</v>
      </c>
      <c r="C830" s="854">
        <v>1</v>
      </c>
      <c r="D830" s="868">
        <f t="shared" si="8"/>
        <v>12</v>
      </c>
      <c r="E830" s="861">
        <v>499999.99949999998</v>
      </c>
      <c r="F830" s="864">
        <f t="shared" si="9"/>
        <v>5999999.9939999999</v>
      </c>
      <c r="G830" s="849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5" customHeight="1">
      <c r="A831" s="858">
        <v>6</v>
      </c>
      <c r="B831" s="859" t="s">
        <v>4133</v>
      </c>
      <c r="C831" s="854">
        <v>1</v>
      </c>
      <c r="D831" s="868">
        <v>6</v>
      </c>
      <c r="E831" s="869">
        <v>712527</v>
      </c>
      <c r="F831" s="864">
        <f t="shared" si="9"/>
        <v>4275162</v>
      </c>
      <c r="G831" s="849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5" customHeight="1">
      <c r="A832" s="985" t="s">
        <v>4125</v>
      </c>
      <c r="B832" s="888"/>
      <c r="C832" s="888"/>
      <c r="D832" s="888"/>
      <c r="E832" s="889"/>
      <c r="F832" s="870">
        <f>SUM(F826:F831)</f>
        <v>60575262.2676</v>
      </c>
      <c r="G832" s="849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5" customHeight="1">
      <c r="A833" s="3"/>
      <c r="B833" s="856"/>
      <c r="C833" s="851"/>
      <c r="D833" s="851"/>
      <c r="E833" s="851"/>
      <c r="F833" s="851"/>
      <c r="G833" s="849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5" customHeight="1">
      <c r="A834" s="857" t="s">
        <v>4134</v>
      </c>
      <c r="B834" s="856"/>
      <c r="C834" s="851"/>
      <c r="D834" s="851"/>
      <c r="E834" s="851"/>
      <c r="F834" s="851"/>
      <c r="G834" s="849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5" customHeight="1">
      <c r="A835" s="841" t="s">
        <v>657</v>
      </c>
      <c r="B835" s="841" t="s">
        <v>3317</v>
      </c>
      <c r="C835" s="841" t="s">
        <v>3318</v>
      </c>
      <c r="D835" s="841" t="s">
        <v>3319</v>
      </c>
      <c r="E835" s="852" t="s">
        <v>3320</v>
      </c>
      <c r="F835" s="852" t="s">
        <v>3322</v>
      </c>
      <c r="G835" s="849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5" customHeight="1">
      <c r="A836" s="858">
        <v>1</v>
      </c>
      <c r="B836" s="859" t="s">
        <v>4135</v>
      </c>
      <c r="C836" s="854">
        <v>2</v>
      </c>
      <c r="D836" s="860">
        <f t="shared" ref="D836:D838" si="10">C836*12</f>
        <v>24</v>
      </c>
      <c r="E836" s="871">
        <v>3089740.5</v>
      </c>
      <c r="F836" s="871">
        <f t="shared" ref="F836:F842" si="11">D836*E836</f>
        <v>74153772</v>
      </c>
      <c r="G836" s="849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5" customHeight="1">
      <c r="A837" s="862">
        <v>2</v>
      </c>
      <c r="B837" s="863" t="s">
        <v>4136</v>
      </c>
      <c r="C837" s="854">
        <v>3</v>
      </c>
      <c r="D837" s="860">
        <f t="shared" si="10"/>
        <v>36</v>
      </c>
      <c r="E837" s="872">
        <v>1972037.1</v>
      </c>
      <c r="F837" s="871">
        <f t="shared" si="11"/>
        <v>70993335.600000009</v>
      </c>
      <c r="G837" s="849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5" customHeight="1">
      <c r="A838" s="858">
        <v>3</v>
      </c>
      <c r="B838" s="863" t="s">
        <v>4137</v>
      </c>
      <c r="C838" s="854">
        <v>4</v>
      </c>
      <c r="D838" s="860">
        <f t="shared" si="10"/>
        <v>48</v>
      </c>
      <c r="E838" s="872">
        <v>298313</v>
      </c>
      <c r="F838" s="871">
        <f t="shared" si="11"/>
        <v>14319024</v>
      </c>
      <c r="G838" s="849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5" customHeight="1">
      <c r="A839" s="862">
        <v>4</v>
      </c>
      <c r="B839" s="863" t="s">
        <v>4138</v>
      </c>
      <c r="C839" s="854">
        <v>1</v>
      </c>
      <c r="D839" s="868">
        <v>4</v>
      </c>
      <c r="E839" s="872">
        <v>216240</v>
      </c>
      <c r="F839" s="871">
        <f t="shared" si="11"/>
        <v>864960</v>
      </c>
      <c r="G839" s="849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5" customHeight="1">
      <c r="A840" s="858">
        <v>5</v>
      </c>
      <c r="B840" s="863" t="s">
        <v>4139</v>
      </c>
      <c r="C840" s="854">
        <v>1</v>
      </c>
      <c r="D840" s="868">
        <v>20</v>
      </c>
      <c r="E840" s="872">
        <v>48000</v>
      </c>
      <c r="F840" s="871">
        <f t="shared" si="11"/>
        <v>960000</v>
      </c>
      <c r="G840" s="849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5" customHeight="1">
      <c r="A841" s="862">
        <v>6</v>
      </c>
      <c r="B841" s="863" t="s">
        <v>4140</v>
      </c>
      <c r="C841" s="854">
        <v>7</v>
      </c>
      <c r="D841" s="868">
        <v>84</v>
      </c>
      <c r="E841" s="872">
        <v>4805</v>
      </c>
      <c r="F841" s="871">
        <f t="shared" si="11"/>
        <v>403620</v>
      </c>
      <c r="G841" s="849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5" customHeight="1">
      <c r="A842" s="858">
        <v>7</v>
      </c>
      <c r="B842" s="863" t="s">
        <v>4141</v>
      </c>
      <c r="C842" s="854">
        <v>1</v>
      </c>
      <c r="D842" s="868">
        <v>6</v>
      </c>
      <c r="E842" s="872">
        <v>160000</v>
      </c>
      <c r="F842" s="871">
        <f t="shared" si="11"/>
        <v>960000</v>
      </c>
      <c r="G842" s="849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5" customHeight="1">
      <c r="A843" s="985" t="s">
        <v>4125</v>
      </c>
      <c r="B843" s="888"/>
      <c r="C843" s="888"/>
      <c r="D843" s="888"/>
      <c r="E843" s="889"/>
      <c r="F843" s="870">
        <f>SUM(F836:F842)</f>
        <v>162654711.60000002</v>
      </c>
      <c r="G843" s="849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5" customHeight="1">
      <c r="A844" s="3"/>
      <c r="B844" s="856"/>
      <c r="C844" s="851"/>
      <c r="D844" s="851"/>
      <c r="E844" s="851"/>
      <c r="F844" s="851"/>
      <c r="G844" s="849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5" customHeight="1">
      <c r="A845" s="3"/>
      <c r="B845" s="856"/>
      <c r="C845" s="851"/>
      <c r="D845" s="851"/>
      <c r="E845" s="851"/>
      <c r="F845" s="851"/>
      <c r="G845" s="849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5" customHeight="1">
      <c r="A846" s="3"/>
      <c r="B846" s="856"/>
      <c r="C846" s="851"/>
      <c r="D846" s="851"/>
      <c r="E846" s="851"/>
      <c r="F846" s="851"/>
      <c r="G846" s="849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5" customHeight="1">
      <c r="A847" s="857" t="s">
        <v>4142</v>
      </c>
      <c r="B847" s="856"/>
      <c r="C847" s="851"/>
      <c r="D847" s="851"/>
      <c r="E847" s="851"/>
      <c r="F847" s="851"/>
      <c r="G847" s="849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5" customHeight="1">
      <c r="A848" s="841" t="s">
        <v>657</v>
      </c>
      <c r="B848" s="841" t="s">
        <v>3317</v>
      </c>
      <c r="C848" s="841" t="s">
        <v>3318</v>
      </c>
      <c r="D848" s="841" t="s">
        <v>3319</v>
      </c>
      <c r="E848" s="852" t="s">
        <v>3320</v>
      </c>
      <c r="F848" s="852" t="s">
        <v>3322</v>
      </c>
      <c r="G848" s="849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5" customHeight="1">
      <c r="A849" s="873">
        <v>1</v>
      </c>
      <c r="B849" s="874" t="s">
        <v>4080</v>
      </c>
      <c r="C849" s="875">
        <v>200</v>
      </c>
      <c r="D849" s="854">
        <f t="shared" ref="D849:D869" si="12">C849*12</f>
        <v>2400</v>
      </c>
      <c r="E849" s="876">
        <v>80</v>
      </c>
      <c r="F849" s="877">
        <f t="shared" ref="F849:F884" si="13">D849*E849</f>
        <v>192000</v>
      </c>
      <c r="G849" s="849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5" customHeight="1">
      <c r="A850" s="873">
        <v>2</v>
      </c>
      <c r="B850" s="874" t="s">
        <v>3419</v>
      </c>
      <c r="C850" s="875">
        <v>5</v>
      </c>
      <c r="D850" s="854">
        <f t="shared" si="12"/>
        <v>60</v>
      </c>
      <c r="E850" s="876">
        <v>27000</v>
      </c>
      <c r="F850" s="877">
        <f t="shared" si="13"/>
        <v>1620000</v>
      </c>
      <c r="G850" s="849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5" customHeight="1">
      <c r="A851" s="873">
        <v>3</v>
      </c>
      <c r="B851" s="874" t="s">
        <v>4143</v>
      </c>
      <c r="C851" s="875">
        <v>1</v>
      </c>
      <c r="D851" s="854">
        <f t="shared" si="12"/>
        <v>12</v>
      </c>
      <c r="E851" s="876">
        <v>125000</v>
      </c>
      <c r="F851" s="877">
        <f t="shared" si="13"/>
        <v>1500000</v>
      </c>
      <c r="G851" s="849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5" customHeight="1">
      <c r="A852" s="873">
        <v>4</v>
      </c>
      <c r="B852" s="874" t="s">
        <v>4144</v>
      </c>
      <c r="C852" s="875">
        <v>2</v>
      </c>
      <c r="D852" s="854">
        <f t="shared" si="12"/>
        <v>24</v>
      </c>
      <c r="E852" s="876">
        <v>11700</v>
      </c>
      <c r="F852" s="877">
        <f t="shared" si="13"/>
        <v>280800</v>
      </c>
      <c r="G852" s="849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5" customHeight="1">
      <c r="A853" s="873">
        <v>5</v>
      </c>
      <c r="B853" s="874" t="s">
        <v>3604</v>
      </c>
      <c r="C853" s="875">
        <v>50</v>
      </c>
      <c r="D853" s="854">
        <f t="shared" si="12"/>
        <v>600</v>
      </c>
      <c r="E853" s="876">
        <v>10195.5</v>
      </c>
      <c r="F853" s="877">
        <f t="shared" si="13"/>
        <v>6117300</v>
      </c>
      <c r="G853" s="849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5" customHeight="1">
      <c r="A854" s="873">
        <v>6</v>
      </c>
      <c r="B854" s="874" t="s">
        <v>4145</v>
      </c>
      <c r="C854" s="875">
        <v>200</v>
      </c>
      <c r="D854" s="854">
        <f t="shared" si="12"/>
        <v>2400</v>
      </c>
      <c r="E854" s="876">
        <v>950</v>
      </c>
      <c r="F854" s="877">
        <f t="shared" si="13"/>
        <v>2280000</v>
      </c>
      <c r="G854" s="849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5" customHeight="1">
      <c r="A855" s="873">
        <v>7</v>
      </c>
      <c r="B855" s="874" t="s">
        <v>4146</v>
      </c>
      <c r="C855" s="875">
        <v>300</v>
      </c>
      <c r="D855" s="854">
        <f t="shared" si="12"/>
        <v>3600</v>
      </c>
      <c r="E855" s="876">
        <v>950</v>
      </c>
      <c r="F855" s="877">
        <f t="shared" si="13"/>
        <v>3420000</v>
      </c>
      <c r="G855" s="849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5" customHeight="1">
      <c r="A856" s="873">
        <v>8</v>
      </c>
      <c r="B856" s="874" t="s">
        <v>4147</v>
      </c>
      <c r="C856" s="875">
        <v>200</v>
      </c>
      <c r="D856" s="854">
        <f t="shared" si="12"/>
        <v>2400</v>
      </c>
      <c r="E856" s="876">
        <v>950</v>
      </c>
      <c r="F856" s="877">
        <f t="shared" si="13"/>
        <v>2280000</v>
      </c>
      <c r="G856" s="849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5" customHeight="1">
      <c r="A857" s="873">
        <v>9</v>
      </c>
      <c r="B857" s="874" t="s">
        <v>4148</v>
      </c>
      <c r="C857" s="875">
        <v>200</v>
      </c>
      <c r="D857" s="854">
        <f t="shared" si="12"/>
        <v>2400</v>
      </c>
      <c r="E857" s="876">
        <v>950</v>
      </c>
      <c r="F857" s="877">
        <f t="shared" si="13"/>
        <v>2280000</v>
      </c>
      <c r="G857" s="849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5" customHeight="1">
      <c r="A858" s="873">
        <v>10</v>
      </c>
      <c r="B858" s="874" t="s">
        <v>4149</v>
      </c>
      <c r="C858" s="875">
        <v>100</v>
      </c>
      <c r="D858" s="854">
        <f t="shared" si="12"/>
        <v>1200</v>
      </c>
      <c r="E858" s="876">
        <v>950</v>
      </c>
      <c r="F858" s="877">
        <f t="shared" si="13"/>
        <v>1140000</v>
      </c>
      <c r="G858" s="849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5" customHeight="1">
      <c r="A859" s="873">
        <v>11</v>
      </c>
      <c r="B859" s="874" t="s">
        <v>4150</v>
      </c>
      <c r="C859" s="875">
        <v>300</v>
      </c>
      <c r="D859" s="854">
        <f t="shared" si="12"/>
        <v>3600</v>
      </c>
      <c r="E859" s="876">
        <v>950</v>
      </c>
      <c r="F859" s="877">
        <f t="shared" si="13"/>
        <v>3420000</v>
      </c>
      <c r="G859" s="849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5" customHeight="1">
      <c r="A860" s="873">
        <v>12</v>
      </c>
      <c r="B860" s="874" t="s">
        <v>4151</v>
      </c>
      <c r="C860" s="875">
        <v>100</v>
      </c>
      <c r="D860" s="854">
        <f t="shared" si="12"/>
        <v>1200</v>
      </c>
      <c r="E860" s="876">
        <v>950</v>
      </c>
      <c r="F860" s="877">
        <f t="shared" si="13"/>
        <v>1140000</v>
      </c>
      <c r="G860" s="849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5" customHeight="1">
      <c r="A861" s="873">
        <v>13</v>
      </c>
      <c r="B861" s="874" t="s">
        <v>3615</v>
      </c>
      <c r="C861" s="875">
        <v>8</v>
      </c>
      <c r="D861" s="854">
        <f t="shared" si="12"/>
        <v>96</v>
      </c>
      <c r="E861" s="876">
        <v>2886</v>
      </c>
      <c r="F861" s="877">
        <f t="shared" si="13"/>
        <v>277056</v>
      </c>
      <c r="G861" s="849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5" customHeight="1">
      <c r="A862" s="873">
        <v>14</v>
      </c>
      <c r="B862" s="874" t="s">
        <v>4152</v>
      </c>
      <c r="C862" s="875">
        <v>15</v>
      </c>
      <c r="D862" s="854">
        <f t="shared" si="12"/>
        <v>180</v>
      </c>
      <c r="E862" s="876">
        <v>37500</v>
      </c>
      <c r="F862" s="877">
        <f t="shared" si="13"/>
        <v>6750000</v>
      </c>
      <c r="G862" s="849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5" customHeight="1">
      <c r="A863" s="873">
        <v>15</v>
      </c>
      <c r="B863" s="874" t="s">
        <v>3640</v>
      </c>
      <c r="C863" s="875">
        <v>300</v>
      </c>
      <c r="D863" s="854">
        <f t="shared" si="12"/>
        <v>3600</v>
      </c>
      <c r="E863" s="876">
        <v>350</v>
      </c>
      <c r="F863" s="877">
        <f t="shared" si="13"/>
        <v>1260000</v>
      </c>
      <c r="G863" s="849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5" customHeight="1">
      <c r="A864" s="873">
        <v>16</v>
      </c>
      <c r="B864" s="874" t="s">
        <v>4153</v>
      </c>
      <c r="C864" s="875">
        <v>48</v>
      </c>
      <c r="D864" s="854">
        <f t="shared" si="12"/>
        <v>576</v>
      </c>
      <c r="E864" s="876">
        <v>78000</v>
      </c>
      <c r="F864" s="877">
        <f t="shared" si="13"/>
        <v>44928000</v>
      </c>
      <c r="G864" s="849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5" customHeight="1">
      <c r="A865" s="873">
        <v>17</v>
      </c>
      <c r="B865" s="874" t="s">
        <v>3670</v>
      </c>
      <c r="C865" s="875">
        <v>7</v>
      </c>
      <c r="D865" s="854">
        <f t="shared" si="12"/>
        <v>84</v>
      </c>
      <c r="E865" s="876">
        <v>115500</v>
      </c>
      <c r="F865" s="877">
        <f t="shared" si="13"/>
        <v>9702000</v>
      </c>
      <c r="G865" s="849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5" customHeight="1">
      <c r="A866" s="873">
        <v>18</v>
      </c>
      <c r="B866" s="874" t="s">
        <v>3684</v>
      </c>
      <c r="C866" s="875">
        <v>8</v>
      </c>
      <c r="D866" s="854">
        <f t="shared" si="12"/>
        <v>96</v>
      </c>
      <c r="E866" s="876">
        <v>14500</v>
      </c>
      <c r="F866" s="877">
        <f t="shared" si="13"/>
        <v>1392000</v>
      </c>
      <c r="G866" s="849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5" customHeight="1">
      <c r="A867" s="873">
        <v>19</v>
      </c>
      <c r="B867" s="874" t="s">
        <v>4154</v>
      </c>
      <c r="C867" s="875">
        <v>20</v>
      </c>
      <c r="D867" s="854">
        <f t="shared" si="12"/>
        <v>240</v>
      </c>
      <c r="E867" s="876">
        <v>98000</v>
      </c>
      <c r="F867" s="877">
        <f t="shared" si="13"/>
        <v>23520000</v>
      </c>
      <c r="G867" s="849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5" customHeight="1">
      <c r="A868" s="873">
        <v>20</v>
      </c>
      <c r="B868" s="874" t="s">
        <v>4155</v>
      </c>
      <c r="C868" s="875">
        <v>10</v>
      </c>
      <c r="D868" s="854">
        <f t="shared" si="12"/>
        <v>120</v>
      </c>
      <c r="E868" s="876">
        <v>120000</v>
      </c>
      <c r="F868" s="877">
        <f t="shared" si="13"/>
        <v>14400000</v>
      </c>
      <c r="G868" s="849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5" customHeight="1">
      <c r="A869" s="873">
        <v>21</v>
      </c>
      <c r="B869" s="874" t="s">
        <v>4098</v>
      </c>
      <c r="C869" s="875">
        <v>120</v>
      </c>
      <c r="D869" s="854">
        <f t="shared" si="12"/>
        <v>1440</v>
      </c>
      <c r="E869" s="876">
        <v>12000</v>
      </c>
      <c r="F869" s="877">
        <f t="shared" si="13"/>
        <v>17280000</v>
      </c>
      <c r="G869" s="849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5" customHeight="1">
      <c r="A870" s="873">
        <v>22</v>
      </c>
      <c r="B870" s="874" t="s">
        <v>4156</v>
      </c>
      <c r="C870" s="875">
        <v>1</v>
      </c>
      <c r="D870" s="854">
        <v>4</v>
      </c>
      <c r="E870" s="876">
        <v>70500</v>
      </c>
      <c r="F870" s="877">
        <f t="shared" si="13"/>
        <v>282000</v>
      </c>
      <c r="G870" s="849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5" customHeight="1">
      <c r="A871" s="873">
        <v>23</v>
      </c>
      <c r="B871" s="874" t="s">
        <v>4157</v>
      </c>
      <c r="C871" s="875">
        <v>1</v>
      </c>
      <c r="D871" s="854">
        <v>4</v>
      </c>
      <c r="E871" s="876">
        <v>70500</v>
      </c>
      <c r="F871" s="877">
        <f t="shared" si="13"/>
        <v>282000</v>
      </c>
      <c r="G871" s="849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5" customHeight="1">
      <c r="A872" s="873">
        <v>24</v>
      </c>
      <c r="B872" s="874" t="s">
        <v>4158</v>
      </c>
      <c r="C872" s="875">
        <v>1</v>
      </c>
      <c r="D872" s="854">
        <v>4</v>
      </c>
      <c r="E872" s="876">
        <v>70500</v>
      </c>
      <c r="F872" s="877">
        <f t="shared" si="13"/>
        <v>282000</v>
      </c>
      <c r="G872" s="849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5" customHeight="1">
      <c r="A873" s="878">
        <v>25</v>
      </c>
      <c r="B873" s="879" t="s">
        <v>4159</v>
      </c>
      <c r="C873" s="880">
        <v>50</v>
      </c>
      <c r="D873" s="881">
        <f t="shared" ref="D873:D875" si="14">C873*12</f>
        <v>600</v>
      </c>
      <c r="E873" s="882">
        <v>13468</v>
      </c>
      <c r="F873" s="877">
        <f t="shared" si="13"/>
        <v>8080800</v>
      </c>
      <c r="G873" s="849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5" customHeight="1">
      <c r="A874" s="873">
        <v>26</v>
      </c>
      <c r="B874" s="844" t="s">
        <v>3792</v>
      </c>
      <c r="C874" s="883">
        <v>50</v>
      </c>
      <c r="D874" s="881">
        <f t="shared" si="14"/>
        <v>600</v>
      </c>
      <c r="E874" s="877">
        <v>640</v>
      </c>
      <c r="F874" s="877">
        <f t="shared" si="13"/>
        <v>384000</v>
      </c>
      <c r="G874" s="849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5" customHeight="1">
      <c r="A875" s="878">
        <v>27</v>
      </c>
      <c r="B875" s="844" t="s">
        <v>3796</v>
      </c>
      <c r="C875" s="883">
        <v>10</v>
      </c>
      <c r="D875" s="881">
        <f t="shared" si="14"/>
        <v>120</v>
      </c>
      <c r="E875" s="877">
        <v>640</v>
      </c>
      <c r="F875" s="877">
        <f t="shared" si="13"/>
        <v>76800</v>
      </c>
      <c r="G875" s="849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5" customHeight="1">
      <c r="A876" s="873">
        <v>28</v>
      </c>
      <c r="B876" s="844" t="s">
        <v>4160</v>
      </c>
      <c r="C876" s="883">
        <v>10</v>
      </c>
      <c r="D876" s="881">
        <v>10</v>
      </c>
      <c r="E876" s="877">
        <v>55000</v>
      </c>
      <c r="F876" s="877">
        <f t="shared" si="13"/>
        <v>550000</v>
      </c>
      <c r="G876" s="849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5" customHeight="1">
      <c r="A877" s="878">
        <v>29</v>
      </c>
      <c r="B877" s="844" t="s">
        <v>4161</v>
      </c>
      <c r="C877" s="883">
        <v>10</v>
      </c>
      <c r="D877" s="881">
        <v>10</v>
      </c>
      <c r="E877" s="877">
        <v>3318.9</v>
      </c>
      <c r="F877" s="877">
        <f t="shared" si="13"/>
        <v>33189</v>
      </c>
      <c r="G877" s="849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5" customHeight="1">
      <c r="A878" s="873">
        <v>30</v>
      </c>
      <c r="B878" s="844" t="s">
        <v>4104</v>
      </c>
      <c r="C878" s="883">
        <v>500</v>
      </c>
      <c r="D878" s="881">
        <f>C878*12</f>
        <v>6000</v>
      </c>
      <c r="E878" s="877">
        <v>36630</v>
      </c>
      <c r="F878" s="877">
        <f t="shared" si="13"/>
        <v>219780000</v>
      </c>
      <c r="G878" s="849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5" customHeight="1">
      <c r="A879" s="878">
        <v>31</v>
      </c>
      <c r="B879" s="844" t="s">
        <v>4162</v>
      </c>
      <c r="C879" s="883">
        <v>10</v>
      </c>
      <c r="D879" s="881">
        <v>10</v>
      </c>
      <c r="E879" s="877">
        <v>17094</v>
      </c>
      <c r="F879" s="877">
        <f t="shared" si="13"/>
        <v>170940</v>
      </c>
      <c r="G879" s="849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5" customHeight="1">
      <c r="A880" s="873">
        <v>32</v>
      </c>
      <c r="B880" s="844" t="s">
        <v>4163</v>
      </c>
      <c r="C880" s="883">
        <v>25</v>
      </c>
      <c r="D880" s="881">
        <v>150</v>
      </c>
      <c r="E880" s="877">
        <v>6400</v>
      </c>
      <c r="F880" s="877">
        <f t="shared" si="13"/>
        <v>960000</v>
      </c>
      <c r="G880" s="849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5" customHeight="1">
      <c r="A881" s="878">
        <v>33</v>
      </c>
      <c r="B881" s="844" t="s">
        <v>4015</v>
      </c>
      <c r="C881" s="883">
        <v>5</v>
      </c>
      <c r="D881" s="881">
        <f t="shared" ref="D881:D884" si="15">C881*12</f>
        <v>60</v>
      </c>
      <c r="E881" s="877">
        <v>40000</v>
      </c>
      <c r="F881" s="877">
        <f t="shared" si="13"/>
        <v>2400000</v>
      </c>
      <c r="G881" s="849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5" customHeight="1">
      <c r="A882" s="873">
        <v>34</v>
      </c>
      <c r="B882" s="844" t="s">
        <v>4164</v>
      </c>
      <c r="C882" s="883">
        <v>10</v>
      </c>
      <c r="D882" s="881">
        <f t="shared" si="15"/>
        <v>120</v>
      </c>
      <c r="E882" s="877">
        <v>625</v>
      </c>
      <c r="F882" s="877">
        <f t="shared" si="13"/>
        <v>75000</v>
      </c>
      <c r="G882" s="849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5" customHeight="1">
      <c r="A883" s="878">
        <v>35</v>
      </c>
      <c r="B883" s="884" t="s">
        <v>4165</v>
      </c>
      <c r="C883" s="885">
        <v>50</v>
      </c>
      <c r="D883" s="881">
        <f t="shared" si="15"/>
        <v>600</v>
      </c>
      <c r="E883" s="877">
        <v>126126</v>
      </c>
      <c r="F883" s="877">
        <f t="shared" si="13"/>
        <v>75675600</v>
      </c>
      <c r="G883" s="849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5" customHeight="1">
      <c r="A884" s="878">
        <v>36</v>
      </c>
      <c r="B884" s="884" t="s">
        <v>4064</v>
      </c>
      <c r="C884" s="885">
        <v>50</v>
      </c>
      <c r="D884" s="881">
        <f t="shared" si="15"/>
        <v>600</v>
      </c>
      <c r="E884" s="882">
        <v>14324</v>
      </c>
      <c r="F884" s="886">
        <f t="shared" si="13"/>
        <v>8594400</v>
      </c>
      <c r="G884" s="849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5" customHeight="1">
      <c r="A885" s="971" t="s">
        <v>4125</v>
      </c>
      <c r="B885" s="888"/>
      <c r="C885" s="888"/>
      <c r="D885" s="888"/>
      <c r="E885" s="889"/>
      <c r="F885" s="887">
        <f>SUM(F849:F884)</f>
        <v>462805885</v>
      </c>
      <c r="G885" s="849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5.75" customHeight="1">
      <c r="A886" s="3"/>
      <c r="B886" s="3"/>
      <c r="C886" s="3"/>
      <c r="D886" s="3"/>
      <c r="E886" s="6"/>
      <c r="F886" s="6"/>
      <c r="G886" s="849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5.75" customHeight="1">
      <c r="A887" s="3"/>
      <c r="B887" s="3"/>
      <c r="C887" s="3"/>
      <c r="D887" s="3"/>
      <c r="E887" s="6"/>
      <c r="F887" s="6"/>
      <c r="G887" s="849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8" customHeight="1">
      <c r="A888" s="3"/>
      <c r="B888" s="3"/>
      <c r="C888" s="3"/>
      <c r="D888" s="3"/>
      <c r="E888" s="6"/>
      <c r="F888" s="6"/>
      <c r="G888" s="849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5.75" customHeight="1">
      <c r="A889" s="3"/>
      <c r="B889" s="3"/>
      <c r="C889" s="3"/>
      <c r="D889" s="3"/>
      <c r="E889" s="6"/>
      <c r="F889" s="6"/>
      <c r="G889" s="849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5.75" customHeight="1">
      <c r="A890" s="3"/>
      <c r="B890" s="3"/>
      <c r="C890" s="3"/>
      <c r="D890" s="3"/>
      <c r="E890" s="6"/>
      <c r="F890" s="6"/>
      <c r="G890" s="849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5.75" customHeight="1">
      <c r="A891" s="3"/>
      <c r="B891" s="3"/>
      <c r="C891" s="3"/>
      <c r="D891" s="3"/>
      <c r="E891" s="6"/>
      <c r="F891" s="6"/>
      <c r="G891" s="849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5.75" customHeight="1">
      <c r="A892" s="3"/>
      <c r="B892" s="3"/>
      <c r="C892" s="3"/>
      <c r="D892" s="3"/>
      <c r="E892" s="6"/>
      <c r="F892" s="6"/>
      <c r="G892" s="849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5.75" customHeight="1">
      <c r="A893" s="3"/>
      <c r="B893" s="3"/>
      <c r="C893" s="3"/>
      <c r="D893" s="3"/>
      <c r="E893" s="6"/>
      <c r="F893" s="6"/>
      <c r="G893" s="849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5.75" customHeight="1">
      <c r="A894" s="3"/>
      <c r="B894" s="3"/>
      <c r="C894" s="3"/>
      <c r="D894" s="3"/>
      <c r="E894" s="6"/>
      <c r="F894" s="6"/>
      <c r="G894" s="849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5.75" customHeight="1">
      <c r="A895" s="3"/>
      <c r="B895" s="3"/>
      <c r="C895" s="3"/>
      <c r="D895" s="3"/>
      <c r="E895" s="6"/>
      <c r="F895" s="6"/>
      <c r="G895" s="849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5.75" customHeight="1">
      <c r="A896" s="3"/>
      <c r="B896" s="3"/>
      <c r="C896" s="3"/>
      <c r="D896" s="3"/>
      <c r="E896" s="6"/>
      <c r="F896" s="6"/>
      <c r="G896" s="849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5.75" customHeight="1">
      <c r="A897" s="3"/>
      <c r="B897" s="3"/>
      <c r="C897" s="3"/>
      <c r="D897" s="3"/>
      <c r="E897" s="6"/>
      <c r="F897" s="6"/>
      <c r="G897" s="849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5.75" customHeight="1">
      <c r="A898" s="3"/>
      <c r="B898" s="3"/>
      <c r="C898" s="3"/>
      <c r="D898" s="3"/>
      <c r="E898" s="6"/>
      <c r="F898" s="6"/>
      <c r="G898" s="849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5.75" customHeight="1">
      <c r="A899" s="3"/>
      <c r="B899" s="3"/>
      <c r="C899" s="3"/>
      <c r="D899" s="3"/>
      <c r="E899" s="6"/>
      <c r="F899" s="6"/>
      <c r="G899" s="849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5.75" customHeight="1">
      <c r="A900" s="3"/>
      <c r="B900" s="3"/>
      <c r="C900" s="3"/>
      <c r="D900" s="3"/>
      <c r="E900" s="6"/>
      <c r="F900" s="6"/>
      <c r="G900" s="849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5.75" customHeight="1">
      <c r="A901" s="3"/>
      <c r="B901" s="3"/>
      <c r="C901" s="3"/>
      <c r="D901" s="3"/>
      <c r="E901" s="6"/>
      <c r="F901" s="6"/>
      <c r="G901" s="849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5.75" customHeight="1">
      <c r="A902" s="3"/>
      <c r="B902" s="3"/>
      <c r="C902" s="3"/>
      <c r="D902" s="3"/>
      <c r="E902" s="6"/>
      <c r="F902" s="6"/>
      <c r="G902" s="849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5.75" customHeight="1">
      <c r="A903" s="3"/>
      <c r="B903" s="3"/>
      <c r="C903" s="3"/>
      <c r="D903" s="3"/>
      <c r="E903" s="6"/>
      <c r="F903" s="6"/>
      <c r="G903" s="849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5.75" customHeight="1">
      <c r="A904" s="3"/>
      <c r="B904" s="3"/>
      <c r="C904" s="3"/>
      <c r="D904" s="3"/>
      <c r="E904" s="6"/>
      <c r="F904" s="6"/>
      <c r="G904" s="849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5.75" customHeight="1">
      <c r="A905" s="3"/>
      <c r="B905" s="3"/>
      <c r="C905" s="3"/>
      <c r="D905" s="3"/>
      <c r="E905" s="6"/>
      <c r="F905" s="6"/>
      <c r="G905" s="849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5.75" customHeight="1">
      <c r="A906" s="3"/>
      <c r="B906" s="3"/>
      <c r="C906" s="3"/>
      <c r="D906" s="3"/>
      <c r="E906" s="6"/>
      <c r="F906" s="6"/>
      <c r="G906" s="849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5.75" customHeight="1">
      <c r="A907" s="3"/>
      <c r="B907" s="3"/>
      <c r="C907" s="3"/>
      <c r="D907" s="3"/>
      <c r="E907" s="6"/>
      <c r="F907" s="6"/>
      <c r="G907" s="849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5.75" customHeight="1">
      <c r="A908" s="3"/>
      <c r="B908" s="3"/>
      <c r="C908" s="3"/>
      <c r="D908" s="3"/>
      <c r="E908" s="6"/>
      <c r="F908" s="6"/>
      <c r="G908" s="849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5.75" customHeight="1">
      <c r="A909" s="3"/>
      <c r="B909" s="3"/>
      <c r="C909" s="3"/>
      <c r="D909" s="3"/>
      <c r="E909" s="6"/>
      <c r="F909" s="6"/>
      <c r="G909" s="849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5.75" customHeight="1">
      <c r="A910" s="3"/>
      <c r="B910" s="3"/>
      <c r="C910" s="3"/>
      <c r="D910" s="3"/>
      <c r="E910" s="6"/>
      <c r="F910" s="6"/>
      <c r="G910" s="849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5.75" customHeight="1">
      <c r="A911" s="3"/>
      <c r="B911" s="3"/>
      <c r="C911" s="3"/>
      <c r="D911" s="3"/>
      <c r="E911" s="6"/>
      <c r="F911" s="6"/>
      <c r="G911" s="849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5.75" customHeight="1">
      <c r="A912" s="3"/>
      <c r="B912" s="3"/>
      <c r="C912" s="3"/>
      <c r="D912" s="3"/>
      <c r="E912" s="6"/>
      <c r="F912" s="6"/>
      <c r="G912" s="849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5.75" customHeight="1">
      <c r="A913" s="3"/>
      <c r="B913" s="3"/>
      <c r="C913" s="3"/>
      <c r="D913" s="3"/>
      <c r="E913" s="6"/>
      <c r="F913" s="6"/>
      <c r="G913" s="849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5.75" customHeight="1">
      <c r="A914" s="3"/>
      <c r="B914" s="3"/>
      <c r="C914" s="3"/>
      <c r="D914" s="3"/>
      <c r="E914" s="6"/>
      <c r="F914" s="6"/>
      <c r="G914" s="849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5.75" customHeight="1">
      <c r="A915" s="3"/>
      <c r="B915" s="3"/>
      <c r="C915" s="3"/>
      <c r="D915" s="3"/>
      <c r="E915" s="6"/>
      <c r="F915" s="6"/>
      <c r="G915" s="849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5.75" customHeight="1">
      <c r="A916" s="3"/>
      <c r="B916" s="3"/>
      <c r="C916" s="3"/>
      <c r="D916" s="3"/>
      <c r="E916" s="6"/>
      <c r="F916" s="6"/>
      <c r="G916" s="849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5.75" customHeight="1">
      <c r="A917" s="3"/>
      <c r="B917" s="3"/>
      <c r="C917" s="3"/>
      <c r="D917" s="3"/>
      <c r="E917" s="6"/>
      <c r="F917" s="6"/>
      <c r="G917" s="849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5.75" customHeight="1">
      <c r="A918" s="3"/>
      <c r="B918" s="3"/>
      <c r="C918" s="3"/>
      <c r="D918" s="3"/>
      <c r="E918" s="6"/>
      <c r="F918" s="6"/>
      <c r="G918" s="849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5.75" customHeight="1">
      <c r="A919" s="3"/>
      <c r="B919" s="3"/>
      <c r="C919" s="3"/>
      <c r="D919" s="3"/>
      <c r="E919" s="6"/>
      <c r="F919" s="6"/>
      <c r="G919" s="849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5.75" customHeight="1">
      <c r="A920" s="3"/>
      <c r="B920" s="3"/>
      <c r="C920" s="3"/>
      <c r="D920" s="3"/>
      <c r="E920" s="6"/>
      <c r="F920" s="6"/>
      <c r="G920" s="849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5.75" customHeight="1">
      <c r="A921" s="3"/>
      <c r="B921" s="3"/>
      <c r="C921" s="3"/>
      <c r="D921" s="3"/>
      <c r="E921" s="6"/>
      <c r="F921" s="6"/>
      <c r="G921" s="849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5.75" customHeight="1">
      <c r="A922" s="3"/>
      <c r="B922" s="3"/>
      <c r="C922" s="3"/>
      <c r="D922" s="3"/>
      <c r="E922" s="6"/>
      <c r="F922" s="6"/>
      <c r="G922" s="849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5.75" customHeight="1">
      <c r="A923" s="3"/>
      <c r="B923" s="3"/>
      <c r="C923" s="3"/>
      <c r="D923" s="3"/>
      <c r="E923" s="6"/>
      <c r="F923" s="6"/>
      <c r="G923" s="849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5.75" customHeight="1">
      <c r="A924" s="3"/>
      <c r="B924" s="3"/>
      <c r="C924" s="3"/>
      <c r="D924" s="3"/>
      <c r="E924" s="6"/>
      <c r="F924" s="6"/>
      <c r="G924" s="849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5.75" customHeight="1">
      <c r="A925" s="3"/>
      <c r="B925" s="3"/>
      <c r="C925" s="3"/>
      <c r="D925" s="3"/>
      <c r="E925" s="6"/>
      <c r="F925" s="6"/>
      <c r="G925" s="849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5.75" customHeight="1">
      <c r="A926" s="3"/>
      <c r="B926" s="3"/>
      <c r="C926" s="3"/>
      <c r="D926" s="3"/>
      <c r="E926" s="6"/>
      <c r="F926" s="6"/>
      <c r="G926" s="849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5.75" customHeight="1">
      <c r="A927" s="3"/>
      <c r="B927" s="3"/>
      <c r="C927" s="3"/>
      <c r="D927" s="3"/>
      <c r="E927" s="6"/>
      <c r="F927" s="6"/>
      <c r="G927" s="849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5.75" customHeight="1">
      <c r="A928" s="3"/>
      <c r="B928" s="3"/>
      <c r="C928" s="3"/>
      <c r="D928" s="3"/>
      <c r="E928" s="6"/>
      <c r="F928" s="6"/>
      <c r="G928" s="849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5.75" customHeight="1">
      <c r="A929" s="3"/>
      <c r="B929" s="3"/>
      <c r="C929" s="3"/>
      <c r="D929" s="3"/>
      <c r="E929" s="6"/>
      <c r="F929" s="6"/>
      <c r="G929" s="849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5.75" customHeight="1">
      <c r="A930" s="3"/>
      <c r="B930" s="3"/>
      <c r="C930" s="3"/>
      <c r="D930" s="3"/>
      <c r="E930" s="6"/>
      <c r="F930" s="6"/>
      <c r="G930" s="849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5.75" customHeight="1">
      <c r="A931" s="3"/>
      <c r="B931" s="3"/>
      <c r="C931" s="3"/>
      <c r="D931" s="3"/>
      <c r="E931" s="6"/>
      <c r="F931" s="6"/>
      <c r="G931" s="849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5.75" customHeight="1">
      <c r="A932" s="3"/>
      <c r="B932" s="3"/>
      <c r="C932" s="3"/>
      <c r="D932" s="3"/>
      <c r="E932" s="6"/>
      <c r="F932" s="6"/>
      <c r="G932" s="849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5.75" customHeight="1">
      <c r="A933" s="3"/>
      <c r="B933" s="3"/>
      <c r="C933" s="3"/>
      <c r="D933" s="3"/>
      <c r="E933" s="6"/>
      <c r="F933" s="6"/>
      <c r="G933" s="849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5.75" customHeight="1">
      <c r="A934" s="3"/>
      <c r="B934" s="3"/>
      <c r="C934" s="3"/>
      <c r="D934" s="3"/>
      <c r="E934" s="6"/>
      <c r="F934" s="6"/>
      <c r="G934" s="849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5.75" customHeight="1">
      <c r="A935" s="3"/>
      <c r="B935" s="3"/>
      <c r="C935" s="3"/>
      <c r="D935" s="3"/>
      <c r="E935" s="6"/>
      <c r="F935" s="6"/>
      <c r="G935" s="849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5.75" customHeight="1">
      <c r="A936" s="3"/>
      <c r="B936" s="3"/>
      <c r="C936" s="3"/>
      <c r="D936" s="3"/>
      <c r="E936" s="6"/>
      <c r="F936" s="6"/>
      <c r="G936" s="849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5.75" customHeight="1">
      <c r="A937" s="3"/>
      <c r="B937" s="3"/>
      <c r="C937" s="3"/>
      <c r="D937" s="3"/>
      <c r="E937" s="6"/>
      <c r="F937" s="6"/>
      <c r="G937" s="849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5.75" customHeight="1">
      <c r="A938" s="3"/>
      <c r="B938" s="3"/>
      <c r="C938" s="3"/>
      <c r="D938" s="3"/>
      <c r="E938" s="6"/>
      <c r="F938" s="6"/>
      <c r="G938" s="849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5.75" customHeight="1">
      <c r="A939" s="3"/>
      <c r="B939" s="3"/>
      <c r="C939" s="3"/>
      <c r="D939" s="3"/>
      <c r="E939" s="6"/>
      <c r="F939" s="6"/>
      <c r="G939" s="849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5.75" customHeight="1">
      <c r="A940" s="3"/>
      <c r="B940" s="3"/>
      <c r="C940" s="3"/>
      <c r="D940" s="3"/>
      <c r="E940" s="6"/>
      <c r="F940" s="6"/>
      <c r="G940" s="849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5.75" customHeight="1">
      <c r="A941" s="3"/>
      <c r="B941" s="3"/>
      <c r="C941" s="3"/>
      <c r="D941" s="3"/>
      <c r="E941" s="6"/>
      <c r="F941" s="6"/>
      <c r="G941" s="849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5.75" customHeight="1">
      <c r="A942" s="3"/>
      <c r="B942" s="3"/>
      <c r="C942" s="3"/>
      <c r="D942" s="3"/>
      <c r="E942" s="6"/>
      <c r="F942" s="6"/>
      <c r="G942" s="849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5.75" customHeight="1">
      <c r="A943" s="3"/>
      <c r="B943" s="3"/>
      <c r="C943" s="3"/>
      <c r="D943" s="3"/>
      <c r="E943" s="6"/>
      <c r="F943" s="6"/>
      <c r="G943" s="849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5.75" customHeight="1">
      <c r="A944" s="3"/>
      <c r="B944" s="3"/>
      <c r="C944" s="3"/>
      <c r="D944" s="3"/>
      <c r="E944" s="6"/>
      <c r="F944" s="6"/>
      <c r="G944" s="849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5.75" customHeight="1">
      <c r="A945" s="3"/>
      <c r="B945" s="3"/>
      <c r="C945" s="3"/>
      <c r="D945" s="3"/>
      <c r="E945" s="6"/>
      <c r="F945" s="6"/>
      <c r="G945" s="849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5.75" customHeight="1">
      <c r="A946" s="3"/>
      <c r="B946" s="3"/>
      <c r="C946" s="3"/>
      <c r="D946" s="3"/>
      <c r="E946" s="6"/>
      <c r="F946" s="6"/>
      <c r="G946" s="849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5.75" customHeight="1">
      <c r="A947" s="3"/>
      <c r="B947" s="3"/>
      <c r="C947" s="3"/>
      <c r="D947" s="3"/>
      <c r="E947" s="6"/>
      <c r="F947" s="6"/>
      <c r="G947" s="849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5.75" customHeight="1">
      <c r="A948" s="3"/>
      <c r="B948" s="3"/>
      <c r="C948" s="3"/>
      <c r="D948" s="3"/>
      <c r="E948" s="6"/>
      <c r="F948" s="6"/>
      <c r="G948" s="849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5.75" customHeight="1">
      <c r="A949" s="3"/>
      <c r="B949" s="3"/>
      <c r="C949" s="3"/>
      <c r="D949" s="3"/>
      <c r="E949" s="6"/>
      <c r="F949" s="6"/>
      <c r="G949" s="849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5.75" customHeight="1">
      <c r="A950" s="3"/>
      <c r="B950" s="3"/>
      <c r="C950" s="3"/>
      <c r="D950" s="3"/>
      <c r="E950" s="6"/>
      <c r="F950" s="6"/>
      <c r="G950" s="849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5.75" customHeight="1">
      <c r="A951" s="3"/>
      <c r="B951" s="3"/>
      <c r="C951" s="3"/>
      <c r="D951" s="3"/>
      <c r="E951" s="6"/>
      <c r="F951" s="6"/>
      <c r="G951" s="849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5.75" customHeight="1">
      <c r="A952" s="3"/>
      <c r="B952" s="3"/>
      <c r="C952" s="3"/>
      <c r="D952" s="3"/>
      <c r="E952" s="6"/>
      <c r="F952" s="6"/>
      <c r="G952" s="849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5.75" customHeight="1">
      <c r="A953" s="3"/>
      <c r="B953" s="3"/>
      <c r="C953" s="3"/>
      <c r="D953" s="3"/>
      <c r="E953" s="6"/>
      <c r="F953" s="6"/>
      <c r="G953" s="849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5.75" customHeight="1">
      <c r="A954" s="3"/>
      <c r="B954" s="3"/>
      <c r="C954" s="3"/>
      <c r="D954" s="3"/>
      <c r="E954" s="6"/>
      <c r="F954" s="6"/>
      <c r="G954" s="849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5.75" customHeight="1">
      <c r="A955" s="3"/>
      <c r="B955" s="3"/>
      <c r="C955" s="3"/>
      <c r="D955" s="3"/>
      <c r="E955" s="6"/>
      <c r="F955" s="6"/>
      <c r="G955" s="849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5.75" customHeight="1">
      <c r="A956" s="3"/>
      <c r="B956" s="3"/>
      <c r="C956" s="3"/>
      <c r="D956" s="3"/>
      <c r="E956" s="6"/>
      <c r="F956" s="6"/>
      <c r="G956" s="849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5.75" customHeight="1">
      <c r="A957" s="3"/>
      <c r="B957" s="3"/>
      <c r="C957" s="3"/>
      <c r="D957" s="3"/>
      <c r="E957" s="6"/>
      <c r="F957" s="6"/>
      <c r="G957" s="849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5.75" customHeight="1">
      <c r="A958" s="3"/>
      <c r="B958" s="3"/>
      <c r="C958" s="3"/>
      <c r="D958" s="3"/>
      <c r="E958" s="6"/>
      <c r="F958" s="6"/>
      <c r="G958" s="849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5.75" customHeight="1">
      <c r="A959" s="3"/>
      <c r="B959" s="3"/>
      <c r="C959" s="3"/>
      <c r="D959" s="3"/>
      <c r="E959" s="6"/>
      <c r="F959" s="6"/>
      <c r="G959" s="849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5.75" customHeight="1">
      <c r="A960" s="3"/>
      <c r="B960" s="3"/>
      <c r="C960" s="3"/>
      <c r="D960" s="3"/>
      <c r="E960" s="6"/>
      <c r="F960" s="6"/>
      <c r="G960" s="849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5.75" customHeight="1">
      <c r="A961" s="3"/>
      <c r="B961" s="3"/>
      <c r="C961" s="3"/>
      <c r="D961" s="3"/>
      <c r="E961" s="6"/>
      <c r="F961" s="6"/>
      <c r="G961" s="849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5.75" customHeight="1">
      <c r="A962" s="3"/>
      <c r="B962" s="3"/>
      <c r="C962" s="3"/>
      <c r="D962" s="3"/>
      <c r="E962" s="6"/>
      <c r="F962" s="6"/>
      <c r="G962" s="849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5.75" customHeight="1">
      <c r="A963" s="3"/>
      <c r="B963" s="3"/>
      <c r="C963" s="3"/>
      <c r="D963" s="3"/>
      <c r="E963" s="6"/>
      <c r="F963" s="6"/>
      <c r="G963" s="849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5.75" customHeight="1">
      <c r="A964" s="3"/>
      <c r="B964" s="3"/>
      <c r="C964" s="3"/>
      <c r="D964" s="3"/>
      <c r="E964" s="6"/>
      <c r="F964" s="6"/>
      <c r="G964" s="849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5.75" customHeight="1">
      <c r="A965" s="3"/>
      <c r="B965" s="3"/>
      <c r="C965" s="3"/>
      <c r="D965" s="3"/>
      <c r="E965" s="6"/>
      <c r="F965" s="6"/>
      <c r="G965" s="849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5.75" customHeight="1">
      <c r="A966" s="3"/>
      <c r="B966" s="3"/>
      <c r="C966" s="3"/>
      <c r="D966" s="3"/>
      <c r="E966" s="6"/>
      <c r="F966" s="6"/>
      <c r="G966" s="849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5.75" customHeight="1">
      <c r="A967" s="3"/>
      <c r="B967" s="3"/>
      <c r="C967" s="3"/>
      <c r="D967" s="3"/>
      <c r="E967" s="6"/>
      <c r="F967" s="6"/>
      <c r="G967" s="849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5.75" customHeight="1">
      <c r="A968" s="3"/>
      <c r="B968" s="3"/>
      <c r="C968" s="3"/>
      <c r="D968" s="3"/>
      <c r="E968" s="6"/>
      <c r="F968" s="6"/>
      <c r="G968" s="849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5.75" customHeight="1">
      <c r="A969" s="3"/>
      <c r="B969" s="3"/>
      <c r="C969" s="3"/>
      <c r="D969" s="3"/>
      <c r="E969" s="6"/>
      <c r="F969" s="6"/>
      <c r="G969" s="849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5.75" customHeight="1">
      <c r="A970" s="3"/>
      <c r="B970" s="3"/>
      <c r="C970" s="3"/>
      <c r="D970" s="3"/>
      <c r="E970" s="6"/>
      <c r="F970" s="6"/>
      <c r="G970" s="849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5.75" customHeight="1">
      <c r="A971" s="3"/>
      <c r="B971" s="3"/>
      <c r="C971" s="3"/>
      <c r="D971" s="3"/>
      <c r="E971" s="6"/>
      <c r="F971" s="6"/>
      <c r="G971" s="849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5.75" customHeight="1">
      <c r="A972" s="3"/>
      <c r="B972" s="3"/>
      <c r="C972" s="3"/>
      <c r="D972" s="3"/>
      <c r="E972" s="6"/>
      <c r="F972" s="6"/>
      <c r="G972" s="849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5.75" customHeight="1">
      <c r="A973" s="3"/>
      <c r="B973" s="3"/>
      <c r="C973" s="3"/>
      <c r="D973" s="3"/>
      <c r="E973" s="6"/>
      <c r="F973" s="6"/>
      <c r="G973" s="849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5.75" customHeight="1">
      <c r="A974" s="3"/>
      <c r="B974" s="3"/>
      <c r="C974" s="3"/>
      <c r="D974" s="3"/>
      <c r="E974" s="6"/>
      <c r="F974" s="6"/>
      <c r="G974" s="849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5.75" customHeight="1">
      <c r="A975" s="3"/>
      <c r="B975" s="3"/>
      <c r="C975" s="3"/>
      <c r="D975" s="3"/>
      <c r="E975" s="6"/>
      <c r="F975" s="6"/>
      <c r="G975" s="849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5.75" customHeight="1">
      <c r="A976" s="3"/>
      <c r="B976" s="3"/>
      <c r="C976" s="3"/>
      <c r="D976" s="3"/>
      <c r="E976" s="6"/>
      <c r="F976" s="6"/>
      <c r="G976" s="849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5.75" customHeight="1">
      <c r="A977" s="3"/>
      <c r="B977" s="3"/>
      <c r="C977" s="3"/>
      <c r="D977" s="3"/>
      <c r="E977" s="6"/>
      <c r="F977" s="6"/>
      <c r="G977" s="849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5.75" customHeight="1">
      <c r="A978" s="3"/>
      <c r="B978" s="3"/>
      <c r="C978" s="3"/>
      <c r="D978" s="3"/>
      <c r="E978" s="6"/>
      <c r="F978" s="6"/>
      <c r="G978" s="849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5.75" customHeight="1">
      <c r="A979" s="3"/>
      <c r="B979" s="3"/>
      <c r="C979" s="3"/>
      <c r="D979" s="3"/>
      <c r="E979" s="6"/>
      <c r="F979" s="6"/>
      <c r="G979" s="849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5.75" customHeight="1">
      <c r="A980" s="3"/>
      <c r="B980" s="3"/>
      <c r="C980" s="3"/>
      <c r="D980" s="3"/>
      <c r="E980" s="6"/>
      <c r="F980" s="6"/>
      <c r="G980" s="849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5.75" customHeight="1">
      <c r="A981" s="3"/>
      <c r="B981" s="3"/>
      <c r="C981" s="3"/>
      <c r="D981" s="3"/>
      <c r="E981" s="6"/>
      <c r="F981" s="6"/>
      <c r="G981" s="849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5.75" customHeight="1">
      <c r="A982" s="3"/>
      <c r="B982" s="3"/>
      <c r="C982" s="3"/>
      <c r="D982" s="3"/>
      <c r="E982" s="6"/>
      <c r="F982" s="6"/>
      <c r="G982" s="849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5.75" customHeight="1">
      <c r="A983" s="3"/>
      <c r="B983" s="3"/>
      <c r="C983" s="3"/>
      <c r="D983" s="3"/>
      <c r="E983" s="6"/>
      <c r="F983" s="6"/>
      <c r="G983" s="849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5.75" customHeight="1">
      <c r="A984" s="3"/>
      <c r="B984" s="3"/>
      <c r="C984" s="3"/>
      <c r="D984" s="3"/>
      <c r="E984" s="6"/>
      <c r="F984" s="6"/>
      <c r="G984" s="849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5.75" customHeight="1">
      <c r="A985" s="3"/>
      <c r="B985" s="3"/>
      <c r="C985" s="3"/>
      <c r="D985" s="3"/>
      <c r="E985" s="6"/>
      <c r="F985" s="6"/>
      <c r="G985" s="849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5.75" customHeight="1">
      <c r="A986" s="3"/>
      <c r="B986" s="3"/>
      <c r="C986" s="3"/>
      <c r="D986" s="3"/>
      <c r="E986" s="6"/>
      <c r="F986" s="6"/>
      <c r="G986" s="849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5.75" customHeight="1">
      <c r="A987" s="3"/>
      <c r="B987" s="3"/>
      <c r="C987" s="3"/>
      <c r="D987" s="3"/>
      <c r="E987" s="6"/>
      <c r="F987" s="6"/>
      <c r="G987" s="849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5.75" customHeight="1">
      <c r="A988" s="3"/>
      <c r="B988" s="3"/>
      <c r="C988" s="3"/>
      <c r="D988" s="3"/>
      <c r="E988" s="6"/>
      <c r="F988" s="6"/>
      <c r="G988" s="849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5.75" customHeight="1">
      <c r="A989" s="3"/>
      <c r="B989" s="3"/>
      <c r="C989" s="3"/>
      <c r="D989" s="3"/>
      <c r="E989" s="6"/>
      <c r="F989" s="6"/>
      <c r="G989" s="849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5.75" customHeight="1">
      <c r="A990" s="3"/>
      <c r="B990" s="3"/>
      <c r="C990" s="3"/>
      <c r="D990" s="3"/>
      <c r="E990" s="6"/>
      <c r="F990" s="6"/>
      <c r="G990" s="849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5.75" customHeight="1">
      <c r="A991" s="3"/>
      <c r="B991" s="3"/>
      <c r="C991" s="3"/>
      <c r="D991" s="3"/>
      <c r="E991" s="6"/>
      <c r="F991" s="6"/>
      <c r="G991" s="849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5.75" customHeight="1">
      <c r="A992" s="3"/>
      <c r="B992" s="3"/>
      <c r="C992" s="3"/>
      <c r="D992" s="3"/>
      <c r="E992" s="6"/>
      <c r="F992" s="6"/>
      <c r="G992" s="849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5.75" customHeight="1">
      <c r="A993" s="3"/>
      <c r="B993" s="3"/>
      <c r="C993" s="3"/>
      <c r="D993" s="3"/>
      <c r="E993" s="6"/>
      <c r="F993" s="6"/>
      <c r="G993" s="849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5.75" customHeight="1">
      <c r="A994" s="3"/>
      <c r="B994" s="3"/>
      <c r="C994" s="3"/>
      <c r="D994" s="3"/>
      <c r="E994" s="6"/>
      <c r="F994" s="6"/>
      <c r="G994" s="849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5.75" customHeight="1">
      <c r="A995" s="3"/>
      <c r="B995" s="3"/>
      <c r="C995" s="3"/>
      <c r="D995" s="3"/>
      <c r="E995" s="6"/>
      <c r="F995" s="6"/>
      <c r="G995" s="849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5.75" customHeight="1">
      <c r="A996" s="3"/>
      <c r="B996" s="3"/>
      <c r="C996" s="3"/>
      <c r="D996" s="3"/>
      <c r="E996" s="6"/>
      <c r="F996" s="6"/>
      <c r="G996" s="849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5.75" customHeight="1">
      <c r="A997" s="3"/>
      <c r="B997" s="3"/>
      <c r="C997" s="3"/>
      <c r="D997" s="3"/>
      <c r="E997" s="6"/>
      <c r="F997" s="6"/>
      <c r="G997" s="849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5.75" customHeight="1">
      <c r="A998" s="3"/>
      <c r="B998" s="3"/>
      <c r="C998" s="3"/>
      <c r="D998" s="3"/>
      <c r="E998" s="6"/>
      <c r="F998" s="6"/>
      <c r="G998" s="849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5.75" customHeight="1">
      <c r="A999" s="3"/>
      <c r="B999" s="3"/>
      <c r="C999" s="3"/>
      <c r="D999" s="3"/>
      <c r="E999" s="6"/>
      <c r="F999" s="6"/>
      <c r="G999" s="849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5.75" customHeight="1">
      <c r="A1000" s="3"/>
      <c r="B1000" s="3"/>
      <c r="C1000" s="3"/>
      <c r="D1000" s="3"/>
      <c r="E1000" s="6"/>
      <c r="F1000" s="6"/>
      <c r="G1000" s="849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5.75" customHeight="1">
      <c r="A1001" s="3"/>
      <c r="B1001" s="3"/>
      <c r="C1001" s="3"/>
      <c r="D1001" s="3"/>
      <c r="E1001" s="6"/>
      <c r="F1001" s="6"/>
      <c r="G1001" s="849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5.75" customHeight="1">
      <c r="A1002" s="3"/>
      <c r="B1002" s="3"/>
      <c r="C1002" s="3"/>
      <c r="D1002" s="3"/>
      <c r="E1002" s="6"/>
      <c r="F1002" s="6"/>
      <c r="G1002" s="849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5.75" customHeight="1">
      <c r="A1003" s="3"/>
      <c r="B1003" s="3"/>
      <c r="C1003" s="3"/>
      <c r="D1003" s="3"/>
      <c r="E1003" s="6"/>
      <c r="F1003" s="6"/>
      <c r="G1003" s="849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5.75" customHeight="1">
      <c r="A1004" s="3"/>
      <c r="B1004" s="3"/>
      <c r="C1004" s="3"/>
      <c r="D1004" s="3"/>
      <c r="E1004" s="6"/>
      <c r="F1004" s="6"/>
      <c r="G1004" s="849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5.75" customHeight="1">
      <c r="A1005" s="3"/>
      <c r="B1005" s="3"/>
      <c r="C1005" s="3"/>
      <c r="D1005" s="3"/>
      <c r="E1005" s="6"/>
      <c r="F1005" s="6"/>
      <c r="G1005" s="849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5.75" customHeight="1">
      <c r="A1006" s="3"/>
      <c r="B1006" s="3"/>
      <c r="C1006" s="3"/>
      <c r="D1006" s="3"/>
      <c r="E1006" s="6"/>
      <c r="F1006" s="6"/>
      <c r="G1006" s="849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5.75" customHeight="1">
      <c r="A1007" s="3"/>
      <c r="B1007" s="3"/>
      <c r="C1007" s="3"/>
      <c r="D1007" s="3"/>
      <c r="E1007" s="6"/>
      <c r="F1007" s="6"/>
      <c r="G1007" s="849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5.75" customHeight="1">
      <c r="A1008" s="3"/>
      <c r="B1008" s="3"/>
      <c r="C1008" s="3"/>
      <c r="D1008" s="3"/>
      <c r="E1008" s="6"/>
      <c r="F1008" s="6"/>
      <c r="G1008" s="849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5.75" customHeight="1">
      <c r="A1009" s="3"/>
      <c r="B1009" s="3"/>
      <c r="C1009" s="3"/>
      <c r="D1009" s="3"/>
      <c r="E1009" s="6"/>
      <c r="F1009" s="6"/>
      <c r="G1009" s="849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5.75" customHeight="1">
      <c r="A1010" s="3"/>
      <c r="B1010" s="3"/>
      <c r="C1010" s="3"/>
      <c r="D1010" s="3"/>
      <c r="E1010" s="6"/>
      <c r="F1010" s="6"/>
      <c r="G1010" s="849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</sheetData>
  <mergeCells count="6">
    <mergeCell ref="A885:E885"/>
    <mergeCell ref="A765:E765"/>
    <mergeCell ref="A810:E810"/>
    <mergeCell ref="A822:E822"/>
    <mergeCell ref="A832:E832"/>
    <mergeCell ref="A843:E843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TARGET</vt:lpstr>
      <vt:lpstr>PROGRAM KEGIATAN</vt:lpstr>
      <vt:lpstr>PERALATAN MEDIS</vt:lpstr>
      <vt:lpstr>LINEN</vt:lpstr>
      <vt:lpstr>INSTRUMEN MEDIS</vt:lpstr>
      <vt:lpstr>PERALATAN NON MEDIS</vt:lpstr>
      <vt:lpstr>PELATIHAN</vt:lpstr>
      <vt:lpstr>PERAWATAN SARPRAS</vt:lpstr>
      <vt:lpstr>PEMELIHARAAN GEDUNG</vt:lpstr>
      <vt:lpstr>PEMELIHARAAN KENDARAAN</vt:lpstr>
      <vt:lpstr>KEGIATAN RUTIN (OPERASIONAL)</vt:lpstr>
      <vt:lpstr>AKREDITASI</vt:lpstr>
      <vt:lpstr>Copy of CETAK</vt:lpstr>
      <vt:lpstr>Copy of BHP Rumah tanggaa</vt:lpstr>
      <vt:lpstr>Copy of KALIBRASI</vt:lpstr>
      <vt:lpstr>Copy of INVESTASI</vt:lpstr>
      <vt:lpstr>Copy of BAHAN MAKANAN</vt:lpstr>
      <vt:lpstr>Copy of BHP GIZI</vt:lpstr>
      <vt:lpstr>Copy of RINCIAN OBAT DAN BHP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FEBRI</dc:creator>
  <cp:lastModifiedBy>FEBRI</cp:lastModifiedBy>
  <dcterms:created xsi:type="dcterms:W3CDTF">2025-01-17T07:43:46Z</dcterms:created>
  <dcterms:modified xsi:type="dcterms:W3CDTF">2025-01-17T07:43:46Z</dcterms:modified>
</cp:coreProperties>
</file>